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STION MOMENTUM" sheetId="1" r:id="rId4"/>
    <sheet state="visible" name="Parametros" sheetId="2" r:id="rId5"/>
    <sheet state="visible" name="Cheques pendientes" sheetId="3" r:id="rId6"/>
    <sheet state="visible" name="Concentración" sheetId="4" r:id="rId7"/>
    <sheet state="visible" name="Reporte de Cheques" sheetId="5" r:id="rId8"/>
    <sheet state="visible" name="Posicion cuotapartista" sheetId="6" r:id="rId9"/>
  </sheets>
  <definedNames>
    <definedName hidden="1" localSheetId="4" name="_xlnm._FilterDatabase">'Reporte de Cheques'!$A$3:$AI$3</definedName>
  </definedNames>
  <calcPr/>
  <pivotCaches>
    <pivotCache cacheId="0" r:id="rId10"/>
  </pivotCaches>
  <extLst>
    <ext uri="GoogleSheetsCustomDataVersion2">
      <go:sheetsCustomData xmlns:go="http://customooxmlschemas.google.com/" r:id="rId11" roundtripDataChecksum="fIa1M/Du75gOSdQNU56XHqV4jTZd+vvNOMQ27g3JjfY="/>
    </ext>
  </extLst>
</workbook>
</file>

<file path=xl/sharedStrings.xml><?xml version="1.0" encoding="utf-8"?>
<sst xmlns="http://schemas.openxmlformats.org/spreadsheetml/2006/main" count="20483" uniqueCount="2165">
  <si>
    <t>FONDOS COMUNES DE INVERSION</t>
  </si>
  <si>
    <t>6/7/2026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</si>
  <si>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09:52:13</t>
  </si>
  <si>
    <t xml:space="preserve">                                                                                                                Informe de Gestión al 3/7/2026</t>
  </si>
  <si>
    <t>FCI ABIERTO MOMENTUM PYMES</t>
  </si>
  <si>
    <t>COMAFI $ Nº 24148/3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</si>
  <si>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</si>
  <si>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BANCO DEL SOL</t>
  </si>
  <si>
    <t xml:space="preserve"> </t>
  </si>
  <si>
    <t>(4)</t>
  </si>
  <si>
    <t>(1)</t>
  </si>
  <si>
    <t>Lista de feriados 2025</t>
  </si>
  <si>
    <t>ACTIVO</t>
  </si>
  <si>
    <t/>
  </si>
  <si>
    <t>Caucion MAV</t>
  </si>
  <si>
    <t>INVERSIONES</t>
  </si>
  <si>
    <t>Vto Pase</t>
  </si>
  <si>
    <t>TITULOS PUBLICOS</t>
  </si>
  <si>
    <t>Plazo Fijo</t>
  </si>
  <si>
    <t>FUTUROS</t>
  </si>
  <si>
    <t>Vto. Cheques</t>
  </si>
  <si>
    <t>DISPONIBILIDADES</t>
  </si>
  <si>
    <t>Vto. Pagarés Dollar Linked</t>
  </si>
  <si>
    <t>EN PESOS</t>
  </si>
  <si>
    <t>FCI IEB Ahorro - Clase E</t>
  </si>
  <si>
    <t>EN DOLARES</t>
  </si>
  <si>
    <t>CREDITOS</t>
  </si>
  <si>
    <t xml:space="preserve">Ctte Momentum </t>
  </si>
  <si>
    <t>PASIVO</t>
  </si>
  <si>
    <t>Cheques pendientes</t>
  </si>
  <si>
    <t>PROVISIONES</t>
  </si>
  <si>
    <t>Compra/Venta Bonos</t>
  </si>
  <si>
    <t>PROV. HONORARIOS SOC. DEPOSITARIA</t>
  </si>
  <si>
    <t>TOTAL</t>
  </si>
  <si>
    <t>PROV. HONORARIOS SOCIEDAD GERENTE</t>
  </si>
  <si>
    <t>Neg. Cheques / Pagare</t>
  </si>
  <si>
    <t>PROV. GASTOS SOCIEDAD DEPOSITARIA</t>
  </si>
  <si>
    <t>Coloca caucion MAV</t>
  </si>
  <si>
    <t>DEUDAS EN PESOS</t>
  </si>
  <si>
    <t>Compra/Venta de Bonos</t>
  </si>
  <si>
    <t>RESCATES</t>
  </si>
  <si>
    <t>EGRESOS EN EL DIA Clase B</t>
  </si>
  <si>
    <t>Suscripciones</t>
  </si>
  <si>
    <t>PREVISIÓN INCOBRABLES</t>
  </si>
  <si>
    <t>Rescates</t>
  </si>
  <si>
    <t>Valor Patrimonial del Fondo</t>
  </si>
  <si>
    <t>Pase</t>
  </si>
  <si>
    <t>Liquidez Efectiva (2)</t>
  </si>
  <si>
    <t>Rentas y Amortizaciones</t>
  </si>
  <si>
    <t>Liquidez Corriente (3)</t>
  </si>
  <si>
    <t>Pago Gastos Banco Comafi</t>
  </si>
  <si>
    <t>Caja cierre</t>
  </si>
  <si>
    <t>Activos Pyme</t>
  </si>
  <si>
    <t>% Pyme</t>
  </si>
  <si>
    <t>PN ACTUAL</t>
  </si>
  <si>
    <t>Inversiones</t>
  </si>
  <si>
    <t>5% MM</t>
  </si>
  <si>
    <t>TITULO PUBLICO en Pesos</t>
  </si>
  <si>
    <t>20% CAUCION</t>
  </si>
  <si>
    <t>Denominación</t>
  </si>
  <si>
    <t>IsinCode</t>
  </si>
  <si>
    <t xml:space="preserve">Cantidad      </t>
  </si>
  <si>
    <t xml:space="preserve">Cierre </t>
  </si>
  <si>
    <t xml:space="preserve">Total      </t>
  </si>
  <si>
    <t xml:space="preserve">% (1) </t>
  </si>
  <si>
    <t xml:space="preserve">Costo </t>
  </si>
  <si>
    <t xml:space="preserve">Var </t>
  </si>
  <si>
    <t>Vencimiento</t>
  </si>
  <si>
    <t>Lecap S30N6</t>
  </si>
  <si>
    <t>AR0451031345</t>
  </si>
  <si>
    <t>30/11/2026</t>
  </si>
  <si>
    <t>OBLIGACIONES NEGOCIABLES en Pesos</t>
  </si>
  <si>
    <t>LR7AO - ON Laboratorios Richmond Serie 7 Cl A Vto 10/12/26</t>
  </si>
  <si>
    <t>AR0905777444</t>
  </si>
  <si>
    <t>10/12/2026</t>
  </si>
  <si>
    <t>MTC3O - ON Mastellone Clase 3</t>
  </si>
  <si>
    <t>AR0494875476</t>
  </si>
  <si>
    <t>22/06/2027</t>
  </si>
  <si>
    <t>VBC3O - ON BANCO DE VALORES CL.3 24/10/26 $</t>
  </si>
  <si>
    <t>AR0531585807</t>
  </si>
  <si>
    <t>24/10/2026</t>
  </si>
  <si>
    <t>FIDEICOMISOS FINANCIEROS en Pesos</t>
  </si>
  <si>
    <t>CQ08A - VD FF CENTROCARD CREDITOS 8 CL.A $</t>
  </si>
  <si>
    <t>AR0253965559</t>
  </si>
  <si>
    <t>26/05/2027</t>
  </si>
  <si>
    <t>FF AMFAyS S49 Clase A</t>
  </si>
  <si>
    <t>AR0711423134</t>
  </si>
  <si>
    <t>31/12/2026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</si>
  <si>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</si>
  <si>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</si>
  <si>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</si>
  <si>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</si>
  <si>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</si>
  <si>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</si>
  <si>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</si>
  <si>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</si>
  <si>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</si>
  <si>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</si>
  <si>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</si>
  <si>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</si>
  <si>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</si>
  <si>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</si>
  <si>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</si>
  <si>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</si>
  <si>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</si>
  <si>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</si>
  <si>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VD FF SECUBONO 245 CL.A $</t>
  </si>
  <si>
    <t>AR0822887474</t>
  </si>
  <si>
    <t>28/08/2026</t>
  </si>
  <si>
    <t>FUTUROS en Pesos</t>
  </si>
  <si>
    <t>Fut Rofex DLR072026</t>
  </si>
  <si>
    <t>31/07/2026</t>
  </si>
  <si>
    <t>Fut Rofex DLR082026</t>
  </si>
  <si>
    <t>31/08/2026</t>
  </si>
  <si>
    <t>Fut Rofex DLR092026</t>
  </si>
  <si>
    <t>30/09/2026</t>
  </si>
  <si>
    <t>Fut Rofex DLR102026</t>
  </si>
  <si>
    <t>30/10/2026</t>
  </si>
  <si>
    <t>MONEY MARKET en Pesos</t>
  </si>
  <si>
    <t>TITULO PROVINCIAL en Pesos</t>
  </si>
  <si>
    <t>CO2D7 - Título provincia de Córdoba 05/12/27</t>
  </si>
  <si>
    <t>AR0569903542</t>
  </si>
  <si>
    <t>05/12/2027</t>
  </si>
  <si>
    <t>Aperturas, Pases y Cauciones en Pesos</t>
  </si>
  <si>
    <t>Tipo</t>
  </si>
  <si>
    <t>Concertación</t>
  </si>
  <si>
    <t>Plazo</t>
  </si>
  <si>
    <t>Tasa</t>
  </si>
  <si>
    <t>CAUCION</t>
  </si>
  <si>
    <t>06/07/2026</t>
  </si>
  <si>
    <t>03/07/2026</t>
  </si>
  <si>
    <t>PASE</t>
  </si>
  <si>
    <t>03/08/2026</t>
  </si>
  <si>
    <t>Cheques de Pago Diferido en Pesos</t>
  </si>
  <si>
    <t>Descripción</t>
  </si>
  <si>
    <t>Compra</t>
  </si>
  <si>
    <t>Nominal</t>
  </si>
  <si>
    <t>Precio</t>
  </si>
  <si>
    <t>Actual</t>
  </si>
  <si>
    <t>*MAV170700987</t>
  </si>
  <si>
    <t>21/07/2026</t>
  </si>
  <si>
    <t>11/08/2025</t>
  </si>
  <si>
    <t>*MAV140801099</t>
  </si>
  <si>
    <t>19/08/2026</t>
  </si>
  <si>
    <t>03/09/2025</t>
  </si>
  <si>
    <t>*MAV280800986</t>
  </si>
  <si>
    <t>01/09/2026</t>
  </si>
  <si>
    <t>*MAV310701190</t>
  </si>
  <si>
    <t>04/08/2026</t>
  </si>
  <si>
    <t>*ACI280700201</t>
  </si>
  <si>
    <t>30/07/2026</t>
  </si>
  <si>
    <t>29/01/2026</t>
  </si>
  <si>
    <t>*MAV150701442</t>
  </si>
  <si>
    <t>17/07/2026</t>
  </si>
  <si>
    <t>13/02/2026</t>
  </si>
  <si>
    <t>*MAV290701035</t>
  </si>
  <si>
    <t>*MAV120801367</t>
  </si>
  <si>
    <t>14/08/2026</t>
  </si>
  <si>
    <t>*MAV130700768</t>
  </si>
  <si>
    <t>15/07/2026</t>
  </si>
  <si>
    <t>*MAV130800916</t>
  </si>
  <si>
    <t>18/08/2026</t>
  </si>
  <si>
    <t>*MAV140701247</t>
  </si>
  <si>
    <t>16/07/2026</t>
  </si>
  <si>
    <t>*MAV140801103</t>
  </si>
  <si>
    <t>*MAV150701443</t>
  </si>
  <si>
    <t>*MAV050801071</t>
  </si>
  <si>
    <t>07/08/2026</t>
  </si>
  <si>
    <t>03/03/2026</t>
  </si>
  <si>
    <t>*MAV160700952</t>
  </si>
  <si>
    <t>20/07/2026</t>
  </si>
  <si>
    <t>06/03/2026</t>
  </si>
  <si>
    <t>*MAV220701194</t>
  </si>
  <si>
    <t>24/07/2026</t>
  </si>
  <si>
    <t>*MAV270700762</t>
  </si>
  <si>
    <t>29/07/2026</t>
  </si>
  <si>
    <t>*MAV140701264</t>
  </si>
  <si>
    <t>09/03/2026</t>
  </si>
  <si>
    <t>*MAV150701468</t>
  </si>
  <si>
    <t>*MAV160700955</t>
  </si>
  <si>
    <t>*MAV170701009</t>
  </si>
  <si>
    <t>*MAV230700923</t>
  </si>
  <si>
    <t>27/07/2026</t>
  </si>
  <si>
    <t>*MAV290701056</t>
  </si>
  <si>
    <t>*MAV200700914</t>
  </si>
  <si>
    <t>22/07/2026</t>
  </si>
  <si>
    <t>*MAV240701043</t>
  </si>
  <si>
    <t>28/07/2026</t>
  </si>
  <si>
    <t>*MAV270700763</t>
  </si>
  <si>
    <t>*MAV310701236</t>
  </si>
  <si>
    <t>17/03/2026</t>
  </si>
  <si>
    <t>*MAV170701013</t>
  </si>
  <si>
    <t>18/03/2026</t>
  </si>
  <si>
    <t>*MAV150701477</t>
  </si>
  <si>
    <t>*MAV140801110</t>
  </si>
  <si>
    <t>*MAV160700961</t>
  </si>
  <si>
    <t>19/03/2026</t>
  </si>
  <si>
    <t>*MAV170701024</t>
  </si>
  <si>
    <t>26/03/2026</t>
  </si>
  <si>
    <t>*MAV100701281</t>
  </si>
  <si>
    <t>*MAV140701282</t>
  </si>
  <si>
    <t>*MAV240701056</t>
  </si>
  <si>
    <t>*MAV150701506</t>
  </si>
  <si>
    <t>*MAV300801312</t>
  </si>
  <si>
    <t>02/09/2026</t>
  </si>
  <si>
    <t>30/03/2026</t>
  </si>
  <si>
    <t>*AAR020700017</t>
  </si>
  <si>
    <t>31/03/2026</t>
  </si>
  <si>
    <t>*AAR030700014</t>
  </si>
  <si>
    <t>07/07/2026</t>
  </si>
  <si>
    <t>*AAR080700032</t>
  </si>
  <si>
    <t>14/07/2026</t>
  </si>
  <si>
    <t>*AAR100700021</t>
  </si>
  <si>
    <t>*AAR150700042</t>
  </si>
  <si>
    <t>*AAR170700014</t>
  </si>
  <si>
    <t>*AAR220700016</t>
  </si>
  <si>
    <t>*AAR240700018</t>
  </si>
  <si>
    <t>*AAR280700029</t>
  </si>
  <si>
    <t>*MAV070800967</t>
  </si>
  <si>
    <t>11/08/2026</t>
  </si>
  <si>
    <t>*MAV140801114</t>
  </si>
  <si>
    <t>*MAV170701219</t>
  </si>
  <si>
    <t>*MAV210801063</t>
  </si>
  <si>
    <t>25/08/2026</t>
  </si>
  <si>
    <t>*MAV240701063</t>
  </si>
  <si>
    <t>*MAV310701252</t>
  </si>
  <si>
    <t>*MAV050801095</t>
  </si>
  <si>
    <t>*MAV060700702</t>
  </si>
  <si>
    <t>08/07/2026</t>
  </si>
  <si>
    <t>*MIL220700034</t>
  </si>
  <si>
    <t>01/04/2026</t>
  </si>
  <si>
    <t>*MIL250700032</t>
  </si>
  <si>
    <t>*MIL310700029</t>
  </si>
  <si>
    <t>*MAV300701114</t>
  </si>
  <si>
    <t>06/04/2026</t>
  </si>
  <si>
    <t>*MIL100700041</t>
  </si>
  <si>
    <t>*MAV280800998</t>
  </si>
  <si>
    <t>*MAV310701258</t>
  </si>
  <si>
    <t>*AFB310700008</t>
  </si>
  <si>
    <t>07/04/2026</t>
  </si>
  <si>
    <t>*MIL060700029</t>
  </si>
  <si>
    <t>08/04/2026</t>
  </si>
  <si>
    <t>*MAV140701323</t>
  </si>
  <si>
    <t>*MAV280801000</t>
  </si>
  <si>
    <t>*MAV130800927</t>
  </si>
  <si>
    <t>*MAV290701080</t>
  </si>
  <si>
    <t>*MAV090800974</t>
  </si>
  <si>
    <t>12/08/2026</t>
  </si>
  <si>
    <t>10/04/2026</t>
  </si>
  <si>
    <t>*MAV200700987</t>
  </si>
  <si>
    <t>*MAV060700762</t>
  </si>
  <si>
    <t>13/04/2026</t>
  </si>
  <si>
    <t>*MAV130700961</t>
  </si>
  <si>
    <t>*MAV050801102</t>
  </si>
  <si>
    <t>*MAV130700971</t>
  </si>
  <si>
    <t>*MAV120801432</t>
  </si>
  <si>
    <t>14/04/2026</t>
  </si>
  <si>
    <t>*MIL100700042</t>
  </si>
  <si>
    <t>*MIL100700043</t>
  </si>
  <si>
    <t>*MIL100700044</t>
  </si>
  <si>
    <t>*MIL100700045</t>
  </si>
  <si>
    <t>*MIL100700046</t>
  </si>
  <si>
    <t>*MIL100700047</t>
  </si>
  <si>
    <t>*MIL200700043</t>
  </si>
  <si>
    <t>*MIL270700024</t>
  </si>
  <si>
    <t>*MIL220700035</t>
  </si>
  <si>
    <t>*MIL220700036</t>
  </si>
  <si>
    <t>*MIL290700024</t>
  </si>
  <si>
    <t>*MIL290700025</t>
  </si>
  <si>
    <t>*MAV130700974</t>
  </si>
  <si>
    <t>*MAV020901140</t>
  </si>
  <si>
    <t>04/09/2026</t>
  </si>
  <si>
    <t>*MAV050801106</t>
  </si>
  <si>
    <t>*MAV190801107</t>
  </si>
  <si>
    <t>21/08/2026</t>
  </si>
  <si>
    <t>*MAV260801138</t>
  </si>
  <si>
    <t>*MAV220701228</t>
  </si>
  <si>
    <t>*MAV290701088</t>
  </si>
  <si>
    <t>*MAV120801434</t>
  </si>
  <si>
    <t>*MAV060700774</t>
  </si>
  <si>
    <t>*MAV080701187</t>
  </si>
  <si>
    <t>*MAV130901052</t>
  </si>
  <si>
    <t>16/09/2026</t>
  </si>
  <si>
    <t>16/04/2026</t>
  </si>
  <si>
    <t>*MAV010901130</t>
  </si>
  <si>
    <t>03/09/2026</t>
  </si>
  <si>
    <t>*MAV150901457</t>
  </si>
  <si>
    <t>17/09/2026</t>
  </si>
  <si>
    <t>*MAV110900971</t>
  </si>
  <si>
    <t>15/09/2026</t>
  </si>
  <si>
    <t>*MAV120901447</t>
  </si>
  <si>
    <t>*MAV310801101</t>
  </si>
  <si>
    <t>*MAV300801317</t>
  </si>
  <si>
    <t>*MAV290801169</t>
  </si>
  <si>
    <t>*MAV280801005</t>
  </si>
  <si>
    <t>*MAV140900802</t>
  </si>
  <si>
    <t>*MAV160801087</t>
  </si>
  <si>
    <t>20/08/2026</t>
  </si>
  <si>
    <t>*MAV130800932</t>
  </si>
  <si>
    <t>*MAV140801128</t>
  </si>
  <si>
    <t>*MAV200801170</t>
  </si>
  <si>
    <t>24/08/2026</t>
  </si>
  <si>
    <t>*MAV200801171</t>
  </si>
  <si>
    <t>*MAV130800931</t>
  </si>
  <si>
    <t>*MAV140801129</t>
  </si>
  <si>
    <t>*MAV160801088</t>
  </si>
  <si>
    <t>*AFB140800011</t>
  </si>
  <si>
    <t>17/04/2026</t>
  </si>
  <si>
    <t>*AFB150900012</t>
  </si>
  <si>
    <t>*MOV100700068</t>
  </si>
  <si>
    <t>*MOV140800051</t>
  </si>
  <si>
    <t>*MOV280800055</t>
  </si>
  <si>
    <t>*MOV300700055</t>
  </si>
  <si>
    <t>*CVA280800007</t>
  </si>
  <si>
    <t>*CVA040900007</t>
  </si>
  <si>
    <t>08/09/2026</t>
  </si>
  <si>
    <t>*CVA310800024</t>
  </si>
  <si>
    <t>*MOV100700072</t>
  </si>
  <si>
    <t>*FID140700021</t>
  </si>
  <si>
    <t>*FID140700020</t>
  </si>
  <si>
    <t>*NEU130800014</t>
  </si>
  <si>
    <t>*NEU160700021</t>
  </si>
  <si>
    <t>*NEU300700019</t>
  </si>
  <si>
    <t>*NEU290800019</t>
  </si>
  <si>
    <t>*NEU280700020</t>
  </si>
  <si>
    <t>*NEU260800027</t>
  </si>
  <si>
    <t>*NEU230700018</t>
  </si>
  <si>
    <t>*NEU220800025</t>
  </si>
  <si>
    <t>26/08/2026</t>
  </si>
  <si>
    <t>*MAV210701197</t>
  </si>
  <si>
    <t>23/07/2026</t>
  </si>
  <si>
    <t>*MAV300701130</t>
  </si>
  <si>
    <t>*MAV250701294</t>
  </si>
  <si>
    <t>*MAV200701011</t>
  </si>
  <si>
    <t>*MAV030800729</t>
  </si>
  <si>
    <t>05/08/2026</t>
  </si>
  <si>
    <t>*MAV170901008</t>
  </si>
  <si>
    <t>21/09/2026</t>
  </si>
  <si>
    <t>*FED030800023</t>
  </si>
  <si>
    <t>*FED030800024</t>
  </si>
  <si>
    <t>*FED040800020</t>
  </si>
  <si>
    <t>06/08/2026</t>
  </si>
  <si>
    <t>*FED040800021</t>
  </si>
  <si>
    <t>*FED050800034</t>
  </si>
  <si>
    <t>*FED100700045</t>
  </si>
  <si>
    <t>*MAV300701132</t>
  </si>
  <si>
    <t>*MAV300801320</t>
  </si>
  <si>
    <t>*MAV090700468</t>
  </si>
  <si>
    <t>*MAV090800977</t>
  </si>
  <si>
    <t>*MAV130800934</t>
  </si>
  <si>
    <t>*MAV270800957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</si>
  <si>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</si>
  <si>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</si>
  <si>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</si>
  <si>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</si>
  <si>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</si>
  <si>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</si>
  <si>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</si>
  <si>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</si>
  <si>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*INP030700051</t>
  </si>
  <si>
    <t>20/04/2026</t>
  </si>
  <si>
    <t>*INP170700067</t>
  </si>
  <si>
    <t>*INP130700050</t>
  </si>
  <si>
    <t>*INP200700070</t>
  </si>
  <si>
    <t>*INP230700044</t>
  </si>
  <si>
    <t>*INP240700062</t>
  </si>
  <si>
    <t>*INP270700048</t>
  </si>
  <si>
    <t>*INP280700068</t>
  </si>
  <si>
    <t>*INP290700068</t>
  </si>
  <si>
    <t>*INP300700064</t>
  </si>
  <si>
    <t>*INP310700079</t>
  </si>
  <si>
    <t>*ACI110900205</t>
  </si>
  <si>
    <t>*ACI120800233</t>
  </si>
  <si>
    <t>*FED090800026</t>
  </si>
  <si>
    <t>*FED150700056</t>
  </si>
  <si>
    <t>*FED300700061</t>
  </si>
  <si>
    <t>*NEU310800017</t>
  </si>
  <si>
    <t>*NEU210900016</t>
  </si>
  <si>
    <t>23/09/2026</t>
  </si>
  <si>
    <t>*NEU280800014</t>
  </si>
  <si>
    <t>*NEU280800013</t>
  </si>
  <si>
    <t>*NEU300900058</t>
  </si>
  <si>
    <t>02/10/2026</t>
  </si>
  <si>
    <t>*NEU300700021</t>
  </si>
  <si>
    <t>*NEU300700020</t>
  </si>
  <si>
    <t>*MAV100701382</t>
  </si>
  <si>
    <t>*MAV030700970</t>
  </si>
  <si>
    <t>*FED130700032</t>
  </si>
  <si>
    <t>*MAV100701387</t>
  </si>
  <si>
    <t>*MAV170701366</t>
  </si>
  <si>
    <t>*MAV030700971</t>
  </si>
  <si>
    <t>*MAV210701206</t>
  </si>
  <si>
    <t>*MAV260701074</t>
  </si>
  <si>
    <t>*MAV080901113</t>
  </si>
  <si>
    <t>10/09/2026</t>
  </si>
  <si>
    <t>*MAV230700964</t>
  </si>
  <si>
    <t>*MAV280701169</t>
  </si>
  <si>
    <t>*MAV310801103</t>
  </si>
  <si>
    <t>*MAV040801017</t>
  </si>
  <si>
    <t>*MAV110801261</t>
  </si>
  <si>
    <t>13/08/2026</t>
  </si>
  <si>
    <t>*MAV180801225</t>
  </si>
  <si>
    <t>*MAV280701170</t>
  </si>
  <si>
    <t>*MOV240700053</t>
  </si>
  <si>
    <t>21/04/2026</t>
  </si>
  <si>
    <t>*MOV270700045</t>
  </si>
  <si>
    <t>*MOV280700075</t>
  </si>
  <si>
    <t>*MOV290700053</t>
  </si>
  <si>
    <t>*MOV300700056</t>
  </si>
  <si>
    <t>*MOV310700075</t>
  </si>
  <si>
    <t>*MOV021000043</t>
  </si>
  <si>
    <t>06/10/2026</t>
  </si>
  <si>
    <t>*MOV040900048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</si>
  <si>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</si>
  <si>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</si>
  <si>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</si>
  <si>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</si>
  <si>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</si>
  <si>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</si>
  <si>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</si>
  <si>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</si>
  <si>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</si>
  <si>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</si>
  <si>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</si>
  <si>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</si>
  <si>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</si>
  <si>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*MOV210800042</t>
  </si>
  <si>
    <t>*MOV210900051</t>
  </si>
  <si>
    <t>*MOV230800052</t>
  </si>
  <si>
    <t>*MOV250900071</t>
  </si>
  <si>
    <t>29/09/2026</t>
  </si>
  <si>
    <t>*MOV260800071</t>
  </si>
  <si>
    <t>*MOV300900114</t>
  </si>
  <si>
    <t>*MOV310800090</t>
  </si>
  <si>
    <t>*MOV280800056</t>
  </si>
  <si>
    <t>*FID200700022</t>
  </si>
  <si>
    <t>*CMP020700021</t>
  </si>
  <si>
    <t>*CMP030700027</t>
  </si>
  <si>
    <t>*PRO150700020</t>
  </si>
  <si>
    <t>*PRO220700012</t>
  </si>
  <si>
    <t>*PRO290700011</t>
  </si>
  <si>
    <t>*PRO080700009</t>
  </si>
  <si>
    <t>*MIL230700028</t>
  </si>
  <si>
    <t>*MIL240700031</t>
  </si>
  <si>
    <t>*AAR101100035</t>
  </si>
  <si>
    <t>12/11/2026</t>
  </si>
  <si>
    <t>22/04/2026</t>
  </si>
  <si>
    <t>*AAR131100017</t>
  </si>
  <si>
    <t>17/11/2026</t>
  </si>
  <si>
    <t>*AAR161100027</t>
  </si>
  <si>
    <t>18/11/2026</t>
  </si>
  <si>
    <t>*AAR201100017</t>
  </si>
  <si>
    <t>25/11/2026</t>
  </si>
  <si>
    <t>*AAR091100027</t>
  </si>
  <si>
    <t>11/11/2026</t>
  </si>
  <si>
    <t>*INP170800028</t>
  </si>
  <si>
    <t>*INP180800042</t>
  </si>
  <si>
    <t>*INP130700051</t>
  </si>
  <si>
    <t>*INP240700064</t>
  </si>
  <si>
    <t>*INP110800047</t>
  </si>
  <si>
    <t>*INP140800093</t>
  </si>
  <si>
    <t>*AFB280900003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</si>
  <si>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</si>
  <si>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</si>
  <si>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</si>
  <si>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</si>
  <si>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</si>
  <si>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</si>
  <si>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</si>
  <si>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</si>
  <si>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</si>
  <si>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</si>
  <si>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</si>
  <si>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</si>
  <si>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</si>
  <si>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</si>
  <si>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</si>
  <si>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</si>
  <si>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</si>
  <si>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</si>
  <si>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</si>
  <si>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</si>
  <si>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</si>
  <si>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</si>
  <si>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</si>
  <si>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*INP240700065</t>
  </si>
  <si>
    <t>*INP270700049</t>
  </si>
  <si>
    <t>*INP290700069</t>
  </si>
  <si>
    <t>*INP300700065</t>
  </si>
  <si>
    <t>*INP150700098</t>
  </si>
  <si>
    <t>*INP070700054</t>
  </si>
  <si>
    <t>13/07/2026</t>
  </si>
  <si>
    <t>*INP230900060</t>
  </si>
  <si>
    <t>25/09/2026</t>
  </si>
  <si>
    <t>*INP160900050</t>
  </si>
  <si>
    <t>*INP210900041</t>
  </si>
  <si>
    <t>*INP160700041</t>
  </si>
  <si>
    <t>*FED280700037</t>
  </si>
  <si>
    <t>*FED120800028</t>
  </si>
  <si>
    <t>*FID180900021</t>
  </si>
  <si>
    <t>22/09/2026</t>
  </si>
  <si>
    <t>*TRD210700023</t>
  </si>
  <si>
    <t>*TRD040800019</t>
  </si>
  <si>
    <t>*MIL200800030</t>
  </si>
  <si>
    <t>*MIL240800016</t>
  </si>
  <si>
    <t>*MIL250800026</t>
  </si>
  <si>
    <t>27/08/2026</t>
  </si>
  <si>
    <t>*MIL260800029</t>
  </si>
  <si>
    <t>*MIL270800027</t>
  </si>
  <si>
    <t>*MIL280800029</t>
  </si>
  <si>
    <t>*MIL210800020</t>
  </si>
  <si>
    <t>*MAV250701301</t>
  </si>
  <si>
    <t>*MAV280801009</t>
  </si>
  <si>
    <t>*MAV300701144</t>
  </si>
  <si>
    <t>*MAV030800733</t>
  </si>
  <si>
    <t>*MAV100701396</t>
  </si>
  <si>
    <t>*MAV170901010</t>
  </si>
  <si>
    <t>*MAV230801002</t>
  </si>
  <si>
    <t>*MAV030700983</t>
  </si>
  <si>
    <t>*MAV040900869</t>
  </si>
  <si>
    <t>*MAV161001047</t>
  </si>
  <si>
    <t>*MAV250901124</t>
  </si>
  <si>
    <t>*MAV050901228</t>
  </si>
  <si>
    <t>09/09/2026</t>
  </si>
  <si>
    <t>*MAV171001314</t>
  </si>
  <si>
    <t>*MAV260901222</t>
  </si>
  <si>
    <t>*MAV200801174</t>
  </si>
  <si>
    <t>*MIL150700044</t>
  </si>
  <si>
    <t>*MIL200700045</t>
  </si>
  <si>
    <t>*MIL250700033</t>
  </si>
  <si>
    <t>*MIL300700030</t>
  </si>
  <si>
    <t>*INP310700080</t>
  </si>
  <si>
    <t>23/04/2026</t>
  </si>
  <si>
    <t>*MAV150701604</t>
  </si>
  <si>
    <t>*MAV150801344</t>
  </si>
  <si>
    <t>*MAV151001338</t>
  </si>
  <si>
    <t>*MAV151101538</t>
  </si>
  <si>
    <t>*MAV150901465</t>
  </si>
  <si>
    <t>*MAV200701047</t>
  </si>
  <si>
    <t>*INP250700071</t>
  </si>
  <si>
    <t>*MAV310801104</t>
  </si>
  <si>
    <t>*MAV210801077</t>
  </si>
  <si>
    <t>*MAV060700792</t>
  </si>
  <si>
    <t>24/04/2026</t>
  </si>
  <si>
    <t>*MIL010800019</t>
  </si>
  <si>
    <t>*MIL110700039</t>
  </si>
  <si>
    <t>*MIL210800021</t>
  </si>
  <si>
    <t>*MIL220700038</t>
  </si>
  <si>
    <t>*MAV060800856</t>
  </si>
  <si>
    <t>10/08/2026</t>
  </si>
  <si>
    <t>*MAV270800960</t>
  </si>
  <si>
    <t>*MAV090700481</t>
  </si>
  <si>
    <t>*MAV130800942</t>
  </si>
  <si>
    <t>*MAV200801181</t>
  </si>
  <si>
    <t>*MAV011001000</t>
  </si>
  <si>
    <t>*MAV070800991</t>
  </si>
  <si>
    <t>*MAV240800762</t>
  </si>
  <si>
    <t>*MAV030800739</t>
  </si>
  <si>
    <t>*MAV261000813</t>
  </si>
  <si>
    <t>*MAV030900796</t>
  </si>
  <si>
    <t>07/09/2026</t>
  </si>
  <si>
    <t>*MAV090800979</t>
  </si>
  <si>
    <t>*MAV090901126</t>
  </si>
  <si>
    <t>11/09/2026</t>
  </si>
  <si>
    <t>*MAV120801457</t>
  </si>
  <si>
    <t>*MAV090901127</t>
  </si>
  <si>
    <t>*MAV160901235</t>
  </si>
  <si>
    <t>*MAV160901236</t>
  </si>
  <si>
    <t>*MAV160901237</t>
  </si>
  <si>
    <t>*MAV160901238</t>
  </si>
  <si>
    <t>*MAV180801234</t>
  </si>
  <si>
    <t>*MAV180801235</t>
  </si>
  <si>
    <t>*MAV180801236</t>
  </si>
  <si>
    <t>*MAV180801237</t>
  </si>
  <si>
    <t>*MAV160901239</t>
  </si>
  <si>
    <t>*MAV160901240</t>
  </si>
  <si>
    <t>*MAV160901241</t>
  </si>
  <si>
    <t>*MAV160901242</t>
  </si>
  <si>
    <t>*MAV180801238</t>
  </si>
  <si>
    <t>*MAV180801239</t>
  </si>
  <si>
    <t>*MAV180801240</t>
  </si>
  <si>
    <t>*MAV180801241</t>
  </si>
  <si>
    <t>*MAV180801242</t>
  </si>
  <si>
    <t>*MAV180801243</t>
  </si>
  <si>
    <t>*MAV180801244</t>
  </si>
  <si>
    <t>*MAV160901244</t>
  </si>
  <si>
    <t>*MAV160901245</t>
  </si>
  <si>
    <t>*MAV160901243</t>
  </si>
  <si>
    <t>*MAV160901246</t>
  </si>
  <si>
    <t>*MAV160901247</t>
  </si>
  <si>
    <t>*MAV150901468</t>
  </si>
  <si>
    <t>27/04/2026</t>
  </si>
  <si>
    <t>*MAV300901858</t>
  </si>
  <si>
    <t>*MAV151001343</t>
  </si>
  <si>
    <t>*MIL190800025</t>
  </si>
  <si>
    <t>*MIL170800018</t>
  </si>
  <si>
    <t>*MIL280800030</t>
  </si>
  <si>
    <t>*MIL270800028</t>
  </si>
  <si>
    <t>*MIL210800022</t>
  </si>
  <si>
    <t>*MIL250800027</t>
  </si>
  <si>
    <t>*MIL200800031</t>
  </si>
  <si>
    <t>*MIL240800017</t>
  </si>
  <si>
    <t>*MIL260800030</t>
  </si>
  <si>
    <t>*MIL180800036</t>
  </si>
  <si>
    <t>*MIL070700029</t>
  </si>
  <si>
    <t>*MIL030700016</t>
  </si>
  <si>
    <t>*MAV130701035</t>
  </si>
  <si>
    <t>*MIL080900027</t>
  </si>
  <si>
    <t>28/04/2026</t>
  </si>
  <si>
    <t>*MIL140800022</t>
  </si>
  <si>
    <t>*MIL210800023</t>
  </si>
  <si>
    <t>*MIL200700046</t>
  </si>
  <si>
    <t>*MIL220700040</t>
  </si>
  <si>
    <t>*MIL240700033</t>
  </si>
  <si>
    <t>*MIL140700053</t>
  </si>
  <si>
    <t>*MIL040700024</t>
  </si>
  <si>
    <t>*MIL250700034</t>
  </si>
  <si>
    <t>*MIL060700031</t>
  </si>
  <si>
    <t>*MIL130700044</t>
  </si>
  <si>
    <t>*MIL200700047</t>
  </si>
  <si>
    <t>*MIL270700025</t>
  </si>
  <si>
    <t>*MAV280701203</t>
  </si>
  <si>
    <t>*MAV240701132</t>
  </si>
  <si>
    <t>*MAV140701399</t>
  </si>
  <si>
    <t>29/04/2026</t>
  </si>
  <si>
    <t>*MAV290701134</t>
  </si>
  <si>
    <t>*MAV030800746</t>
  </si>
  <si>
    <t>*NEU101100035</t>
  </si>
  <si>
    <t>30/04/2026</t>
  </si>
  <si>
    <t>*INP120800052</t>
  </si>
  <si>
    <t>*INP220800066</t>
  </si>
  <si>
    <t>*INP180800044</t>
  </si>
  <si>
    <t>*INP270700051</t>
  </si>
  <si>
    <t>*INP220700080</t>
  </si>
  <si>
    <t>*INP060800056</t>
  </si>
  <si>
    <t>*INP240700067</t>
  </si>
  <si>
    <t>*INP290700073</t>
  </si>
  <si>
    <t>*INP150800068</t>
  </si>
  <si>
    <t>*INP290700072</t>
  </si>
  <si>
    <t>*INP280700072</t>
  </si>
  <si>
    <t>*INP270700050</t>
  </si>
  <si>
    <t>*INP220700079</t>
  </si>
  <si>
    <t>*INP210700080</t>
  </si>
  <si>
    <t>*INP160700044</t>
  </si>
  <si>
    <t>*INP100700075</t>
  </si>
  <si>
    <t>*INP060700044</t>
  </si>
  <si>
    <t>*INP030700057</t>
  </si>
  <si>
    <t>*INP020900036</t>
  </si>
  <si>
    <t>*INP260800068</t>
  </si>
  <si>
    <t>*INP250800064</t>
  </si>
  <si>
    <t>*NEU200800029</t>
  </si>
  <si>
    <t>*NEU040900012</t>
  </si>
  <si>
    <t>*INP210800035</t>
  </si>
  <si>
    <t>*MAV220701306</t>
  </si>
  <si>
    <t>*MAV220701307</t>
  </si>
  <si>
    <t>*MAV220701308</t>
  </si>
  <si>
    <t>*FID270800026</t>
  </si>
  <si>
    <t>*FID260900031</t>
  </si>
  <si>
    <t>*FID261000025</t>
  </si>
  <si>
    <t>*MIL060700032</t>
  </si>
  <si>
    <t>*MIL100700050</t>
  </si>
  <si>
    <t>*MIL210700043</t>
  </si>
  <si>
    <t>*MIL070700030</t>
  </si>
  <si>
    <t>*MIL080700030</t>
  </si>
  <si>
    <t>*MIL020800023</t>
  </si>
  <si>
    <t>*MIL200700049</t>
  </si>
  <si>
    <t>*MIL200700050</t>
  </si>
  <si>
    <t>*MIL210700044</t>
  </si>
  <si>
    <t>*MIL020900026</t>
  </si>
  <si>
    <t>*MIL040900019</t>
  </si>
  <si>
    <t>*MIL070900021</t>
  </si>
  <si>
    <t>*MIL070700031</t>
  </si>
  <si>
    <t>*MAV110801282</t>
  </si>
  <si>
    <t>*MAV270800969</t>
  </si>
  <si>
    <t>*MAV200701092</t>
  </si>
  <si>
    <t>*AAR241000023</t>
  </si>
  <si>
    <t>04/05/2026</t>
  </si>
  <si>
    <t>*CUY040800025</t>
  </si>
  <si>
    <t>*CUY060700025</t>
  </si>
  <si>
    <t>*CUY070700022</t>
  </si>
  <si>
    <t>*CUY100800020</t>
  </si>
  <si>
    <t>*CUY110800024</t>
  </si>
  <si>
    <t>*CUY130700038</t>
  </si>
  <si>
    <t>*CUY140700024</t>
  </si>
  <si>
    <t>*CUY170800021</t>
  </si>
  <si>
    <t>*CUY030800022</t>
  </si>
  <si>
    <t>*CUY200700030</t>
  </si>
  <si>
    <t>*CUY210700026</t>
  </si>
  <si>
    <t>*CUY240800027</t>
  </si>
  <si>
    <t>*CUY250800056</t>
  </si>
  <si>
    <t>*CUY270700036</t>
  </si>
  <si>
    <t>*CUY280700024</t>
  </si>
  <si>
    <t>*CUY180800042</t>
  </si>
  <si>
    <t>*INP050800057</t>
  </si>
  <si>
    <t>*INP030700058</t>
  </si>
  <si>
    <t>*PRO140700017</t>
  </si>
  <si>
    <t>%INC010800022</t>
  </si>
  <si>
    <t>*MAV100800966</t>
  </si>
  <si>
    <t>*MAV100701434</t>
  </si>
  <si>
    <t>*MAV170701431</t>
  </si>
  <si>
    <t>*MAV140701413</t>
  </si>
  <si>
    <t>*MAV310801112</t>
  </si>
  <si>
    <t>*MAV310801113</t>
  </si>
  <si>
    <t>*INP060800057</t>
  </si>
  <si>
    <t>05/05/2026</t>
  </si>
  <si>
    <t>*NEU120900015</t>
  </si>
  <si>
    <t>*NEU190900025</t>
  </si>
  <si>
    <t>*NEU260900020</t>
  </si>
  <si>
    <t>*NEU300900061</t>
  </si>
  <si>
    <t>*MAV170701437</t>
  </si>
  <si>
    <t>*MAV130701116</t>
  </si>
  <si>
    <t>*MAV150701651</t>
  </si>
  <si>
    <t>*INP030800027</t>
  </si>
  <si>
    <t>#MAV030760052</t>
  </si>
  <si>
    <t>*MIL040900020</t>
  </si>
  <si>
    <t>*MIL100700051</t>
  </si>
  <si>
    <t>*MIL140800023</t>
  </si>
  <si>
    <t>*MIL050800016</t>
  </si>
  <si>
    <t>*BIF210700008</t>
  </si>
  <si>
    <t>*BIF310700007</t>
  </si>
  <si>
    <t>*MAV060800872</t>
  </si>
  <si>
    <t>*MAV030701051</t>
  </si>
  <si>
    <t>*MAV070701178</t>
  </si>
  <si>
    <t>*MAV150801357</t>
  </si>
  <si>
    <t>06/05/2026</t>
  </si>
  <si>
    <t>*PRO030800006</t>
  </si>
  <si>
    <t>#MAV080760029</t>
  </si>
  <si>
    <t>07/05/2026</t>
  </si>
  <si>
    <t>*MAV060700866</t>
  </si>
  <si>
    <t>*MAV070701195</t>
  </si>
  <si>
    <t>*MAV080701273</t>
  </si>
  <si>
    <t>*MAV180801262</t>
  </si>
  <si>
    <t>*MAV050901234</t>
  </si>
  <si>
    <t>08/05/2026</t>
  </si>
  <si>
    <t>*MAV020700893</t>
  </si>
  <si>
    <t>*MAV030701081</t>
  </si>
  <si>
    <t>*MAV070701218</t>
  </si>
  <si>
    <t>*NEU031100019</t>
  </si>
  <si>
    <t>05/11/2026</t>
  </si>
  <si>
    <t>11/05/2026</t>
  </si>
  <si>
    <t>*NEU191000011</t>
  </si>
  <si>
    <t>*NEU080800033</t>
  </si>
  <si>
    <t>*NEU080900027</t>
  </si>
  <si>
    <t>#MAV080760032</t>
  </si>
  <si>
    <t>#MAV130760053</t>
  </si>
  <si>
    <t>*MAV080701292</t>
  </si>
  <si>
    <t>*MAV160701096</t>
  </si>
  <si>
    <t>*MAV110900982</t>
  </si>
  <si>
    <t>12/05/2026</t>
  </si>
  <si>
    <t>*MAV110701223</t>
  </si>
  <si>
    <t>*MAV110801321</t>
  </si>
  <si>
    <t>*MAV040900876</t>
  </si>
  <si>
    <t>*MAV070900746</t>
  </si>
  <si>
    <t>*MAV010901143</t>
  </si>
  <si>
    <t>*MAV020901153</t>
  </si>
  <si>
    <t>*MAV090700498</t>
  </si>
  <si>
    <t>*MAV220801198</t>
  </si>
  <si>
    <t>*MAV230701030</t>
  </si>
  <si>
    <t>*MAV150801364</t>
  </si>
  <si>
    <t>*BIF220700005</t>
  </si>
  <si>
    <t>*MAV070801075</t>
  </si>
  <si>
    <t>*MAV110801326</t>
  </si>
  <si>
    <t>*MAV030701106</t>
  </si>
  <si>
    <t>*MAV050701033</t>
  </si>
  <si>
    <t>*MAV310701416</t>
  </si>
  <si>
    <t>13/05/2026</t>
  </si>
  <si>
    <t>*MAV310801141</t>
  </si>
  <si>
    <t>*MAV061001207</t>
  </si>
  <si>
    <t>*MAV081001027</t>
  </si>
  <si>
    <t>13/10/2026</t>
  </si>
  <si>
    <t>*MAV141001310</t>
  </si>
  <si>
    <t>16/10/2026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</si>
  <si>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</si>
  <si>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</si>
  <si>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</si>
  <si>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</si>
  <si>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</si>
  <si>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</si>
  <si>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</si>
  <si>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</si>
  <si>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</si>
  <si>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</si>
  <si>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</si>
  <si>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</si>
  <si>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</si>
  <si>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*MAV270700938</t>
  </si>
  <si>
    <t>*MAV030800838</t>
  </si>
  <si>
    <t>*MAV130701169</t>
  </si>
  <si>
    <t>*MAV200701140</t>
  </si>
  <si>
    <t>*MAV170701525</t>
  </si>
  <si>
    <t>*MAV200701147</t>
  </si>
  <si>
    <t>*MAV060700916</t>
  </si>
  <si>
    <t>*MAV120701200</t>
  </si>
  <si>
    <t>*MAV030701116</t>
  </si>
  <si>
    <t>*MAV130701175</t>
  </si>
  <si>
    <t>*MAV040701074</t>
  </si>
  <si>
    <t>*MAV310701425</t>
  </si>
  <si>
    <t>*MAV090901138</t>
  </si>
  <si>
    <t>14/05/2026</t>
  </si>
  <si>
    <t>*MAV150801372</t>
  </si>
  <si>
    <t>*MAV290801184</t>
  </si>
  <si>
    <t>*MAV080801225</t>
  </si>
  <si>
    <t>*MAV220801199</t>
  </si>
  <si>
    <t>*MAV290701192</t>
  </si>
  <si>
    <t>*MAV080901141</t>
  </si>
  <si>
    <t>*MAV150901500</t>
  </si>
  <si>
    <t>*MAV130901057</t>
  </si>
  <si>
    <t>15/05/2026</t>
  </si>
  <si>
    <t>*MAV150901501</t>
  </si>
  <si>
    <t>*MAV230801012</t>
  </si>
  <si>
    <t>*MAV150901502</t>
  </si>
  <si>
    <t>*MAV150701756</t>
  </si>
  <si>
    <t>*MAV210701311</t>
  </si>
  <si>
    <t>*MAV230701047</t>
  </si>
  <si>
    <t>*MAV090700511</t>
  </si>
  <si>
    <t>18/05/2026</t>
  </si>
  <si>
    <t>*MAV100701523</t>
  </si>
  <si>
    <t>*MAV110701243</t>
  </si>
  <si>
    <t>*MAV150901503</t>
  </si>
  <si>
    <t>*MAV120801558</t>
  </si>
  <si>
    <t>*MAV120901457</t>
  </si>
  <si>
    <t>*MAV190901194</t>
  </si>
  <si>
    <t>*MAV200801228</t>
  </si>
  <si>
    <t>*MAV260901228</t>
  </si>
  <si>
    <t>*MAV270800997</t>
  </si>
  <si>
    <t>*MAV110801360</t>
  </si>
  <si>
    <t>*MAV130701284</t>
  </si>
  <si>
    <t>19/05/2026</t>
  </si>
  <si>
    <t>*MAV290701214</t>
  </si>
  <si>
    <t>*MAV300701240</t>
  </si>
  <si>
    <t>*MAV310701462</t>
  </si>
  <si>
    <t>*MAV310701461</t>
  </si>
  <si>
    <t>*MAV310701460</t>
  </si>
  <si>
    <t>*MAV140801231</t>
  </si>
  <si>
    <t>*MAV100701537</t>
  </si>
  <si>
    <t>*MAV070801108</t>
  </si>
  <si>
    <t>*MAV170701563</t>
  </si>
  <si>
    <t>*MAV240701233</t>
  </si>
  <si>
    <t>*MAV310701459</t>
  </si>
  <si>
    <t>*MAV030701138</t>
  </si>
  <si>
    <t>*MAV150701779</t>
  </si>
  <si>
    <t>*MAV200701183</t>
  </si>
  <si>
    <t>*MAV160901253</t>
  </si>
  <si>
    <t>*MAV200801233</t>
  </si>
  <si>
    <t>*MAV210900773</t>
  </si>
  <si>
    <t>*MAV240800820</t>
  </si>
  <si>
    <t>*MAV280900819</t>
  </si>
  <si>
    <t>*MAV310801175</t>
  </si>
  <si>
    <t>*MAV160701166</t>
  </si>
  <si>
    <t>20/05/2026</t>
  </si>
  <si>
    <t>*MAV220701394</t>
  </si>
  <si>
    <t>*MAV270700973</t>
  </si>
  <si>
    <t>*MAV110701258</t>
  </si>
  <si>
    <t>*MAV160701168</t>
  </si>
  <si>
    <t>*MAV170701635</t>
  </si>
  <si>
    <t>*MAV200701203</t>
  </si>
  <si>
    <t>*MAV230701065</t>
  </si>
  <si>
    <t>*MAV240701245</t>
  </si>
  <si>
    <t>*MAV140701525</t>
  </si>
  <si>
    <t>*MAV120901461</t>
  </si>
  <si>
    <t>*MAV090800990</t>
  </si>
  <si>
    <t>*MAV200801245</t>
  </si>
  <si>
    <t>*MAV010901169</t>
  </si>
  <si>
    <t>21/05/2026</t>
  </si>
  <si>
    <t>*MAV080901145</t>
  </si>
  <si>
    <t>*MAV150901509</t>
  </si>
  <si>
    <t>*MAV250801412</t>
  </si>
  <si>
    <t>*MAV021000917</t>
  </si>
  <si>
    <t>*MAV091001085</t>
  </si>
  <si>
    <t>*MAV180901014</t>
  </si>
  <si>
    <t>*MAV250901137</t>
  </si>
  <si>
    <t>*MAV060800923</t>
  </si>
  <si>
    <t>*MAV070801124</t>
  </si>
  <si>
    <t>*MAV190701002</t>
  </si>
  <si>
    <t>*MAV300701258</t>
  </si>
  <si>
    <t>*MAV040701105</t>
  </si>
  <si>
    <t>*MAV130701312</t>
  </si>
  <si>
    <t>*MAV210701333</t>
  </si>
  <si>
    <t>*MAV280701292</t>
  </si>
  <si>
    <t>*MAV070701293</t>
  </si>
  <si>
    <t>#MAV200760063</t>
  </si>
  <si>
    <t>*MAV050801234</t>
  </si>
  <si>
    <t>22/05/2026</t>
  </si>
  <si>
    <t>*MAV310701486</t>
  </si>
  <si>
    <t>*MAV030800874</t>
  </si>
  <si>
    <t>*MAV200701243</t>
  </si>
  <si>
    <t>26/05/2026</t>
  </si>
  <si>
    <t>*MAV200801263</t>
  </si>
  <si>
    <t>*MAV030701186</t>
  </si>
  <si>
    <t>*MAV080701399</t>
  </si>
  <si>
    <t>*MAV020700980</t>
  </si>
  <si>
    <t>*MAV310701511</t>
  </si>
  <si>
    <t>*MAV310701512</t>
  </si>
  <si>
    <t>*MAV010801140</t>
  </si>
  <si>
    <t>*MAV040801135</t>
  </si>
  <si>
    <t>*MAV280701317</t>
  </si>
  <si>
    <t>*MAV290701251</t>
  </si>
  <si>
    <t>*MAV300701271</t>
  </si>
  <si>
    <t>*MAV040900920</t>
  </si>
  <si>
    <t>*MAV310701515</t>
  </si>
  <si>
    <t>*MAV170701671</t>
  </si>
  <si>
    <t>*MAV060701015</t>
  </si>
  <si>
    <t>27/05/2026</t>
  </si>
  <si>
    <t>*MAV240701281</t>
  </si>
  <si>
    <t>*MAV010901181</t>
  </si>
  <si>
    <t>*MAV010901180</t>
  </si>
  <si>
    <t>*MAV070900791</t>
  </si>
  <si>
    <t>*MAV040900921</t>
  </si>
  <si>
    <t>*MAV030900818</t>
  </si>
  <si>
    <t>*MAV020901169</t>
  </si>
  <si>
    <t>*MAV150901518</t>
  </si>
  <si>
    <t>*MAV140900871</t>
  </si>
  <si>
    <t>*MAV110900995</t>
  </si>
  <si>
    <t>*MAV100901186</t>
  </si>
  <si>
    <t>*MAV090901145</t>
  </si>
  <si>
    <t>*MAV080901149</t>
  </si>
  <si>
    <t>*MAV010901182</t>
  </si>
  <si>
    <t>*MAV170800745</t>
  </si>
  <si>
    <t>*MAV100801131</t>
  </si>
  <si>
    <t>*MAV240800853</t>
  </si>
  <si>
    <t>*MAV310801202</t>
  </si>
  <si>
    <t>*MAV310701523</t>
  </si>
  <si>
    <t>*MAV150701847</t>
  </si>
  <si>
    <t>*MAV140900870</t>
  </si>
  <si>
    <t>*MAV110701290</t>
  </si>
  <si>
    <t>*MAV100901187</t>
  </si>
  <si>
    <t>*MAV100901188</t>
  </si>
  <si>
    <t>*MAV040900922</t>
  </si>
  <si>
    <t>*MAV050901245</t>
  </si>
  <si>
    <t>*MAV080901150</t>
  </si>
  <si>
    <t>*MAV090901146</t>
  </si>
  <si>
    <t>*MAV030900820</t>
  </si>
  <si>
    <t>*MAV010901183</t>
  </si>
  <si>
    <t>*MAV020901170</t>
  </si>
  <si>
    <t>*MAV030900819</t>
  </si>
  <si>
    <t>*MAV040900923</t>
  </si>
  <si>
    <t>*MAV310701530</t>
  </si>
  <si>
    <t>*MAV310701531</t>
  </si>
  <si>
    <t>*MAV310701532</t>
  </si>
  <si>
    <t>MAVR030700105</t>
  </si>
  <si>
    <t>28/05/2026</t>
  </si>
  <si>
    <t>MAVR080700082</t>
  </si>
  <si>
    <t>*MAV100801143</t>
  </si>
  <si>
    <t>*MAV170800753</t>
  </si>
  <si>
    <t>*MAV030900826</t>
  </si>
  <si>
    <t>*NEU201100026</t>
  </si>
  <si>
    <t>29/05/2026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</si>
  <si>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</si>
  <si>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</si>
  <si>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</si>
  <si>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</si>
  <si>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</si>
  <si>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</si>
  <si>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</si>
  <si>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*MAV040701126</t>
  </si>
  <si>
    <t>*MAV050701062</t>
  </si>
  <si>
    <t>*PRO061100023</t>
  </si>
  <si>
    <t>*PRO131100018</t>
  </si>
  <si>
    <t>*PRO201100027</t>
  </si>
  <si>
    <t>*ACI250700361</t>
  </si>
  <si>
    <t>*ACI220700283</t>
  </si>
  <si>
    <t>*ACI190700175</t>
  </si>
  <si>
    <t>*ACI180800202</t>
  </si>
  <si>
    <t>*ACI160700208</t>
  </si>
  <si>
    <t>*ACI150800332</t>
  </si>
  <si>
    <t>*ACI130700173</t>
  </si>
  <si>
    <t>*ACI120800246</t>
  </si>
  <si>
    <t>*ACI210800309</t>
  </si>
  <si>
    <t>*ACI240800158</t>
  </si>
  <si>
    <t>*ACI280800203</t>
  </si>
  <si>
    <t>*ACI030800138</t>
  </si>
  <si>
    <t>*ACI040700235</t>
  </si>
  <si>
    <t>*ACI060800164</t>
  </si>
  <si>
    <t>*ACI070700239</t>
  </si>
  <si>
    <t>*ACI090800238</t>
  </si>
  <si>
    <t>*ACI100700332</t>
  </si>
  <si>
    <t>*ACI280700242</t>
  </si>
  <si>
    <t>*ACI310700409</t>
  </si>
  <si>
    <t>*MAV240800868</t>
  </si>
  <si>
    <t>*MAV210900782</t>
  </si>
  <si>
    <t>*MAV230701095</t>
  </si>
  <si>
    <t>*MAV230701094</t>
  </si>
  <si>
    <t>*MAV240800866</t>
  </si>
  <si>
    <t>*MAV210900783</t>
  </si>
  <si>
    <t>*MAV210900784</t>
  </si>
  <si>
    <t>*MAV210900785</t>
  </si>
  <si>
    <t>*MAV210900786</t>
  </si>
  <si>
    <t>*MAV230701096</t>
  </si>
  <si>
    <t>*MAV230701097</t>
  </si>
  <si>
    <t>*MAV230701098</t>
  </si>
  <si>
    <t>*MAV230701099</t>
  </si>
  <si>
    <t>*MAV230701100</t>
  </si>
  <si>
    <t>*MAV230701101</t>
  </si>
  <si>
    <t>*MAV230701102</t>
  </si>
  <si>
    <t>*MAV240800867</t>
  </si>
  <si>
    <t>*MAV030800891</t>
  </si>
  <si>
    <t>*MAV270701028</t>
  </si>
  <si>
    <t>*MAV290701277</t>
  </si>
  <si>
    <t>*MAV280701342</t>
  </si>
  <si>
    <t>*MAV220701449</t>
  </si>
  <si>
    <t>*MAV270701033</t>
  </si>
  <si>
    <t>*MAV140701602</t>
  </si>
  <si>
    <t>*MAV160701249</t>
  </si>
  <si>
    <t>*MAV170701734</t>
  </si>
  <si>
    <t>*MAV240701317</t>
  </si>
  <si>
    <t>*MAV150701881</t>
  </si>
  <si>
    <t>*MAV200701280</t>
  </si>
  <si>
    <t>*MAV250701414</t>
  </si>
  <si>
    <t>*MAV140801289</t>
  </si>
  <si>
    <t>*MAV210801180</t>
  </si>
  <si>
    <t>*MAV240701318</t>
  </si>
  <si>
    <t>*MAV280801098</t>
  </si>
  <si>
    <t>*MAV310701551</t>
  </si>
  <si>
    <t>*MAV070801167</t>
  </si>
  <si>
    <t>*MAV130701386</t>
  </si>
  <si>
    <t>*MAV050801250</t>
  </si>
  <si>
    <t>*MAV130801036</t>
  </si>
  <si>
    <t>*MAV140701601</t>
  </si>
  <si>
    <t>*MAV190801208</t>
  </si>
  <si>
    <t>*MAV200701283</t>
  </si>
  <si>
    <t>*MAV270701034</t>
  </si>
  <si>
    <t>*MAV180701314</t>
  </si>
  <si>
    <t>*MAV250701415</t>
  </si>
  <si>
    <t>*MAV160701248</t>
  </si>
  <si>
    <t>*MAV040801146</t>
  </si>
  <si>
    <t>*MAV150701880</t>
  </si>
  <si>
    <t>*MAV250701413</t>
  </si>
  <si>
    <t>*MAV140900894</t>
  </si>
  <si>
    <t>*MAV150901522</t>
  </si>
  <si>
    <t>*MAV170701735</t>
  </si>
  <si>
    <t>*MAV140701603</t>
  </si>
  <si>
    <t>*MAV160701247</t>
  </si>
  <si>
    <t>*MAV210701389</t>
  </si>
  <si>
    <t>*MAV170701736</t>
  </si>
  <si>
    <t>*MAV220701450</t>
  </si>
  <si>
    <t>*MAV200701281</t>
  </si>
  <si>
    <t>*MAV200701282</t>
  </si>
  <si>
    <t>*MAV230701126</t>
  </si>
  <si>
    <t>*MAV270701035</t>
  </si>
  <si>
    <t>01/06/2026</t>
  </si>
  <si>
    <t>*MAV160901262</t>
  </si>
  <si>
    <t>*MAV230901174</t>
  </si>
  <si>
    <t>*MAV240800875</t>
  </si>
  <si>
    <t>*MAV300901898</t>
  </si>
  <si>
    <t>*MAV031001149</t>
  </si>
  <si>
    <t>*MAV160701255</t>
  </si>
  <si>
    <t>#MAV010860008</t>
  </si>
  <si>
    <t>*MAV120801634</t>
  </si>
  <si>
    <t>02/06/2026</t>
  </si>
  <si>
    <t>*MAV140900905</t>
  </si>
  <si>
    <t>*MAV210900798</t>
  </si>
  <si>
    <t>*MAV260801222</t>
  </si>
  <si>
    <t>*MAV280900830</t>
  </si>
  <si>
    <t>*MAV300801345</t>
  </si>
  <si>
    <t>*MAV140701618</t>
  </si>
  <si>
    <t>*MAV190801220</t>
  </si>
  <si>
    <t>*MAV240701329</t>
  </si>
  <si>
    <t>*MAV300701306</t>
  </si>
  <si>
    <t>*MAV040801154</t>
  </si>
  <si>
    <t>*MAV050801267</t>
  </si>
  <si>
    <t>*MAV030800905</t>
  </si>
  <si>
    <t>*MAV050801268</t>
  </si>
  <si>
    <t>#MAV040860041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</si>
  <si>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</si>
  <si>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</si>
  <si>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</si>
  <si>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</si>
  <si>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</si>
  <si>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</si>
  <si>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</si>
  <si>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</si>
  <si>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</si>
  <si>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</si>
  <si>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</si>
  <si>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</si>
  <si>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</si>
  <si>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</si>
  <si>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</si>
  <si>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</si>
  <si>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</si>
  <si>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</si>
  <si>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</si>
  <si>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</si>
  <si>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*MAV040801168</t>
  </si>
  <si>
    <t>03/06/2026</t>
  </si>
  <si>
    <t>*MAV200801291</t>
  </si>
  <si>
    <t>*MAV270801044</t>
  </si>
  <si>
    <t>*MAV030800921</t>
  </si>
  <si>
    <t>*MAV040801170</t>
  </si>
  <si>
    <t>*MAV060800947</t>
  </si>
  <si>
    <t>*MAV070801180</t>
  </si>
  <si>
    <t>*MAV120801652</t>
  </si>
  <si>
    <t>*MAV230701137</t>
  </si>
  <si>
    <t>*MAV240701338</t>
  </si>
  <si>
    <t>*MAV280701366</t>
  </si>
  <si>
    <t>*MAV300701319</t>
  </si>
  <si>
    <t>*MAV100801166</t>
  </si>
  <si>
    <t>*MAV181201190</t>
  </si>
  <si>
    <t>22/12/2026</t>
  </si>
  <si>
    <t>*MAV310801247</t>
  </si>
  <si>
    <t>*MAV110801415</t>
  </si>
  <si>
    <t>*MAV200801295</t>
  </si>
  <si>
    <t>*MAV010901221</t>
  </si>
  <si>
    <t>*MAV240800885</t>
  </si>
  <si>
    <t>*MAV250801460</t>
  </si>
  <si>
    <t>*MAV260801235</t>
  </si>
  <si>
    <t>*MAV270801053</t>
  </si>
  <si>
    <t>*MAV280801125</t>
  </si>
  <si>
    <t>*MAV310801249</t>
  </si>
  <si>
    <t>*MAV100801171</t>
  </si>
  <si>
    <t>*MAV120801669</t>
  </si>
  <si>
    <t>*MAV130801046</t>
  </si>
  <si>
    <t>*MAV140801306</t>
  </si>
  <si>
    <t>*MAV180801393</t>
  </si>
  <si>
    <t>*MAV190801232</t>
  </si>
  <si>
    <t>*MAV210801215</t>
  </si>
  <si>
    <t>#MAV120860029</t>
  </si>
  <si>
    <t>*PRO030700015</t>
  </si>
  <si>
    <t>04/06/2026</t>
  </si>
  <si>
    <t>*MIL170900034</t>
  </si>
  <si>
    <t>*MIL210900024</t>
  </si>
  <si>
    <t>*MIL220900044</t>
  </si>
  <si>
    <t>24/09/2026</t>
  </si>
  <si>
    <t>*MIL200900039</t>
  </si>
  <si>
    <t>*MIL170900035</t>
  </si>
  <si>
    <t>*MIL180900029</t>
  </si>
  <si>
    <t>*MIL190900031</t>
  </si>
  <si>
    <t>*MIL220900045</t>
  </si>
  <si>
    <t>*MIL200900040</t>
  </si>
  <si>
    <t>*MIL240800021</t>
  </si>
  <si>
    <t>*MIL230900027</t>
  </si>
  <si>
    <t>*MIL240900034</t>
  </si>
  <si>
    <t>28/09/2026</t>
  </si>
  <si>
    <t>*MIL170900036</t>
  </si>
  <si>
    <t>*MIL250900029</t>
  </si>
  <si>
    <t>*MIL280800034</t>
  </si>
  <si>
    <t>*MIL270800031</t>
  </si>
  <si>
    <t>*MAV080701502</t>
  </si>
  <si>
    <t>*MAV080701503</t>
  </si>
  <si>
    <t>*MAV240701354</t>
  </si>
  <si>
    <t>*MAV030701309</t>
  </si>
  <si>
    <t>*MAV040801171</t>
  </si>
  <si>
    <t>*MAV050801290</t>
  </si>
  <si>
    <t>*MAV050801291</t>
  </si>
  <si>
    <t>*MAV060800954</t>
  </si>
  <si>
    <t>#MAV030860055</t>
  </si>
  <si>
    <t>*MAV290701309</t>
  </si>
  <si>
    <t>*MAV300701334</t>
  </si>
  <si>
    <t>*MAV010801165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</si>
  <si>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</si>
  <si>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</si>
  <si>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</si>
  <si>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</si>
  <si>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</si>
  <si>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</si>
  <si>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</si>
  <si>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*MAV310701663</t>
  </si>
  <si>
    <t>*MAV260701143</t>
  </si>
  <si>
    <t>*MAV010801167</t>
  </si>
  <si>
    <t>*MAV120901482</t>
  </si>
  <si>
    <t>*MAV150801456</t>
  </si>
  <si>
    <t>*MAV250701432</t>
  </si>
  <si>
    <t>*MAV290801216</t>
  </si>
  <si>
    <t>*MAV180801398</t>
  </si>
  <si>
    <t>*MAV110901014</t>
  </si>
  <si>
    <t>*MAV180901035</t>
  </si>
  <si>
    <t>*MAV210801221</t>
  </si>
  <si>
    <t>*MAV240800890</t>
  </si>
  <si>
    <t>*MAV250901157</t>
  </si>
  <si>
    <t>*MAV300801351</t>
  </si>
  <si>
    <t>*MAV190801237</t>
  </si>
  <si>
    <t>*MAV220801234</t>
  </si>
  <si>
    <t>*MAV090901171</t>
  </si>
  <si>
    <t>*MAV150901538</t>
  </si>
  <si>
    <t>*MAV220901282</t>
  </si>
  <si>
    <t>*MAV280801128</t>
  </si>
  <si>
    <t>*MAV280701376</t>
  </si>
  <si>
    <t>*MAV280701375</t>
  </si>
  <si>
    <t>*MAV290701308</t>
  </si>
  <si>
    <t>*MAV300701333</t>
  </si>
  <si>
    <t>*MAV080801261</t>
  </si>
  <si>
    <t>*MAV200701329</t>
  </si>
  <si>
    <t>*MAV140900928</t>
  </si>
  <si>
    <t>*MAV150901539</t>
  </si>
  <si>
    <t>*MAV160901281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</si>
  <si>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</si>
  <si>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</si>
  <si>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</si>
  <si>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</si>
  <si>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</si>
  <si>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</si>
  <si>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</si>
  <si>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*MAV050801292</t>
  </si>
  <si>
    <t>*MAV050801293</t>
  </si>
  <si>
    <t>*MAV100801178</t>
  </si>
  <si>
    <t>*MAV130801054</t>
  </si>
  <si>
    <t>*MAV190801238</t>
  </si>
  <si>
    <t>*MAV200701327</t>
  </si>
  <si>
    <t>*MAV240701358</t>
  </si>
  <si>
    <t>*MAV270701080</t>
  </si>
  <si>
    <t>*MAV250701431</t>
  </si>
  <si>
    <t>*MAV310701662</t>
  </si>
  <si>
    <t>*MAV010801166</t>
  </si>
  <si>
    <t>*MAV030800940</t>
  </si>
  <si>
    <t>*MAV200701328</t>
  </si>
  <si>
    <t>*MAV030800939</t>
  </si>
  <si>
    <t>*MAV080901170</t>
  </si>
  <si>
    <t>*MAV150901542</t>
  </si>
  <si>
    <t>*INP240800044</t>
  </si>
  <si>
    <t>05/06/2026</t>
  </si>
  <si>
    <t>*INP180900068</t>
  </si>
  <si>
    <t>*MAV090801006</t>
  </si>
  <si>
    <t>*MAV180701336</t>
  </si>
  <si>
    <t>*MAV260801238</t>
  </si>
  <si>
    <t>*MAV080701510</t>
  </si>
  <si>
    <t>*MAV190801242</t>
  </si>
  <si>
    <t>*MAV260701145</t>
  </si>
  <si>
    <t>*MAV210900809</t>
  </si>
  <si>
    <t>*MAV131101027</t>
  </si>
  <si>
    <t>*MAV180901040</t>
  </si>
  <si>
    <t>*MAV271001273</t>
  </si>
  <si>
    <t>*MAV060800959</t>
  </si>
  <si>
    <t>08/06/2026</t>
  </si>
  <si>
    <t>*MAV070801204</t>
  </si>
  <si>
    <t>#MAV110860043</t>
  </si>
  <si>
    <t>*MAV101001396</t>
  </si>
  <si>
    <t>*MAV310701686</t>
  </si>
  <si>
    <t>*MAV040801224</t>
  </si>
  <si>
    <t>*MAV070801215</t>
  </si>
  <si>
    <t>#MAV121060011</t>
  </si>
  <si>
    <t>09/06/2026</t>
  </si>
  <si>
    <t>#MAV121060010</t>
  </si>
  <si>
    <t>*MAV180801414</t>
  </si>
  <si>
    <t>*MAV210801237</t>
  </si>
  <si>
    <t>*MAV250801479</t>
  </si>
  <si>
    <t>*MAV280801141</t>
  </si>
  <si>
    <t>*MAV310701691</t>
  </si>
  <si>
    <t>*MAV100901303</t>
  </si>
  <si>
    <t>10/06/2026</t>
  </si>
  <si>
    <t>*MAV080801275</t>
  </si>
  <si>
    <t>#MAV120860032</t>
  </si>
  <si>
    <t>#MAV130860035</t>
  </si>
  <si>
    <t>#MAV140860044</t>
  </si>
  <si>
    <t>#MAV131060021</t>
  </si>
  <si>
    <t>*MAV100901310</t>
  </si>
  <si>
    <t>11/06/2026</t>
  </si>
  <si>
    <t>*MAV110701368</t>
  </si>
  <si>
    <t>*MAV110701369</t>
  </si>
  <si>
    <t>*MAV040701189</t>
  </si>
  <si>
    <t>*MAV040701190</t>
  </si>
  <si>
    <t>*MAV030800972</t>
  </si>
  <si>
    <t>*MAV130701548</t>
  </si>
  <si>
    <t>*MAV200701383</t>
  </si>
  <si>
    <t>*MAV110901057</t>
  </si>
  <si>
    <t>*MAV310801293</t>
  </si>
  <si>
    <t>*MAV020901218</t>
  </si>
  <si>
    <t>*MAV280701411</t>
  </si>
  <si>
    <t>*MAV250701451</t>
  </si>
  <si>
    <t>*MAV040901049</t>
  </si>
  <si>
    <t>*MAV100801230</t>
  </si>
  <si>
    <t>*MAV100801231</t>
  </si>
  <si>
    <t>*MAV130801084</t>
  </si>
  <si>
    <t>*MAV060800999</t>
  </si>
  <si>
    <t>*MAV110701380</t>
  </si>
  <si>
    <t>*MAV071200853</t>
  </si>
  <si>
    <t>*MAV100801236</t>
  </si>
  <si>
    <t>*MAV101101571</t>
  </si>
  <si>
    <t>*MAV121000902</t>
  </si>
  <si>
    <t>*MAV211200942</t>
  </si>
  <si>
    <t>23/12/2026</t>
  </si>
  <si>
    <t>*MAV231100835</t>
  </si>
  <si>
    <t>*FED091000019</t>
  </si>
  <si>
    <t>12/06/2026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</si>
  <si>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</si>
  <si>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</si>
  <si>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</si>
  <si>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</si>
  <si>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</si>
  <si>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</si>
  <si>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</si>
  <si>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</si>
  <si>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</si>
  <si>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</si>
  <si>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</si>
  <si>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*MAV280801153</t>
  </si>
  <si>
    <t>*MAV170701858</t>
  </si>
  <si>
    <t>*MAV220901299</t>
  </si>
  <si>
    <t>*MAV050801337</t>
  </si>
  <si>
    <t>#MAV180860038</t>
  </si>
  <si>
    <t>#MAV190860035</t>
  </si>
  <si>
    <t>#MAV200860046</t>
  </si>
  <si>
    <t>*MAV060801017</t>
  </si>
  <si>
    <t>*MAV160701326</t>
  </si>
  <si>
    <t>*MAV300701402</t>
  </si>
  <si>
    <t>*MAV190701042</t>
  </si>
  <si>
    <t>*MAV250801495</t>
  </si>
  <si>
    <t>*MAV060801020</t>
  </si>
  <si>
    <t>*MAV130701599</t>
  </si>
  <si>
    <t>*MAV100901306</t>
  </si>
  <si>
    <t>*MAV120901494</t>
  </si>
  <si>
    <t>*MAV140900962</t>
  </si>
  <si>
    <t>*MAV130701606</t>
  </si>
  <si>
    <t>16/06/2026</t>
  </si>
  <si>
    <t>*MAV270801078</t>
  </si>
  <si>
    <t>*MAV190801272</t>
  </si>
  <si>
    <t>*MAV180701374</t>
  </si>
  <si>
    <t>*MAV140801384</t>
  </si>
  <si>
    <t>*MAV110701387</t>
  </si>
  <si>
    <t>*MAV270701117</t>
  </si>
  <si>
    <t>*MAV100801260</t>
  </si>
  <si>
    <t>*MAV250801497</t>
  </si>
  <si>
    <t>*MAV070801305</t>
  </si>
  <si>
    <t>*MAV180701375</t>
  </si>
  <si>
    <t>*MAV210801275</t>
  </si>
  <si>
    <t>*MAV180901069</t>
  </si>
  <si>
    <t>*MAV230901200</t>
  </si>
  <si>
    <t>*MAV080901212</t>
  </si>
  <si>
    <t>*MAV110901070</t>
  </si>
  <si>
    <t>*MAV120801757</t>
  </si>
  <si>
    <t>*MAV120801758</t>
  </si>
  <si>
    <t>*MAV150901591</t>
  </si>
  <si>
    <t>*MAV250801499</t>
  </si>
  <si>
    <t>*MAV250801500</t>
  </si>
  <si>
    <t>*MAV300901974</t>
  </si>
  <si>
    <t>*MAV110901072</t>
  </si>
  <si>
    <t>*MAV170901091</t>
  </si>
  <si>
    <t>*MAV240901000</t>
  </si>
  <si>
    <t>*MAV050801348</t>
  </si>
  <si>
    <t>*MAV050801354</t>
  </si>
  <si>
    <t>*MAV070801312</t>
  </si>
  <si>
    <t>*MAV160901325</t>
  </si>
  <si>
    <t>*MAV010901262</t>
  </si>
  <si>
    <t>17/06/2026</t>
  </si>
  <si>
    <t>*MAV080901222</t>
  </si>
  <si>
    <t>*MAV010901263</t>
  </si>
  <si>
    <t>*MAV020800928</t>
  </si>
  <si>
    <t>*MAV060901016</t>
  </si>
  <si>
    <t>*MAV070801321</t>
  </si>
  <si>
    <t>*MAV110901080</t>
  </si>
  <si>
    <t>*MAV120801775</t>
  </si>
  <si>
    <t>*MAV160901334</t>
  </si>
  <si>
    <t>*MAV170800800</t>
  </si>
  <si>
    <t>*MAV180701390</t>
  </si>
  <si>
    <t>*MAV220801263</t>
  </si>
  <si>
    <t>*MAV230701198</t>
  </si>
  <si>
    <t>*MAV270801084</t>
  </si>
  <si>
    <t>*MAV280701442</t>
  </si>
  <si>
    <t>*MAV150801507</t>
  </si>
  <si>
    <t>*MAV020701143</t>
  </si>
  <si>
    <t>*MAV110801469</t>
  </si>
  <si>
    <t>*MAV120801779</t>
  </si>
  <si>
    <t>*MAV130801115</t>
  </si>
  <si>
    <t>*MAV140801401</t>
  </si>
  <si>
    <t>*MAV150801508</t>
  </si>
  <si>
    <t>*MAV180801457</t>
  </si>
  <si>
    <t>*MAV190801281</t>
  </si>
  <si>
    <t>*MAV120801780</t>
  </si>
  <si>
    <t>*MAV130801114</t>
  </si>
  <si>
    <t>*MAV150801509</t>
  </si>
  <si>
    <t>*MAV180801458</t>
  </si>
  <si>
    <t>*MAV010801224</t>
  </si>
  <si>
    <t>*MAV040801302</t>
  </si>
  <si>
    <t>*MAV050801363</t>
  </si>
  <si>
    <t>*MAV060801029</t>
  </si>
  <si>
    <t>*MAV070801322</t>
  </si>
  <si>
    <t>*MAV080801292</t>
  </si>
  <si>
    <t>*MAV110801470</t>
  </si>
  <si>
    <t>*MAV250701475</t>
  </si>
  <si>
    <t>*MAV310701758</t>
  </si>
  <si>
    <t>%CP1100700001</t>
  </si>
  <si>
    <t>18/06/2026</t>
  </si>
  <si>
    <t>*MAV180701405</t>
  </si>
  <si>
    <t>*MAV161001066</t>
  </si>
  <si>
    <t>*MAV210701515</t>
  </si>
  <si>
    <t>%CP1060700002</t>
  </si>
  <si>
    <t>19/06/2026</t>
  </si>
  <si>
    <t>*MAV180901091</t>
  </si>
  <si>
    <t>*MAV220701632</t>
  </si>
  <si>
    <t>*MAV200801378</t>
  </si>
  <si>
    <t>*MAV210801298</t>
  </si>
  <si>
    <t>*NEU020900019</t>
  </si>
  <si>
    <t>22/06/2026</t>
  </si>
  <si>
    <t>*NEU120800028</t>
  </si>
  <si>
    <t>*MAV220901329</t>
  </si>
  <si>
    <t>*MAV210900845</t>
  </si>
  <si>
    <t>*MAV201001476</t>
  </si>
  <si>
    <t>*MAV150901624</t>
  </si>
  <si>
    <t>*MAV110901103</t>
  </si>
  <si>
    <t>*MAV040901072</t>
  </si>
  <si>
    <t>*MAV080901234</t>
  </si>
  <si>
    <t>*MAV160901349</t>
  </si>
  <si>
    <t>*MAV310801326</t>
  </si>
  <si>
    <t>*MAV090901242</t>
  </si>
  <si>
    <t>*MAV110801500</t>
  </si>
  <si>
    <t>*MAV160801152</t>
  </si>
  <si>
    <t>*MAV280801208</t>
  </si>
  <si>
    <t>*MAV150901626</t>
  </si>
  <si>
    <t>*MAV230701239</t>
  </si>
  <si>
    <t>*MAV240701511</t>
  </si>
  <si>
    <t>23/06/2026</t>
  </si>
  <si>
    <t>*MAV110801507</t>
  </si>
  <si>
    <t>*MAV080901237</t>
  </si>
  <si>
    <t>*MAV240901025</t>
  </si>
  <si>
    <t>*MAV290901239</t>
  </si>
  <si>
    <t>01/10/2026</t>
  </si>
  <si>
    <t>*MAV160901358</t>
  </si>
  <si>
    <t>*MAV180801524</t>
  </si>
  <si>
    <t>*MAV240800956</t>
  </si>
  <si>
    <t>*MAV270801108</t>
  </si>
  <si>
    <t>#MAV031160008</t>
  </si>
  <si>
    <t>04/11/2026</t>
  </si>
  <si>
    <t>*MAV010901282</t>
  </si>
  <si>
    <t>24/06/2026</t>
  </si>
  <si>
    <t>*MAV010901283</t>
  </si>
  <si>
    <t>#MAV061160016</t>
  </si>
  <si>
    <t>*MAV190801323</t>
  </si>
  <si>
    <t>*MAV140701811</t>
  </si>
  <si>
    <t>*MAV070801387</t>
  </si>
  <si>
    <t>*MAV140801457</t>
  </si>
  <si>
    <t>*MAV210801326</t>
  </si>
  <si>
    <t>*MAV250801558</t>
  </si>
  <si>
    <t>*MAV130801162</t>
  </si>
  <si>
    <t>*MAV180801537</t>
  </si>
  <si>
    <t>*MAV200801416</t>
  </si>
  <si>
    <t>*MAV250801559</t>
  </si>
  <si>
    <t>*MAV260801308</t>
  </si>
  <si>
    <t>*MAV240800969</t>
  </si>
  <si>
    <t>*MIL231000034</t>
  </si>
  <si>
    <t>25/06/2026</t>
  </si>
  <si>
    <t>*MIL240700041</t>
  </si>
  <si>
    <t>*MIL230900028</t>
  </si>
  <si>
    <t>*MIL210900026</t>
  </si>
  <si>
    <t>*MIL250900032</t>
  </si>
  <si>
    <t>*MIL020800026</t>
  </si>
  <si>
    <t>*MIL040800028</t>
  </si>
  <si>
    <t>*MIL060800023</t>
  </si>
  <si>
    <t>*MIL060800024</t>
  </si>
  <si>
    <t>*MIL080800037</t>
  </si>
  <si>
    <t>*MIL080800038</t>
  </si>
  <si>
    <t>*MIL190800031</t>
  </si>
  <si>
    <t>*MIL190800032</t>
  </si>
  <si>
    <t>*MIL190800033</t>
  </si>
  <si>
    <t>*MIL190800034</t>
  </si>
  <si>
    <t>*MIL290800030</t>
  </si>
  <si>
    <t>*MIL290800031</t>
  </si>
  <si>
    <t>*MIL290800032</t>
  </si>
  <si>
    <t>*MIL290800033</t>
  </si>
  <si>
    <t>*MIL100900041</t>
  </si>
  <si>
    <t>*MAV081001065</t>
  </si>
  <si>
    <t>*MAV091001118</t>
  </si>
  <si>
    <t>*MAV141001362</t>
  </si>
  <si>
    <t>*MAV230901245</t>
  </si>
  <si>
    <t>*BIF220900006</t>
  </si>
  <si>
    <t>*BIF250800007</t>
  </si>
  <si>
    <t>*BIF120800008</t>
  </si>
  <si>
    <t>*BIF250900004</t>
  </si>
  <si>
    <t>*MAV170702050</t>
  </si>
  <si>
    <t>*MAV231001129</t>
  </si>
  <si>
    <t>26/06/2026</t>
  </si>
  <si>
    <t>*MAV231100839</t>
  </si>
  <si>
    <t>*MAV160901376</t>
  </si>
  <si>
    <t>*MAV220901364</t>
  </si>
  <si>
    <t>*MAV070900898</t>
  </si>
  <si>
    <t>*MAV250801577</t>
  </si>
  <si>
    <t>*MAV210801341</t>
  </si>
  <si>
    <t>*MAV270701211</t>
  </si>
  <si>
    <t>*MAV250901239</t>
  </si>
  <si>
    <t>*MAV260801320</t>
  </si>
  <si>
    <t>*BIF190800006</t>
  </si>
  <si>
    <t>*BIF270800005</t>
  </si>
  <si>
    <t>*BIF280800005</t>
  </si>
  <si>
    <t>*BIF310800004</t>
  </si>
  <si>
    <t>*MAV240800993</t>
  </si>
  <si>
    <t>29/06/2026</t>
  </si>
  <si>
    <t>*MAV070701545</t>
  </si>
  <si>
    <t>*MAV170901139</t>
  </si>
  <si>
    <t>*MAV260801328</t>
  </si>
  <si>
    <t>*MAV100901375</t>
  </si>
  <si>
    <t>*MAV100701984</t>
  </si>
  <si>
    <t>*MAV100701985</t>
  </si>
  <si>
    <t>*PRO110900012</t>
  </si>
  <si>
    <t>*PRO180900014</t>
  </si>
  <si>
    <t>*PRO250900016</t>
  </si>
  <si>
    <t>*PRO070900009</t>
  </si>
  <si>
    <t>*PRO090900019</t>
  </si>
  <si>
    <t>*PRO100900022</t>
  </si>
  <si>
    <t>*PRO110900013</t>
  </si>
  <si>
    <t>*MOV220700094</t>
  </si>
  <si>
    <t>30/06/2026</t>
  </si>
  <si>
    <t>*MOV220700093</t>
  </si>
  <si>
    <t>*MOV230700077</t>
  </si>
  <si>
    <t>*MOV250700081</t>
  </si>
  <si>
    <t>*MOV250700080</t>
  </si>
  <si>
    <t>*MOV240700072</t>
  </si>
  <si>
    <t>*MOV190700063</t>
  </si>
  <si>
    <t>*MOV170700082</t>
  </si>
  <si>
    <t>*MOV170700081</t>
  </si>
  <si>
    <t>*MOV170700080</t>
  </si>
  <si>
    <t>*MOV170700079</t>
  </si>
  <si>
    <t>*MOV170700078</t>
  </si>
  <si>
    <t>*MOV170700077</t>
  </si>
  <si>
    <t>*MOV170700076</t>
  </si>
  <si>
    <t>*MOV160700053</t>
  </si>
  <si>
    <t>*MOV160700052</t>
  </si>
  <si>
    <t>*MOV150700104</t>
  </si>
  <si>
    <t>*MOV150700103</t>
  </si>
  <si>
    <t>*MOV140700100</t>
  </si>
  <si>
    <t>*MOV130700069</t>
  </si>
  <si>
    <t>*MOV130700068</t>
  </si>
  <si>
    <t>*MOV130700067</t>
  </si>
  <si>
    <t>*MOV120700074</t>
  </si>
  <si>
    <t>*MOV110700086</t>
  </si>
  <si>
    <t>*MOV110700085</t>
  </si>
  <si>
    <t>*MOV100700095</t>
  </si>
  <si>
    <t>*MOV070700069</t>
  </si>
  <si>
    <t>*MOV040700052</t>
  </si>
  <si>
    <t>*MOV310700092</t>
  </si>
  <si>
    <t>*MOV280700091</t>
  </si>
  <si>
    <t>*MOV260700049</t>
  </si>
  <si>
    <t>*MOV250800088</t>
  </si>
  <si>
    <t>*MOV240700071</t>
  </si>
  <si>
    <t>*MOV230700079</t>
  </si>
  <si>
    <t>*MOV230700078</t>
  </si>
  <si>
    <t>*MOV180700067</t>
  </si>
  <si>
    <t>*MOV040800058</t>
  </si>
  <si>
    <t>*MOV180700063</t>
  </si>
  <si>
    <t>*MOV180700064</t>
  </si>
  <si>
    <t>*MOV180700065</t>
  </si>
  <si>
    <t>*MOV180700066</t>
  </si>
  <si>
    <t>*MOV190800063</t>
  </si>
  <si>
    <t>*MOV190800064</t>
  </si>
  <si>
    <t>*MOV200700092</t>
  </si>
  <si>
    <t>*MOV200700093</t>
  </si>
  <si>
    <t>*MOV210700085</t>
  </si>
  <si>
    <t>*MOV220700091</t>
  </si>
  <si>
    <t>*MOV220700092</t>
  </si>
  <si>
    <t>*MAV140701863</t>
  </si>
  <si>
    <t>*MAV210701647</t>
  </si>
  <si>
    <t>*MAV040801418</t>
  </si>
  <si>
    <t>*MAV140701864</t>
  </si>
  <si>
    <t>*MAV210701646</t>
  </si>
  <si>
    <t>*MAV230701298</t>
  </si>
  <si>
    <t>*MAV230701299</t>
  </si>
  <si>
    <t>*MAV280701533</t>
  </si>
  <si>
    <t>*MAV280701534</t>
  </si>
  <si>
    <t>*MAV300701526</t>
  </si>
  <si>
    <t>*MAV300701527</t>
  </si>
  <si>
    <t>*MAV040801419</t>
  </si>
  <si>
    <t>*MAV060801099</t>
  </si>
  <si>
    <t>*MAV060801100</t>
  </si>
  <si>
    <t>*MAV120801871</t>
  </si>
  <si>
    <t>*MAV100801403</t>
  </si>
  <si>
    <t>*MAV090801060</t>
  </si>
  <si>
    <t>*MAV220701753</t>
  </si>
  <si>
    <t>*MAV310701922</t>
  </si>
  <si>
    <t>*MAV150702225</t>
  </si>
  <si>
    <t>*MAV300701528</t>
  </si>
  <si>
    <t>*MAV251101536</t>
  </si>
  <si>
    <t>27/11/2026</t>
  </si>
  <si>
    <t>*MAV311001562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</si>
  <si>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</si>
  <si>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</si>
  <si>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</si>
  <si>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</si>
  <si>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</si>
  <si>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</si>
  <si>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</si>
  <si>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</si>
  <si>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</si>
  <si>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</si>
  <si>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*NIO010900019</t>
  </si>
  <si>
    <t>01/07/2026</t>
  </si>
  <si>
    <t>*NIO280800031</t>
  </si>
  <si>
    <t>*MAV140701876</t>
  </si>
  <si>
    <t>*MAV240701610</t>
  </si>
  <si>
    <t>*MAV050801481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</si>
  <si>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</si>
  <si>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</si>
  <si>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</si>
  <si>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</si>
  <si>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</si>
  <si>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</si>
  <si>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</si>
  <si>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</si>
  <si>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</si>
  <si>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*MAV060801113</t>
  </si>
  <si>
    <t>*CVA161100008</t>
  </si>
  <si>
    <t>*NEU091000021</t>
  </si>
  <si>
    <t>*PRO240900016</t>
  </si>
  <si>
    <t>02/07/2026</t>
  </si>
  <si>
    <t>*PRO071000009</t>
  </si>
  <si>
    <t>*PRO221200015</t>
  </si>
  <si>
    <t>28/12/2026</t>
  </si>
  <si>
    <t>*MAV190801350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</si>
  <si>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</si>
  <si>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</si>
  <si>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</si>
  <si>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</si>
  <si>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</si>
  <si>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</si>
  <si>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</si>
  <si>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</si>
  <si>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</si>
  <si>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</si>
  <si>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*MAV210801387</t>
  </si>
  <si>
    <t>*MAV310801408</t>
  </si>
  <si>
    <t>*MAV310801407</t>
  </si>
  <si>
    <t>*MAV080901266</t>
  </si>
  <si>
    <t>#MAV030960028</t>
  </si>
  <si>
    <t>#MAV020960040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</si>
  <si>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</si>
  <si>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</si>
  <si>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</si>
  <si>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</si>
  <si>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</si>
  <si>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</si>
  <si>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</si>
  <si>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</si>
  <si>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</si>
  <si>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</si>
  <si>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</si>
  <si>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</si>
  <si>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</si>
  <si>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</si>
  <si>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</si>
  <si>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*FED151000042</t>
  </si>
  <si>
    <t>*CVA250900020</t>
  </si>
  <si>
    <t>*AFB240700015</t>
  </si>
  <si>
    <t>*MOV130700070</t>
  </si>
  <si>
    <t>*AFB220700009</t>
  </si>
  <si>
    <t>*INP140800110</t>
  </si>
  <si>
    <t>*INP230900073</t>
  </si>
  <si>
    <t>*INP230900071</t>
  </si>
  <si>
    <t>*INP230900072</t>
  </si>
  <si>
    <t>*INP230900070</t>
  </si>
  <si>
    <t>*INP230900069</t>
  </si>
  <si>
    <t>#MAV220760062</t>
  </si>
  <si>
    <t>*FED141200032</t>
  </si>
  <si>
    <t>16/12/2026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</si>
  <si>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</si>
  <si>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</si>
  <si>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</si>
  <si>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</si>
  <si>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</si>
  <si>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</si>
  <si>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</si>
  <si>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*POT140700107</t>
  </si>
  <si>
    <t>*POT160700110</t>
  </si>
  <si>
    <t>*POT180700106</t>
  </si>
  <si>
    <t>*POT130700116</t>
  </si>
  <si>
    <t>#MAV301060025</t>
  </si>
  <si>
    <t>*MAV240801032</t>
  </si>
  <si>
    <t>*MAV250801622</t>
  </si>
  <si>
    <t>*MAV260801362</t>
  </si>
  <si>
    <t>*MAV060801139</t>
  </si>
  <si>
    <t>*MAV310702019</t>
  </si>
  <si>
    <t>*MAV301001275</t>
  </si>
  <si>
    <t>*MAV010901339</t>
  </si>
  <si>
    <t>*MAV170901158</t>
  </si>
  <si>
    <t>*MAV030900962</t>
  </si>
  <si>
    <t>*MAV200801501</t>
  </si>
  <si>
    <t>Cheques de Pago Diferido en Dolar 3500</t>
  </si>
  <si>
    <t>#UMV250180006</t>
  </si>
  <si>
    <t>27/01/2028</t>
  </si>
  <si>
    <t>30/12/2025</t>
  </si>
  <si>
    <t>#UMV250770007</t>
  </si>
  <si>
    <t>28/07/2027</t>
  </si>
  <si>
    <t>#UMV250780006</t>
  </si>
  <si>
    <t>27/07/2028</t>
  </si>
  <si>
    <t>#UMV250170065</t>
  </si>
  <si>
    <t>27/01/2027</t>
  </si>
  <si>
    <t>#UMV030860027</t>
  </si>
  <si>
    <t>#UMV030860028</t>
  </si>
  <si>
    <t>#UMV131160016</t>
  </si>
  <si>
    <t>#UMV141060033</t>
  </si>
  <si>
    <t>#UMV131260004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</si>
  <si>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</si>
  <si>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</si>
  <si>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</si>
  <si>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</si>
  <si>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</si>
  <si>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</si>
  <si>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</si>
  <si>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</si>
  <si>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</si>
  <si>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</si>
  <si>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</si>
  <si>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</si>
  <si>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#UMV030860029</t>
  </si>
  <si>
    <t>#UMV010960009</t>
  </si>
  <si>
    <t>#UMV011060013</t>
  </si>
  <si>
    <t>#UMV030860035</t>
  </si>
  <si>
    <t>#UMV010960013</t>
  </si>
  <si>
    <t>#UMV011060014</t>
  </si>
  <si>
    <t>#UMV010960019</t>
  </si>
  <si>
    <t>#UMV021160025</t>
  </si>
  <si>
    <t>#UMV010960024</t>
  </si>
  <si>
    <t>#UMV021160028</t>
  </si>
  <si>
    <t>Disponibilidades</t>
  </si>
  <si>
    <t>COMAFI $ Nº 24301/4</t>
  </si>
  <si>
    <t xml:space="preserve">La Duration del Fondo es de 31 días </t>
  </si>
  <si>
    <t>Posición en Garantía</t>
  </si>
  <si>
    <t>Papeles-ROFEX-Por Futuro-FUTUROS-Pesos</t>
  </si>
  <si>
    <t>Cantidad</t>
  </si>
  <si>
    <t>Valuación</t>
  </si>
  <si>
    <t>Clase A</t>
  </si>
  <si>
    <t>Fecha</t>
  </si>
  <si>
    <t>Valor de Cuotaparte (5)</t>
  </si>
  <si>
    <t>Variación</t>
  </si>
  <si>
    <t>Valor del Día</t>
  </si>
  <si>
    <t>Valor Día Anterior</t>
  </si>
  <si>
    <t>Valor Cierre Mes Anterior</t>
  </si>
  <si>
    <t>Valor Cierre Año Anterior</t>
  </si>
  <si>
    <t>Valor Inicio de Operaciones</t>
  </si>
  <si>
    <t>07/10/2021</t>
  </si>
  <si>
    <t>Clase B</t>
  </si>
  <si>
    <t>Clase C</t>
  </si>
  <si>
    <t>Clase D (Blanqueo Ley 27.743)</t>
  </si>
  <si>
    <t>13/11/2025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</si>
  <si>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</si>
  <si>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</si>
  <si>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</si>
  <si>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</si>
  <si>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</si>
  <si>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</si>
  <si>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</si>
  <si>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</si>
  <si>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</si>
  <si>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</si>
  <si>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</si>
  <si>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</si>
  <si>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</si>
  <si>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</si>
  <si>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</si>
  <si>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</si>
  <si>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</si>
  <si>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</si>
  <si>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</si>
  <si>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Min</t>
  </si>
  <si>
    <t>en Pymes</t>
  </si>
  <si>
    <t>PN actual</t>
  </si>
  <si>
    <t>P&amp;L</t>
  </si>
  <si>
    <t>PN reservado</t>
  </si>
  <si>
    <t>Max</t>
  </si>
  <si>
    <t>Money Market</t>
  </si>
  <si>
    <t>PFRemuneradasCaucion</t>
  </si>
  <si>
    <t>cheques x librador</t>
  </si>
  <si>
    <t>x titulo en Pymes</t>
  </si>
  <si>
    <t>Garantías RFX (MOMENTUM)</t>
  </si>
  <si>
    <t>Bono</t>
  </si>
  <si>
    <t>VN</t>
  </si>
  <si>
    <t>Aforo</t>
  </si>
  <si>
    <t>$</t>
  </si>
  <si>
    <t>Garantia</t>
  </si>
  <si>
    <t>Garantías</t>
  </si>
  <si>
    <t>Total $ por contrato</t>
  </si>
  <si>
    <t>Contratos a shortear</t>
  </si>
  <si>
    <t>Contratos Shorteados</t>
  </si>
  <si>
    <t>Garantia Requerida</t>
  </si>
  <si>
    <t>Fut Rofex DLR052026</t>
  </si>
  <si>
    <t>Mayo</t>
  </si>
  <si>
    <t>Fut Rofex DLR062026</t>
  </si>
  <si>
    <t>Junio</t>
  </si>
  <si>
    <t>Julio</t>
  </si>
  <si>
    <t>Agosto</t>
  </si>
  <si>
    <t>Septiembre</t>
  </si>
  <si>
    <t>Saldo de Garantias</t>
  </si>
  <si>
    <t>FONDO</t>
  </si>
  <si>
    <t>CHPD</t>
  </si>
  <si>
    <t>VTO</t>
  </si>
  <si>
    <t>MONEDA</t>
  </si>
  <si>
    <t>MONTO</t>
  </si>
  <si>
    <t>MONTO $</t>
  </si>
  <si>
    <t>ESTADO</t>
  </si>
  <si>
    <t>LIBRADOR</t>
  </si>
  <si>
    <t>DIAS DE MORA</t>
  </si>
  <si>
    <t>AMOMPY</t>
  </si>
  <si>
    <t>*MAV030300645</t>
  </si>
  <si>
    <t>PREVISIONADO</t>
  </si>
  <si>
    <t>UKUMARI SOCIEDAD ANONIMA.</t>
  </si>
  <si>
    <t>LIBRADORES PENDIENTES</t>
  </si>
  <si>
    <t>*MAV100300802</t>
  </si>
  <si>
    <t>*MAV200500842</t>
  </si>
  <si>
    <t>PENDIENTE</t>
  </si>
  <si>
    <t>NIRO CONSTRUYE S. A.</t>
  </si>
  <si>
    <t>*MAV300500862</t>
  </si>
  <si>
    <t>MERCOL RAUL ALBERTO Y MERCOL MAURICIO EDUARDO.</t>
  </si>
  <si>
    <t>*MAV091000727</t>
  </si>
  <si>
    <t>F G SANITARIOS S R L</t>
  </si>
  <si>
    <t>*MAV151000873</t>
  </si>
  <si>
    <t>AKAI ENERGY LED SRL</t>
  </si>
  <si>
    <t>*MAV201001014</t>
  </si>
  <si>
    <t>FRIGORIFICO GENERAL PICO S A</t>
  </si>
  <si>
    <t>*MAV231000788</t>
  </si>
  <si>
    <t>MIANI CLARA A Y MIANI ADA CLELIA</t>
  </si>
  <si>
    <t>*MAV271000879</t>
  </si>
  <si>
    <t>% PN</t>
  </si>
  <si>
    <t>PORT PLA S.R.L.</t>
  </si>
  <si>
    <t>*MAV301000860</t>
  </si>
  <si>
    <t>CONEXION SALUD SRL</t>
  </si>
  <si>
    <t>*MAV031100816</t>
  </si>
  <si>
    <t>MASTER DESIGN HOME SRL</t>
  </si>
  <si>
    <t>*MAV031100940</t>
  </si>
  <si>
    <t>Prevision a aplicar</t>
  </si>
  <si>
    <t>BUNYAR S.R.L.</t>
  </si>
  <si>
    <t>*MAV041100892</t>
  </si>
  <si>
    <t>GROCAL S.A.</t>
  </si>
  <si>
    <t>*MAV051100567</t>
  </si>
  <si>
    <t>Paccioli Group Sociedad Anonima</t>
  </si>
  <si>
    <t>*MAV051100722</t>
  </si>
  <si>
    <t>FINEX CABA S. A.</t>
  </si>
  <si>
    <t>*MAV071100935</t>
  </si>
  <si>
    <t>TRADICION VALORES S.A.</t>
  </si>
  <si>
    <t>*MAV061100646</t>
  </si>
  <si>
    <t>Maradona Wines</t>
  </si>
  <si>
    <t>*MAV111100890</t>
  </si>
  <si>
    <t>LOPEZ LUCIA SOLEDAD</t>
  </si>
  <si>
    <t>*MAV121100854</t>
  </si>
  <si>
    <t>LIBRADOR PENDIENTE</t>
  </si>
  <si>
    <t>VIGENTE</t>
  </si>
  <si>
    <t>RABU INVERSIONES SRL</t>
  </si>
  <si>
    <t>*MAV121100675</t>
  </si>
  <si>
    <t>GROUP DIEZ S.A.</t>
  </si>
  <si>
    <t>*MAV141101053</t>
  </si>
  <si>
    <t>INVLAC CONSTRUCCIONES S.R.L</t>
  </si>
  <si>
    <t>*MAV141101054</t>
  </si>
  <si>
    <t>I-LED ARGENTINA S.A.</t>
  </si>
  <si>
    <t>*MAV171100932</t>
  </si>
  <si>
    <t>INTANSIA S.R.L</t>
  </si>
  <si>
    <t>*MAV151101337</t>
  </si>
  <si>
    <t>ASOCIACION ATLETICA ARGENTINOS JUNIORS</t>
  </si>
  <si>
    <t>*MAV181100869</t>
  </si>
  <si>
    <t>*MAV181100773</t>
  </si>
  <si>
    <t>*MAV191100661</t>
  </si>
  <si>
    <t>*MAV201100887</t>
  </si>
  <si>
    <t>*MAV211100687</t>
  </si>
  <si>
    <t>*MAV221100992</t>
  </si>
  <si>
    <t>*MAV271100809</t>
  </si>
  <si>
    <t>*MAV291101201</t>
  </si>
  <si>
    <t>*MAV151201389</t>
  </si>
  <si>
    <t>*MAV171200694</t>
  </si>
  <si>
    <t>*MAV181201122</t>
  </si>
  <si>
    <t>*MAV291200938</t>
  </si>
  <si>
    <t>*MAV020100774</t>
  </si>
  <si>
    <t>*MAV311200688</t>
  </si>
  <si>
    <t>*MAV050100914</t>
  </si>
  <si>
    <t>*MAV090100782</t>
  </si>
  <si>
    <t>*MAV120100963</t>
  </si>
  <si>
    <t>*MAV120101031</t>
  </si>
  <si>
    <t>*MAV140100871</t>
  </si>
  <si>
    <t>*MAV160100849</t>
  </si>
  <si>
    <t>*MAV160100806</t>
  </si>
  <si>
    <t>*MAV190100896</t>
  </si>
  <si>
    <t>*MAV200101319</t>
  </si>
  <si>
    <t>*MAV200101320</t>
  </si>
  <si>
    <t>*MAV200101321</t>
  </si>
  <si>
    <t>*MAV200101322</t>
  </si>
  <si>
    <t>*MAV210100855</t>
  </si>
  <si>
    <t>*MAV210100764</t>
  </si>
  <si>
    <t>*MAV210100850</t>
  </si>
  <si>
    <t>*MAV210100774</t>
  </si>
  <si>
    <t>*MAV220100909</t>
  </si>
  <si>
    <t>*MAV230100842</t>
  </si>
  <si>
    <t>*MAV230100905</t>
  </si>
  <si>
    <t>*MAV230100906</t>
  </si>
  <si>
    <t>*MAV230100907</t>
  </si>
  <si>
    <t>*MAV230100908</t>
  </si>
  <si>
    <t>*MAV260100839</t>
  </si>
  <si>
    <t>*MAV260100805</t>
  </si>
  <si>
    <t>*MAV240101107</t>
  </si>
  <si>
    <t>*MAV270100949</t>
  </si>
  <si>
    <t>*MAV280100704</t>
  </si>
  <si>
    <t>*MAV300100888</t>
  </si>
  <si>
    <t>*MAV300100901</t>
  </si>
  <si>
    <t>*MAV300100900</t>
  </si>
  <si>
    <t>*MAV300100917</t>
  </si>
  <si>
    <t>*MAV310101295</t>
  </si>
  <si>
    <t>*MAV020200696</t>
  </si>
  <si>
    <t>*MAV020200731</t>
  </si>
  <si>
    <t>*MAV030200785</t>
  </si>
  <si>
    <t>*MAV100201185</t>
  </si>
  <si>
    <t>*MAV100201142</t>
  </si>
  <si>
    <t>*MAV190200644</t>
  </si>
  <si>
    <t>*MAV210200955</t>
  </si>
  <si>
    <t>*MAV280201387</t>
  </si>
  <si>
    <t>*MAV110300951</t>
  </si>
  <si>
    <t>*MAV140301075</t>
  </si>
  <si>
    <t>*MAV160300869</t>
  </si>
  <si>
    <t>*MAV280301013</t>
  </si>
  <si>
    <t>*MAV110401018</t>
  </si>
  <si>
    <t>*MAV150501546</t>
  </si>
  <si>
    <t>*MAV150501075</t>
  </si>
  <si>
    <t>*MAV290500940</t>
  </si>
  <si>
    <t>*MAV300501529</t>
  </si>
  <si>
    <t>*MAV120601248</t>
  </si>
  <si>
    <t>*MAV160601141</t>
  </si>
  <si>
    <t>*MAV140601123</t>
  </si>
  <si>
    <t>*MAV260601332</t>
  </si>
  <si>
    <t>DESDE EL MAR S.A.</t>
  </si>
  <si>
    <t>*MAV260600989</t>
  </si>
  <si>
    <t>*MAV290600741</t>
  </si>
  <si>
    <t>*MAV010701183</t>
  </si>
  <si>
    <t>*MIL010700023</t>
  </si>
  <si>
    <t>MILLS S.G.R.</t>
  </si>
  <si>
    <t>Sociedad de Garantía Recíproca / Librador</t>
  </si>
  <si>
    <t>Suma de %</t>
  </si>
  <si>
    <t>COOPERATIVA DE VIVIENDA CREDITO Y CONSUMO PARA EL DESARROLLO LIMITADA</t>
  </si>
  <si>
    <t>SIGMA AGRO S.A.</t>
  </si>
  <si>
    <t>SES SA</t>
  </si>
  <si>
    <t>LA MANTOVANA DE SERVICIOS GENERALES SA</t>
  </si>
  <si>
    <t>BiBank S.A.</t>
  </si>
  <si>
    <t>DHN DESARROLLADORA SRL</t>
  </si>
  <si>
    <t>ALLIANCE ONE TOBACCO ARGENTINA</t>
  </si>
  <si>
    <t>PAY PER TIC SA</t>
  </si>
  <si>
    <t>GRUB SA</t>
  </si>
  <si>
    <t>DANBURY S. A</t>
  </si>
  <si>
    <t>LOS GROBO SGR</t>
  </si>
  <si>
    <t>ESPECIALIDADES AGROPECUARIAS S.A.</t>
  </si>
  <si>
    <t>S.E.S. S.A. - CONSTRUERE INGENIERIA S.A.</t>
  </si>
  <si>
    <t>TARJETA NARANJA SA</t>
  </si>
  <si>
    <t>VITALCAN S.A.</t>
  </si>
  <si>
    <t>Movil SGR</t>
  </si>
  <si>
    <t>COARD S A</t>
  </si>
  <si>
    <t>TRANS BOX SRL</t>
  </si>
  <si>
    <t>AVAL FEDERAL S.G.R.</t>
  </si>
  <si>
    <t>QUINTANA ENERGY INVESTMENTS</t>
  </si>
  <si>
    <t>INTEGRA PYMES SGR</t>
  </si>
  <si>
    <t>ASOCIACION DEL FUTBOL ARGENTINO</t>
  </si>
  <si>
    <t>PVP INTEGRAL S. R. L.</t>
  </si>
  <si>
    <t>SION S A</t>
  </si>
  <si>
    <t>VICTORIO PODESTA Y CIA S.A.</t>
  </si>
  <si>
    <t>Casa Hutton SA</t>
  </si>
  <si>
    <t>CELULOSA CAMPANA SA</t>
  </si>
  <si>
    <t>Neuquén Pymes S.G.R. </t>
  </si>
  <si>
    <t>Fidus S.G.R.</t>
  </si>
  <si>
    <t>CEIBO CREDITOS S.A.</t>
  </si>
  <si>
    <t>REMOLQUES OMBU S.A</t>
  </si>
  <si>
    <t>LAROCCA NEUMATICOS S A</t>
  </si>
  <si>
    <t>INDUSTRIAS ERCA S A</t>
  </si>
  <si>
    <t>TALLERES METALURGICOS CRUCIANELLI SA</t>
  </si>
  <si>
    <t>SERVICIOS DE PRODUCCIONES ARTISTICAS SRL</t>
  </si>
  <si>
    <t>POTENCIAR SGR</t>
  </si>
  <si>
    <t>FGF TRAPANI</t>
  </si>
  <si>
    <t>A M F A Y S ASOCIACION MUTUAL</t>
  </si>
  <si>
    <t>AMOROSO COPELLO MARCOS</t>
  </si>
  <si>
    <t>OJEDA ARIEL RUBEN</t>
  </si>
  <si>
    <t>LAGAVULIN S.A.</t>
  </si>
  <si>
    <t>LIPSA SRL</t>
  </si>
  <si>
    <t>AVAL AR SGR</t>
  </si>
  <si>
    <t>NVX SAS</t>
  </si>
  <si>
    <t>Vinculos S.G.R.</t>
  </si>
  <si>
    <t>METALFOR SA</t>
  </si>
  <si>
    <t>BODEGAS Y VIÑEDOS SANTA ELENA SRL</t>
  </si>
  <si>
    <t>ACINDAR PYMES SGR</t>
  </si>
  <si>
    <t>BROADBANDTECH SA</t>
  </si>
  <si>
    <t>TEVECOA SRL</t>
  </si>
  <si>
    <t>MOBEL SOCIEDAD ANONIMA</t>
  </si>
  <si>
    <t>S A BUCCOLINI C I F I A</t>
  </si>
  <si>
    <t>TECNOGRAFIC</t>
  </si>
  <si>
    <t>DRACONIS S.A.</t>
  </si>
  <si>
    <t>CUYO AVAL SGR</t>
  </si>
  <si>
    <t>PAMPA VIDA S.R.L.</t>
  </si>
  <si>
    <t>YAGUA COLI S.A.</t>
  </si>
  <si>
    <t>ACERIAS 4 C SA</t>
  </si>
  <si>
    <t>PLANTIUM S.A.</t>
  </si>
  <si>
    <t>CONAVAL SGR</t>
  </si>
  <si>
    <t>VITIVINICOLA ROCAL SRL</t>
  </si>
  <si>
    <t>BUROMAHTIK SA</t>
  </si>
  <si>
    <t>Union S.G.R.</t>
  </si>
  <si>
    <t>EMEPA S A</t>
  </si>
  <si>
    <t>VM METALURGICA SRL</t>
  </si>
  <si>
    <t>DEMAGRO SRL</t>
  </si>
  <si>
    <t>TEXTUM SA</t>
  </si>
  <si>
    <t>FORESTAL ELDORADO SRL</t>
  </si>
  <si>
    <t>FORESTADORA TAPEBICUA</t>
  </si>
  <si>
    <t>LOGICA CONSULTING GROUP SAU</t>
  </si>
  <si>
    <t>LOS INCAS DESARROLLOS</t>
  </si>
  <si>
    <t>METALURGICA DEL CENTRO SRL</t>
  </si>
  <si>
    <t>CASSAB HNOS S.R.L.</t>
  </si>
  <si>
    <t>EL FIERRO SRL</t>
  </si>
  <si>
    <t>TREND SGR</t>
  </si>
  <si>
    <t>LINEA PUNTO CERO SRL</t>
  </si>
  <si>
    <t>PUNTO PACK SRL</t>
  </si>
  <si>
    <t>REGCEN S.R.L.</t>
  </si>
  <si>
    <t>LE SYVAN S R L</t>
  </si>
  <si>
    <t>TECNO AGRIC RIO CUARTO SAS</t>
  </si>
  <si>
    <t>GLYCINMAX SRL</t>
  </si>
  <si>
    <t>MANGIATERRA JUANA MARIA</t>
  </si>
  <si>
    <t>BAYIT EMPRESA CONSTRUCTORA SRL</t>
  </si>
  <si>
    <t>DE LAS MISIONES S.A.</t>
  </si>
  <si>
    <t>APEXAR TECHNOLOGIES SA</t>
  </si>
  <si>
    <t>GABRIEL E KELLY Y COMPANIA S.A.</t>
  </si>
  <si>
    <t>JOSE MORETTA S.A.</t>
  </si>
  <si>
    <t>C P S COMUNICACIONES S.A.U.</t>
  </si>
  <si>
    <t>LW GROUP SRL</t>
  </si>
  <si>
    <t>GASTRONOMIA EN MOVIMIENTO SRL</t>
  </si>
  <si>
    <t>CIMBRA SAS</t>
  </si>
  <si>
    <t>SKAARUP MATIAS NICOLAS</t>
  </si>
  <si>
    <t>DOSAM SOCIEDAD DE RESPONSABILIDAD LIMITADA</t>
  </si>
  <si>
    <t>ROTATIVOS UNICOM SRL</t>
  </si>
  <si>
    <t>MAFER DISTRIBUIDORA SA</t>
  </si>
  <si>
    <t>INC SOCIEDAD ANONIMA</t>
  </si>
  <si>
    <t>385 COMERCIAL SA</t>
  </si>
  <si>
    <t>CONSTRUCCIONES S&amp;C SAS</t>
  </si>
  <si>
    <t>DISTRIBUIDORA LEO SRL</t>
  </si>
  <si>
    <t>LITTLE BLUE SRL</t>
  </si>
  <si>
    <t>QUALITET SA</t>
  </si>
  <si>
    <t>SOMOS INTEGRA SRL</t>
  </si>
  <si>
    <t>AGROTRANSPORTE ALDAO S.A.</t>
  </si>
  <si>
    <t>LINAL SA</t>
  </si>
  <si>
    <t>LORENZO ANNECCHINI S A</t>
  </si>
  <si>
    <t>POLIMEROS EXPRESS SA</t>
  </si>
  <si>
    <t>BILOMAT</t>
  </si>
  <si>
    <t>CAMPO AVAL SGR</t>
  </si>
  <si>
    <t>VINOX SRL</t>
  </si>
  <si>
    <t>QUILMES</t>
  </si>
  <si>
    <t>EL AUDITOR SA</t>
  </si>
  <si>
    <t>INTERTEXTIL SRL</t>
  </si>
  <si>
    <t>G&amp;T LOGISTICA SA</t>
  </si>
  <si>
    <t>NUEVAS CARTULINAS SRL</t>
  </si>
  <si>
    <t>HIADES SRL</t>
  </si>
  <si>
    <t>PETROLEOS SUDAMERICANOS SA</t>
  </si>
  <si>
    <t>PROLIB SAS</t>
  </si>
  <si>
    <t>GRUPO 88 S.A.</t>
  </si>
  <si>
    <t>FIDEICOMISO TERRAL AL MAR</t>
  </si>
  <si>
    <t>TRANSPORTE ZAVIOLA</t>
  </si>
  <si>
    <t>GRUPO PLEYART SA</t>
  </si>
  <si>
    <t>LIBRERIAS IMPULSO SAS</t>
  </si>
  <si>
    <t>S.N.M.Y. S.A.S.</t>
  </si>
  <si>
    <t>ANDALUCIA SRL</t>
  </si>
  <si>
    <t>MADETEC SA</t>
  </si>
  <si>
    <t>POOL SEIS S.A</t>
  </si>
  <si>
    <t>NORTEALIM</t>
  </si>
  <si>
    <t>NAKU CONSTRUCCIONES SRL ALTOTE RODNEY SAUT</t>
  </si>
  <si>
    <t>V Y V ALIMENTOS S.A.</t>
  </si>
  <si>
    <t>EL TREBOL SRL</t>
  </si>
  <si>
    <t>AGROREDES SRL</t>
  </si>
  <si>
    <t>GIVA LOGISTIC SRL</t>
  </si>
  <si>
    <t>RECIWORLD SRL</t>
  </si>
  <si>
    <t>DROGUERIA GARZON SA</t>
  </si>
  <si>
    <t>WORK PROJECT GROUP SA</t>
  </si>
  <si>
    <t>AMERICA PAMPA AGROINDUSTRIAL S.A.</t>
  </si>
  <si>
    <t>UNCIPRES IMPORTACIONES SA</t>
  </si>
  <si>
    <t>LIBRERIA DEL SUR SH</t>
  </si>
  <si>
    <t>HARJUICE SRL</t>
  </si>
  <si>
    <t>GEOPOLIS SA</t>
  </si>
  <si>
    <t>AKIAN GRAFICA EDITORA SOCIEDAD ANONIMA</t>
  </si>
  <si>
    <t>MADERAS 25 DE MAYO S.A.S</t>
  </si>
  <si>
    <t>GRAFICA IGMA S.R.L</t>
  </si>
  <si>
    <t>CEMEYKA SRL</t>
  </si>
  <si>
    <t>JUARROS JOSE LUIS</t>
  </si>
  <si>
    <t>KEY TECHNOLOGY SRL</t>
  </si>
  <si>
    <t>CAPDEVILA MADERAS SRL</t>
  </si>
  <si>
    <t>G7 SOLUCIONES INTEGRALES SRL</t>
  </si>
  <si>
    <t>NEW ARRECIFE S.A.</t>
  </si>
  <si>
    <t>CENTRO ESTANT S.A.</t>
  </si>
  <si>
    <t>BILOROOM</t>
  </si>
  <si>
    <t>ENTRENUTS SRL</t>
  </si>
  <si>
    <t>VIVIENDAS DON PALACIOS SRL</t>
  </si>
  <si>
    <t>LITORAL CLEAN SRL</t>
  </si>
  <si>
    <t>CASA BODE SRL</t>
  </si>
  <si>
    <t>CASANO GRAFICA SA</t>
  </si>
  <si>
    <t>LEIDA S.A.</t>
  </si>
  <si>
    <t>PREAR PRETENSADOS ARGENTINOS S A</t>
  </si>
  <si>
    <t>INDUSTRIAS J A M SOCIEDAD ANONIMA INDUSTRIAL Y COMERCIAL</t>
  </si>
  <si>
    <t>TORO DIGITAL SA</t>
  </si>
  <si>
    <t>INDUSTRIA GRAFICA MARTIN SA</t>
  </si>
  <si>
    <t>VEO VISUAL</t>
  </si>
  <si>
    <t>LSG ARGENTINA SRL</t>
  </si>
  <si>
    <t>TU HOGAR PATAGONIA SRL</t>
  </si>
  <si>
    <t>IRIBERRI Y MOLINERO S A C I</t>
  </si>
  <si>
    <t>ABANS PROCESOS SRL</t>
  </si>
  <si>
    <t>EDUCACION POPULAR ASOCIACION CIVIL</t>
  </si>
  <si>
    <t>GRAFICA EMEDE SRL</t>
  </si>
  <si>
    <t>GRAFICOS SRL SRL</t>
  </si>
  <si>
    <t>COLLEVECCHIO HNOS SA</t>
  </si>
  <si>
    <t>IGAR SRL</t>
  </si>
  <si>
    <t>LAS 6 EMES SAS</t>
  </si>
  <si>
    <t>CATALEIA SA</t>
  </si>
  <si>
    <t>LAVORO FRANCO LUCIANO</t>
  </si>
  <si>
    <t>SERVIPLAST S A</t>
  </si>
  <si>
    <t>VIA PRINT SRL</t>
  </si>
  <si>
    <t>AGROPECUARIA LA PODEROSA SA</t>
  </si>
  <si>
    <t>MA SEOANE RIERA SRL</t>
  </si>
  <si>
    <t>SALLEO SRL</t>
  </si>
  <si>
    <t>TPS CONSTRUCTORA SA</t>
  </si>
  <si>
    <t>RIVAS LUIS HECTOR Y RIVAS FABIAN HECTOR SH</t>
  </si>
  <si>
    <t>CONSTRUCCIONES &amp; MADERAS SRL</t>
  </si>
  <si>
    <t>LA PAMPAGONIA SRL</t>
  </si>
  <si>
    <t>PROYECCION GRAFICA SRL</t>
  </si>
  <si>
    <t>VENTIMIGLIA SRL</t>
  </si>
  <si>
    <t>PEREZ SEBASTIAN LEONEL</t>
  </si>
  <si>
    <t>INKPAPER SA</t>
  </si>
  <si>
    <t>ANDRIMARSIL SRL</t>
  </si>
  <si>
    <t>QUELEER SA</t>
  </si>
  <si>
    <t>LIBRERIA HELIOS SRL</t>
  </si>
  <si>
    <t>LA GRAFICA SRL</t>
  </si>
  <si>
    <t>FORMATO GRAFICO S R L</t>
  </si>
  <si>
    <t>BLACKFOX SRL</t>
  </si>
  <si>
    <t>SANDYPACK SRL</t>
  </si>
  <si>
    <t>DELPINO FRANCO MATIAS</t>
  </si>
  <si>
    <t>AGRO JONES SRL</t>
  </si>
  <si>
    <t>THE CRAZY COW S.R.L.</t>
  </si>
  <si>
    <t>COOPERATIVA DE TABACALEROS DE JUJUY LTDA</t>
  </si>
  <si>
    <t>BSP LARTI SA</t>
  </si>
  <si>
    <t>Suma total</t>
  </si>
  <si>
    <t>Reporte de Cheques de Pago Diferido</t>
  </si>
  <si>
    <t>Cheque de Pago Diferido y Pagaré</t>
  </si>
  <si>
    <t>Moneda</t>
  </si>
  <si>
    <t>Tipo de Cambio (Cheque/Fondo)</t>
  </si>
  <si>
    <t>Moneda Cheque</t>
  </si>
  <si>
    <t>Moneda Fondo</t>
  </si>
  <si>
    <t>Fondo</t>
  </si>
  <si>
    <t>Vendido</t>
  </si>
  <si>
    <t>Venta</t>
  </si>
  <si>
    <t>Fecha de Vencimiento</t>
  </si>
  <si>
    <t>Importe Nominal</t>
  </si>
  <si>
    <t>Importe Actual</t>
  </si>
  <si>
    <t>Nro. de Operación</t>
  </si>
  <si>
    <t>Nombre</t>
  </si>
  <si>
    <t>Agente</t>
  </si>
  <si>
    <t>Fecha Concertación</t>
  </si>
  <si>
    <t>Fecha Liquidación</t>
  </si>
  <si>
    <t>Tasa de Descuento</t>
  </si>
  <si>
    <t>Abreviatura</t>
  </si>
  <si>
    <t>Código CAFCI</t>
  </si>
  <si>
    <t>%</t>
  </si>
  <si>
    <t>Pesos</t>
  </si>
  <si>
    <t>Momentum Capital Investment S.A.</t>
  </si>
  <si>
    <t>*ACI010700324</t>
  </si>
  <si>
    <t>No</t>
  </si>
  <si>
    <t>*MAV010701115</t>
  </si>
  <si>
    <t>*MAV010701315</t>
  </si>
  <si>
    <t>*MAV010701150</t>
  </si>
  <si>
    <t>*MAV010701178</t>
  </si>
  <si>
    <t>*MAV010701098</t>
  </si>
  <si>
    <t>*MAV010701052</t>
  </si>
  <si>
    <t>*MAV010701039</t>
  </si>
  <si>
    <t>#INT020760001</t>
  </si>
  <si>
    <t>#UMV010760032</t>
  </si>
  <si>
    <t>#MAV020760016</t>
  </si>
  <si>
    <t>*MAV010701292</t>
  </si>
  <si>
    <t>*INP010700054</t>
  </si>
  <si>
    <t>*AAR010700018</t>
  </si>
  <si>
    <t>*AAR010700017</t>
  </si>
  <si>
    <t>Posición de Cuotapartista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</si>
  <si>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</si>
  <si>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</si>
  <si>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</si>
  <si>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</si>
  <si>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</si>
  <si>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</si>
  <si>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</si>
  <si>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</si>
  <si>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</si>
  <si>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</si>
  <si>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C</t>
  </si>
  <si>
    <t>Agentes de Colocación y Distribución Integral de FCIs</t>
  </si>
  <si>
    <t>BANCO DE SAN JUAN SA</t>
  </si>
  <si>
    <t>ZOFINGEN SECURITIES S.A. (ACDI)</t>
  </si>
  <si>
    <t>B</t>
  </si>
  <si>
    <t>BANCO DE LA CIUDAD DE BUENOS AIRES</t>
  </si>
  <si>
    <t>A</t>
  </si>
  <si>
    <t>ALYCBUR S.A. (ACDI)</t>
  </si>
  <si>
    <t>BANCO DE SANTA CRUZ 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</si>
</sst>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3">
    <numFmt numFmtId="164" formatCode="dd/mm/yyyy"/>
    <numFmt numFmtId="165" formatCode="#,##0.00000000"/>
    <numFmt numFmtId="166" formatCode="#,##0.000000000"/>
    <numFmt numFmtId="167" formatCode="#,##0.0000000000"/>
    <numFmt numFmtId="168" formatCode="#,##0.0"/>
    <numFmt numFmtId="169" formatCode="_-* #,##0.00_-;\-* #,##0.00_-;_-* &quot;-&quot;??_-;_-@"/>
    <numFmt numFmtId="170" formatCode="_(* #,##0.00_);_(* \(#,##0.00\);_(* &quot;-&quot;??_);_(@_)"/>
    <numFmt numFmtId="171" formatCode="_(* #,##0_);_(* \(#,##0\);_(* &quot;-&quot;??_);_(@_)"/>
    <numFmt numFmtId="172" formatCode="_-* #,##0.00\ _€_-;\-* #,##0.00\ _€_-;_-* &quot;-&quot;??\ _€_-;_-@"/>
    <numFmt numFmtId="173" formatCode="_(* #,##0.000000_);_(* \(#,##0.000000\);_(* &quot;-&quot;??_);_(@_)"/>
    <numFmt numFmtId="174" formatCode="_-* #,##0.00000000\ _€_-;\-* #,##0.00000000\ _€_-;_-* &quot;-&quot;????????\ _€_-;_-@"/>
    <numFmt numFmtId="175" formatCode="#,##0.0000"/>
    <numFmt numFmtId="176" formatCode="_(* #,##0.0000000_);_(* \(#,##0.0000000\);_(* &quot;-&quot;??_);_(@_)"/>
    <numFmt numFmtId="177" formatCode="#,##0.000"/>
    <numFmt numFmtId="178" formatCode="#,##0.0000000"/>
    <numFmt numFmtId="179" formatCode="#,##0.000000"/>
    <numFmt numFmtId="180" formatCode="_ * #,##0_ ;_ * \-#,##0_ ;_ * &quot;-&quot;??_ ;_ @_ "/>
    <numFmt numFmtId="181" formatCode="_ * #,##0.00000_ ;_ * \-#,##0.00000_ ;_ * &quot;-&quot;??_ ;_ @_ "/>
    <numFmt numFmtId="182" formatCode="_-* #,##0_-;\-* #,##0_-;_-* &quot;-&quot;??_-;_-@"/>
    <numFmt numFmtId="183" formatCode="_ * #,##0.00_ ;_ * \-#,##0.00_ ;_ * &quot;-&quot;??_ ;_ @_ "/>
    <numFmt numFmtId="184" formatCode="_-&quot;$&quot;\ * #,##0.00_-;\-&quot;$&quot;\ * #,##0.00_-;_-&quot;$&quot;\ * &quot;-&quot;??_-;_-@"/>
    <numFmt numFmtId="185" formatCode="_(&quot;$&quot;* #,##0.00_);_(&quot;$&quot;* \(#,##0.00\);_(&quot;$&quot;* &quot;-&quot;??_);_(@_)"/>
    <numFmt numFmtId="186" formatCode="_(* #,##0.00000000_);_(* \(#,##0.00000000\);_(* &quot;-&quot;??_);_(@_)"/>
  </numFmts>
  <fonts count="18">
    <font>
      <sz val="11.0"/>
      <color theme="1"/>
      <name val="Calibri"/>
      <scheme val="minor"/>
    </font>
    <font>
      <sz val="10.0"/>
      <color theme="1"/>
      <name val="Arial"/>
    </font>
    <font>
      <sz val="11.0"/>
      <color theme="1"/>
      <name val="Calibri"/>
    </font>
    <font>
      <sz val="10.0"/>
      <color rgb="FFFF0000"/>
      <name val="Arial"/>
    </font>
    <font>
      <sz val="11.0"/>
      <color rgb="FFFF0000"/>
      <name val="Calibri"/>
    </font>
    <font>
      <sz val="11.0"/>
      <color theme="0"/>
      <name val="Calibri"/>
    </font>
    <font>
      <b/>
      <sz val="10.0"/>
      <color rgb="FFFFFFFF"/>
      <name val="Arial"/>
    </font>
    <font>
      <b/>
      <sz val="11.0"/>
      <color theme="1"/>
      <name val="Calibri"/>
    </font>
    <font>
      <color theme="1"/>
      <name val="Calibri"/>
      <scheme val="minor"/>
    </font>
    <font>
      <sz val="8.0"/>
      <color rgb="FF212529"/>
      <name val="Lato"/>
    </font>
    <font>
      <sz val="11.0"/>
      <color rgb="FF000000"/>
      <name val="Calibri"/>
    </font>
    <font>
      <sz val="10.0"/>
      <color theme="0"/>
      <name val="Arial"/>
    </font>
    <font>
      <u/>
      <sz val="11.0"/>
      <color theme="10"/>
      <name val="Calibri"/>
    </font>
    <font>
      <b/>
      <sz val="11.0"/>
      <color theme="0"/>
      <name val="Calibri"/>
    </font>
    <font>
      <b/>
      <sz val="10.0"/>
      <color theme="1"/>
      <name val="Arial"/>
    </font>
    <font>
      <b/>
      <sz val="12.0"/>
      <color theme="1"/>
      <name val="Arial"/>
    </font>
    <font>
      <b/>
      <sz val="12.0"/>
      <color theme="0"/>
      <name val="Arial"/>
    </font>
    <font>
      <b/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366092"/>
        <bgColor rgb="FF366092"/>
      </patternFill>
    </fill>
    <fill>
      <patternFill patternType="solid">
        <fgColor rgb="FFFDE9D9"/>
        <bgColor rgb="FFFDE9D9"/>
      </patternFill>
    </fill>
    <fill>
      <patternFill patternType="solid">
        <fgColor rgb="FFB6DDE8"/>
        <bgColor rgb="FFB6DDE8"/>
      </patternFill>
    </fill>
    <fill>
      <patternFill patternType="solid">
        <fgColor rgb="FFFF0000"/>
        <bgColor rgb="FFFF0000"/>
      </patternFill>
    </fill>
    <fill>
      <patternFill patternType="solid">
        <fgColor rgb="FFD6E3BC"/>
        <bgColor rgb="FFD6E3BC"/>
      </patternFill>
    </fill>
    <fill>
      <patternFill patternType="solid">
        <fgColor rgb="FFD3D3D3"/>
        <bgColor rgb="FFD3D3D3"/>
      </patternFill>
    </fill>
  </fills>
  <borders count="22">
    <border/>
    <border>
      <left/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/>
    </border>
    <border>
      <left style="thin">
        <color rgb="FF999999"/>
      </left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1" fillId="2" fontId="3" numFmtId="0" xfId="0" applyBorder="1" applyFont="1"/>
    <xf borderId="1" fillId="2" fontId="3" numFmtId="14" xfId="0" applyAlignment="1" applyBorder="1" applyFont="1" applyNumberFormat="1">
      <alignment horizontal="center"/>
    </xf>
    <xf borderId="1" fillId="2" fontId="3" numFmtId="3" xfId="0" applyBorder="1" applyFont="1" applyNumberFormat="1"/>
    <xf borderId="1" fillId="2" fontId="3" numFmtId="166" xfId="0" applyBorder="1" applyFont="1" applyNumberFormat="1"/>
    <xf borderId="1" fillId="2" fontId="3" numFmtId="4" xfId="0" applyBorder="1" applyFont="1" applyNumberFormat="1"/>
    <xf borderId="1" fillId="2" fontId="3" numFmtId="167" xfId="0" applyBorder="1" applyFont="1" applyNumberFormat="1"/>
    <xf borderId="0" fillId="0" fontId="3" numFmtId="168" xfId="0" applyFont="1" applyNumberFormat="1"/>
    <xf borderId="1" fillId="2" fontId="4" numFmtId="0" xfId="0" applyBorder="1" applyFont="1"/>
    <xf borderId="1" fillId="2" fontId="2" numFmtId="169" xfId="0" applyBorder="1" applyFont="1" applyNumberFormat="1"/>
    <xf borderId="1" fillId="2" fontId="2" numFmtId="170" xfId="0" applyBorder="1" applyFont="1" applyNumberFormat="1"/>
    <xf borderId="1" fillId="2" fontId="2" numFmtId="3" xfId="0" applyBorder="1" applyFont="1" applyNumberFormat="1"/>
    <xf borderId="1" fillId="2" fontId="5" numFmtId="0" xfId="0" applyBorder="1" applyFont="1"/>
    <xf borderId="1" fillId="2" fontId="4" numFmtId="171" xfId="0" applyBorder="1" applyFont="1" applyNumberFormat="1"/>
    <xf borderId="0" fillId="0" fontId="1" numFmtId="0" xfId="0" applyAlignment="1" applyFont="1">
      <alignment horizontal="right"/>
    </xf>
    <xf borderId="0" fillId="0" fontId="2" numFmtId="169" xfId="0" applyFont="1" applyNumberFormat="1"/>
    <xf borderId="1" fillId="3" fontId="6" numFmtId="0" xfId="0" applyAlignment="1" applyBorder="1" applyFill="1" applyFont="1">
      <alignment horizontal="center" shrinkToFit="0" wrapText="1"/>
    </xf>
    <xf borderId="1" fillId="3" fontId="6" numFmtId="0" xfId="0" applyAlignment="1" applyBorder="1" applyFont="1">
      <alignment horizontal="left"/>
    </xf>
    <xf borderId="1" fillId="3" fontId="6" numFmtId="14" xfId="0" applyAlignment="1" applyBorder="1" applyFont="1" applyNumberFormat="1">
      <alignment horizontal="center"/>
    </xf>
    <xf borderId="0" fillId="0" fontId="2" numFmtId="14" xfId="0" applyFont="1" applyNumberFormat="1"/>
    <xf borderId="0" fillId="0" fontId="7" numFmtId="0" xfId="0" applyFont="1"/>
    <xf borderId="0" fillId="0" fontId="1" numFmtId="4" xfId="0" applyFont="1" applyNumberFormat="1"/>
    <xf borderId="0" fillId="0" fontId="1" numFmtId="3" xfId="0" applyFont="1" applyNumberFormat="1"/>
    <xf borderId="0" fillId="0" fontId="8" numFmtId="0" xfId="0" applyFont="1"/>
    <xf borderId="0" fillId="0" fontId="2" numFmtId="171" xfId="0" applyFont="1" applyNumberFormat="1"/>
    <xf borderId="0" fillId="0" fontId="2" numFmtId="10" xfId="0" applyFont="1" applyNumberFormat="1"/>
    <xf borderId="0" fillId="0" fontId="2" numFmtId="3" xfId="0" applyFont="1" applyNumberFormat="1"/>
    <xf borderId="0" fillId="0" fontId="1" numFmtId="168" xfId="0" applyFont="1" applyNumberFormat="1"/>
    <xf borderId="1" fillId="2" fontId="2" numFmtId="171" xfId="0" applyBorder="1" applyFont="1" applyNumberFormat="1"/>
    <xf borderId="0" fillId="0" fontId="4" numFmtId="0" xfId="0" applyFont="1"/>
    <xf borderId="0" fillId="0" fontId="2" numFmtId="0" xfId="0" applyFont="1"/>
    <xf borderId="0" fillId="0" fontId="4" numFmtId="3" xfId="0" applyFont="1" applyNumberFormat="1"/>
    <xf borderId="1" fillId="2" fontId="4" numFmtId="9" xfId="0" applyBorder="1" applyFont="1" applyNumberFormat="1"/>
    <xf borderId="0" fillId="0" fontId="1" numFmtId="171" xfId="0" applyFont="1" applyNumberFormat="1"/>
    <xf borderId="0" fillId="0" fontId="4" numFmtId="171" xfId="0" applyFont="1" applyNumberFormat="1"/>
    <xf borderId="0" fillId="0" fontId="9" numFmtId="4" xfId="0" applyFont="1" applyNumberFormat="1"/>
    <xf borderId="0" fillId="0" fontId="2" numFmtId="170" xfId="0" applyFont="1" applyNumberFormat="1"/>
    <xf borderId="0" fillId="0" fontId="10" numFmtId="3" xfId="0" applyFont="1" applyNumberFormat="1"/>
    <xf borderId="0" fillId="0" fontId="10" numFmtId="4" xfId="0" applyFont="1" applyNumberFormat="1"/>
    <xf borderId="0" fillId="0" fontId="2" numFmtId="4" xfId="0" applyFont="1" applyNumberFormat="1"/>
    <xf borderId="0" fillId="0" fontId="7" numFmtId="171" xfId="0" applyFont="1" applyNumberFormat="1"/>
    <xf borderId="1" fillId="2" fontId="11" numFmtId="0" xfId="0" applyBorder="1" applyFont="1"/>
    <xf borderId="0" fillId="0" fontId="10" numFmtId="171" xfId="0" applyFont="1" applyNumberFormat="1"/>
    <xf borderId="2" fillId="0" fontId="2" numFmtId="0" xfId="0" applyBorder="1" applyFont="1"/>
    <xf borderId="2" fillId="0" fontId="4" numFmtId="171" xfId="0" applyBorder="1" applyFont="1" applyNumberFormat="1"/>
    <xf borderId="2" fillId="0" fontId="2" numFmtId="171" xfId="0" applyBorder="1" applyFont="1" applyNumberFormat="1"/>
    <xf borderId="1" fillId="2" fontId="2" numFmtId="10" xfId="0" applyBorder="1" applyFont="1" applyNumberFormat="1"/>
    <xf borderId="1" fillId="4" fontId="2" numFmtId="169" xfId="0" applyBorder="1" applyFill="1" applyFont="1" applyNumberFormat="1"/>
    <xf borderId="1" fillId="2" fontId="2" numFmtId="172" xfId="0" applyBorder="1" applyFont="1" applyNumberFormat="1"/>
    <xf borderId="1" fillId="5" fontId="7" numFmtId="10" xfId="0" applyBorder="1" applyFill="1" applyFont="1" applyNumberFormat="1"/>
    <xf borderId="0" fillId="0" fontId="2" numFmtId="9" xfId="0" applyAlignment="1" applyFont="1" applyNumberFormat="1">
      <alignment horizontal="center"/>
    </xf>
    <xf borderId="1" fillId="2" fontId="2" numFmtId="4" xfId="0" applyBorder="1" applyFont="1" applyNumberFormat="1"/>
    <xf borderId="1" fillId="2" fontId="2" numFmtId="173" xfId="0" applyBorder="1" applyFont="1" applyNumberFormat="1"/>
    <xf borderId="1" fillId="2" fontId="1" numFmtId="168" xfId="0" applyBorder="1" applyFont="1" applyNumberFormat="1"/>
    <xf borderId="3" fillId="6" fontId="7" numFmtId="0" xfId="0" applyAlignment="1" applyBorder="1" applyFill="1" applyFont="1">
      <alignment horizontal="center"/>
    </xf>
    <xf borderId="3" fillId="6" fontId="7" numFmtId="4" xfId="0" applyBorder="1" applyFont="1" applyNumberFormat="1"/>
    <xf borderId="1" fillId="2" fontId="1" numFmtId="170" xfId="0" applyBorder="1" applyFont="1" applyNumberFormat="1"/>
    <xf borderId="3" fillId="2" fontId="2" numFmtId="0" xfId="0" applyAlignment="1" applyBorder="1" applyFont="1">
      <alignment horizontal="center"/>
    </xf>
    <xf borderId="3" fillId="2" fontId="2" numFmtId="4" xfId="0" applyBorder="1" applyFont="1" applyNumberFormat="1"/>
    <xf borderId="1" fillId="2" fontId="2" numFmtId="174" xfId="0" applyBorder="1" applyFont="1" applyNumberFormat="1"/>
    <xf borderId="0" fillId="0" fontId="1" numFmtId="175" xfId="0" applyFont="1" applyNumberFormat="1"/>
    <xf borderId="0" fillId="0" fontId="1" numFmtId="164" xfId="0" applyAlignment="1" applyFont="1" applyNumberFormat="1">
      <alignment horizontal="center"/>
    </xf>
    <xf borderId="1" fillId="2" fontId="2" numFmtId="176" xfId="0" applyBorder="1" applyFont="1" applyNumberFormat="1"/>
    <xf borderId="0" fillId="0" fontId="1" numFmtId="177" xfId="0" applyFont="1" applyNumberFormat="1"/>
    <xf borderId="1" fillId="2" fontId="7" numFmtId="0" xfId="0" applyBorder="1" applyFont="1"/>
    <xf borderId="0" fillId="0" fontId="1" numFmtId="178" xfId="0" applyFont="1" applyNumberFormat="1"/>
    <xf borderId="0" fillId="0" fontId="1" numFmtId="165" xfId="0" applyFont="1" applyNumberFormat="1"/>
    <xf borderId="0" fillId="0" fontId="1" numFmtId="167" xfId="0" applyFont="1" applyNumberFormat="1"/>
    <xf borderId="0" fillId="0" fontId="1" numFmtId="166" xfId="0" applyFont="1" applyNumberFormat="1"/>
    <xf borderId="1" fillId="2" fontId="4" numFmtId="3" xfId="0" applyBorder="1" applyFont="1" applyNumberFormat="1"/>
    <xf borderId="0" fillId="0" fontId="1" numFmtId="179" xfId="0" applyFont="1" applyNumberFormat="1"/>
    <xf borderId="1" fillId="2" fontId="2" numFmtId="0" xfId="0" applyAlignment="1" applyBorder="1" applyFont="1">
      <alignment horizontal="center"/>
    </xf>
    <xf borderId="1" fillId="2" fontId="2" numFmtId="9" xfId="0" applyAlignment="1" applyBorder="1" applyFont="1" applyNumberFormat="1">
      <alignment horizontal="center"/>
    </xf>
    <xf borderId="0" fillId="0" fontId="12" numFmtId="0" xfId="0" applyFont="1"/>
    <xf borderId="0" fillId="0" fontId="1" numFmtId="10" xfId="0" applyFont="1" applyNumberFormat="1"/>
    <xf borderId="0" fillId="0" fontId="1" numFmtId="170" xfId="0" applyFont="1" applyNumberFormat="1"/>
    <xf borderId="0" fillId="0" fontId="2" numFmtId="9" xfId="0" applyFont="1" applyNumberFormat="1"/>
    <xf borderId="1" fillId="5" fontId="2" numFmtId="170" xfId="0" applyBorder="1" applyFont="1" applyNumberFormat="1"/>
    <xf borderId="1" fillId="2" fontId="2" numFmtId="9" xfId="0" applyBorder="1" applyFont="1" applyNumberFormat="1"/>
    <xf borderId="4" fillId="7" fontId="13" numFmtId="0" xfId="0" applyBorder="1" applyFill="1" applyFont="1"/>
    <xf borderId="5" fillId="7" fontId="13" numFmtId="0" xfId="0" applyBorder="1" applyFont="1"/>
    <xf borderId="6" fillId="7" fontId="13" numFmtId="0" xfId="0" applyBorder="1" applyFont="1"/>
    <xf borderId="7" fillId="7" fontId="13" numFmtId="0" xfId="0" applyAlignment="1" applyBorder="1" applyFont="1">
      <alignment horizontal="center"/>
    </xf>
    <xf borderId="3" fillId="0" fontId="2" numFmtId="180" xfId="0" applyAlignment="1" applyBorder="1" applyFont="1" applyNumberFormat="1">
      <alignment horizontal="center"/>
    </xf>
    <xf borderId="3" fillId="0" fontId="2" numFmtId="181" xfId="0" applyAlignment="1" applyBorder="1" applyFont="1" applyNumberFormat="1">
      <alignment horizontal="center"/>
    </xf>
    <xf borderId="3" fillId="0" fontId="2" numFmtId="9" xfId="0" applyAlignment="1" applyBorder="1" applyFont="1" applyNumberFormat="1">
      <alignment horizontal="center"/>
    </xf>
    <xf borderId="3" fillId="0" fontId="2" numFmtId="182" xfId="0" applyAlignment="1" applyBorder="1" applyFont="1" applyNumberFormat="1">
      <alignment horizontal="center"/>
    </xf>
    <xf borderId="3" fillId="0" fontId="1" numFmtId="0" xfId="0" applyBorder="1" applyFont="1"/>
    <xf borderId="8" fillId="0" fontId="2" numFmtId="9" xfId="0" applyAlignment="1" applyBorder="1" applyFont="1" applyNumberFormat="1">
      <alignment horizontal="center"/>
    </xf>
    <xf borderId="8" fillId="0" fontId="2" numFmtId="182" xfId="0" applyAlignment="1" applyBorder="1" applyFont="1" applyNumberFormat="1">
      <alignment horizontal="center"/>
    </xf>
    <xf borderId="9" fillId="2" fontId="7" numFmtId="0" xfId="0" applyBorder="1" applyFont="1"/>
    <xf borderId="10" fillId="2" fontId="7" numFmtId="182" xfId="0" applyBorder="1" applyFont="1" applyNumberFormat="1"/>
    <xf borderId="3" fillId="7" fontId="13" numFmtId="0" xfId="0" applyAlignment="1" applyBorder="1" applyFont="1">
      <alignment horizontal="center"/>
    </xf>
    <xf borderId="3" fillId="0" fontId="2" numFmtId="183" xfId="0" applyAlignment="1" applyBorder="1" applyFont="1" applyNumberFormat="1">
      <alignment horizontal="center"/>
    </xf>
    <xf borderId="3" fillId="6" fontId="2" numFmtId="180" xfId="0" applyAlignment="1" applyBorder="1" applyFont="1" applyNumberFormat="1">
      <alignment horizontal="center"/>
    </xf>
    <xf borderId="3" fillId="0" fontId="2" numFmtId="184" xfId="0" applyAlignment="1" applyBorder="1" applyFont="1" applyNumberFormat="1">
      <alignment horizontal="center"/>
    </xf>
    <xf borderId="1" fillId="2" fontId="7" numFmtId="185" xfId="0" applyBorder="1" applyFont="1" applyNumberFormat="1"/>
    <xf borderId="11" fillId="0" fontId="7" numFmtId="183" xfId="0" applyAlignment="1" applyBorder="1" applyFont="1" applyNumberFormat="1">
      <alignment horizontal="center"/>
    </xf>
    <xf borderId="12" fillId="0" fontId="7" numFmtId="185" xfId="0" applyBorder="1" applyFont="1" applyNumberFormat="1"/>
    <xf borderId="1" fillId="2" fontId="2" numFmtId="186" xfId="0" applyBorder="1" applyFont="1" applyNumberFormat="1"/>
    <xf borderId="7" fillId="8" fontId="7" numFmtId="0" xfId="0" applyBorder="1" applyFill="1" applyFont="1"/>
    <xf borderId="7" fillId="8" fontId="7" numFmtId="170" xfId="0" applyBorder="1" applyFont="1" applyNumberFormat="1"/>
    <xf borderId="3" fillId="8" fontId="7" numFmtId="0" xfId="0" applyBorder="1" applyFont="1"/>
    <xf borderId="13" fillId="8" fontId="7" numFmtId="0" xfId="0" applyBorder="1" applyFont="1"/>
    <xf borderId="3" fillId="9" fontId="2" numFmtId="0" xfId="0" applyBorder="1" applyFill="1" applyFont="1"/>
    <xf borderId="3" fillId="9" fontId="2" numFmtId="14" xfId="0" applyBorder="1" applyFont="1" applyNumberFormat="1"/>
    <xf borderId="3" fillId="9" fontId="2" numFmtId="170" xfId="0" applyBorder="1" applyFont="1" applyNumberFormat="1"/>
    <xf borderId="3" fillId="9" fontId="2" numFmtId="3" xfId="0" applyBorder="1" applyFont="1" applyNumberFormat="1"/>
    <xf borderId="1" fillId="10" fontId="7" numFmtId="0" xfId="0" applyBorder="1" applyFill="1" applyFont="1"/>
    <xf borderId="1" fillId="10" fontId="7" numFmtId="170" xfId="0" applyBorder="1" applyFont="1" applyNumberFormat="1"/>
    <xf borderId="3" fillId="0" fontId="2" numFmtId="0" xfId="0" applyBorder="1" applyFont="1"/>
    <xf borderId="3" fillId="0" fontId="2" numFmtId="14" xfId="0" applyBorder="1" applyFont="1" applyNumberFormat="1"/>
    <xf borderId="3" fillId="0" fontId="2" numFmtId="170" xfId="0" applyBorder="1" applyFont="1" applyNumberFormat="1"/>
    <xf borderId="3" fillId="0" fontId="2" numFmtId="3" xfId="0" applyBorder="1" applyFont="1" applyNumberFormat="1"/>
    <xf borderId="3" fillId="0" fontId="2" numFmtId="169" xfId="0" applyBorder="1" applyFont="1" applyNumberFormat="1"/>
    <xf borderId="3" fillId="9" fontId="2" numFmtId="169" xfId="0" applyBorder="1" applyFont="1" applyNumberFormat="1"/>
    <xf borderId="1" fillId="2" fontId="1" numFmtId="4" xfId="0" applyBorder="1" applyFont="1" applyNumberFormat="1"/>
    <xf borderId="1" fillId="2" fontId="14" numFmtId="4" xfId="0" applyBorder="1" applyFont="1" applyNumberFormat="1"/>
    <xf borderId="1" fillId="2" fontId="7" numFmtId="0" xfId="0" applyAlignment="1" applyBorder="1" applyFont="1">
      <alignment horizontal="center"/>
    </xf>
    <xf borderId="1" fillId="2" fontId="1" numFmtId="0" xfId="0" applyBorder="1" applyFont="1"/>
    <xf borderId="14" fillId="2" fontId="2" numFmtId="0" xfId="0" applyBorder="1" applyFont="1"/>
    <xf borderId="14" fillId="2" fontId="2" numFmtId="170" xfId="0" applyBorder="1" applyFont="1" applyNumberFormat="1"/>
    <xf borderId="1" fillId="2" fontId="7" numFmtId="169" xfId="0" applyBorder="1" applyFont="1" applyNumberFormat="1"/>
    <xf borderId="1" fillId="6" fontId="7" numFmtId="0" xfId="0" applyAlignment="1" applyBorder="1" applyFont="1">
      <alignment horizontal="center"/>
    </xf>
    <xf borderId="15" fillId="11" fontId="7" numFmtId="0" xfId="0" applyAlignment="1" applyBorder="1" applyFill="1" applyFont="1">
      <alignment horizontal="center"/>
    </xf>
    <xf borderId="15" fillId="2" fontId="2" numFmtId="0" xfId="0" applyBorder="1" applyFont="1"/>
    <xf borderId="15" fillId="2" fontId="2" numFmtId="170" xfId="0" applyBorder="1" applyFont="1" applyNumberFormat="1"/>
    <xf borderId="3" fillId="0" fontId="7" numFmtId="0" xfId="0" applyBorder="1" applyFont="1"/>
    <xf borderId="16" fillId="0" fontId="2" numFmtId="170" xfId="0" applyBorder="1" applyFont="1" applyNumberFormat="1"/>
    <xf borderId="17" fillId="0" fontId="2" numFmtId="10" xfId="0" applyBorder="1" applyFont="1" applyNumberFormat="1"/>
    <xf borderId="16" fillId="0" fontId="2" numFmtId="0" xfId="0" applyBorder="1" applyFont="1"/>
    <xf borderId="17" fillId="0" fontId="2" numFmtId="9" xfId="0" applyBorder="1" applyFont="1" applyNumberFormat="1"/>
    <xf borderId="18" fillId="0" fontId="2" numFmtId="0" xfId="0" applyBorder="1" applyFont="1"/>
    <xf borderId="19" fillId="0" fontId="2" numFmtId="9" xfId="0" applyBorder="1" applyFont="1" applyNumberFormat="1"/>
    <xf borderId="20" fillId="0" fontId="2" numFmtId="0" xfId="0" applyBorder="1" applyFont="1"/>
    <xf borderId="21" fillId="0" fontId="2" numFmtId="9" xfId="0" applyBorder="1" applyFont="1" applyNumberFormat="1"/>
    <xf borderId="0" fillId="0" fontId="15" numFmtId="0" xfId="0" applyFont="1"/>
    <xf borderId="0" fillId="0" fontId="15" numFmtId="14" xfId="0" applyFont="1" applyNumberFormat="1"/>
    <xf borderId="0" fillId="0" fontId="15" numFmtId="170" xfId="0" applyFont="1" applyNumberFormat="1"/>
    <xf borderId="0" fillId="0" fontId="16" numFmtId="0" xfId="0" applyFont="1"/>
    <xf borderId="1" fillId="3" fontId="6" numFmtId="14" xfId="0" applyAlignment="1" applyBorder="1" applyFont="1" applyNumberFormat="1">
      <alignment horizontal="center" shrinkToFit="0" wrapText="1"/>
    </xf>
    <xf borderId="1" fillId="3" fontId="6" numFmtId="170" xfId="0" applyAlignment="1" applyBorder="1" applyFont="1" applyNumberFormat="1">
      <alignment horizontal="center" shrinkToFit="0" wrapText="1"/>
    </xf>
    <xf borderId="1" fillId="5" fontId="7" numFmtId="170" xfId="0" applyBorder="1" applyFont="1" applyNumberFormat="1"/>
    <xf borderId="1" fillId="6" fontId="2" numFmtId="10" xfId="0" applyBorder="1" applyFont="1" applyNumberFormat="1"/>
    <xf borderId="0" fillId="0" fontId="1" numFmtId="14" xfId="0" applyAlignment="1" applyFont="1" applyNumberFormat="1">
      <alignment horizontal="center"/>
    </xf>
    <xf borderId="1" fillId="12" fontId="17" numFmtId="0" xfId="0" applyBorder="1" applyFill="1" applyFont="1"/>
    <xf borderId="1" fillId="12" fontId="17" numFmtId="165" xfId="0" applyBorder="1" applyFont="1" applyNumberFormat="1"/>
    <xf borderId="1" fillId="12" fontId="17" numFmtId="4" xfId="0" applyBorder="1" applyFont="1" applyNumberForma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800080"/>
      </font>
      <fill>
        <patternFill patternType="solid">
          <fgColor rgb="FFFF99CC"/>
          <bgColor rgb="FFFF99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W1392" sheet="Reporte de Cheques"/>
  </cacheSource>
  <cacheFields>
    <cacheField name=" Sociedad de Garantía Recíproca / Librador " numFmtId="0">
      <sharedItems containsBlank="1">
        <s v="ACINDAR PYMES SGR"/>
        <s v="LOGICA CONSULTING GROUP SAU"/>
        <s v="DESDE EL MAR S.A."/>
        <s v="EL TREBOL SRL"/>
        <s v="COOPERATIVA DE VIVIENDA CREDITO Y CONSUMO PARA EL DESARROLLO LIMITADA"/>
        <s v="JUARROS JOSE LUIS"/>
        <s v="VITALCAN S.A."/>
        <s v="DEMAGRO SRL"/>
        <s v="BiBank S.A."/>
        <m/>
        <s v="MILLS S.G.R."/>
        <s v="ALLIANCE ONE TOBACCO ARGENTINA"/>
        <s v="QUILMES"/>
        <s v="INTEGRA PYMES SGR"/>
        <s v="AVAL AR SGR"/>
        <s v="CAMPO AVAL SGR"/>
        <s v="BUROMAHTIK SA"/>
        <s v="TPS CONSTRUCTORA SA"/>
        <s v="LOS GROBO SGR"/>
        <s v="CONSTRUCCIONES S&amp;C SAS"/>
        <s v="VINOX SRL"/>
        <s v="LAVORO FRANCO LUCIANO"/>
        <s v="TEXTUM SA"/>
        <s v="DISTRIBUIDORA LEO SRL"/>
        <s v="ESPECIALIDADES AGROPECUARIAS S.A."/>
        <s v="ASOCIACION DEL FUTBOL ARGENTINO"/>
        <s v="C P S COMUNICACIONES S.A.U."/>
        <s v="SES SA"/>
        <s v="DROGUERIA GARZON SA"/>
        <s v="CUYO AVAL SGR"/>
        <s v="TECNOGRAFIC"/>
        <s v="BODEGAS Y VIÑEDOS SANTA ELENA SRL"/>
        <s v="ROTATIVOS UNICOM SRL"/>
        <s v="GIVA LOGISTIC SRL"/>
        <s v="HIADES SRL"/>
        <s v="NEW ARRECIFE S.A."/>
        <s v="PLANTIUM S.A."/>
        <s v="DANBURY S. A"/>
        <s v="V Y V ALIMENTOS S.A."/>
        <s v="Movil SGR"/>
        <s v="METALFOR SA"/>
        <s v="G7 SOLUCIONES INTEGRALES SRL"/>
        <s v="PEREZ SEBASTIAN LEONEL"/>
        <s v="QUINTANA ENERGY INVESTMENTS"/>
        <s v="ENTRENUTS SRL"/>
        <s v="DHN DESARROLLADORA SRL"/>
        <s v="LOS INCAS DESARROLLOS"/>
        <s v="QUELEER SA"/>
        <s v="PUNTO PACK SRL"/>
        <s v="LEIDA S.A."/>
        <s v="LAROCCA NEUMATICOS S A"/>
        <s v="SION S A"/>
        <s v="NVX SAS"/>
        <s v="POOL SEIS S.A"/>
        <s v="AVAL FEDERAL S.G.R."/>
        <s v="LAGAVULIN S.A."/>
        <s v="EL AUDITOR SA"/>
        <s v="FGF TRAPANI"/>
        <s v="POTENCIAR SGR"/>
        <s v="NORTEALIM"/>
        <s v="DELPINO FRANCO MATIAS"/>
        <s v="MADERAS 25 DE MAYO S.A.S"/>
        <s v="CONSTRUCCIONES &amp; MADERAS SRL"/>
        <s v="GRUPO 88 S.A."/>
        <s v="AGROPECUARIA LA PODEROSA SA"/>
        <s v="PAMPA VIDA S.R.L."/>
        <s v="EL FIERRO SRL"/>
        <s v="Fidus S.G.R."/>
        <s v="I-LED ARGENTINA S.A."/>
        <s v="SOMOS INTEGRA SRL"/>
        <s v="INDUSTRIAS J A M SOCIEDAD ANONIMA INDUSTRIAL Y COMERCIAL"/>
        <s v="MADETEC SA"/>
        <s v="AGRO JONES SRL"/>
        <s v="CAPDEVILA MADERAS SRL"/>
        <s v="LW GROUP SRL"/>
        <s v="VENTIMIGLIA SRL"/>
        <s v="INDUSTRIAS ERCA S A"/>
        <s v="TALLERES METALURGICOS CRUCIANELLI SA"/>
        <s v="QUALITET SA"/>
        <s v="CASA BODE SRL"/>
        <s v="TU HOGAR PATAGONIA SRL"/>
        <s v="VEO VISUAL"/>
        <s v="Neuquén Pymes S.G.R. "/>
        <s v="DRACONIS S.A."/>
        <s v="BLACKFOX SRL"/>
        <s v="COLLEVECCHIO HNOS SA"/>
        <s v="GLYCINMAX SRL"/>
        <s v="AMERICA PAMPA AGROINDUSTRIAL S.A."/>
        <s v="ANDALUCIA SRL"/>
        <s v="PAY PER TIC SA"/>
        <s v="SERVICIOS DE PRODUCCIONES ARTISTICAS SRL"/>
        <s v="BROADBANDTECH SA"/>
        <s v="REMOLQUES OMBU S.A"/>
        <s v="AKIAN GRAFICA EDITORA SOCIEDAD ANONIMA"/>
        <s v="PETROLEOS SUDAMERICANOS SA"/>
        <s v="INTANSIA S.R.L"/>
        <s v="GRAFICOS SRL SRL"/>
        <s v="KEY TECHNOLOGY SRL"/>
        <s v="GRAFICA EMEDE SRL"/>
        <s v="VIVIENDAS DON PALACIOS SRL"/>
        <s v="DE LAS MISIONES S.A."/>
        <s v="S A BUCCOLINI C I F I A"/>
        <s v="SERVIPLAST S A"/>
        <s v="LITORAL CLEAN SRL"/>
        <s v="LA PAMPAGONIA SRL"/>
        <s v="LIBRERIA DEL SUR SH"/>
        <s v="INDUSTRIA GRAFICA MARTIN SA"/>
        <s v="LAS 6 EMES SAS"/>
        <s v="S.N.M.Y. S.A.S."/>
        <s v="COARD S A"/>
        <s v="TREND SGR"/>
        <s v="CEIBO CREDITOS S.A."/>
        <s v="LITTLE BLUE SRL"/>
        <s v="EDUCACION POPULAR ASOCIACION CIVIL"/>
        <s v="G&amp;T LOGISTICA SA"/>
        <s v="ABANS PROCESOS SRL"/>
        <s v="Vinculos S.G.R."/>
        <s v="LSG ARGENTINA SRL"/>
        <s v="TARJETA NARANJA SA"/>
        <s v="LA GRAFICA SRL"/>
        <s v="SIGMA AGRO S.A."/>
        <s v="NUEVAS CARTULINAS SRL"/>
        <s v="BILOMAT"/>
        <s v="OJEDA ARIEL RUBEN"/>
        <s v="VIA PRINT SRL"/>
        <s v="ANDRIMARSIL SRL"/>
        <s v="SALLEO SRL"/>
        <s v="PROYECCION GRAFICA SRL"/>
        <s v="LINEA PUNTO CERO SRL"/>
        <s v="GASTRONOMIA EN MOVIMIENTO SRL"/>
        <s v="385 COMERCIAL SA"/>
        <s v="LIBRERIA HELIOS SRL"/>
        <s v="FORESTAL ELDORADO SRL"/>
        <s v="AGROTRANSPORTE ALDAO S.A."/>
        <s v="UNCIPRES IMPORTACIONES SA"/>
        <s v="AGROREDES SRL"/>
        <s v="INTERTEXTIL SRL"/>
        <s v="INC SOCIEDAD ANONIMA"/>
        <s v="FORESTADORA TAPEBICUA"/>
        <s v="GRAFICA IGMA S.R.L"/>
        <s v="TECNO AGRIC RIO CUARTO SAS"/>
        <s v="LA MANTOVANA DE SERVICIOS GENERALES SA"/>
        <s v="PREAR PRETENSADOS ARGENTINOS S A"/>
        <s v="EMEPA S A"/>
        <s v="LIPSA SRL"/>
        <s v="RIVAS LUIS HECTOR Y RIVAS FABIAN HECTOR SH"/>
        <s v="CATALEIA SA"/>
        <s v="GEOPOLIS SA"/>
        <s v="INKPAPER SA"/>
        <s v="FORMATO GRAFICO S R L"/>
        <s v="BSP LARTI SA"/>
        <s v="COOPERATIVA DE TABACALEROS DE JUJUY LTDA"/>
        <s v="GRUB SA"/>
        <s v="SANDYPACK SRL"/>
        <s v="IGAR SRL"/>
        <s v="A M F A Y S ASOCIACION MUTUAL"/>
        <s v="S.E.S. S.A. - CONSTRUERE INGENIERIA S.A."/>
        <s v="CASANO GRAFICA SA"/>
        <s v="GRUPO PLEYART SA"/>
        <s v="LE SYVAN S R L"/>
        <s v="BILOROOM"/>
        <s v="PROLIB SAS"/>
        <s v="GABRIEL E KELLY Y COMPANIA S.A."/>
        <s v="CENTRO ESTANT S.A."/>
        <s v="SKAARUP MATIAS NICOLAS"/>
        <s v="TEVECOA SRL"/>
        <s v="VM METALURGICA SRL"/>
        <s v="IRIBERRI Y MOLINERO S A C I"/>
        <s v="JOSE MORETTA S.A."/>
        <s v="LIBRERIAS IMPULSO SAS"/>
        <s v="FIDEICOMISO TERRAL AL MAR"/>
        <s v="BAYIT EMPRESA CONSTRUCTORA SRL"/>
        <s v="CIMBRA SAS"/>
        <s v="DOSAM SOCIEDAD DE RESPONSABILIDAD LIMITADA"/>
        <s v="MAFER DISTRIBUIDORA SA"/>
        <s v="ACERIAS 4 C SA"/>
        <s v="Union S.G.R."/>
        <s v="LORENZO ANNECCHINI S A"/>
        <s v="CONAVAL SGR"/>
        <s v="VITIVINICOLA ROCAL SRL"/>
        <s v="YAGUA COLI S.A."/>
        <s v="CELULOSA CAMPANA SA"/>
        <s v="CASSAB HNOS S.R.L."/>
        <s v="HARJUICE SRL"/>
        <s v="LINAL SA"/>
        <s v="MA SEOANE RIERA SRL"/>
        <s v="VICTORIO PODESTA Y CIA S.A."/>
        <s v="Casa Hutton SA"/>
        <s v="TORO DIGITAL SA"/>
        <s v="POLIMEROS EXPRESS SA"/>
        <s v="RECIWORLD SRL"/>
        <s v="MOBEL SOCIEDAD ANONIMA"/>
        <s v="TRANSPORTE ZAVIOLA"/>
        <s v="WORK PROJECT GROUP SA"/>
        <s v="APEXAR TECHNOLOGIES SA"/>
        <s v="REGCEN S.R.L."/>
        <s v="TRANS BOX SRL"/>
        <s v="PVP INTEGRAL S. R. L."/>
        <s v="CEMEYKA SRL"/>
        <s v="MANGIATERRA JUANA MARIA"/>
        <s v="AMOROSO COPELLO MARCOS"/>
        <s v="NAKU CONSTRUCCIONES SRL ALTOTE RODNEY SAUT"/>
        <s v="METALURGICA DEL CENTRO SRL"/>
        <s v="THE CRAZY COW S.R.L."/>
      </sharedItems>
    </cacheField>
    <cacheField name=" Descripción " numFmtId="0">
      <sharedItems containsBlank="1">
        <s v="Pesos"/>
        <m/>
      </sharedItems>
    </cacheField>
    <cacheField name=" Fecha de Vencimiento " numFmtId="164">
      <sharedItems containsDate="1" containsString="0" containsBlank="1">
        <d v="2026-07-03T00:00:00Z"/>
        <m/>
        <d v="2026-07-06T00:00:00Z"/>
        <d v="2026-07-07T00:00:00Z"/>
        <d v="2026-07-08T00:00:00Z"/>
        <d v="2026-07-13T00:00:00Z"/>
        <d v="2026-07-14T00:00:00Z"/>
        <d v="2026-07-15T00:00:00Z"/>
        <d v="2026-07-16T00:00:00Z"/>
        <d v="2026-07-17T00:00:00Z"/>
        <d v="2026-07-20T00:00:00Z"/>
        <d v="2026-07-21T00:00:00Z"/>
        <d v="2026-07-22T00:00:00Z"/>
        <d v="2026-07-23T00:00:00Z"/>
        <d v="2026-07-24T00:00:00Z"/>
        <d v="2026-07-27T00:00:00Z"/>
        <d v="2026-07-28T00:00:00Z"/>
        <d v="2026-07-29T00:00:00Z"/>
        <d v="2026-07-30T00:00:00Z"/>
        <d v="2026-07-31T00:00:00Z"/>
        <d v="2026-08-03T00:00:00Z"/>
        <d v="2026-08-04T00:00:00Z"/>
        <d v="2026-08-05T00:00:00Z"/>
        <d v="2026-08-06T00:00:00Z"/>
        <d v="2026-08-07T00:00:00Z"/>
        <d v="2026-08-10T00:00:00Z"/>
        <d v="2026-08-11T00:00:00Z"/>
        <d v="2026-08-12T00:00:00Z"/>
        <d v="2026-08-13T00:00:00Z"/>
        <d v="2026-08-14T00:00:00Z"/>
        <d v="2026-08-18T00:00:00Z"/>
        <d v="2026-08-19T00:00:00Z"/>
        <d v="2026-08-20T00:00:00Z"/>
        <d v="2026-08-21T00:00:00Z"/>
        <d v="2026-08-24T00:00:00Z"/>
        <d v="2026-08-25T00:00:00Z"/>
        <d v="2026-08-26T00:00:00Z"/>
        <d v="2026-08-27T00:00:00Z"/>
        <d v="2026-08-28T00:00:00Z"/>
        <d v="2026-08-31T00:00:00Z"/>
        <d v="2026-09-01T00:00:00Z"/>
        <d v="2026-09-02T00:00:00Z"/>
        <d v="2026-09-03T00:00:00Z"/>
        <d v="2026-09-04T00:00:00Z"/>
        <d v="2026-09-07T00:00:00Z"/>
        <d v="2026-09-08T00:00:00Z"/>
        <d v="2026-09-09T00:00:00Z"/>
        <d v="2026-09-10T00:00:00Z"/>
        <d v="2026-09-11T00:00:00Z"/>
        <d v="2026-09-14T00:00:00Z"/>
        <d v="2026-09-15T00:00:00Z"/>
        <d v="2026-09-16T00:00:00Z"/>
        <d v="2026-09-17T00:00:00Z"/>
        <d v="2026-09-18T00:00:00Z"/>
        <d v="2026-09-21T00:00:00Z"/>
        <d v="2026-09-22T00:00:00Z"/>
        <d v="2026-09-23T00:00:00Z"/>
        <d v="2026-09-24T00:00:00Z"/>
        <d v="2026-09-25T00:00:00Z"/>
        <d v="2026-09-28T00:00:00Z"/>
        <d v="2026-09-29T00:00:00Z"/>
        <d v="2026-09-30T00:00:00Z"/>
        <d v="2026-10-01T00:00:00Z"/>
        <d v="2026-10-02T00:00:00Z"/>
        <d v="2026-10-05T00:00:00Z"/>
        <d v="2026-10-06T00:00:00Z"/>
        <d v="2026-10-07T00:00:00Z"/>
        <d v="2026-10-08T00:00:00Z"/>
        <d v="2026-10-09T00:00:00Z"/>
        <d v="2026-10-13T00:00:00Z"/>
        <d v="2026-10-14T00:00:00Z"/>
        <d v="2026-10-15T00:00:00Z"/>
        <d v="2026-10-16T00:00:00Z"/>
        <d v="2026-10-19T00:00:00Z"/>
        <d v="2026-10-20T00:00:00Z"/>
        <d v="2026-10-21T00:00:00Z"/>
        <d v="2026-10-22T00:00:00Z"/>
        <d v="2026-10-23T00:00:00Z"/>
        <d v="2026-10-26T00:00:00Z"/>
        <d v="2026-10-27T00:00:00Z"/>
        <d v="2026-10-28T00:00:00Z"/>
        <d v="2026-10-29T00:00:00Z"/>
        <d v="2026-11-02T00:00:00Z"/>
        <d v="2026-11-03T00:00:00Z"/>
        <d v="2026-11-04T00:00:00Z"/>
        <d v="2026-11-05T00:00:00Z"/>
        <d v="2026-11-10T00:00:00Z"/>
        <d v="2026-11-11T00:00:00Z"/>
        <d v="2026-11-12T00:00:00Z"/>
        <d v="2026-11-16T00:00:00Z"/>
        <d v="2026-11-17T00:00:00Z"/>
        <d v="2026-11-18T00:00:00Z"/>
        <d v="2026-11-19T00:00:00Z"/>
        <d v="2026-11-25T00:00:00Z"/>
        <d v="2026-11-26T00:00:00Z"/>
        <d v="2026-11-27T00:00:00Z"/>
        <d v="2026-12-02T00:00:00Z"/>
        <d v="2026-12-04T00:00:00Z"/>
        <d v="2026-12-09T00:00:00Z"/>
        <d v="2026-12-10T00:00:00Z"/>
        <d v="2026-12-11T00:00:00Z"/>
        <d v="2026-12-16T00:00:00Z"/>
        <d v="2026-12-18T00:00:00Z"/>
        <d v="2026-12-22T00:00:00Z"/>
        <d v="2026-12-23T00:00:00Z"/>
        <d v="2026-12-28T00:00:00Z"/>
        <d v="2027-01-06T00:00:00Z"/>
        <d v="2027-01-12T00:00:00Z"/>
        <d v="2027-02-10T00:00:00Z"/>
        <d v="2027-02-11T00:00:00Z"/>
        <d v="2027-02-16T00:00:00Z"/>
      </sharedItems>
    </cacheField>
    <cacheField name=" Fecha " numFmtId="164">
      <sharedItems containsBlank="1">
        <s v="03/07/2026"/>
        <m/>
      </sharedItems>
    </cacheField>
    <cacheField name=" Precio " numFmtId="165">
      <sharedItems containsString="0" containsBlank="1" containsNumber="1">
        <n v="1.0"/>
        <m/>
        <n v="0.99713156"/>
        <n v="0.99745853"/>
        <n v="0.99786757"/>
        <n v="0.99704984"/>
        <n v="0.99762211"/>
        <n v="0.99754035"/>
        <n v="0.99726779"/>
        <n v="0.99585289"/>
        <n v="0.99617905"/>
        <n v="0.9963966"/>
        <n v="0.99617906"/>
        <n v="0.99639661"/>
        <n v="0.99596161"/>
        <n v="0.99715879"/>
        <n v="0.99704983"/>
        <n v="0.99607032"/>
        <n v="0.99617904"/>
        <n v="0.9969409"/>
        <n v="0.99563559"/>
        <n v="0.9954184"/>
        <n v="0.99683199"/>
        <n v="0.99672311"/>
        <n v="0.99726776"/>
        <n v="0.99495709"/>
        <n v="0.99522838"/>
        <n v="0.9956356"/>
        <n v="0.9954998"/>
        <n v="0.99577138"/>
        <n v="0.99699536"/>
        <n v="0.99590723"/>
        <n v="0.99482149"/>
        <n v="0.99549981"/>
        <n v="0.99604312"/>
        <n v="0.99604313"/>
        <n v="0.99509271"/>
        <n v="0.99658716"/>
        <n v="0.9950927"/>
        <n v="0.9952284"/>
        <n v="0.99522839"/>
        <n v="0.99455044"/>
        <n v="0.9923872"/>
        <n v="0.99103992"/>
        <n v="0.99050209"/>
        <n v="0.99184785"/>
        <n v="0.99157841"/>
        <n v="0.9915784"/>
        <n v="0.99265709"/>
        <n v="0.99211745"/>
        <n v="0.99319738"/>
        <n v="0.99238718"/>
        <n v="0.99103995"/>
        <n v="0.99163229"/>
        <n v="0.99074403"/>
        <n v="0.98926713"/>
        <n v="0.99103994"/>
        <n v="0.99133601"/>
        <n v="0.98926717"/>
        <n v="0.99044829"/>
        <n v="0.99163236"/>
        <n v="0.991336"/>
        <n v="0.99346762"/>
        <n v="0.9908785"/>
        <n v="0.98798186"/>
        <n v="0.98766106"/>
        <n v="0.98830284"/>
        <n v="0.98926715"/>
        <n v="0.99023336"/>
        <n v="0.99023334"/>
        <n v="0.99023333"/>
        <n v="0.99281908"/>
        <n v="0.98926716"/>
        <n v="0.98862407"/>
        <n v="0.99023342"/>
        <n v="0.99023337"/>
        <n v="0.99055582"/>
        <n v="0.99087852"/>
        <n v="0.99087851"/>
        <n v="0.98766103"/>
        <n v="0.98637988"/>
        <n v="0.98991119"/>
        <n v="0.98766104"/>
        <n v="0.9905558"/>
        <n v="0.98702004"/>
        <n v="0.991848"/>
        <n v="0.98830285"/>
        <n v="0.9860601"/>
        <n v="0.98798184"/>
        <n v="0.99120141"/>
        <n v="0.99281922"/>
        <n v="0.99055581"/>
        <n v="0.99055586"/>
        <n v="0.99055583"/>
        <n v="0.98862415"/>
        <n v="0.98862413"/>
        <n v="0.99184789"/>
        <n v="0.99023332"/>
        <n v="0.99082469"/>
        <n v="0.99012587"/>
        <n v="0.98942806"/>
        <n v="0.98838319"/>
        <n v="0.9873404"/>
        <n v="0.98942811"/>
        <n v="0.98595356"/>
        <n v="0.98526158"/>
        <n v="0.99047517"/>
        <n v="0.98664652"/>
        <n v="0.98942826"/>
        <n v="0.9894282"/>
        <n v="0.98977684"/>
        <n v="0.98734043"/>
        <n v="0.98838318"/>
        <n v="0.9911746"/>
        <n v="0.98491595"/>
        <n v="0.9922254"/>
        <n v="0.98942819"/>
        <n v="0.98942818"/>
        <n v="0.9893744"/>
        <n v="0.98675321"/>
        <n v="0.9863799"/>
        <n v="0.98750074"/>
        <n v="0.98862411"/>
        <n v="0.9889991"/>
        <n v="0.98488939"/>
        <n v="0.98899912"/>
        <n v="0.98563405"/>
        <n v="0.9860068"/>
        <n v="0.98451748"/>
        <n v="0.98488941"/>
        <n v="0.9905021"/>
        <n v="0.99050211"/>
        <n v="0.98377449"/>
        <n v="0.98750068"/>
        <n v="0.98937441"/>
        <n v="0.98899909"/>
        <n v="0.98862414"/>
        <n v="0.99077095"/>
        <n v="0.98486288"/>
        <n v="0.98621996"/>
        <n v="0.9857672"/>
        <n v="0.98260918"/>
        <n v="0.98171063"/>
        <n v="0.9835094"/>
        <n v="0.98531477"/>
        <n v="0.98849029"/>
        <n v="0.98396017"/>
        <n v="0.98985743"/>
        <n v="0.9866732"/>
        <n v="0.98758086"/>
        <n v="0.98486287"/>
        <n v="0.98486286"/>
        <n v="0.98441133"/>
        <n v="0.98303264"/>
        <n v="0.98398667"/>
        <n v="0.98208041"/>
        <n v="0.98303262"/>
        <n v="0.98542121"/>
        <n v="0.9806556"/>
        <n v="0.98255633"/>
        <n v="0.9839867"/>
        <n v="0.98398664"/>
        <n v="0.98398668"/>
        <n v="0.98446453"/>
        <n v="0.97781828"/>
        <n v="0.98065557"/>
        <n v="0.97970803"/>
        <n v="0.98782145"/>
        <n v="0.98782143"/>
        <n v="0.98255626"/>
        <n v="0.98782141"/>
        <n v="0.98208047"/>
        <n v="0.98590031"/>
        <n v="0.98590029"/>
        <n v="0.98969633"/>
        <n v="0.98563407"/>
        <n v="0.98060292"/>
        <n v="0.98110375"/>
        <n v="0.98160504"/>
        <n v="0.98160499"/>
        <n v="0.98361541"/>
        <n v="0.98311204"/>
        <n v="0.9846237"/>
        <n v="0.98462369"/>
        <n v="0.98462373"/>
        <n v="0.98512861"/>
        <n v="0.98512865"/>
        <n v="0.97960279"/>
        <n v="0.98462371"/>
        <n v="0.9811037"/>
        <n v="0.98462375"/>
        <n v="0.98715369"/>
        <n v="0.98512862"/>
        <n v="0.98160507"/>
        <n v="0.98361551"/>
        <n v="0.98311209"/>
        <n v="0.98715368"/>
        <n v="0.98867778"/>
        <n v="0.98512864"/>
        <n v="0.98311205"/>
        <n v="0.98361549"/>
        <n v="0.9836155"/>
        <n v="0.98210694"/>
        <n v="0.98488937"/>
        <n v="0.97960298"/>
        <n v="0.98065555"/>
        <n v="0.98382756"/>
        <n v="0.97855231"/>
        <n v="0.98435821"/>
        <n v="0.98488942"/>
        <n v="0.98648662"/>
        <n v="0.98118281"/>
        <n v="0.98223907"/>
        <n v="0.98382767"/>
        <n v="0.98382766"/>
        <n v="0.9886241"/>
        <n v="0.98414583"/>
        <n v="0.98136754"/>
        <n v="0.98303261"/>
        <n v="0.98358889"/>
        <n v="0.98303263"/>
        <n v="0.98358891"/>
        <n v="0.97750405"/>
        <n v="0.98414582"/>
        <n v="0.98582048"/>
        <n v="0.9835889"/>
        <n v="0.98026053"/>
        <n v="0.98582045"/>
        <n v="0.98582047"/>
        <n v="0.98582049"/>
        <n v="0.98303266"/>
        <n v="0.98358894"/>
        <n v="0.98303269"/>
        <n v="0.98446443"/>
        <n v="0.98446445"/>
        <n v="0.98446442"/>
        <n v="0.98446441"/>
        <n v="0.98446438"/>
        <n v="0.98446436"/>
        <n v="0.98065558"/>
        <n v="0.97876231"/>
        <n v="0.97687614"/>
        <n v="0.98223899"/>
        <n v="0.97437271"/>
        <n v="0.98382764"/>
        <n v="0.97687618"/>
        <n v="0.97939253"/>
        <n v="0.98382762"/>
        <n v="0.98382759"/>
        <n v="0.98065564"/>
        <n v="0.97750403"/>
        <n v="0.98128832"/>
        <n v="0.98128834"/>
        <n v="0.98065573"/>
        <n v="0.98065571"/>
        <n v="0.97658863"/>
        <n v="0.97789693"/>
        <n v="0.97789695"/>
        <n v="0.97789688"/>
        <n v="0.97789692"/>
        <n v="0.97986586"/>
        <n v="0.98151261"/>
        <n v="0.97333336"/>
        <n v="0.97333334"/>
        <n v="0.97463285"/>
        <n v="0.98184283"/>
        <n v="0.97986593"/>
        <n v="0.98316505"/>
        <n v="0.98052385"/>
        <n v="0.97593585"/>
        <n v="0.97333337"/>
        <n v="0.98316502"/>
        <n v="0.98316506"/>
        <n v="0.97986582"/>
        <n v="0.9805239"/>
        <n v="0.9798658"/>
        <n v="0.98052388"/>
        <n v="0.98052396"/>
        <n v="0.98052386"/>
        <n v="0.97855229"/>
        <n v="0.98044486"/>
        <n v="0.97364491"/>
        <n v="0.97364497"/>
        <n v="0.97907729"/>
        <n v="0.97703308"/>
        <n v="0.97703307"/>
        <n v="0.97907734"/>
        <n v="0.97499743"/>
        <n v="0.97907728"/>
        <n v="0.97976058"/>
        <n v="0.97976063"/>
        <n v="0.9756752"/>
        <n v="0.97229624"/>
        <n v="0.97229622"/>
        <n v="0.98250338"/>
        <n v="0.97703313"/>
        <n v="0.97567501"/>
        <n v="0.97976059"/>
        <n v="0.97976061"/>
        <n v="0.98113008"/>
        <n v="0.97907726"/>
        <n v="0.97771363"/>
        <n v="0.97703304"/>
        <n v="0.97771362"/>
        <n v="0.97567511"/>
        <n v="0.97899847"/>
        <n v="0.98542117"/>
        <n v="0.97970798"/>
        <n v="0.97829"/>
        <n v="0.97406066"/>
        <n v="0.97829009"/>
        <n v="0.97126137"/>
        <n v="0.97829004"/>
        <n v="0.98041855"/>
        <n v="0.97476302"/>
        <n v="0.9818428"/>
        <n v="0.97899852"/>
        <n v="0.97899848"/>
        <n v="0.9789985"/>
        <n v="0.97687623"/>
        <n v="0.97687624"/>
        <n v="0.97829021"/>
        <n v="0.97829019"/>
        <n v="0.97897224"/>
        <n v="0.97750411"/>
        <n v="0.97750408"/>
        <n v="0.97312586"/>
        <n v="0.97604028"/>
        <n v="0.97823759"/>
        <n v="0.9782376"/>
        <n v="0.97022864"/>
        <n v="0.97167508"/>
        <n v="0.97239983"/>
        <n v="0.96950708"/>
        <n v="0.97385276"/>
        <n v="0.97458085"/>
        <n v="0.97823763"/>
        <n v="0.97823757"/>
        <n v="0.97750407"/>
        <n v="0.97604027"/>
        <n v="0.96873515"/>
        <n v="0.96873511"/>
        <n v="0.97033188"/>
        <n v="0.97515365"/>
        <n v="0.97033179"/>
        <n v="0.97354111"/>
        <n v="0.97515362"/>
        <n v="0.97596199"/>
        <n v="0.97596194"/>
        <n v="0.96953279"/>
        <n v="0.97033181"/>
        <n v="0.97354106"/>
        <n v="0.97273674"/>
        <n v="0.97596196"/>
        <n v="0.97596197"/>
        <n v="0.97515369"/>
        <n v="0.97193389"/>
        <n v="0.97515379"/>
        <n v="0.97515381"/>
        <n v="0.9751538"/>
        <n v="0.98276796"/>
        <n v="0.97687621"/>
        <n v="0.9661197"/>
        <n v="0.96858087"/>
        <n v="0.971882"/>
        <n v="0.97188208"/>
        <n v="0.97437269"/>
        <n v="0.96775918"/>
        <n v="0.97188211"/>
        <n v="0.97188203"/>
        <n v="0.96940414"/>
        <n v="0.9694042"/>
        <n v="0.97188201"/>
        <n v="0.97022867"/>
        <n v="0.97437272"/>
        <n v="0.93599345"/>
        <n v="0.97188209"/>
        <n v="0.97604022"/>
        <n v="0.96858096"/>
        <n v="0.97437277"/>
        <n v="0.97354109"/>
        <n v="0.96611969"/>
        <n v="0.96611978"/>
        <n v="0.97271083"/>
        <n v="0.97855237"/>
        <n v="0.97520575"/>
        <n v="0.97520581"/>
        <n v="0.97437273"/>
        <n v="0.97271084"/>
        <n v="0.982239"/>
        <n v="0.97617074"/>
        <n v="0.97531001"/>
        <n v="0.966785"/>
        <n v="0.96678506"/>
        <n v="0.97188198"/>
        <n v="0.96847812"/>
        <n v="0.96847817"/>
        <n v="0.97188199"/>
        <n v="0.97445077"/>
        <n v="0.97359307"/>
        <n v="0.97359303"/>
        <n v="0.97617089"/>
        <n v="0.97445074"/>
        <n v="0.96932685"/>
        <n v="0.97102888"/>
        <n v="0.96847805"/>
        <n v="0.9813675"/>
        <n v="0.97876223"/>
        <n v="0.97359304"/>
        <n v="0.97445081"/>
        <n v="0.96932696"/>
        <n v="0.97458082"/>
        <n v="0.96581301"/>
        <n v="0.96581296"/>
        <n v="0.96755386"/>
        <n v="0.96755388"/>
        <n v="0.97281455"/>
        <n v="0.97546646"/>
        <n v="0.96842668"/>
        <n v="0.97458088"/>
        <n v="0.96407836"/>
        <n v="0.9772425"/>
        <n v="0.97369691"/>
        <n v="0.97017704"/>
        <n v="0.97281472"/>
        <n v="0.97281473"/>
        <n v="0.9648429"/>
        <n v="0.96484281"/>
        <n v="0.96663137"/>
        <n v="0.96484274"/>
        <n v="0.96484278"/>
        <n v="0.96932691"/>
        <n v="0.97203731"/>
        <n v="0.97203751"/>
        <n v="0.96752832"/>
        <n v="0.96217222"/>
        <n v="0.96752821"/>
        <n v="0.96484286"/>
        <n v="0.97203738"/>
        <n v="0.97022868"/>
        <n v="0.9796028"/>
        <n v="0.96581298"/>
        <n v="0.96194407"/>
        <n v="0.96194405"/>
        <n v="0.96387464"/>
        <n v="0.96678502"/>
        <n v="0.96387456"/>
        <n v="0.96971322"/>
        <n v="0.96775909"/>
        <n v="0.97265904"/>
        <n v="0.96873524"/>
        <n v="0.96971312"/>
        <n v="0.96971307"/>
        <n v="0.97069311"/>
        <n v="0.96581304"/>
        <n v="0.96971327"/>
        <n v="0.96971328"/>
        <n v="0.96775905"/>
        <n v="0.96098153"/>
        <n v="0.96594088"/>
        <n v="0.96594078"/>
        <n v="0.96098162"/>
        <n v="0.96295914"/>
        <n v="0.96594081"/>
        <n v="0.96594072"/>
        <n v="0.96295928"/>
        <n v="0.96693865"/>
        <n v="0.96894099"/>
        <n v="0.96098168"/>
        <n v="0.95901219"/>
        <n v="0.96994501"/>
        <n v="0.96894093"/>
        <n v="0.97855232"/>
        <n v="0.97022866"/>
        <n v="0.96002115"/>
        <n v="0.96509797"/>
        <n v="0.9681698"/>
        <n v="0.96204534"/>
        <n v="0.96002108"/>
        <n v="0.96407818"/>
        <n v="0.96816985"/>
        <n v="0.96204549"/>
        <n v="0.96816982"/>
        <n v="0.96816979"/>
        <n v="0.96509798"/>
        <n v="0.96919816"/>
        <n v="0.97126149"/>
        <n v="0.96816983"/>
        <n v="0.96919822"/>
        <n v="0.96611965"/>
        <n v="0.96611966"/>
        <n v="0.97333344"/>
        <n v="0.96306069"/>
        <n v="0.96816984"/>
        <n v="0.96950705"/>
        <n v="0.96113343"/>
        <n v="0.95906259"/>
        <n v="0.96113344"/>
        <n v="0.98018159"/>
        <n v="0.96425665"/>
        <n v="0.96739995"/>
        <n v="0.96530209"/>
        <n v="0.96217217"/>
        <n v="0.96217216"/>
        <n v="0.96425656"/>
        <n v="0.96217219"/>
        <n v="0.97056405"/>
        <n v="0.96845234"/>
        <n v="0.96770775"/>
        <n v="0.95810588"/>
        <n v="0.96022311"/>
        <n v="0.96022312"/>
        <n v="0.96663152"/>
        <n v="0.96663153"/>
        <n v="0.96663136"/>
        <n v="0.96128536"/>
        <n v="0.96341661"/>
        <n v="0.96663138"/>
        <n v="0.96986774"/>
        <n v="0.97203734"/>
        <n v="0.96022315"/>
        <n v="0.97095136"/>
        <n v="0.95285336"/>
        <n v="0.96663145"/>
        <n v="0.96770777"/>
        <n v="0.96663155"/>
        <n v="0.95659923"/>
        <n v="0.95429829"/>
        <n v="0.95200835"/>
        <n v="0.9635692"/>
        <n v="0.96007157"/>
        <n v="0.96007158"/>
        <n v="0.95429837"/>
        <n v="0.96123463"/>
        <n v="0.95429853"/>
        <n v="0.94859401"/>
        <n v="0.96007168"/>
        <n v="0.96123468"/>
        <n v="0.95775395"/>
        <n v="0.95569771"/>
        <n v="0.95923909"/>
        <n v="0.95923901"/>
        <n v="0.95335118"/>
        <n v="0.95101626"/>
        <n v="0.95923895"/>
        <n v="0.90872879"/>
        <n v="0.95687521"/>
        <n v="0.96280677"/>
        <n v="0.9640018"/>
        <n v="0.95101624"/>
        <n v="0.96042524"/>
        <n v="0.94753519"/>
        <n v="0.96640105"/>
        <n v="0.96400184"/>
        <n v="0.96280674"/>
        <n v="0.96448583"/>
        <n v="0.96693871"/>
        <n v="0.9669387"/>
        <n v="0.96204546"/>
        <n v="0.95479765"/>
        <n v="0.95840785"/>
        <n v="0.96204536"/>
        <n v="0.96204542"/>
        <n v="0.95240583"/>
        <n v="0.95599795"/>
        <n v="0.95002609"/>
        <n v="0.95479764"/>
        <n v="0.95840794"/>
        <n v="0.95599796"/>
        <n v="0.96204543"/>
        <n v="0.96326407"/>
        <n v="0.95599798"/>
        <n v="0.96204537"/>
        <n v="0.96326402"/>
        <n v="0.96326403"/>
        <n v="0.9632641"/>
        <n v="0.95961737"/>
        <n v="0.95961739"/>
        <n v="0.95389927"/>
        <n v="0.95146258"/>
        <n v="0.96128539"/>
        <n v="0.96128525"/>
        <n v="0.96128524"/>
        <n v="0.95757805"/>
        <n v="0.96128542"/>
        <n v="0.96502143"/>
        <n v="0.96502137"/>
        <n v="0.96252738"/>
        <n v="0.95512241"/>
        <n v="0.95512243"/>
        <n v="0.96752833"/>
        <n v="0.95757815"/>
        <n v="0.95881065"/>
        <n v="0.95881067"/>
        <n v="0.95509757"/>
        <n v="0.94864331"/>
        <n v="0.94608611"/>
        <n v="0.95509742"/>
        <n v="0.95901211"/>
        <n v="0.96032414"/>
        <n v="0.94864338"/>
        <n v="0.95509744"/>
        <n v="0.95250534"/>
        <n v="0.96032419"/>
        <n v="0.95121466"/>
        <n v="0.96032417"/>
        <n v="0.96032421"/>
        <n v="0.97177858"/>
        <n v="0.95427331"/>
        <n v="0.95427347"/>
        <n v="0.95427339"/>
        <n v="0.95959201"/>
        <n v="0.95959206"/>
        <n v="0.9477075"/>
        <n v="0.9516361"/>
        <n v="0.95163604"/>
        <n v="0.95163623"/>
        <n v="0.95427337"/>
        <n v="0.95959199"/>
        <n v="0.95959202"/>
        <n v="0.95032301"/>
        <n v="0.96093097"/>
        <n v="0.95959209"/>
        <n v="0.95559754"/>
        <n v="0.95825693"/>
        <n v="0.97126138"/>
        <n v="0.96022318"/>
        <n v="0.96571068"/>
        <n v="0.96571074"/>
        <n v="0.94677326"/>
        <n v="0.9467732"/>
        <n v="0.95345073"/>
        <n v="0.9575027"/>
        <n v="0.95750276"/>
        <n v="0.95750273"/>
        <n v="0.9629591"/>
        <n v="0.95886098"/>
        <n v="0.94677322"/>
        <n v="0.95345086"/>
        <n v="0.9534509"/>
        <n v="0.9575028"/>
        <n v="0.95886103"/>
        <n v="0.95479754"/>
        <n v="0.94544904"/>
        <n v="0.95886109"/>
        <n v="0.95479757"/>
        <n v="0.95345077"/>
        <n v="0.95951636"/>
        <n v="0.95262964"/>
        <n v="0.95674971"/>
        <n v="0.95674973"/>
        <n v="0.95674968"/>
        <n v="0.95813101"/>
        <n v="0.94990248"/>
        <n v="0.95262965"/>
        <n v="0.96369652"/>
        <n v="0.95813106"/>
        <n v="0.95262954"/>
        <n v="0.96369638"/>
        <n v="0.95813104"/>
        <n v="0.95813109"/>
        <n v="0.95674972"/>
        <n v="0.9526298"/>
        <n v="0.9532019"/>
        <n v="0.95599808"/>
        <n v="0.95599805"/>
        <n v="0.95599793"/>
        <n v="0.95740227"/>
        <n v="0.95180983"/>
        <n v="0.9574022"/>
        <n v="0.95320178"/>
        <n v="0.94903806"/>
        <n v="0.95881062"/>
        <n v="0.95740218"/>
        <n v="0.95740221"/>
        <n v="0.95180994"/>
        <n v="0.95374976"/>
        <n v="0.94935895"/>
        <n v="0.9537497"/>
        <n v="0.95374971"/>
        <n v="0.95966781"/>
        <n v="0.95522233"/>
        <n v="0.94645408"/>
        <n v="0.94935898"/>
        <n v="0.95669955"/>
        <n v="0.95374977"/>
        <n v="0.9581815"/>
        <n v="0.95522238"/>
        <n v="0.96816987"/>
        <n v="0.94120694"/>
        <n v="0.94854488"/>
        <n v="0.93830337"/>
        <n v="0.94854475"/>
        <n v="0.94854484"/>
        <n v="0.95449801"/>
        <n v="0.95750263"/>
        <n v="0.88635265"/>
        <n v="0.9500262"/>
        <n v="0.94559608"/>
        <n v="0.94854476"/>
        <n v="0.94120681"/>
        <n v="0.95750277"/>
        <n v="0.95449793"/>
        <n v="0.95300267"/>
        <n v="0.94854474"/>
        <n v="0.95449796"/>
        <n v="0.95599797"/>
        <n v="0.95002615"/>
        <n v="0.94473923"/>
        <n v="0.95225683"/>
        <n v="0.94773196"/>
        <n v="0.95225681"/>
        <n v="0.95225677"/>
        <n v="0.94028544"/>
        <n v="0.93733953"/>
        <n v="0.93733964"/>
        <n v="0.95225674"/>
        <n v="0.95225686"/>
        <n v="0.94773195"/>
        <n v="0.94473935"/>
        <n v="0.9477321"/>
        <n v="0.956825"/>
        <n v="0.95682494"/>
        <n v="0.94923543"/>
        <n v="0.95225672"/>
        <n v="0.94325001"/>
        <n v="0.94028551"/>
        <n v="0.95529735"/>
        <n v="0.94923548"/>
        <n v="0.94923546"/>
        <n v="0.94692073"/>
        <n v="0.93637778"/>
        <n v="0.9423734"/>
        <n v="0.93936611"/>
        <n v="0.93637773"/>
        <n v="0.95614828"/>
        <n v="0.93786954"/>
        <n v="0.94692072"/>
        <n v="0.95151213"/>
        <n v="0.9469206"/>
        <n v="0.96634994"/>
        <n v="0.96634993"/>
        <n v="0.94692057"/>
        <n v="0.94611069"/>
        <n v="0.93541783"/>
        <n v="0.94149831"/>
        <n v="0.94149826"/>
        <n v="0.93844824"/>
        <n v="0.95233128"/>
        <n v="0.95705086"/>
        <n v="0.94303073"/>
        <n v="0.95076846"/>
        <n v="0.94368907"/>
        <n v="0.94368919"/>
        <n v="0.93888277"/>
        <n v="0.94047927"/>
        <n v="0.93570561"/>
        <n v="0.93888276"/>
        <n v="0.94288455"/>
        <n v="0.934795"/>
        <n v="0.93159783"/>
        <n v="0.9380141"/>
        <n v="0.93801409"/>
        <n v="0.94780583"/>
        <n v="0.94945765"/>
        <n v="0.9428845"/>
        <n v="0.93479504"/>
        <n v="0.95111536"/>
        <n v="0.93963201"/>
        <n v="0.95210774"/>
        <n v="0.9420814"/>
        <n v="0.93388609"/>
        <n v="0.93064765"/>
        <n v="0.93714701"/>
        <n v="0.94706809"/>
        <n v="0.9470682"/>
        <n v="0.94874205"/>
        <n v="0.94373772"/>
        <n v="0.94127981"/>
        <n v="0.93297915"/>
        <n v="0.93628175"/>
        <n v="0.94633143"/>
        <n v="0.94633144"/>
        <n v="0.94295756"/>
        <n v="0.94127969"/>
        <n v="0.93133647"/>
        <n v="0.94802733"/>
        <n v="0.94127968"/>
        <n v="0.93297891"/>
        <n v="0.93794179"/>
        <n v="0.9507686"/>
        <n v="0.94047939"/>
        <n v="0.9421788"/>
        <n v="0.9525053"/>
        <n v="0.93207365"/>
        <n v="0.94559587"/>
        <n v="0.93541788"/>
        <n v="0.94047946"/>
        <n v="0.94217879"/>
        <n v="0.94876681"/>
        <n v="0.93808647"/>
        <n v="0.93984963"/>
        <n v="0.93808646"/>
        <n v="0.932836"/>
        <n v="0.93109892"/>
        <n v="0.93632975"/>
        <n v="0.94339646"/>
        <n v="0.94339627"/>
        <n v="0.93457967"/>
        <n v="0.94876678"/>
        <n v="0.9469697"/>
        <n v="0.952381"/>
        <n v="0.94447038"/>
        <n v="0.94810135"/>
        <n v="0.93729147"/>
        <n v="0.939076"/>
        <n v="0.92498739"/>
        <n v="0.93022085"/>
        <n v="0.9355138"/>
        <n v="0.9426653"/>
        <n v="0.94266536"/>
        <n v="0.93729137"/>
        <n v="0.92846988"/>
        <n v="0.94810127"/>
        <n v="0.93907599"/>
        <n v="0.93649782"/>
        <n v="0.93830345"/>
        <n v="0.93649793"/>
        <n v="0.93649781"/>
        <n v="0.92405065"/>
        <n v="0.94193566"/>
        <n v="0.94193562"/>
        <n v="0.94928492"/>
        <n v="0.9455959"/>
        <n v="0.9258085"/>
        <n v="0.94559591"/>
        <n v="0.95114019"/>
        <n v="0.93469918"/>
        <n v="0.9357055"/>
        <n v="0.93753215"/>
        <n v="0.92846996"/>
        <n v="0.92311597"/>
        <n v="0.93570554"/>
        <n v="0.94120692"/>
        <n v="0.93570558"/>
        <n v="0.93026817"/>
        <n v="0.93936598"/>
        <n v="0.93753224"/>
        <n v="0.93570557"/>
        <n v="0.9412069"/>
        <n v="0.92489373"/>
        <n v="0.93753212"/>
        <n v="0.93676234"/>
        <n v="0.94800279"/>
        <n v="0.92759683"/>
        <n v="0.9404793"/>
        <n v="0.9404795"/>
        <n v="0.94047928"/>
        <n v="0.93124129"/>
        <n v="0.93491468"/>
        <n v="0.94047936"/>
        <n v="0.92578527"/>
        <n v="0.94422611"/>
        <n v="0.93861704"/>
        <n v="0.93445983"/>
        <n v="0.92311589"/>
        <n v="0.93254984"/>
        <n v="0.92498758"/>
        <n v="0.92311599"/>
        <n v="0.93830359"/>
        <n v="0.94412832"/>
        <n v="0.93254992"/>
        <n v="0.94346955"/>
        <n v="0.93369505"/>
        <n v="0.93176429"/>
        <n v="0.92412099"/>
        <n v="0.94346953"/>
        <n v="0.92792703"/>
        <n v="0.93953513"/>
        <n v="0.93176423"/>
        <n v="0.94743676"/>
        <n v="0.94149817"/>
        <n v="0.93369503"/>
        <n v="0.9336949"/>
        <n v="0.93293131"/>
        <n v="0.94884073"/>
        <n v="0.94884072"/>
        <n v="0.94884074"/>
        <n v="0.92325601"/>
        <n v="0.93685832"/>
        <n v="0.93685847"/>
        <n v="0.94281149"/>
        <n v="0.93097998"/>
        <n v="0.94281146"/>
        <n v="0.93685835"/>
        <n v="0.94481275"/>
        <n v="0.94081869"/>
        <n v="0.94081871"/>
        <n v="0.95700062"/>
        <n v="0.93489076"/>
        <n v="0.93097996"/>
        <n v="0.93293137"/>
        <n v="0.93216883"/>
        <n v="0.92239297"/>
        <n v="0.93613755"/>
        <n v="0.93613758"/>
        <n v="0.94215436"/>
        <n v="0.92239273"/>
        <n v="0.92627851"/>
        <n v="0.9462087"/>
        <n v="0.92153123"/>
        <n v="0.93541778"/>
        <n v="0.94149815"/>
        <n v="0.93140778"/>
        <n v="0.94149832"/>
        <n v="0.94149838"/>
        <n v="0.93340839"/>
        <n v="0.93953527"/>
        <n v="0.94376232"/>
        <n v="0.92913154"/>
        <n v="0.91895594"/>
        <n v="0.93326525"/>
        <n v="0.93326531"/>
        <n v="0.93953516"/>
        <n v="0.92707843"/>
        <n v="0.93888278"/>
        <n v="0.92837525"/>
        <n v="0.91607271"/>
        <n v="0.92837547"/>
        <n v="0.9431526"/>
        <n v="0.93888275"/>
        <n v="0.93676236"/>
        <n v="0.92630192"/>
        <n v="0.93676226"/>
        <n v="0.92837542"/>
        <n v="0.9276204"/>
        <n v="0.9152"/>
        <n v="0.93183561"/>
        <n v="0.93183559"/>
        <n v="0.92552685"/>
        <n v="0.91724699"/>
        <n v="0.93608946"/>
        <n v="0.93395775"/>
        <n v="0.93183572"/>
        <n v="0.93112259"/>
        <n v="0.93041046"/>
        <n v="0.92825727"/>
        <n v="0.92398058"/>
        <n v="0.93912425"/>
        <n v="0.93257379"/>
        <n v="0.93041049"/>
        <n v="0.93474699"/>
        <n v="0.91086046"/>
        <n v="0.90660708"/>
        <n v="0.91432887"/>
        <n v="0.92090328"/>
        <n v="0.93207358"/>
        <n v="0.93207368"/>
        <n v="0.94584092"/>
        <n v="0.92236956"/>
        <n v="0.90480923"/>
        <n v="0.92013733"/>
        <n v="0.93140772"/>
        <n v="0.92162423"/>
        <n v="0.90608951"/>
        <n v="0.90391289"/>
        <n v="0.93709904"/>
        <n v="0.9208801"/>
        <n v="0.93007855"/>
        <n v="0.91791577"/>
        <n v="0.91791592"/>
        <n v="0.90172441"/>
        <n v="0.92503423"/>
        <n v="0.91717761"/>
        <n v="0.91717775"/>
        <n v="0.93410109"/>
        <n v="0.92435491"/>
        <n v="0.9148099"/>
        <n v="0.92677229"/>
        <n v="0.9267724"/>
        <n v="0.91480994"/>
        <n v="0.91481"/>
        <n v="0.91644086"/>
        <n v="0.9116796"/>
        <n v="0.91405404"/>
        <n v="0.92611398"/>
        <n v="0.92611394"/>
        <n v="0.92125206"/>
        <n v="0.91405389"/>
        <n v="0.91570498"/>
        <n v="0.91329929"/>
        <n v="0.89912556"/>
        <n v="0.9132993"/>
        <n v="0.89654165"/>
        <n v="0.90615707"/>
        <n v="0.9184702"/>
        <n v="0.92348962"/>
        <n v="0.91598074"/>
        <n v="0.92348964"/>
        <n v="0.8980858"/>
        <n v="0.91029255"/>
        <n v="0.92283582"/>
        <n v="0.92283578"/>
        <n v="0.91777732"/>
        <n v="0.89724683"/>
        <n v="0.91708549"/>
        <n v="0.92218304"/>
        <n v="0.89397255"/>
        <n v="0.91639487"/>
        <n v="0.9087968"/>
        <n v="0.921531"/>
        <n v="0.92153111"/>
        <n v="0.92088008"/>
        <n v="0.90581958"/>
        <n v="0.89056983"/>
        <n v="0.91627977"/>
        <n v="0.91893264"/>
        <n v="0.92097296"/>
        <n v="0.91828527"/>
        <n v="0.926396"/>
        <n v="0.9203461"/>
        <n v="0.89141811"/>
        <n v="0.91763884"/>
        <n v="0.91763881"/>
        <n v="0.91763886"/>
        <n v="0.8880348"/>
        <n v="0.91158862"/>
        <n v="0.91699341"/>
        <n v="0.9335995"/>
        <n v="0.9062469"/>
        <n v="0.91722377"/>
        <n v="0.88467704"/>
        <n v="0.9144204"/>
        <n v="0.90065652"/>
        <n v="0.90266112"/>
        <n v="0.93098004"/>
        <n v="0.89992373"/>
        <n v="0.89992374"/>
        <n v="0.89449831"/>
        <n v="0.89919203"/>
        <n v="0.89102632"/>
        <n v="0.90750889"/>
        <n v="0.91536061"/>
        <n v="0.88217539"/>
        <n v="0.90683234"/>
        <n v="0.87803713"/>
        <n v="0.89482739"/>
        <n v="0.90572977"/>
        <n v="0.89410395"/>
        <n v="0.9057297"/>
        <n v="0.88557849"/>
        <n v="0.87639281"/>
        <n v="0.89050472"/>
        <n v="0.9050784"/>
        <n v="0.90507849"/>
        <n v="0.88480561"/>
        <n v="0.87312236"/>
        <n v="0.90183596"/>
        <n v="0.88096171"/>
        <n v="0.89276996"/>
        <n v="0.88313586"/>
        <n v="0.89509065"/>
        <n v="0.88019686"/>
        <n v="0.87068554"/>
        <n v="0.89669587"/>
        <n v="0.89351299"/>
        <n v="0.87488025"/>
        <n v="0.88339234"/>
        <n v="0.88028191"/>
        <n v="0.90909093"/>
        <n v="0.87337314"/>
        <n v="0.8922461"/>
        <n v="0.88764604"/>
        <n v="0.86119456"/>
        <n v="0.88784034"/>
        <n v="0.86044334"/>
        <n v="0.85969343"/>
        <n v="0.86958613"/>
        <n v="0.88658963"/>
        <n v="0.8900703"/>
        <n v="0.88347787"/>
        <n v="0.85785477"/>
        <n v="0.85153057"/>
        <n v="0.8612148"/>
        <n v="0.8798575"/>
        <n v="0.8667776"/>
        <n v="0.87103868"/>
        <n v="0.84569065"/>
        <n v="0.85392109"/>
        <n v="0.84217818"/>
      </sharedItems>
    </cacheField>
    <cacheField name=" Tipo de Cambio (Cheque/Fondo) " numFmtId="0">
      <sharedItems containsString="0" containsBlank="1">
        <m/>
      </sharedItems>
    </cacheField>
    <cacheField name=" Importe Nominal " numFmtId="4">
      <sharedItems containsString="0" containsBlank="1" containsNumber="1">
        <n v="2500000.0"/>
        <n v="4298084.19"/>
        <n v="2000000.0"/>
        <n v="9676723.33"/>
        <n v="1.5E7"/>
        <n v="2.5E7"/>
        <n v="6238663.2"/>
        <n v="1.0E8"/>
        <n v="2.25E7"/>
        <n v="5.0E8"/>
        <m/>
        <n v="1.0E7"/>
        <n v="1.0E9"/>
        <n v="8168237.87"/>
        <n v="5000000.0"/>
        <n v="1.25E7"/>
        <n v="4.2E7"/>
        <n v="3000000.0"/>
        <n v="1381630.2"/>
        <n v="3.19651714E8"/>
        <n v="7162509.15"/>
        <n v="1862351.88"/>
        <n v="9500000.0"/>
        <n v="3.0E8"/>
        <n v="1.561641337E7"/>
        <n v="2.675E8"/>
        <n v="9040891.31"/>
        <n v="1.2E7"/>
        <n v="2.0E7"/>
        <n v="6500000.0"/>
        <n v="5.0E7"/>
        <n v="7.5E7"/>
        <n v="2.82703207E7"/>
        <n v="8970000.0"/>
        <n v="7821000.0"/>
        <n v="1977599.0"/>
        <n v="3.5E7"/>
        <n v="3.813677455E7"/>
        <n v="1200000.0"/>
        <n v="7000000.0"/>
        <n v="8527469.2"/>
        <n v="1.65E7"/>
        <n v="4290614.13"/>
        <n v="267293.51"/>
        <n v="1100000.0"/>
        <n v="262329.78"/>
        <n v="1000000.0"/>
        <n v="6.472242221E8"/>
        <n v="3200000.0"/>
        <n v="3.0E7"/>
        <n v="4771794.93"/>
        <n v="9.0E7"/>
        <n v="2.1E8"/>
        <n v="4000000.0"/>
        <n v="1.540272702E7"/>
        <n v="4599318.34"/>
        <n v="2040817.0"/>
        <n v="1077577.5"/>
        <n v="1.025E7"/>
        <n v="5600000.0"/>
        <n v="3696352.34"/>
        <n v="1.1E7"/>
        <n v="8750000.0"/>
        <n v="8.5E7"/>
        <n v="1.7129876E7"/>
        <n v="6.0E7"/>
        <n v="2.145E8"/>
        <n v="500000.0"/>
        <n v="3500000.0"/>
        <n v="686799.72"/>
        <n v="1050000.0"/>
        <n v="1.65758E7"/>
        <n v="2.0E8"/>
        <n v="4.0E7"/>
        <n v="1.68E7"/>
        <n v="4.003169352E7"/>
        <n v="788284.3"/>
        <n v="992261.57"/>
        <n v="2052371.88"/>
        <n v="579362.0"/>
        <n v="1770042.5"/>
        <n v="1297647.84"/>
        <n v="9.69599488E7"/>
        <n v="1.47E7"/>
        <n v="1449874.22"/>
        <n v="3214300.0"/>
        <n v="4100000.0"/>
        <n v="1.3E8"/>
        <n v="1.5E8"/>
        <n v="5450000.0"/>
        <n v="4118080.0"/>
        <n v="5667008.0"/>
        <n v="3750000.0"/>
        <n v="1918075.9"/>
        <n v="562500.0"/>
        <n v="4.003169351E7"/>
        <n v="1701000.0"/>
        <n v="250772.5"/>
        <n v="830000.0"/>
        <n v="1500000.0"/>
        <n v="1250000.0"/>
        <n v="1151000.0"/>
        <n v="7.0E7"/>
        <n v="4.5E7"/>
        <n v="2224137.97"/>
        <n v="2275297.0"/>
        <n v="2.474687131E7"/>
        <n v="1317268.23"/>
        <n v="1278434.35"/>
        <n v="2890000.0"/>
        <n v="8000000.0"/>
        <n v="2360000.0"/>
        <n v="3.914177544E7"/>
        <n v="1039967.56"/>
        <n v="4190169.08"/>
        <n v="1.521978537E7"/>
        <n v="464617.82"/>
        <n v="2931229.1"/>
        <n v="1583767.68"/>
        <n v="1.638948037E7"/>
        <n v="1.687762205E7"/>
        <n v="600000.0"/>
        <n v="121501.73"/>
        <n v="3116595.02"/>
        <n v="5454223.66"/>
        <n v="6.5E7"/>
        <n v="1809446.0"/>
        <n v="2368425.38"/>
        <n v="1606134.0"/>
        <n v="2700000.0"/>
        <n v="4.263481359E7"/>
        <n v="4166666.7"/>
        <n v="1666000.0"/>
        <n v="9902875.5"/>
        <n v="2008734.21"/>
        <n v="1948054.0"/>
        <n v="2300000.0"/>
        <n v="1211666.8"/>
        <n v="5188161.21"/>
        <n v="1982063.64"/>
        <n v="2501996.42"/>
        <n v="3533450.77"/>
        <n v="7.5E8"/>
        <n v="2387682.0"/>
        <n v="330000.0"/>
        <n v="415000.0"/>
        <n v="6013017.5"/>
        <n v="2429673.98"/>
        <n v="1754500.0"/>
        <n v="1.66E7"/>
        <n v="755183.27"/>
        <n v="700000.0"/>
        <n v="1040000.0"/>
        <n v="1134249.7"/>
        <n v="2734537.0"/>
        <n v="1068909.47"/>
        <n v="505653.95"/>
        <n v="8802443.9"/>
        <n v="970094.59"/>
        <n v="1044096.2"/>
        <n v="3745855.84"/>
        <n v="128742.88"/>
        <n v="84170.31"/>
        <n v="1041333.16"/>
        <n v="250000.0"/>
        <n v="2874076.13"/>
        <n v="323998.16"/>
        <n v="1215528.29"/>
        <n v="7012899.0"/>
        <n v="2.178985733E7"/>
        <n v="1.28E8"/>
        <n v="3.095831778E7"/>
        <n v="456527.78"/>
        <n v="1062257.16"/>
        <n v="3519950.15"/>
        <n v="1573636.95"/>
        <n v="1103671.38"/>
        <n v="2502456.9"/>
        <n v="7.0E8"/>
        <n v="1.029126E7"/>
        <n v="1300000.0"/>
        <n v="6666666.67"/>
        <n v="1318130.0"/>
        <n v="1177029.06"/>
        <n v="1450000.0"/>
        <n v="1204873.98"/>
        <n v="6530318.0"/>
        <n v="5882352.93"/>
        <n v="548019.59"/>
        <n v="2.706396E7"/>
        <n v="1084567.12"/>
        <n v="4600000.0"/>
        <n v="2662911.02"/>
        <n v="9978017.32"/>
        <n v="2885565.11"/>
        <n v="8.0E7"/>
        <n v="2.139575E7"/>
        <n v="5606107.59"/>
        <n v="1278434.36"/>
        <n v="2.77890802E7"/>
        <n v="6598885.38"/>
        <n v="1.3E7"/>
        <n v="1.082E9"/>
        <n v="2273100.5"/>
        <n v="6747533.79"/>
        <n v="7.76145E8"/>
        <n v="2.434134953E7"/>
        <n v="6000000.0"/>
        <n v="3666380.87"/>
        <n v="1.195712E7"/>
        <n v="1.49E8"/>
        <n v="9000000.0"/>
        <n v="1341865.8"/>
        <n v="6060681.79"/>
        <n v="4500000.0"/>
        <n v="2398145.2"/>
        <n v="1110641.67"/>
        <n v="1017218.53"/>
        <n v="8500000.0"/>
        <n v="5800000.0"/>
        <n v="4166666.66"/>
        <n v="8756336.99"/>
        <n v="1484637.46"/>
        <n v="3.46128566E8"/>
        <n v="2046492.39"/>
        <n v="5511345.05"/>
        <n v="1718406.99"/>
        <n v="2125000.0"/>
        <n v="1319000.0"/>
        <n v="3.205E8"/>
        <n v="7938273.0"/>
        <n v="4104000.0"/>
        <n v="5500000.0"/>
        <n v="1.7E7"/>
        <n v="1.365E8"/>
        <n v="2.68E8"/>
        <n v="3847875.41"/>
        <n v="3300000.0"/>
        <n v="2197564.35"/>
        <n v="8091449.26"/>
        <n v="1.8E7"/>
        <n v="5211510.27"/>
        <n v="1.362E8"/>
        <n v="4957711.81"/>
        <n v="3900000.0"/>
        <n v="5900000.0"/>
        <n v="5586280.87"/>
        <n v="2899135.68"/>
        <n v="2.92E7"/>
        <n v="3345657.98"/>
        <n v="3.1E7"/>
        <n v="2200000.0"/>
        <n v="4.3E7"/>
        <n v="9943984.5"/>
        <n v="2304789.0"/>
        <n v="2.15E8"/>
        <n v="3243208.42"/>
        <n v="2900000.0"/>
        <n v="2.871235731E7"/>
        <n v="5.039910895E7"/>
        <n v="4643215.31"/>
        <n v="2120477.86"/>
        <n v="3412014.84"/>
        <n v="1.796954275E7"/>
        <n v="4.04E7"/>
        <n v="7551944.0"/>
        <n v="1.35E7"/>
        <n v="2502217.07"/>
        <n v="6395453.2"/>
        <n v="1860181.4"/>
        <n v="3621557.13"/>
        <n v="1.494732566E7"/>
        <n v="1.060411444E7"/>
        <n v="6410198.8"/>
        <n v="5184831.36"/>
        <n v="1.473116433E7"/>
        <n v="7250000.0"/>
        <n v="2.83E8"/>
        <n v="966441.68"/>
        <n v="639790.28"/>
        <n v="1698044.02"/>
        <n v="3090647.25"/>
        <n v="1.75E8"/>
        <n v="7865231.25"/>
        <n v="7500000.0"/>
        <n v="1.192307692E7"/>
        <n v="169949.7"/>
        <n v="2382065.57"/>
        <n v="1.080042897E7"/>
        <n v="1.654557209E7"/>
        <n v="1770042.53"/>
        <n v="2.7E7"/>
        <n v="9972860.45"/>
        <n v="1.2E8"/>
        <n v="5.260273924E7"/>
        <n v="2.22666549E7"/>
        <n v="1.9999999E7"/>
        <n v="3812810.4"/>
        <n v="9972570.82"/>
        <n v="9972350.78"/>
        <n v="9973200.0"/>
        <n v="6250000.0"/>
        <n v="1.600557567E7"/>
        <n v="1.208021571E7"/>
        <n v="1.523033594E7"/>
        <n v="1.2166667E7"/>
        <n v="2067824.35"/>
        <n v="4.35E7"/>
        <n v="9972890.55"/>
        <n v="2.508888433E7"/>
        <n v="248941.88"/>
        <n v="1236587.72"/>
        <n v="1.600557568E7"/>
        <n v="1.5166667E7"/>
        <n v="2333401.22"/>
        <n v="2.4E7"/>
        <n v="7133529.14"/>
        <n v="4250000.0"/>
        <n v="1.535531045E7"/>
        <n v="1.000467046E8"/>
        <n v="1524900.0"/>
        <n v="2687954.26"/>
        <n v="4.4E8"/>
        <n v="1.15E8"/>
        <n v="9600000.0"/>
        <n v="9975100.8"/>
        <n v="1.9470985E7"/>
        <n v="3424300.0"/>
        <n v="9974100.0"/>
        <n v="9973400.0"/>
        <n v="9973360.47"/>
        <n v="1.282550939E7"/>
        <n v="9972899.99"/>
        <n v="2.150072074E8"/>
        <n v="2.985732909E7"/>
        <n v="9.280688926E7"/>
        <n v="2.041114744E7"/>
        <n v="6.872860828E7"/>
        <n v="6875275.09"/>
        <n v="6937722.32"/>
        <n v="3090146.07"/>
        <n v="2868835.67"/>
        <n v="7075968.32"/>
        <n v="1.180913297E7"/>
        <n v="3.169471328E7"/>
        <n v="2.001162016E7"/>
        <n v="3.4118781E7"/>
        <n v="4463318.82"/>
        <n v="1.710670417E7"/>
        <n v="5134985.93"/>
        <n v="685765.71"/>
        <n v="535280.22"/>
        <n v="689115.82"/>
        <n v="2688265.68"/>
        <n v="603640.62"/>
        <n v="6625114.52"/>
        <n v="3076923.1"/>
        <n v="2.2E7"/>
        <n v="2.46E7"/>
        <n v="1.947098634E7"/>
        <n v="6899161.77"/>
        <n v="1008513.5"/>
        <n v="4500591.28"/>
        <n v="2.13875E7"/>
        <n v="3772034.12"/>
        <n v="6500236.57"/>
        <n v="7203888.0"/>
        <n v="1.447989969E7"/>
        <n v="7900000.0"/>
        <n v="1.447989968E7"/>
        <n v="8106418.25"/>
        <n v="8.0E8"/>
        <n v="6.5E8"/>
        <n v="3413365.0"/>
        <n v="7261808.2"/>
        <n v="7190687.0"/>
        <n v="2.12E8"/>
        <n v="7511409.47"/>
        <n v="1.9922304E7"/>
        <n v="3511491.25"/>
        <n v="3.33534247E8"/>
        <n v="3517425.0"/>
        <n v="1655023.2"/>
        <n v="1.086774235E7"/>
        <n v="9.33333333E8"/>
        <n v="2.040824114E7"/>
        <n v="1.09E7"/>
        <n v="5448062.43"/>
        <n v="5109127.71"/>
        <n v="8560000.0"/>
        <n v="1.7118303E7"/>
        <n v="9450000.0"/>
        <n v="9478811.35"/>
        <n v="2.936236171E7"/>
        <n v="4103981.39"/>
        <n v="1.87E7"/>
        <n v="5311841.87"/>
        <n v="6.954223E7"/>
        <n v="4396334.17"/>
        <n v="2.257893703E7"/>
        <n v="7.138929E7"/>
        <n v="7.449558E7"/>
      </sharedItems>
    </cacheField>
    <cacheField name=" Importe Actual " numFmtId="4">
      <sharedItems containsString="0" containsBlank="1" containsNumber="1">
        <n v="2500000.0"/>
        <n v="4298084.19"/>
        <n v="2000000.0"/>
        <n v="9676723.33"/>
        <n v="1.5E7"/>
        <n v="2.5E7"/>
        <n v="6238663.2"/>
        <n v="1.0E8"/>
        <n v="2.25E7"/>
        <n v="5.0E8"/>
        <m/>
        <n v="1.0E7"/>
        <n v="1.0E9"/>
        <n v="8168237.87"/>
        <n v="5000000.0"/>
        <n v="1.25E7"/>
        <n v="1994263.11"/>
        <n v="4.189325828E7"/>
        <n v="9978675.72"/>
        <n v="2991149.53"/>
        <n v="1.496433165E7"/>
        <n v="1378231.87"/>
        <n v="3.1877835785E8"/>
        <n v="7132805.44"/>
        <n v="9961790.5"/>
        <n v="1855641.09"/>
        <n v="1992358.11"/>
        <n v="9963966.09"/>
        <n v="9461635.26"/>
        <n v="9971587.94"/>
        <n v="9970498.34"/>
        <n v="2988210.95"/>
        <n v="2.9885371221E8"/>
        <n v="1.556864117E7"/>
        <n v="2.6633251998E8"/>
        <n v="8999469.53"/>
        <n v="1.196198392E7"/>
        <n v="4984159.96"/>
        <n v="1.993446223E7"/>
        <n v="1.246039984E7"/>
        <n v="2493169.41"/>
        <n v="6475163.78"/>
        <n v="4.974785443E7"/>
        <n v="7.464212831E7"/>
        <n v="2.812775597E7"/>
        <n v="1991271.2"/>
        <n v="8929633.18"/>
        <n v="7785803.91"/>
        <n v="2.489428455E7"/>
        <n v="1971657.03"/>
        <n v="3.485675311E7"/>
        <n v="4974107.46"/>
        <n v="3.796515168E7"/>
        <n v="1195251.75"/>
        <n v="1.24505391E7"/>
        <n v="6972301.84"/>
        <n v="4975463.54"/>
        <n v="8498366.27"/>
        <n v="1.641902963E7"/>
        <n v="4980215.59"/>
        <n v="4270141.02"/>
        <n v="266018.09"/>
        <n v="2486376.09"/>
        <n v="6450516.79"/>
        <n v="1090143.91"/>
        <n v="1981004.17"/>
        <n v="9918478.53"/>
        <n v="2.478946029E7"/>
        <n v="4.1646293E7"/>
        <n v="2.478946012E7"/>
        <n v="9926570.89"/>
        <n v="1.984234904E7"/>
        <n v="6448763.43"/>
        <n v="260545.25"/>
        <n v="992387.18"/>
        <n v="6.4142506142E8"/>
        <n v="1.487448435E7"/>
        <n v="3170380.9"/>
        <n v="2.476860082E7"/>
        <n v="2.972232079E7"/>
        <n v="4720579.88"/>
        <n v="9910399.4"/>
        <n v="8.903404198E7"/>
        <n v="2.0774609795E8"/>
        <n v="1.982672029E7"/>
        <n v="3957068.68"/>
        <n v="2.9713448664E8"/>
        <n v="1.527384249E7"/>
        <n v="1.239170003E7"/>
        <n v="2483669.04"/>
        <n v="6440710.26"/>
        <n v="4.939909307E7"/>
        <n v="4542567.61"/>
        <n v="2016945.23"/>
        <n v="1066012.02"/>
        <n v="9902333.58"/>
        <n v="9902333.41"/>
        <n v="1.014989162E7"/>
        <n v="1963398.02"/>
        <n v="4951166.71"/>
        <n v="5539896.07"/>
        <n v="9892671.56"/>
        <n v="3656680.03"/>
        <n v="9385827.68"/>
        <n v="1.087486481E7"/>
        <n v="8664542.42"/>
        <n v="9902333.74"/>
        <n v="1.238194774E7"/>
        <n v="3.465816677E7"/>
        <n v="1.486317776E7"/>
        <n v="6936149.6"/>
        <n v="4.946335745E7"/>
        <n v="9.876610273E7"/>
        <n v="1.972759753E7"/>
        <n v="4949555.93"/>
        <n v="8.395118847E7"/>
        <n v="1.696257419E7"/>
        <n v="3960933.35"/>
        <n v="5.941400056E7"/>
        <n v="1.23819478E7"/>
        <n v="2.476389512E7"/>
        <n v="2.1171579905E8"/>
        <n v="4.946335873E7"/>
        <n v="495924.0"/>
        <n v="3471467.99"/>
        <n v="681200.93"/>
        <n v="1041440.4"/>
        <n v="1.64406741E7"/>
        <n v="1.9836960028E8"/>
        <n v="2476389.54"/>
        <n v="3.963514046E7"/>
        <n v="1.66034878E7"/>
        <n v="2958180.29"/>
        <n v="4939909.2"/>
        <n v="4.956007069E7"/>
        <n v="3.97442346E7"/>
        <n v="4952779.02"/>
        <n v="4952779.07"/>
        <n v="780839.63"/>
        <n v="1.238194785E7"/>
        <n v="264252.82"/>
        <n v="980973.73"/>
        <n v="2029024.36"/>
        <n v="574638.98"/>
        <n v="1752755.07"/>
        <n v="1284974.13"/>
        <n v="9.60703114E7"/>
        <n v="6435818.16"/>
        <n v="1.45445925E7"/>
        <n v="1433031.31"/>
        <n v="3173608.25"/>
        <n v="9894281.1"/>
        <n v="4042409.61"/>
        <n v="1.970523163E7"/>
        <n v="1.2876177205E8"/>
        <n v="1.4857127544E8"/>
        <n v="5377223.56"/>
        <n v="4074544.71"/>
        <n v="5607097.51"/>
        <n v="1187732.21"/>
        <n v="3702526.62"/>
        <n v="1895793.96"/>
        <n v="557535.71"/>
        <n v="3447205.82"/>
        <n v="3.972046303E7"/>
        <n v="1681239.81"/>
        <n v="248121.38"/>
        <n v="821225.39"/>
        <n v="1.484061595E7"/>
        <n v="1480129.82"/>
        <n v="1232974.87"/>
        <n v="1136613.35"/>
        <n v="9886241.1"/>
        <n v="3461496.85"/>
        <n v="4038046.48"/>
        <n v="6.922993832E7"/>
        <n v="1.971268096E7"/>
        <n v="4930034.02"/>
        <n v="4.430328665E7"/>
        <n v="3.939557628E7"/>
        <n v="2203013.33"/>
        <n v="2253686.47"/>
        <n v="3443210.71"/>
        <n v="2.443755221E7"/>
        <n v="989374.41"/>
        <n v="1.236248867E7"/>
        <n v="1300803.35"/>
        <n v="1263891.06"/>
        <n v="2476927.37"/>
        <n v="2846253.71"/>
        <n v="9862199.64"/>
        <n v="1.478650805E7"/>
        <n v="7860873.44"/>
        <n v="3435987.22"/>
        <n v="4025013.58"/>
        <n v="2950528.21"/>
        <n v="1.477972162E7"/>
        <n v="1482735.43"/>
        <n v="2332837.09"/>
        <n v="9.839601701E7"/>
        <n v="3.874477709E7"/>
        <n v="4933366.01"/>
        <n v="1.975161727E7"/>
        <n v="984862.87"/>
        <n v="1024225.43"/>
        <n v="9844113.28"/>
        <n v="9830326.42"/>
        <n v="4123070.52"/>
        <n v="4910402.04"/>
        <n v="9.830326168E8"/>
        <n v="1.01005674E7"/>
        <n v="9.806556033E7"/>
        <n v="1.96511267E7"/>
        <n v="9839866.96"/>
        <n v="4.919933224E7"/>
        <n v="983986.68"/>
        <n v="1.498333888E7"/>
        <n v="9778182.78"/>
        <n v="4020687.85"/>
        <n v="1.95941605E7"/>
        <n v="458959.45"/>
        <n v="2895530.93"/>
        <n v="3684585.98"/>
        <n v="1558406.28"/>
        <n v="1.618987996E7"/>
        <n v="1.667207678E7"/>
        <n v="592692.87"/>
        <n v="120022.01"/>
        <n v="1481732.15"/>
        <n v="4910402.37"/>
        <n v="4929501.57"/>
        <n v="1.232375364E7"/>
        <n v="1082385.35"/>
        <n v="2474240.82"/>
        <n v="6406621.46"/>
        <n v="3056142.17"/>
        <n v="5351159.31"/>
        <n v="6.38043277E7"/>
        <n v="1.963209986E7"/>
        <n v="1779798.97"/>
        <n v="2328427.51"/>
        <n v="9846237.01"/>
        <n v="8615457.28"/>
        <n v="9846237.26"/>
        <n v="3447950.13"/>
        <n v="1.083641519E7"/>
        <n v="4.903014579E7"/>
        <n v="4016371.42"/>
        <n v="1581437.61"/>
        <n v="9.811037E7"/>
        <n v="1.476935599E7"/>
        <n v="2658484.13"/>
        <n v="4.208711343E7"/>
        <n v="3.940514606E7"/>
        <n v="1.231410814E7"/>
        <n v="4104702.63"/>
        <n v="9851286.24"/>
        <n v="4908025.35"/>
        <n v="6.885308579E7"/>
        <n v="1637864.66"/>
        <n v="4.915560459E7"/>
        <n v="9775660.06"/>
        <n v="987153.69"/>
        <n v="1982929.39"/>
        <n v="1923028.69"/>
        <n v="493576.84"/>
        <n v="4935768.44"/>
        <n v="3.869860368E7"/>
        <n v="4925643.18"/>
        <n v="1672273.6"/>
        <n v="2261157.7"/>
        <n v="1191204.22"/>
        <n v="5103155.75"/>
        <n v="1032796.27"/>
        <n v="1949588.51"/>
        <n v="2457228.04"/>
        <n v="3479119.4"/>
        <n v="6401780.92"/>
        <n v="7.3470223575E8"/>
        <n v="1225819.44"/>
        <n v="9838275.63"/>
        <n v="9785523.12"/>
        <n v="4.924446965E7"/>
        <n v="2.460895526E7"/>
        <n v="9843582.09"/>
        <n v="2.462223539E7"/>
        <n v="493243.31"/>
        <n v="9.838275617E7"/>
        <n v="5347446.33"/>
        <n v="4921791.04"/>
        <n v="2345274.55"/>
        <n v="324663.13"/>
        <n v="408288.48"/>
        <n v="2471560.25"/>
        <n v="1.476218746E7"/>
        <n v="5910992.46"/>
        <n v="2384403.18"/>
        <n v="9830326.06"/>
        <n v="1.229486116E7"/>
        <n v="9830326.29"/>
        <n v="1.967177813E7"/>
        <n v="9835889.06"/>
        <n v="3421264.18"/>
        <n v="4.920729077E7"/>
        <n v="1729622.04"/>
        <n v="985820.48"/>
        <n v="3.934355592E7"/>
        <n v="1.627232481E7"/>
        <n v="9.858204515E7"/>
        <n v="744475.13"/>
        <n v="690074.34"/>
        <n v="9.830326599E7"/>
        <n v="1022353.93"/>
        <n v="4917944.68"/>
        <n v="1.22948614E7"/>
        <n v="1113115.84"/>
        <n v="2688139.27"/>
        <n v="1052303.35"/>
        <n v="497798.34"/>
        <n v="8665692.85"/>
        <n v="955023.6"/>
        <n v="1027875.57"/>
        <n v="3687661.79"/>
        <n v="126742.78"/>
        <n v="82862.67"/>
        <n v="9806555.78"/>
        <n v="1019217.65"/>
        <n v="1221095.18"/>
        <n v="1.4733584918E8"/>
        <n v="3994928.12"/>
        <n v="2647770.04"/>
        <n v="245956.91"/>
        <n v="2930628.55"/>
        <n v="1.469088798E7"/>
        <n v="2827595.49"/>
        <n v="318758.33"/>
        <n v="9.806556431E7"/>
        <n v="5327396.95"/>
        <n v="4906441.62"/>
        <n v="9.812883359E7"/>
        <n v="323616.39"/>
        <n v="406972.12"/>
        <n v="7.32441473E7"/>
        <n v="2933690.78"/>
        <n v="9778969.48"/>
        <n v="4.889484391E7"/>
        <n v="1188661.37"/>
        <n v="9798658.57"/>
        <n v="1.4722689224E8"/>
        <n v="3990666.76"/>
        <n v="1.946666681E7"/>
        <n v="1.949265691E7"/>
        <n v="4.909214125E7"/>
        <n v="6871700.82"/>
        <n v="2.142302626E7"/>
        <n v="2.94157154E7"/>
        <n v="4879679.24"/>
        <n v="1.2458667132E8"/>
        <n v="3.043713511E7"/>
        <n v="448842.16"/>
        <n v="4902619.26"/>
        <n v="9.798658566E7"/>
        <n v="1019060.45"/>
        <n v="4902619.5"/>
        <n v="9798658.03"/>
        <n v="4902619.38"/>
        <n v="9.805239594E7"/>
        <n v="1.225654831E7"/>
        <n v="1039474.18"/>
        <n v="2464883.9"/>
        <n v="6372891.61"/>
        <n v="4478102.88"/>
        <n v="3427181.76"/>
        <n v="9.790772887E7"/>
        <n v="1537495.36"/>
        <n v="1078323.44"/>
        <n v="9790773.41"/>
        <n v="2439889.05"/>
        <n v="9790772.81"/>
        <n v="3429162.02"/>
        <n v="9790772.8"/>
        <n v="1.077736691E7"/>
        <n v="6.8297264336E8"/>
        <n v="3403036.84"/>
        <n v="3986414.51"/>
        <n v="1.01111977E7"/>
        <n v="9825033.77"/>
        <n v="1273688.82"/>
        <n v="1.224700783E7"/>
        <n v="4.885165638E7"/>
        <n v="6550022.51"/>
        <n v="4898803.13"/>
        <n v="5317428.79"/>
        <n v="1018240.37"/>
        <n v="4898802.93"/>
        <n v="4898803.05"/>
        <n v="1.962260153E7"/>
        <n v="9790772.64"/>
        <n v="1661933.27"/>
        <n v="2247176.08"/>
        <n v="1287856.6"/>
        <n v="1150797.35"/>
        <n v="1416697.91"/>
        <n v="1178021.71"/>
        <n v="4888568.11"/>
        <n v="1026599.3"/>
        <n v="2.92702532E7"/>
        <n v="1733008.41"/>
        <n v="6393171.36"/>
        <n v="2463552.93"/>
        <n v="6368101.87"/>
        <n v="9.782900041E7"/>
        <n v="5729768.57"/>
        <n v="9782900.94"/>
        <n v="1.942522733E7"/>
        <n v="2641383.12"/>
        <n v="7.353139146E7"/>
        <n v="1.465314267E7"/>
        <n v="2.436907538E7"/>
        <n v="538069.09"/>
        <n v="4894992.59"/>
        <n v="5312458.44"/>
        <n v="4894992.39"/>
        <n v="4894992.48"/>
        <n v="9.789985215E7"/>
        <n v="1.223748154E7"/>
        <n v="2.643813933E7"/>
        <n v="1059487.85"/>
        <n v="5.869740564E7"/>
        <n v="322835.77"/>
        <n v="405990.43"/>
        <n v="1.468458356E7"/>
        <n v="9.775041117E7"/>
        <n v="9775040.82"/>
        <n v="5724269.78"/>
        <n v="2635308.75"/>
        <n v="1.956475187E7"/>
        <n v="9782375.96"/>
        <n v="4463051.75"/>
        <n v="5295629.18"/>
        <n v="2917199.48"/>
        <n v="3.8780283E7"/>
        <n v="1.616595577E7"/>
        <n v="4891187.95"/>
        <n v="4872904.23"/>
        <n v="1016604.24"/>
        <n v="4891188.14"/>
        <n v="4891187.84"/>
        <n v="9775040.66"/>
        <n v="2599108.4"/>
        <n v="4455521.35"/>
        <n v="9666055.74"/>
        <n v="1.940663754E7"/>
        <n v="9751536.54"/>
        <n v="5707834.03"/>
        <n v="2809216.27"/>
        <n v="9751536.22"/>
        <n v="3415866.97"/>
        <n v="7.807695542E7"/>
        <n v="2908598.37"/>
        <n v="2.425829522E7"/>
        <n v="1.460311587E7"/>
        <n v="2.081243217E7"/>
        <n v="2439904.9"/>
        <n v="4879809.85"/>
        <n v="4879809.72"/>
        <n v="9751536.88"/>
        <n v="9.759619646E7"/>
        <n v="5457776.22"/>
        <n v="9719338.95"/>
        <n v="321800.75"/>
        <n v="404688.83"/>
        <n v="1246670.12"/>
        <n v="2456919.9"/>
        <n v="2.714649131E7"/>
        <n v="5.796718179E7"/>
        <n v="6391554.12"/>
        <n v="1.263446605E7"/>
        <n v="2915646.24"/>
        <n v="9743726.93"/>
        <n v="9.677591751E7"/>
        <n v="1.04711542746E9"/>
        <n v="9718821.09"/>
        <n v="4.859409998E7"/>
        <n v="4.859410139E7"/>
        <n v="5702377.3"/>
        <n v="2203553.18"/>
        <n v="6557806.67"/>
        <n v="7.6408710955E8"/>
        <n v="2.361667525E7"/>
        <n v="9743727.19"/>
        <n v="9359934.49"/>
        <n v="4.859410437E7"/>
        <n v="4.880201125E7"/>
        <n v="2905742.87"/>
        <n v="5811485.78"/>
        <n v="3572421.7"/>
        <n v="1.164074764E7"/>
        <n v="4.830598474E7"/>
        <n v="1.4395184722E8"/>
        <n v="4.863554154E7"/>
        <n v="8806971.32"/>
        <n v="4876028.74"/>
        <n v="4876029.05"/>
        <n v="3.897490933E7"/>
        <n v="1305247.41"/>
        <n v="1945421.69"/>
        <n v="2455597.5"/>
        <n v="5916260.24"/>
        <n v="6339515.07"/>
        <n v="4350532.5"/>
        <n v="3013077.5"/>
        <n v="2318490.96"/>
        <n v="1079412.62"/>
        <n v="5696930.08"/>
        <n v="2201448.2"/>
        <n v="988616.37"/>
        <n v="1.218063465E7"/>
        <n v="2628701.28"/>
        <n v="8275540.78"/>
        <n v="9735930.33"/>
        <n v="5661791.18"/>
        <n v="4060211.4"/>
        <n v="1938653.71"/>
        <n v="4.855144393E7"/>
        <n v="1.627043119E7"/>
        <n v="8593184.54"/>
        <n v="1453107.07"/>
        <n v="1.460389558E7"/>
        <n v="9.744508099E7"/>
        <n v="3.4058589526E8"/>
        <n v="971882.0"/>
        <n v="4859409.98"/>
        <n v="1988949.08"/>
        <n v="5342295.36"/>
        <n v="6334775.35"/>
        <n v="1.931626024E7"/>
        <n v="1.931625916E7"/>
        <n v="5691493.26"/>
        <n v="2199347.2"/>
        <n v="8268923.68"/>
        <n v="9728145.5"/>
        <n v="5657705.45"/>
        <n v="1664151.17"/>
        <n v="2.436452196E7"/>
        <n v="2.421066703E7"/>
        <n v="2.410195905E7"/>
        <n v="2076640.31"/>
        <n v="9.736969148E7"/>
        <n v="1279663.51"/>
        <n v="403718.11"/>
        <n v="321028.86"/>
        <n v="3.0923214842E8"/>
        <n v="1.929685615E7"/>
        <n v="2197250.25"/>
        <n v="9.648427406E7"/>
        <n v="9648427.8"/>
        <n v="4.846634549E7"/>
        <n v="9720373.12"/>
        <n v="9720373.1"/>
        <n v="7716299.16"/>
        <n v="3970736.22"/>
        <n v="5321405.77"/>
        <n v="4.8108611E7"/>
        <n v="1.644797963E7"/>
        <n v="1.3170105541E8"/>
        <n v="2.5857788726E8"/>
        <n v="7776299.07"/>
        <n v="1648825.08"/>
        <n v="3733319.07"/>
        <n v="3201754.63"/>
        <n v="2449007.0"/>
        <n v="4046919.69"/>
        <n v="1.923888149E7"/>
        <n v="1.923888091E7"/>
        <n v="1.927749276E7"/>
        <n v="5413996.11"/>
        <n v="2118176.37"/>
        <n v="8484990.69"/>
        <n v="4.838795455E7"/>
        <n v="5641422.43"/>
        <n v="7838472.06"/>
        <n v="9697131.19"/>
        <n v="1008501.59"/>
        <n v="9.706931051E7"/>
        <n v="1.738463475E7"/>
        <n v="320005.38"/>
        <n v="402431.01"/>
        <n v="3.871036212E7"/>
        <n v="5008165.12"/>
        <n v="1931881.76"/>
        <n v="2897822.35"/>
        <n v="1.921963234E7"/>
        <n v="1.925918279E7"/>
        <n v="9659408.09"/>
        <n v="4.829703592E7"/>
        <n v="2116164.98"/>
        <n v="4.834693274E7"/>
        <n v="2616140.67"/>
        <n v="1.308857046E8"/>
        <n v="2.397530476E7"/>
        <n v="9.699450072E7"/>
        <n v="3423705.09"/>
        <n v="2446380.8"/>
        <n v="6791600.64"/>
        <n v="4759508.19"/>
        <n v="3763882.09"/>
        <n v="9681698.04"/>
        <n v="6.253294696E7"/>
        <n v="4.032088549E7"/>
        <n v="3856312.73"/>
        <n v="4840849.25"/>
        <n v="2114156.88"/>
        <n v="9681698.23"/>
        <n v="9681697.88"/>
        <n v="4.830598901E7"/>
        <n v="1930195.97"/>
        <n v="7.75358529E7"/>
        <n v="5730442.79"/>
        <n v="9681698.24"/>
        <n v="1.626525313E7"/>
        <n v="9.691982158E7"/>
        <n v="5408468.54"/>
        <n v="2800911.94"/>
        <n v="3188194.88"/>
        <n v="2.842133658E7"/>
        <n v="2.889182067E7"/>
        <n v="1.926121378E7"/>
        <n v="1713701.76"/>
        <n v="319496.04"/>
        <n v="6786549.32"/>
        <n v="3215623.74"/>
        <n v="4.028062869E7"/>
        <n v="2112152.58"/>
        <n v="3.038562929E7"/>
        <n v="9642566.48"/>
        <n v="9673999.53"/>
        <n v="4.826510443E7"/>
        <n v="9621721.67"/>
        <n v="1.443258242E7"/>
        <n v="2121364.44"/>
        <n v="2.405430484E7"/>
        <n v="1.4558460734E8"/>
        <n v="4842261.71"/>
        <n v="4.064372539E7"/>
        <n v="2443760.28"/>
        <n v="4750012.82"/>
        <n v="3212578.1"/>
        <n v="4.024044701E7"/>
        <n v="2110152.09"/>
        <n v="9666315.23"/>
        <n v="4833157.63"/>
        <n v="9666313.56"/>
        <n v="9.612853623E7"/>
        <n v="2119516.55"/>
        <n v="2609904.72"/>
        <n v="7.274008082E7"/>
        <n v="4.860186717E7"/>
        <n v="2.400557883E7"/>
        <n v="9709513.6"/>
        <n v="4.801115766E7"/>
        <n v="2858560.07"/>
        <n v="1005296.71"/>
        <n v="9.677077689E7"/>
        <n v="318988.41"/>
        <n v="3200453.86"/>
        <n v="4.103482629E7"/>
        <n v="9466756.27"/>
        <n v="4817846.01"/>
        <n v="5376400.78"/>
        <n v="2204759.38"/>
        <n v="2112157.48"/>
        <n v="5200926.1"/>
        <n v="1.441851942E7"/>
        <n v="2.0517418475E8"/>
        <n v="3320079.02"/>
        <n v="1633081.93"/>
        <n v="3172074.44"/>
        <n v="4.788769757E7"/>
        <n v="3197437.66"/>
        <n v="1918478.18"/>
        <n v="2877717.03"/>
        <n v="4.004074965E7"/>
        <n v="9456890.92"/>
        <n v="4.796194771E7"/>
        <n v="9087287.85"/>
        <n v="1.913750423E7"/>
        <n v="2110325.99"/>
        <n v="5.776840593E7"/>
        <n v="5302009.89"/>
        <n v="3.804064976E7"/>
        <n v="3114859.21"/>
        <n v="2410004.5"/>
        <n v="3316373.17"/>
        <n v="2802563.04"/>
        <n v="4820009.19"/>
        <n v="2407016.86"/>
        <n v="2435931.73"/>
        <n v="4822429.15"/>
        <n v="2.77630898E7"/>
        <n v="4.87328495E7"/>
        <n v="4489704.61"/>
        <n v="2050372.13"/>
        <n v="3299209.21"/>
        <n v="1.728751693E7"/>
        <n v="3194426.37"/>
        <n v="3737790.61"/>
        <n v="9620453.55"/>
        <n v="9620454.15"/>
        <n v="3.847719536E7"/>
        <n v="1433996.92"/>
        <n v="7174543.86"/>
        <n v="2200607.1"/>
        <n v="9584079.36"/>
        <n v="9620453.6"/>
        <n v="9620454.91"/>
        <n v="1.433996945E7"/>
        <n v="2108497.28"/>
        <n v="2597522.67"/>
        <n v="9632640.7"/>
        <n v="2.389994942E7"/>
        <n v="1.298761241E7"/>
        <n v="2419490.54"/>
        <n v="6184011.27"/>
        <n v="1798681.41"/>
        <n v="3501823.78"/>
        <n v="1.445314782E7"/>
        <n v="1.025352876E7"/>
        <n v="1000527.19"/>
        <n v="6174713.89"/>
        <n v="4994361.53"/>
        <n v="1.9265282002E8"/>
        <n v="1.247502582E7"/>
        <n v="959617.39"/>
        <n v="1.417204935E7"/>
        <n v="3191420.71"/>
        <n v="3.843908834E7"/>
        <n v="9612853.85"/>
        <n v="9612852.51"/>
        <n v="9612852.39"/>
        <n v="2106671.71"/>
        <n v="1543953.19"/>
        <n v="1.9300428568E8"/>
        <n v="6996404.9"/>
        <n v="9625273.84"/>
        <n v="1.585503207E7"/>
        <n v="2.7029964727E8"/>
        <n v="935059.7"/>
        <n v="619015.22"/>
        <n v="1626009.85"/>
        <n v="958810.65"/>
        <n v="2963345.56"/>
        <n v="1.6714207456E8"/>
        <n v="7461299.04"/>
        <n v="7144789.32"/>
        <n v="5348545.53"/>
        <n v="7192590.81"/>
        <n v="9603241.45"/>
        <n v="4.743216891E7"/>
        <n v="2387743.55"/>
        <n v="2101214.37"/>
        <n v="9.525053394E7"/>
        <n v="9603241.88"/>
        <n v="1.426821995E7"/>
        <n v="9550974.44"/>
        <n v="1.145001893E7"/>
        <n v="1.920648416E8"/>
        <n v="2429446.46"/>
        <n v="1908546.63"/>
        <n v="2862820.42"/>
        <n v="4.771366962E7"/>
        <n v="1.199490014E7"/>
        <n v="9595920.62"/>
        <n v="1.421561245E7"/>
        <n v="4.758180481E7"/>
        <n v="9516360.36"/>
        <n v="1.427454344E7"/>
        <n v="2099401.41"/>
        <n v="9595919.91"/>
        <n v="5277756.11"/>
        <n v="1.425484522E7"/>
        <n v="9609309.71"/>
        <n v="3.838368365E7"/>
        <n v="955597.54"/>
        <n v="3385953.69"/>
        <n v="2428153.45"/>
        <n v="4801115.91"/>
        <n v="164122.24"/>
        <n v="2300386.3"/>
        <n v="4260479.67"/>
        <n v="2270499.61"/>
        <n v="3718457.83"/>
        <n v="9575026.95"/>
        <n v="9575027.58"/>
        <n v="9575027.32"/>
        <n v="9575026.99"/>
        <n v="9.629590956E7"/>
        <n v="9588609.8"/>
        <n v="1.420159836E7"/>
        <n v="2383627.14"/>
        <n v="2097591.98"/>
        <n v="2585257.56"/>
        <n v="9588610.26"/>
        <n v="1.432196316E7"/>
        <n v="1.021125517E7"/>
        <n v="9602231.11"/>
        <n v="995802.81"/>
        <n v="1.588744183E7"/>
        <n v="1.9177221888E8"/>
        <n v="954797.57"/>
        <n v="9534507.7"/>
        <n v="4797581.79"/>
        <n v="1905259.28"/>
        <n v="8371559.95"/>
        <n v="9567497.3"/>
        <n v="4783748.63"/>
        <n v="4783748.38"/>
        <n v="9581310.12"/>
        <n v="1.424853727E7"/>
        <n v="2095785.23"/>
        <n v="4.818482597E7"/>
        <n v="9581310.58"/>
        <n v="1.190786931E7"/>
        <n v="439954.17"/>
        <n v="3.832524147E7"/>
        <n v="1.9162621896E8"/>
        <n v="1693487.7"/>
        <n v="9526297.97"/>
        <n v="6.195812377E7"/>
        <n v="9559980.84"/>
        <n v="9559980.48"/>
        <n v="9559979.34"/>
        <n v="9574022.7"/>
        <n v="2093981.62"/>
        <n v="9574021.98"/>
        <n v="1.429802672E7"/>
        <n v="1.575403174E7"/>
        <n v="9588106.23"/>
        <n v="3.829608707E7"/>
        <n v="1.91480441E8"/>
        <n v="8566289.44"/>
        <n v="4768748.81"/>
        <n v="5316410.1"/>
        <n v="9537496.95"/>
        <n v="7153122.82"/>
        <n v="2.591103083E7"/>
        <n v="9552223.32"/>
        <n v="9464540.84"/>
        <n v="2088589.76"/>
        <n v="1531849.83"/>
        <n v="3.348448441E7"/>
        <n v="2575124.38"/>
        <n v="1.916362993E8"/>
        <n v="9552223.77"/>
        <n v="9493589.8"/>
        <n v="2420424.68"/>
        <n v="4235431.22"/>
        <n v="2845634.63"/>
        <n v="9357568.58"/>
        <n v="4.742723767E7"/>
        <n v="9485448.36"/>
        <n v="1.1508146232E8"/>
        <n v="9544980.08"/>
        <n v="5.036726097E7"/>
        <n v="8863526.54"/>
        <n v="2.115390555E7"/>
        <n v="1.891192151E7"/>
        <n v="2086798.47"/>
        <n v="5129577.09"/>
        <n v="1.915005533E8"/>
        <n v="9544979.33"/>
        <n v="2.382506666E7"/>
        <n v="2.029482606E7"/>
        <n v="2386244.9"/>
        <n v="9559979.69"/>
        <n v="950026.15"/>
        <n v="1.889478361E7"/>
        <n v="4.761284174E7"/>
        <n v="3613522.27"/>
        <n v="9522568.06"/>
        <n v="9522567.65"/>
        <n v="1.410428159E7"/>
        <n v="2.350713598E7"/>
        <n v="1874679.07"/>
        <n v="9347685.92"/>
        <n v="9347479.67"/>
        <n v="9348275.67"/>
        <n v="9522567.41"/>
        <n v="9522568.62"/>
        <n v="4.738659741E7"/>
        <n v="9447393.47"/>
        <n v="2369330.25"/>
        <n v="2085010.28"/>
        <n v="1.9136499936E8"/>
        <n v="5980155.85"/>
        <n v="2.380641852E7"/>
        <n v="1.423853152E7"/>
        <n v="5713540.31"/>
        <n v="4716250.06"/>
        <n v="3.761142052E7"/>
        <n v="9552973.54"/>
        <n v="1.23400612E7"/>
        <n v="949235.46"/>
        <n v="1.515601132E7"/>
        <n v="1.143900662E7"/>
        <n v="1.442192076E7"/>
        <n v="1.139259658E7"/>
        <n v="1948662.67"/>
        <n v="4.08624257E7"/>
        <n v="9338392.61"/>
        <n v="2.398869349E7"/>
        <n v="1.875739076E7"/>
        <n v="2083225.59"/>
        <n v="2569082.75"/>
        <n v="1.183650755E7"/>
        <n v="240564.97"/>
        <n v="1194976.46"/>
        <n v="2.367301418E7"/>
        <n v="1.514304627E7"/>
        <n v="1.418717073E7"/>
        <n v="5648989.87"/>
        <n v="1946853.03"/>
        <n v="3.941482621E7"/>
        <n v="9523312.81"/>
        <n v="9570508.58"/>
        <n v="1.565431009E7"/>
        <n v="4753842.29"/>
        <n v="1.510428675E7"/>
        <n v="1.6514560785E8"/>
        <n v="1941444.65"/>
        <n v="2.821437807E7"/>
        <n v="4638958.77"/>
        <n v="2190790.18"/>
        <n v="1.509140999E7"/>
        <n v="6695477.78"/>
        <n v="1.13344406E7"/>
        <n v="1939648.39"/>
        <n v="2188763.21"/>
        <n v="5.686835004E7"/>
        <n v="2.274734002E7"/>
        <n v="9494576.54"/>
        <n v="2.357211239E7"/>
        <n v="5.608770222E7"/>
        <n v="9511153.58"/>
        <n v="1.132045663E7"/>
        <n v="2.818896039E7"/>
        <n v="9521077.42"/>
        <n v="1.507855513E7"/>
        <n v="6661903.66"/>
        <n v="1.411482305E7"/>
        <n v="2186739.98"/>
        <n v="4735340.46"/>
        <n v="2557084.14"/>
        <n v="9487420.55"/>
        <n v="2.359344309E7"/>
        <n v="1.506572519E7"/>
        <n v="2.332447887E7"/>
        <n v="2184720.97"/>
        <n v="9463314.29"/>
        <n v="9463314.4"/>
        <n v="4.714787792E7"/>
        <n v="9412796.92"/>
        <n v="1.862672943E7"/>
        <n v="5214150.29"/>
        <n v="9463314.32"/>
        <n v="1.176599602E7"/>
        <n v="5.597873458E7"/>
        <n v="3986252.6"/>
        <n v="9507685.97"/>
        <n v="1.505291403E7"/>
        <n v="1.446744801E7"/>
        <n v="9.529501596E7"/>
        <n v="4620952.54"/>
        <n v="9455958.74"/>
        <n v="2182705.21"/>
        <n v="9404794.62"/>
        <n v="942178.79"/>
        <n v="9487668.12"/>
        <n v="1.501461398E7"/>
        <n v="1.443168292E7"/>
        <n v="1430488.04"/>
        <n v="2176680.67"/>
        <n v="2502751.32"/>
        <n v="4.1198508815E8"/>
        <n v="9433964.56"/>
        <n v="9433962.73"/>
        <n v="1.0747666183E8"/>
        <n v="1.185958475E7"/>
        <n v="9469696.97"/>
        <n v="9142857.56"/>
        <n v="3.966775588E7"/>
        <n v="1.896202692E7"/>
        <n v="9481013.46"/>
        <n v="1.500188956E7"/>
        <n v="1.441980357E7"/>
        <n v="9226842.43"/>
        <n v="2500391.09"/>
        <n v="3.929157939E7"/>
        <n v="9426653.04"/>
        <n v="2545196.47"/>
        <n v="1.824998625E7"/>
        <n v="5.570819287E7"/>
        <n v="1.4221519013E8"/>
        <n v="939075.99"/>
        <n v="1.498918667E7"/>
        <n v="1.440794069E7"/>
        <n v="9383034.45"/>
        <n v="3.745991705E7"/>
        <n v="3206849.45"/>
        <n v="9216573.56"/>
        <n v="9215926.72"/>
        <n v="9215890.19"/>
        <n v="9419356.64"/>
        <n v="7064517.18"/>
        <n v="8543564.3"/>
        <n v="9455958.95"/>
        <n v="1.187396564E7"/>
        <n v="9455959.12"/>
        <n v="9130945.8"/>
        <n v="2.103073149E7"/>
        <n v="1.219794479E7"/>
        <n v="1.497650525E7"/>
        <n v="1.439609729E7"/>
        <n v="9375321.55"/>
        <n v="3.742822452E7"/>
        <n v="3106342.94"/>
        <n v="1398110.48"/>
        <n v="9206143.22"/>
        <n v="9357055.38"/>
        <n v="9412069.2"/>
        <n v="4.687660774E7"/>
        <n v="9357055.8"/>
        <n v="7.907279413E7"/>
        <n v="1.549953872E7"/>
        <n v="2.343830589E7"/>
        <n v="1.169631962E7"/>
        <n v="9.412069035E7"/>
        <n v="1.186223318E7"/>
        <n v="3040612.07"/>
        <n v="937532.15"/>
        <n v="1.438427648E7"/>
        <n v="9367623.36"/>
        <n v="2.0382743255E8"/>
        <n v="2.830483129E7"/>
        <n v="8.798118998E7"/>
        <n v="1.934982473E7"/>
        <n v="6.515491242E7"/>
        <n v="6517779.97"/>
        <n v="6576980.12"/>
        <n v="2929467.1"/>
        <n v="3103421.75"/>
        <n v="9404792.97"/>
        <n v="4702397.49"/>
        <n v="9404792.78"/>
        <n v="9404792.84"/>
        <n v="4.65620646E7"/>
        <n v="2337286.71"/>
        <n v="2698080.74"/>
        <n v="5.554711609E7"/>
        <n v="9442261.08"/>
        <n v="6708037.71"/>
        <n v="1.119509101E7"/>
        <n v="3.004667663E7"/>
        <n v="1.897107175E7"/>
        <n v="3.234469959E7"/>
        <n v="2815851.13"/>
        <n v="1.434892086E7"/>
        <n v="9344598.34"/>
        <n v="3.737839336E7"/>
        <n v="4154021.52"/>
        <n v="1.398824766E8"/>
        <n v="3094692.09"/>
        <n v="4120160.99"/>
        <n v="9383035.89"/>
        <n v="9441283.21"/>
        <n v="4720641.61"/>
        <n v="1.815766555E7"/>
        <n v="1.886939093E7"/>
        <n v="1.433717738E7"/>
        <n v="3.734780206E7"/>
        <n v="1.593941608E7"/>
        <n v="3091792.75"/>
        <n v="4717347.67"/>
        <n v="4.639635166E7"/>
        <n v="2.348837837E7"/>
        <n v="1.164705289E7"/>
        <n v="6868916.49"/>
        <n v="9414981.68"/>
        <n v="4784596.52"/>
        <n v="933695.03"/>
        <n v="9336949.03"/>
        <n v="1.432544996E7"/>
        <n v="650682.44"/>
        <n v="507895.67"/>
        <n v="653861.16"/>
        <n v="2550735.99"/>
        <n v="3088898.84"/>
        <n v="9368583.24"/>
        <n v="7026438.54"/>
        <n v="9428114.9"/>
        <n v="4714057.46"/>
        <n v="2327449.96"/>
        <n v="3.29984011E7"/>
        <n v="5621150.11"/>
        <n v="8503314.71"/>
        <n v="9408186.95"/>
        <n v="9408187.11"/>
        <n v="577684.45"/>
        <n v="2804672.27"/>
        <n v="6167848.86"/>
        <n v="9329313.73"/>
        <n v="1.431374172E7"/>
        <n v="2838132.23"/>
        <n v="4680687.77"/>
        <n v="9361375.83"/>
        <n v="7537234.91"/>
        <n v="4710771.82"/>
        <n v="4.611963645E7"/>
        <n v="1.0652202888E8"/>
        <n v="4.731043493E7"/>
        <n v="932168.83"/>
        <n v="2835480.72"/>
        <n v="9354177.77"/>
        <n v="4707490.74"/>
        <n v="4.657038877E7"/>
        <n v="3.295244107E7"/>
        <n v="6855570.38"/>
        <n v="2.824495138E7"/>
        <n v="2.071296435E7"/>
        <n v="9414983.79"/>
        <n v="2.316086013E7"/>
        <n v="1.694697083E7"/>
        <n v="2800225.16"/>
        <n v="9.395352662E7"/>
        <n v="2.359405789E7"/>
        <n v="3.716526174E7"/>
        <n v="3074512.27"/>
        <n v="2827556.75"/>
        <n v="9332652.49"/>
        <n v="9332653.07"/>
        <n v="4697675.82"/>
        <n v="1.805113139E7"/>
        <n v="1.877765563E7"/>
        <n v="3.71350099E7"/>
        <n v="6320133.83"/>
        <n v="6.034440526E7"/>
        <n v="4694413.86"/>
        <n v="4.715762982E7"/>
        <n v="2.816648262E7"/>
        <n v="1.170952947E7"/>
        <n v="1.157877399E7"/>
        <n v="9367622.6"/>
        <n v="936279.14"/>
        <n v="3.71048161E7"/>
        <n v="4118941.13"/>
        <n v="9318356.12"/>
        <n v="9318355.91"/>
        <n v="2313817.12"/>
        <n v="2.751740976E7"/>
        <n v="3.276313127E7"/>
        <n v="9339577.46"/>
        <n v="4.659178588E7"/>
        <n v="9311225.9"/>
        <n v="9304104.59"/>
        <n v="1.531624504E7"/>
        <n v="1.976163467E7"/>
        <n v="8452118.24"/>
        <n v="9325737.87"/>
        <n v="9.304104908E7"/>
        <n v="1.40212048E7"/>
        <n v="3485286.26"/>
        <n v="5920808.5"/>
        <n v="6531095.88"/>
        <n v="9.143288662E7"/>
        <n v="1.1511291E7"/>
        <n v="2330183.96"/>
        <n v="2.330184195E7"/>
        <n v="1.229593195E7"/>
        <n v="1.335581874E7"/>
        <n v="6518144.37"/>
        <n v="7147992.94"/>
        <n v="2.300343336E7"/>
        <n v="2328519.29"/>
        <n v="1.334502636E7"/>
        <n v="3397835.67"/>
        <n v="7140911.81"/>
        <n v="6511687.21"/>
        <n v="2.342747589E7"/>
        <n v="1.333425142E7"/>
        <n v="2325196.37"/>
        <n v="1.329132828E7"/>
        <n v="3.671663677E7"/>
        <n v="3381466.55"/>
        <n v="7498714.35"/>
        <n v="1.328063982E7"/>
        <n v="3.668711012E7"/>
        <n v="3.73640437E7"/>
        <n v="9243549.06"/>
        <n v="1.143512369E7"/>
        <n v="2316930.73"/>
        <n v="2.316931006E7"/>
        <n v="7.3184795192E8"/>
        <n v="5.9462646094E8"/>
        <n v="5.9462650234E8"/>
        <n v="1.326997175E7"/>
        <n v="3128147.15"/>
        <n v="3646718.4"/>
        <n v="2.285135092E7"/>
        <n v="2315284.94"/>
        <n v="2.315284862E7"/>
        <n v="1842504.11"/>
        <n v="4693653.88"/>
        <n v="3.662819908E7"/>
        <n v="6632204.29"/>
        <n v="3371720.86"/>
        <n v="6567249.37"/>
        <n v="3362031.2"/>
        <n v="1359235.61"/>
        <n v="9184702.0"/>
        <n v="1.9577980025E8"/>
        <n v="1.511368216E7"/>
        <n v="2308724.1"/>
        <n v="6196039.23"/>
        <n v="4.096316466E7"/>
        <n v="2307089.56"/>
        <n v="2.307089452E7"/>
        <n v="1835554.64"/>
        <n v="6400536.41"/>
        <n v="1.093448078E7"/>
        <n v="2.305457609E7"/>
        <n v="3352397.07"/>
        <n v="9163948.66"/>
        <n v="4.089585586E7"/>
        <n v="1.843062008E7"/>
        <n v="2303827.77"/>
        <n v="2302200.21"/>
        <n v="5888041.56"/>
        <n v="3339636.87"/>
        <n v="6882552.56"/>
        <n v="2297331.61"/>
        <n v="4.604864783E7"/>
        <n v="2295713.18"/>
        <n v="1.845594272E7"/>
        <n v="1.380519152E7"/>
        <n v="3130206.89"/>
        <n v="2.752916518E7"/>
        <n v="2294097.04"/>
        <n v="9.176388554E7"/>
        <n v="3330130.48"/>
        <n v="9115886.18"/>
        <n v="2292483.52"/>
        <n v="1.213679354E7"/>
        <n v="1.359370345E7"/>
        <n v="1.375835654E7"/>
        <n v="3317538.91"/>
        <n v="2286050.99"/>
        <n v="3.003997953E8"/>
        <n v="3175042.79"/>
        <n v="1.210274055E7"/>
        <n v="1489394.66"/>
        <n v="3394543.05"/>
        <n v="9721177.13"/>
        <n v="8.3924589474E8"/>
        <n v="1.818428007E7"/>
        <n v="9891846.87"/>
        <n v="1.373040912E7"/>
        <n v="3308157.73"/>
        <n v="1.081223171E7"/>
        <n v="3292639.25"/>
        <n v="8.3517223196E8"/>
        <n v="3.170054188E7"/>
        <n v="4871134.12"/>
        <n v="4627488.69"/>
        <n v="7580551.84"/>
        <n v="3286473.04"/>
        <n v="3562018.9"/>
        <n v="1.549340637E7"/>
        <n v="9955863.4"/>
        <n v="7573935.98"/>
        <n v="3274208.84"/>
        <n v="3.156425848E7"/>
        <n v="8325088.18"/>
        <n v="1.339154933E7"/>
        <n v="1324703.79"/>
        <n v="2237726.62"/>
        <n v="8317860.36"/>
        <n v="3265070.78"/>
        <n v="2.690087596E7"/>
        <n v="8469441.02"/>
        <n v="8267618.4"/>
        <n v="4812776.59"/>
        <n v="3521127.65"/>
        <n v="1.811118578E7"/>
        <n v="2.564429796E7"/>
        <n v="3661761.38"/>
        <n v="1.659898096E7"/>
        <n v="1.291791845E7"/>
        <n v="7197205.11"/>
        <n v="1.29066501E7"/>
        <n v="1.289540142E7"/>
        <n v="3478344.52"/>
        <n v="4709423.89"/>
        <n v="6.189747377E7"/>
        <n v="3884063.96"/>
        <n v="1.936944883E7"/>
        <n v="1.277295858E7"/>
        <n v="3444859.19"/>
        <n v="1.759715004E7"/>
        <n v="4853954.56"/>
        <n v="6.218283326E7"/>
        <n v="1.057113307E7"/>
        <n v="6.361334683E7"/>
        <n v="1.052722725E7"/>
      </sharedItems>
    </cacheField>
    <cacheField name=" importe nominal 2" numFmtId="4">
      <sharedItems containsString="0" containsBlank="1" containsNumber="1">
        <n v="2500000.0"/>
        <n v="4298084.19"/>
        <n v="2000000.0"/>
        <n v="9676723.33"/>
        <n v="1.5E7"/>
        <n v="2.5E7"/>
        <n v="6238663.2"/>
        <n v="1.0E8"/>
        <n v="2.25E7"/>
        <n v="5.0E8"/>
        <m/>
        <n v="1.0E7"/>
        <n v="1.0E9"/>
        <n v="8168237.87"/>
        <n v="5000000.0"/>
        <n v="1.25E7"/>
        <n v="4.2E7"/>
        <n v="3000000.0"/>
        <n v="1381630.2"/>
        <n v="3.19651714E8"/>
        <n v="7162509.15"/>
        <n v="1862351.88"/>
        <n v="9500000.0"/>
        <n v="3.0E8"/>
        <n v="1.561641337E7"/>
        <n v="2.675E8"/>
        <n v="9040891.31"/>
        <n v="1.2E7"/>
        <n v="2.0E7"/>
        <n v="6500000.0"/>
        <n v="5.0E7"/>
        <n v="7.5E7"/>
        <n v="2.82703207E7"/>
        <n v="8970000.0"/>
        <n v="7821000.0"/>
        <n v="1977599.0"/>
        <n v="3.5E7"/>
        <n v="3.813677455E7"/>
        <n v="1200000.0"/>
        <n v="7000000.0"/>
        <n v="8527469.2"/>
        <n v="1.65E7"/>
        <n v="4290614.13"/>
        <n v="267293.51"/>
        <n v="1100000.0"/>
        <n v="262329.78"/>
        <n v="1000000.0"/>
        <n v="6.472242221E8"/>
        <n v="3200000.0"/>
        <n v="3.0E7"/>
        <n v="4771794.93"/>
        <n v="9.0E7"/>
        <n v="2.1E8"/>
        <n v="4000000.0"/>
        <n v="1.540272702E7"/>
        <n v="4599318.34"/>
        <n v="2040817.0"/>
        <n v="1077577.5"/>
        <n v="1.025E7"/>
        <n v="5600000.0"/>
        <n v="3696352.34"/>
        <n v="1.1E7"/>
        <n v="8750000.0"/>
        <n v="8.5E7"/>
        <n v="1.7129876E7"/>
        <n v="6.0E7"/>
        <n v="2.145E8"/>
        <n v="500000.0"/>
        <n v="3500000.0"/>
        <n v="686799.72"/>
        <n v="1050000.0"/>
        <n v="1.65758E7"/>
        <n v="2.0E8"/>
        <n v="4.0E7"/>
        <n v="1.68E7"/>
        <n v="4.003169352E7"/>
        <n v="788284.3"/>
        <n v="992261.57"/>
        <n v="2052371.88"/>
        <n v="579362.0"/>
        <n v="1770042.5"/>
        <n v="1297647.84"/>
        <n v="9.69599488E7"/>
        <n v="1.47E7"/>
        <n v="1449874.22"/>
        <n v="3214300.0"/>
        <n v="4100000.0"/>
        <n v="1.3E8"/>
        <n v="1.5E8"/>
        <n v="5450000.0"/>
        <n v="4118080.0"/>
        <n v="5667008.0"/>
        <n v="3750000.0"/>
        <n v="1918075.9"/>
        <n v="562500.0"/>
        <n v="4.003169351E7"/>
        <n v="1701000.0"/>
        <n v="250772.5"/>
        <n v="830000.0"/>
        <n v="1500000.0"/>
        <n v="1250000.0"/>
        <n v="1151000.0"/>
        <n v="7.0E7"/>
        <n v="4.5E7"/>
        <n v="2224137.97"/>
        <n v="2275297.0"/>
        <n v="2.474687131E7"/>
        <n v="1317268.23"/>
        <n v="1278434.35"/>
        <n v="2890000.0"/>
        <n v="8000000.0"/>
        <n v="2360000.0"/>
        <n v="3.914177544E7"/>
        <n v="1039967.56"/>
        <n v="4190169.08"/>
        <n v="1.521978537E7"/>
        <n v="464617.82"/>
        <n v="2931229.1"/>
        <n v="1583767.68"/>
        <n v="1.638948037E7"/>
        <n v="1.687762205E7"/>
        <n v="600000.0"/>
        <n v="121501.73"/>
        <n v="3116595.02"/>
        <n v="5454223.66"/>
        <n v="6.5E7"/>
        <n v="1809446.0"/>
        <n v="2368425.38"/>
        <n v="1606134.0"/>
        <n v="2700000.0"/>
        <n v="4.263481359E7"/>
        <n v="4166666.7"/>
        <n v="1666000.0"/>
        <n v="9902875.5"/>
        <n v="2008734.21"/>
        <n v="1948054.0"/>
        <n v="2300000.0"/>
        <n v="1211666.8"/>
        <n v="5188161.21"/>
        <n v="1982063.64"/>
        <n v="2501996.42"/>
        <n v="3533450.77"/>
        <n v="7.5E8"/>
        <n v="2387682.0"/>
        <n v="330000.0"/>
        <n v="415000.0"/>
        <n v="6013017.5"/>
        <n v="2429673.98"/>
        <n v="1754500.0"/>
        <n v="1.66E7"/>
        <n v="755183.27"/>
        <n v="700000.0"/>
        <n v="1040000.0"/>
        <n v="1134249.7"/>
        <n v="2734537.0"/>
        <n v="1068909.47"/>
        <n v="505653.95"/>
        <n v="8802443.9"/>
        <n v="970094.59"/>
        <n v="1044096.2"/>
        <n v="3745855.84"/>
        <n v="128742.88"/>
        <n v="84170.31"/>
        <n v="1041333.16"/>
        <n v="250000.0"/>
        <n v="2874076.13"/>
        <n v="323998.16"/>
        <n v="1215528.29"/>
        <n v="7012899.0"/>
        <n v="2.178985733E7"/>
        <n v="1.28E8"/>
        <n v="3.095831778E7"/>
        <n v="456527.78"/>
        <n v="1062257.16"/>
        <n v="3519950.15"/>
        <n v="1573636.95"/>
        <n v="1103671.38"/>
        <n v="2502456.9"/>
        <n v="7.0E8"/>
        <n v="1.029126E7"/>
        <n v="1300000.0"/>
        <n v="6666666.67"/>
        <n v="1318130.0"/>
        <n v="1177029.06"/>
        <n v="1450000.0"/>
        <n v="1204873.98"/>
        <n v="6530318.0"/>
        <n v="5882352.93"/>
        <n v="548019.59"/>
        <n v="2.706396E7"/>
        <n v="1084567.12"/>
        <n v="4600000.0"/>
        <n v="2662911.02"/>
        <n v="9978017.32"/>
        <n v="2885565.11"/>
        <n v="8.0E7"/>
        <n v="2.139575E7"/>
        <n v="5606107.59"/>
        <n v="1278434.36"/>
        <n v="2.77890802E7"/>
        <n v="6598885.38"/>
        <n v="1.3E7"/>
        <n v="1.082E9"/>
        <n v="2273100.5"/>
        <n v="6747533.79"/>
        <n v="7.76145E8"/>
        <n v="2.434134953E7"/>
        <n v="6000000.0"/>
        <n v="3666380.87"/>
        <n v="1.195712E7"/>
        <n v="1.49E8"/>
        <n v="9000000.0"/>
        <n v="1341865.8"/>
        <n v="6060681.79"/>
        <n v="4500000.0"/>
        <n v="2398145.2"/>
        <n v="1110641.67"/>
        <n v="1017218.53"/>
        <n v="8500000.0"/>
        <n v="5800000.0"/>
        <n v="4166666.66"/>
        <n v="8756336.99"/>
        <n v="1484637.46"/>
        <n v="3.46128566E8"/>
        <n v="2046492.39"/>
        <n v="5511345.05"/>
        <n v="1718406.99"/>
        <n v="2125000.0"/>
        <n v="1319000.0"/>
        <n v="3.205E8"/>
        <n v="7938273.0"/>
        <n v="4104000.0"/>
        <n v="5500000.0"/>
        <n v="1.7E7"/>
        <n v="1.365E8"/>
        <n v="2.68E8"/>
        <n v="3847875.41"/>
        <n v="3300000.0"/>
        <n v="2197564.35"/>
        <n v="8091449.26"/>
        <n v="1.8E7"/>
        <n v="5211510.27"/>
        <n v="1.362E8"/>
        <n v="4957711.81"/>
        <n v="3900000.0"/>
        <n v="5900000.0"/>
        <n v="5586280.87"/>
        <n v="2899135.68"/>
        <n v="2.92E7"/>
        <n v="3345657.98"/>
        <n v="3.1E7"/>
        <n v="2200000.0"/>
        <n v="4.3E7"/>
        <n v="9943984.5"/>
        <n v="2304789.0"/>
        <n v="2.15E8"/>
        <n v="3243208.42"/>
        <n v="2900000.0"/>
        <n v="2.871235731E7"/>
        <n v="5.039910895E7"/>
        <n v="4643215.31"/>
        <n v="2120477.86"/>
        <n v="3412014.84"/>
        <n v="1.796954275E7"/>
        <n v="4.04E7"/>
        <n v="7551944.0"/>
        <n v="1.35E7"/>
        <n v="2502217.07"/>
        <n v="6395453.2"/>
        <n v="1860181.4"/>
        <n v="3621557.13"/>
        <n v="1.494732566E7"/>
        <n v="1.060411444E7"/>
        <n v="6410198.8"/>
        <n v="5184831.36"/>
        <n v="1.473116433E7"/>
        <n v="7250000.0"/>
        <n v="2.83E8"/>
        <n v="966441.68"/>
        <n v="639790.28"/>
        <n v="1698044.02"/>
        <n v="3090647.25"/>
        <n v="1.75E8"/>
        <n v="7865231.25"/>
        <n v="7500000.0"/>
        <n v="1.192307692E7"/>
        <n v="169949.7"/>
        <n v="2382065.57"/>
        <n v="1.080042897E7"/>
        <n v="1.654557209E7"/>
        <n v="1770042.53"/>
        <n v="2.7E7"/>
        <n v="9972860.45"/>
        <n v="1.2E8"/>
        <n v="5.260273924E7"/>
        <n v="2.22666549E7"/>
        <n v="1.9999999E7"/>
        <n v="3812810.4"/>
        <n v="9972570.82"/>
        <n v="9972350.78"/>
        <n v="9973200.0"/>
        <n v="6250000.0"/>
        <n v="1.600557567E7"/>
        <n v="1.208021571E7"/>
        <n v="1.523033594E7"/>
        <n v="1.2166667E7"/>
        <n v="2067824.35"/>
        <n v="4.35E7"/>
        <n v="9972890.55"/>
        <n v="2.508888433E7"/>
        <n v="248941.88"/>
        <n v="1236587.72"/>
        <n v="1.600557568E7"/>
        <n v="1.5166667E7"/>
        <n v="2333401.22"/>
        <n v="2.4E7"/>
        <n v="7133529.14"/>
        <n v="4250000.0"/>
        <n v="1.535531045E7"/>
        <n v="1.000467046E8"/>
        <n v="1524900.0"/>
        <n v="2687954.26"/>
        <n v="4.4E8"/>
        <n v="1.15E8"/>
        <n v="9600000.0"/>
        <n v="9975100.8"/>
        <n v="1.9470985E7"/>
        <n v="3424300.0"/>
        <n v="9974100.0"/>
        <n v="9973400.0"/>
        <n v="9973360.47"/>
        <n v="1.282550939E7"/>
        <n v="9972899.99"/>
        <n v="2.150072074E8"/>
        <n v="2.985732909E7"/>
        <n v="9.280688926E7"/>
        <n v="2.041114744E7"/>
        <n v="6.872860828E7"/>
        <n v="6875275.09"/>
        <n v="6937722.32"/>
        <n v="3090146.07"/>
        <n v="2868835.67"/>
        <n v="7075968.32"/>
        <n v="1.180913297E7"/>
        <n v="3.169471328E7"/>
        <n v="2.001162016E7"/>
        <n v="3.4118781E7"/>
        <n v="4463318.82"/>
        <n v="1.710670417E7"/>
        <n v="5134985.93"/>
        <n v="685765.71"/>
        <n v="535280.22"/>
        <n v="689115.82"/>
        <n v="2688265.68"/>
        <n v="603640.62"/>
        <n v="6625114.52"/>
        <n v="3076923.1"/>
        <n v="2.2E7"/>
        <n v="2.46E7"/>
        <n v="1.947098634E7"/>
        <n v="6899161.77"/>
        <n v="1008513.5"/>
        <n v="4500591.28"/>
        <n v="2.13875E7"/>
        <n v="3772034.12"/>
        <n v="6500236.57"/>
        <n v="7203888.0"/>
        <n v="1.447989969E7"/>
        <n v="7900000.0"/>
        <n v="1.447989968E7"/>
        <n v="8106418.25"/>
        <n v="8.0E8"/>
        <n v="6.5E8"/>
        <n v="3413365.0"/>
        <n v="7261808.2"/>
        <n v="7190687.0"/>
        <n v="2.12E8"/>
        <n v="7511409.47"/>
        <n v="1.9922304E7"/>
        <n v="3511491.25"/>
        <n v="3.33534247E8"/>
        <n v="3517425.0"/>
        <n v="1655023.2"/>
        <n v="1.086774235E7"/>
        <n v="9.33333333E8"/>
        <n v="2.040824114E7"/>
        <n v="1.09E7"/>
        <n v="5448062.43"/>
        <n v="5109127.71"/>
        <n v="8560000.0"/>
        <n v="1.7118303E7"/>
        <n v="9450000.0"/>
        <n v="9478811.35"/>
        <n v="2.936236171E7"/>
        <n v="4103981.39"/>
        <n v="1.87E7"/>
        <n v="5311841.87"/>
        <n v="6.954223E7"/>
        <n v="4396334.17"/>
        <n v="2.257893703E7"/>
        <n v="7.138929E7"/>
        <n v="7.449558E7"/>
      </sharedItems>
    </cacheField>
    <cacheField name=" importe actual 2" numFmtId="4">
      <sharedItems containsString="0" containsBlank="1" containsNumber="1">
        <n v="2500000.0"/>
        <n v="4298084.19"/>
        <n v="2000000.0"/>
        <n v="9676723.33"/>
        <n v="1.5E7"/>
        <n v="2.5E7"/>
        <n v="6238663.2"/>
        <n v="1.0E8"/>
        <n v="2.25E7"/>
        <n v="5.0E8"/>
        <m/>
        <n v="1.0E7"/>
        <n v="1.0E9"/>
        <n v="8168237.87"/>
        <n v="5000000.0"/>
        <n v="1.25E7"/>
        <n v="1994263.11"/>
        <n v="4.189325828E7"/>
        <n v="9978675.72"/>
        <n v="2991149.53"/>
        <n v="1.496433165E7"/>
        <n v="1378231.87"/>
        <n v="3.1877835785E8"/>
        <n v="7132805.44"/>
        <n v="9961790.5"/>
        <n v="1855641.09"/>
        <n v="1992358.11"/>
        <n v="9963966.09"/>
        <n v="9461635.26"/>
        <n v="9971587.94"/>
        <n v="9970498.34"/>
        <n v="2988210.95"/>
        <n v="2.9885371221E8"/>
        <n v="1.556864117E7"/>
        <n v="2.6633251998E8"/>
        <n v="8999469.53"/>
        <n v="1.196198392E7"/>
        <n v="4984159.96"/>
        <n v="1.993446223E7"/>
        <n v="1.246039984E7"/>
        <n v="2493169.41"/>
        <n v="6475163.78"/>
        <n v="4.974785443E7"/>
        <n v="7.464212831E7"/>
        <n v="2.812775597E7"/>
        <n v="1991271.2"/>
        <n v="8929633.18"/>
        <n v="7785803.91"/>
        <n v="2.489428455E7"/>
        <n v="1971657.03"/>
        <n v="3.485675311E7"/>
        <n v="4974107.46"/>
        <n v="3.796515168E7"/>
        <n v="1195251.75"/>
        <n v="1.24505391E7"/>
        <n v="6972301.84"/>
        <n v="4975463.54"/>
        <n v="8498366.27"/>
        <n v="1.641902963E7"/>
        <n v="4980215.59"/>
        <n v="4270141.02"/>
        <n v="266018.09"/>
        <n v="2486376.09"/>
        <n v="6450516.79"/>
        <n v="1090143.91"/>
        <n v="1981004.17"/>
        <n v="9918478.53"/>
        <n v="2.478946029E7"/>
        <n v="4.1646293E7"/>
        <n v="2.478946012E7"/>
        <n v="9926570.89"/>
        <n v="1.984234904E7"/>
        <n v="6448763.43"/>
        <n v="260545.25"/>
        <n v="992387.18"/>
        <n v="6.4142506142E8"/>
        <n v="1.487448435E7"/>
        <n v="3170380.9"/>
        <n v="2.476860082E7"/>
        <n v="2.972232079E7"/>
        <n v="4720579.88"/>
        <n v="9910399.4"/>
        <n v="8.903404198E7"/>
        <n v="2.0774609795E8"/>
        <n v="1.982672029E7"/>
        <n v="3957068.68"/>
        <n v="2.9713448664E8"/>
        <n v="1.527384249E7"/>
        <n v="1.239170003E7"/>
        <n v="2483669.04"/>
        <n v="6440710.26"/>
        <n v="4.939909307E7"/>
        <n v="4542567.61"/>
        <n v="2016945.23"/>
        <n v="1066012.02"/>
        <n v="9902333.58"/>
        <n v="9902333.41"/>
        <n v="1.014989162E7"/>
        <n v="1963398.02"/>
        <n v="4951166.71"/>
        <n v="5539896.07"/>
        <n v="9892671.56"/>
        <n v="3656680.03"/>
        <n v="9385827.68"/>
        <n v="1.087486481E7"/>
        <n v="8664542.42"/>
        <n v="9902333.74"/>
        <n v="1.238194774E7"/>
        <n v="3.465816677E7"/>
        <n v="1.486317776E7"/>
        <n v="6936149.6"/>
        <n v="4.946335745E7"/>
        <n v="9.876610273E7"/>
        <n v="1.972759753E7"/>
        <n v="4949555.93"/>
        <n v="8.395118847E7"/>
        <n v="1.696257419E7"/>
        <n v="3960933.35"/>
        <n v="5.941400056E7"/>
        <n v="1.23819478E7"/>
        <n v="2.476389512E7"/>
        <n v="2.1171579905E8"/>
        <n v="4.946335873E7"/>
        <n v="495924.0"/>
        <n v="3471467.99"/>
        <n v="681200.93"/>
        <n v="1041440.4"/>
        <n v="1.64406741E7"/>
        <n v="1.9836960028E8"/>
        <n v="2476389.54"/>
        <n v="3.963514046E7"/>
        <n v="1.66034878E7"/>
        <n v="2958180.29"/>
        <n v="4939909.2"/>
        <n v="4.956007069E7"/>
        <n v="3.97442346E7"/>
        <n v="4952779.02"/>
        <n v="4952779.07"/>
        <n v="780839.63"/>
        <n v="1.238194785E7"/>
        <n v="264252.82"/>
        <n v="980973.73"/>
        <n v="2029024.36"/>
        <n v="574638.98"/>
        <n v="1752755.07"/>
        <n v="1284974.13"/>
        <n v="9.60703114E7"/>
        <n v="6435818.16"/>
        <n v="1.45445925E7"/>
        <n v="1433031.31"/>
        <n v="3173608.25"/>
        <n v="9894281.1"/>
        <n v="4042409.61"/>
        <n v="1.970523163E7"/>
        <n v="1.2876177205E8"/>
        <n v="1.4857127544E8"/>
        <n v="5377223.56"/>
        <n v="4074544.71"/>
        <n v="5607097.51"/>
        <n v="1187732.21"/>
        <n v="3702526.62"/>
        <n v="1895793.96"/>
        <n v="557535.71"/>
        <n v="3447205.82"/>
        <n v="3.972046303E7"/>
        <n v="1681239.81"/>
        <n v="248121.38"/>
        <n v="821225.39"/>
        <n v="1.484061595E7"/>
        <n v="1480129.82"/>
        <n v="1232974.87"/>
        <n v="1136613.35"/>
        <n v="9886241.1"/>
        <n v="3461496.85"/>
        <n v="4038046.48"/>
        <n v="6.922993832E7"/>
        <n v="1.971268096E7"/>
        <n v="4930034.02"/>
        <n v="4.430328665E7"/>
        <n v="3.939557628E7"/>
        <n v="2203013.33"/>
        <n v="2253686.47"/>
        <n v="3443210.71"/>
        <n v="2.443755221E7"/>
        <n v="989374.41"/>
        <n v="1.236248867E7"/>
        <n v="1300803.35"/>
        <n v="1263891.06"/>
        <n v="2476927.37"/>
        <n v="2846253.71"/>
        <n v="9862199.64"/>
        <n v="1.478650805E7"/>
        <n v="7860873.44"/>
        <n v="3435987.22"/>
        <n v="4025013.58"/>
        <n v="2950528.21"/>
        <n v="1.477972162E7"/>
        <n v="1482735.43"/>
        <n v="2332837.09"/>
        <n v="9.839601701E7"/>
        <n v="3.874477709E7"/>
        <n v="4933366.01"/>
        <n v="1.975161727E7"/>
        <n v="984862.87"/>
        <n v="1024225.43"/>
        <n v="9844113.28"/>
        <n v="9830326.42"/>
        <n v="4123070.52"/>
        <n v="4910402.04"/>
        <n v="9.830326168E8"/>
        <n v="1.01005674E7"/>
        <n v="9.806556033E7"/>
        <n v="1.96511267E7"/>
        <n v="9839866.96"/>
        <n v="4.919933224E7"/>
        <n v="983986.68"/>
        <n v="1.498333888E7"/>
        <n v="9778182.78"/>
        <n v="4020687.85"/>
        <n v="1.95941605E7"/>
        <n v="458959.45"/>
        <n v="2895530.93"/>
        <n v="3684585.98"/>
        <n v="1558406.28"/>
        <n v="1.618987996E7"/>
        <n v="1.667207678E7"/>
        <n v="592692.87"/>
        <n v="120022.01"/>
        <n v="1481732.15"/>
        <n v="4910402.37"/>
        <n v="4929501.57"/>
        <n v="1.232375364E7"/>
        <n v="1082385.35"/>
        <n v="2474240.82"/>
        <n v="6406621.46"/>
        <n v="3056142.17"/>
        <n v="5351159.31"/>
        <n v="6.38043277E7"/>
        <n v="1.963209986E7"/>
        <n v="1779798.97"/>
        <n v="2328427.51"/>
        <n v="9846237.01"/>
        <n v="8615457.28"/>
        <n v="9846237.26"/>
        <n v="3447950.13"/>
        <n v="1.083641519E7"/>
        <n v="4.903014579E7"/>
        <n v="4016371.42"/>
        <n v="1581437.61"/>
        <n v="9.811037E7"/>
        <n v="1.476935599E7"/>
        <n v="2658484.13"/>
        <n v="4.208711343E7"/>
        <n v="3.940514606E7"/>
        <n v="1.231410814E7"/>
        <n v="4104702.63"/>
        <n v="9851286.24"/>
        <n v="4908025.35"/>
        <n v="6.885308579E7"/>
        <n v="1637864.66"/>
        <n v="4.915560459E7"/>
        <n v="9775660.06"/>
        <n v="987153.69"/>
        <n v="1982929.39"/>
        <n v="1923028.69"/>
        <n v="493576.84"/>
        <n v="4935768.44"/>
        <n v="3.869860368E7"/>
        <n v="4925643.18"/>
        <n v="1672273.6"/>
        <n v="2261157.7"/>
        <n v="1191204.22"/>
        <n v="5103155.75"/>
        <n v="1032796.27"/>
        <n v="1949588.51"/>
        <n v="2457228.04"/>
        <n v="3479119.4"/>
        <n v="6401780.92"/>
        <n v="7.3470223575E8"/>
        <n v="1225819.44"/>
        <n v="9838275.63"/>
        <n v="9785523.12"/>
        <n v="4.924446965E7"/>
        <n v="2.460895526E7"/>
        <n v="9843582.09"/>
        <n v="2.462223539E7"/>
        <n v="493243.31"/>
        <n v="9.838275617E7"/>
        <n v="5347446.33"/>
        <n v="4921791.04"/>
        <n v="2345274.55"/>
        <n v="324663.13"/>
        <n v="408288.48"/>
        <n v="2471560.25"/>
        <n v="1.476218746E7"/>
        <n v="5910992.46"/>
        <n v="2384403.18"/>
        <n v="9830326.06"/>
        <n v="1.229486116E7"/>
        <n v="9830326.29"/>
        <n v="1.967177813E7"/>
        <n v="9835889.06"/>
        <n v="3421264.18"/>
        <n v="4.920729077E7"/>
        <n v="1729622.04"/>
        <n v="985820.48"/>
        <n v="3.934355592E7"/>
        <n v="1.627232481E7"/>
        <n v="9.858204515E7"/>
        <n v="744475.13"/>
        <n v="690074.34"/>
        <n v="9.830326599E7"/>
        <n v="1022353.93"/>
        <n v="4917944.68"/>
        <n v="1.22948614E7"/>
        <n v="1113115.84"/>
        <n v="2688139.27"/>
        <n v="1052303.35"/>
        <n v="497798.34"/>
        <n v="8665692.85"/>
        <n v="955023.6"/>
        <n v="1027875.57"/>
        <n v="3687661.79"/>
        <n v="126742.78"/>
        <n v="82862.67"/>
        <n v="9806555.78"/>
        <n v="1019217.65"/>
        <n v="1221095.18"/>
        <n v="1.4733584918E8"/>
        <n v="3994928.12"/>
        <n v="2647770.04"/>
        <n v="245956.91"/>
        <n v="2930628.55"/>
        <n v="1.469088798E7"/>
        <n v="2827595.49"/>
        <n v="318758.33"/>
        <n v="9.806556431E7"/>
        <n v="5327396.95"/>
        <n v="4906441.62"/>
        <n v="9.812883359E7"/>
        <n v="323616.39"/>
        <n v="406972.12"/>
        <n v="7.32441473E7"/>
        <n v="2933690.78"/>
        <n v="9778969.48"/>
        <n v="4.889484391E7"/>
        <n v="1188661.37"/>
        <n v="9798658.57"/>
        <n v="1.4722689224E8"/>
        <n v="3990666.76"/>
        <n v="1.946666681E7"/>
        <n v="1.949265691E7"/>
        <n v="4.909214125E7"/>
        <n v="6871700.82"/>
        <n v="2.142302626E7"/>
        <n v="2.94157154E7"/>
        <n v="4879679.24"/>
        <n v="1.2458667132E8"/>
        <n v="3.043713511E7"/>
        <n v="448842.16"/>
        <n v="4902619.26"/>
        <n v="9.798658566E7"/>
        <n v="1019060.45"/>
        <n v="4902619.5"/>
        <n v="9798658.03"/>
        <n v="4902619.38"/>
        <n v="9.805239594E7"/>
        <n v="1.225654831E7"/>
        <n v="1039474.18"/>
        <n v="2464883.9"/>
        <n v="6372891.61"/>
        <n v="4478102.88"/>
        <n v="3427181.76"/>
        <n v="9.790772887E7"/>
        <n v="1537495.36"/>
        <n v="1078323.44"/>
        <n v="9790773.41"/>
        <n v="2439889.05"/>
        <n v="9790772.81"/>
        <n v="3429162.02"/>
        <n v="9790772.8"/>
        <n v="1.077736691E7"/>
        <n v="6.8297264336E8"/>
        <n v="3403036.84"/>
        <n v="3986414.51"/>
        <n v="1.01111977E7"/>
        <n v="9825033.77"/>
        <n v="1273688.82"/>
        <n v="1.224700783E7"/>
        <n v="4.885165638E7"/>
        <n v="6550022.51"/>
        <n v="4898803.13"/>
        <n v="5317428.79"/>
        <n v="1018240.37"/>
        <n v="4898802.93"/>
        <n v="4898803.05"/>
        <n v="1.962260153E7"/>
        <n v="9790772.64"/>
        <n v="1661933.27"/>
        <n v="2247176.08"/>
        <n v="1287856.6"/>
        <n v="1150797.35"/>
        <n v="1416697.91"/>
        <n v="1178021.71"/>
        <n v="4888568.11"/>
        <n v="1026599.3"/>
        <n v="2.92702532E7"/>
        <n v="1733008.41"/>
        <n v="6393171.36"/>
        <n v="2463552.93"/>
        <n v="6368101.87"/>
        <n v="9.782900041E7"/>
        <n v="5729768.57"/>
        <n v="9782900.94"/>
        <n v="1.942522733E7"/>
        <n v="2641383.12"/>
        <n v="7.353139146E7"/>
        <n v="1.465314267E7"/>
        <n v="2.436907538E7"/>
        <n v="538069.09"/>
        <n v="4894992.59"/>
        <n v="5312458.44"/>
        <n v="4894992.39"/>
        <n v="4894992.48"/>
        <n v="9.789985215E7"/>
        <n v="1.223748154E7"/>
        <n v="2.643813933E7"/>
        <n v="1059487.85"/>
        <n v="5.869740564E7"/>
        <n v="322835.77"/>
        <n v="405990.43"/>
        <n v="1.468458356E7"/>
        <n v="9.775041117E7"/>
        <n v="9775040.82"/>
        <n v="5724269.78"/>
        <n v="2635308.75"/>
        <n v="1.956475187E7"/>
        <n v="9782375.96"/>
        <n v="4463051.75"/>
        <n v="5295629.18"/>
        <n v="2917199.48"/>
        <n v="3.8780283E7"/>
        <n v="1.616595577E7"/>
        <n v="4891187.95"/>
        <n v="4872904.23"/>
        <n v="1016604.24"/>
        <n v="4891188.14"/>
        <n v="4891187.84"/>
        <n v="9775040.66"/>
        <n v="2599108.4"/>
        <n v="4455521.35"/>
        <n v="9666055.74"/>
        <n v="1.940663754E7"/>
        <n v="9751536.54"/>
        <n v="5707834.03"/>
        <n v="2809216.27"/>
        <n v="9751536.22"/>
        <n v="3415866.97"/>
        <n v="7.807695542E7"/>
        <n v="2908598.37"/>
        <n v="2.425829522E7"/>
        <n v="1.460311587E7"/>
        <n v="2.081243217E7"/>
        <n v="2439904.9"/>
        <n v="4879809.85"/>
        <n v="4879809.72"/>
        <n v="9751536.88"/>
        <n v="9.759619646E7"/>
        <n v="5457776.22"/>
        <n v="9719338.95"/>
        <n v="321800.75"/>
        <n v="404688.83"/>
        <n v="1246670.12"/>
        <n v="2456919.9"/>
        <n v="2.714649131E7"/>
        <n v="5.796718179E7"/>
        <n v="6391554.12"/>
        <n v="1.263446605E7"/>
        <n v="2915646.24"/>
        <n v="9743726.93"/>
        <n v="9.677591751E7"/>
        <n v="1.04711542746E9"/>
        <n v="9718821.09"/>
        <n v="4.859409998E7"/>
        <n v="4.859410139E7"/>
        <n v="5702377.3"/>
        <n v="2203553.18"/>
        <n v="6557806.67"/>
        <n v="7.6408710955E8"/>
        <n v="2.361667525E7"/>
        <n v="9743727.19"/>
        <n v="9359934.49"/>
        <n v="4.859410437E7"/>
        <n v="4.880201125E7"/>
        <n v="2905742.87"/>
        <n v="5811485.78"/>
        <n v="3572421.7"/>
        <n v="1.164074764E7"/>
        <n v="4.830598474E7"/>
        <n v="1.4395184722E8"/>
        <n v="4.863554154E7"/>
        <n v="8806971.32"/>
        <n v="4876028.74"/>
        <n v="4876029.05"/>
        <n v="3.897490933E7"/>
        <n v="1305247.41"/>
        <n v="1945421.69"/>
        <n v="2455597.5"/>
        <n v="5916260.24"/>
        <n v="6339515.07"/>
        <n v="4350532.5"/>
        <n v="3013077.5"/>
        <n v="2318490.96"/>
        <n v="1079412.62"/>
        <n v="5696930.08"/>
        <n v="2201448.2"/>
        <n v="988616.37"/>
        <n v="1.218063465E7"/>
        <n v="2628701.28"/>
        <n v="8275540.78"/>
        <n v="9735930.33"/>
        <n v="5661791.18"/>
        <n v="4060211.4"/>
        <n v="1938653.71"/>
        <n v="4.855144393E7"/>
        <n v="1.627043119E7"/>
        <n v="8593184.54"/>
        <n v="1453107.07"/>
        <n v="1.460389558E7"/>
        <n v="9.744508099E7"/>
        <n v="3.4058589526E8"/>
        <n v="971882.0"/>
        <n v="4859409.98"/>
        <n v="1988949.08"/>
        <n v="5342295.36"/>
        <n v="6334775.35"/>
        <n v="1.931626024E7"/>
        <n v="1.931625916E7"/>
        <n v="5691493.26"/>
        <n v="2199347.2"/>
        <n v="8268923.68"/>
        <n v="9728145.5"/>
        <n v="5657705.45"/>
        <n v="1664151.17"/>
        <n v="2.436452196E7"/>
        <n v="2.421066703E7"/>
        <n v="2.410195905E7"/>
        <n v="2076640.31"/>
        <n v="9.736969148E7"/>
        <n v="1279663.51"/>
        <n v="403718.11"/>
        <n v="321028.86"/>
        <n v="3.0923214842E8"/>
        <n v="1.929685615E7"/>
        <n v="2197250.25"/>
        <n v="9.648427406E7"/>
        <n v="9648427.8"/>
        <n v="4.846634549E7"/>
        <n v="9720373.12"/>
        <n v="9720373.1"/>
        <n v="7716299.16"/>
        <n v="3970736.22"/>
        <n v="5321405.77"/>
        <n v="4.8108611E7"/>
        <n v="1.644797963E7"/>
        <n v="1.3170105541E8"/>
        <n v="2.5857788726E8"/>
        <n v="7776299.07"/>
        <n v="1648825.08"/>
        <n v="3733319.07"/>
        <n v="3201754.63"/>
        <n v="2449007.0"/>
        <n v="4046919.69"/>
        <n v="1.923888149E7"/>
        <n v="1.923888091E7"/>
        <n v="1.927749276E7"/>
        <n v="5413996.11"/>
        <n v="2118176.37"/>
        <n v="8484990.69"/>
        <n v="4.838795455E7"/>
        <n v="5641422.43"/>
        <n v="7838472.06"/>
        <n v="9697131.19"/>
        <n v="1008501.59"/>
        <n v="9.706931051E7"/>
        <n v="1.738463475E7"/>
        <n v="320005.38"/>
        <n v="402431.01"/>
        <n v="3.871036212E7"/>
        <n v="5008165.12"/>
        <n v="1931881.76"/>
        <n v="2897822.35"/>
        <n v="1.921963234E7"/>
        <n v="1.925918279E7"/>
        <n v="9659408.09"/>
        <n v="4.829703592E7"/>
        <n v="2116164.98"/>
        <n v="4.834693274E7"/>
        <n v="2616140.67"/>
        <n v="1.308857046E8"/>
        <n v="2.397530476E7"/>
        <n v="9.699450072E7"/>
        <n v="3423705.09"/>
        <n v="2446380.8"/>
        <n v="6791600.64"/>
        <n v="4759508.19"/>
        <n v="3763882.09"/>
        <n v="9681698.04"/>
        <n v="6.253294696E7"/>
        <n v="4.032088549E7"/>
        <n v="3856312.73"/>
        <n v="4840849.25"/>
        <n v="2114156.88"/>
        <n v="9681698.23"/>
        <n v="9681697.88"/>
        <n v="4.830598901E7"/>
        <n v="1930195.97"/>
        <n v="7.75358529E7"/>
        <n v="5730442.79"/>
        <n v="9681698.24"/>
        <n v="1.626525313E7"/>
        <n v="9.691982158E7"/>
        <n v="5408468.54"/>
        <n v="2800911.94"/>
        <n v="3188194.88"/>
        <n v="2.842133658E7"/>
        <n v="2.889182067E7"/>
        <n v="1.926121378E7"/>
        <n v="1713701.76"/>
        <n v="319496.04"/>
        <n v="6786549.32"/>
        <n v="3215623.74"/>
        <n v="4.028062869E7"/>
        <n v="2112152.58"/>
        <n v="3.038562929E7"/>
        <n v="9642566.48"/>
        <n v="9673999.53"/>
        <n v="4.826510443E7"/>
        <n v="9621721.67"/>
        <n v="1.443258242E7"/>
        <n v="2121364.44"/>
        <n v="2.405430484E7"/>
        <n v="1.4558460734E8"/>
        <n v="4842261.71"/>
        <n v="4.064372539E7"/>
        <n v="2443760.28"/>
        <n v="4750012.82"/>
        <n v="3212578.1"/>
        <n v="4.024044701E7"/>
        <n v="2110152.09"/>
        <n v="9666315.23"/>
        <n v="4833157.63"/>
        <n v="9666313.56"/>
        <n v="9.612853623E7"/>
        <n v="2119516.55"/>
        <n v="2609904.72"/>
        <n v="7.274008082E7"/>
        <n v="4.860186717E7"/>
        <n v="2.400557883E7"/>
        <n v="9709513.6"/>
        <n v="4.801115766E7"/>
        <n v="2858560.07"/>
        <n v="1005296.71"/>
        <n v="9.677077689E7"/>
        <n v="318988.41"/>
        <n v="3200453.86"/>
        <n v="4.103482629E7"/>
        <n v="9466756.27"/>
        <n v="4817846.01"/>
        <n v="5376400.78"/>
        <n v="2204759.38"/>
        <n v="2112157.48"/>
        <n v="5200926.1"/>
        <n v="1.441851942E7"/>
        <n v="2.0517418475E8"/>
        <n v="3320079.02"/>
        <n v="1633081.93"/>
        <n v="3172074.44"/>
        <n v="4.788769757E7"/>
        <n v="3197437.66"/>
        <n v="1918478.18"/>
        <n v="2877717.03"/>
        <n v="4.004074965E7"/>
        <n v="9456890.92"/>
        <n v="4.796194771E7"/>
        <n v="9087287.85"/>
        <n v="1.913750423E7"/>
        <n v="2110325.99"/>
        <n v="5.776840593E7"/>
        <n v="5302009.89"/>
        <n v="3.804064976E7"/>
        <n v="3114859.21"/>
        <n v="2410004.5"/>
        <n v="3316373.17"/>
        <n v="2802563.04"/>
        <n v="4820009.19"/>
        <n v="2407016.86"/>
        <n v="2435931.73"/>
        <n v="4822429.15"/>
        <n v="2.77630898E7"/>
        <n v="4.87328495E7"/>
        <n v="4489704.61"/>
        <n v="2050372.13"/>
        <n v="3299209.21"/>
        <n v="1.728751693E7"/>
        <n v="3194426.37"/>
        <n v="3737790.61"/>
        <n v="9620453.55"/>
        <n v="9620454.15"/>
        <n v="3.847719536E7"/>
        <n v="1433996.92"/>
        <n v="7174543.86"/>
        <n v="2200607.1"/>
        <n v="9584079.36"/>
        <n v="9620453.6"/>
        <n v="9620454.91"/>
        <n v="1.433996945E7"/>
        <n v="2108497.28"/>
        <n v="2597522.67"/>
        <n v="9632640.7"/>
        <n v="2.389994942E7"/>
        <n v="1.298761241E7"/>
        <n v="2419490.54"/>
        <n v="6184011.27"/>
        <n v="1798681.41"/>
        <n v="3501823.78"/>
        <n v="1.445314782E7"/>
        <n v="1.025352876E7"/>
        <n v="1000527.19"/>
        <n v="6174713.89"/>
        <n v="4994361.53"/>
        <n v="1.9265282002E8"/>
        <n v="1.247502582E7"/>
        <n v="959617.39"/>
        <n v="1.417204935E7"/>
        <n v="3191420.71"/>
        <n v="3.843908834E7"/>
        <n v="9612853.85"/>
        <n v="9612852.51"/>
        <n v="9612852.39"/>
        <n v="2106671.71"/>
        <n v="1543953.19"/>
        <n v="1.9300428568E8"/>
        <n v="6996404.9"/>
        <n v="9625273.84"/>
        <n v="1.585503207E7"/>
        <n v="2.7029964727E8"/>
        <n v="935059.7"/>
        <n v="619015.22"/>
        <n v="1626009.85"/>
        <n v="958810.65"/>
        <n v="2963345.56"/>
        <n v="1.6714207456E8"/>
        <n v="7461299.04"/>
        <n v="7144789.32"/>
        <n v="5348545.53"/>
        <n v="7192590.81"/>
        <n v="9603241.45"/>
        <n v="4.743216891E7"/>
        <n v="2387743.55"/>
        <n v="2101214.37"/>
        <n v="9.525053394E7"/>
        <n v="9603241.88"/>
        <n v="1.426821995E7"/>
        <n v="9550974.44"/>
        <n v="1.145001893E7"/>
        <n v="1.920648416E8"/>
        <n v="2429446.46"/>
        <n v="1908546.63"/>
        <n v="2862820.42"/>
        <n v="4.771366962E7"/>
        <n v="1.199490014E7"/>
        <n v="9595920.62"/>
        <n v="1.421561245E7"/>
        <n v="4.758180481E7"/>
        <n v="9516360.36"/>
        <n v="1.427454344E7"/>
        <n v="2099401.41"/>
        <n v="9595919.91"/>
        <n v="5277756.11"/>
        <n v="1.425484522E7"/>
        <n v="9609309.71"/>
        <n v="3.838368365E7"/>
        <n v="955597.54"/>
        <n v="3385953.69"/>
        <n v="2428153.45"/>
        <n v="4801115.91"/>
        <n v="164122.24"/>
        <n v="2300386.3"/>
        <n v="4260479.67"/>
        <n v="2270499.61"/>
        <n v="3718457.83"/>
        <n v="9575026.95"/>
        <n v="9575027.58"/>
        <n v="9575027.32"/>
        <n v="9575026.99"/>
        <n v="9.629590956E7"/>
        <n v="9588609.8"/>
        <n v="1.420159836E7"/>
        <n v="2383627.14"/>
        <n v="2097591.98"/>
        <n v="2585257.56"/>
        <n v="9588610.26"/>
        <n v="1.432196316E7"/>
        <n v="1.021125517E7"/>
        <n v="9602231.11"/>
        <n v="995802.81"/>
        <n v="1.588744183E7"/>
        <n v="1.9177221888E8"/>
        <n v="954797.57"/>
        <n v="9534507.7"/>
        <n v="4797581.79"/>
        <n v="1905259.28"/>
        <n v="8371559.95"/>
        <n v="9567497.3"/>
        <n v="4783748.63"/>
        <n v="4783748.38"/>
        <n v="9581310.12"/>
        <n v="1.424853727E7"/>
        <n v="2095785.23"/>
        <n v="4.818482597E7"/>
        <n v="9581310.58"/>
        <n v="1.190786931E7"/>
        <n v="439954.17"/>
        <n v="3.832524147E7"/>
        <n v="1.9162621896E8"/>
        <n v="1693487.7"/>
        <n v="9526297.97"/>
        <n v="6.195812377E7"/>
        <n v="9559980.84"/>
        <n v="9559980.48"/>
        <n v="9559979.34"/>
        <n v="9574022.7"/>
        <n v="2093981.62"/>
        <n v="9574021.98"/>
        <n v="1.429802672E7"/>
        <n v="1.575403174E7"/>
        <n v="9588106.23"/>
        <n v="3.829608707E7"/>
        <n v="1.91480441E8"/>
        <n v="8566289.44"/>
        <n v="4768748.81"/>
        <n v="5316410.1"/>
        <n v="9537496.95"/>
        <n v="7153122.82"/>
        <n v="2.591103083E7"/>
        <n v="9552223.32"/>
        <n v="9464540.84"/>
        <n v="2088589.76"/>
        <n v="1531849.83"/>
        <n v="3.348448441E7"/>
        <n v="2575124.38"/>
        <n v="1.916362993E8"/>
        <n v="9552223.77"/>
        <n v="9493589.8"/>
        <n v="2420424.68"/>
        <n v="4235431.22"/>
        <n v="2845634.63"/>
        <n v="9357568.58"/>
        <n v="4.742723767E7"/>
        <n v="9485448.36"/>
        <n v="1.1508146232E8"/>
        <n v="9544980.08"/>
        <n v="5.036726097E7"/>
        <n v="8863526.54"/>
        <n v="2.115390555E7"/>
        <n v="1.891192151E7"/>
        <n v="2086798.47"/>
        <n v="5129577.09"/>
        <n v="1.915005533E8"/>
        <n v="9544979.33"/>
        <n v="2.382506666E7"/>
        <n v="2.029482606E7"/>
        <n v="2386244.9"/>
        <n v="9559979.69"/>
        <n v="950026.15"/>
        <n v="1.889478361E7"/>
        <n v="4.761284174E7"/>
        <n v="3613522.27"/>
        <n v="9522568.06"/>
        <n v="9522567.65"/>
        <n v="1.410428159E7"/>
        <n v="2.350713598E7"/>
        <n v="1874679.07"/>
        <n v="9347685.92"/>
        <n v="9347479.67"/>
        <n v="9348275.67"/>
        <n v="9522567.41"/>
        <n v="9522568.62"/>
        <n v="4.738659741E7"/>
        <n v="9447393.47"/>
        <n v="2369330.25"/>
        <n v="2085010.28"/>
        <n v="1.9136499936E8"/>
        <n v="5980155.85"/>
        <n v="2.380641852E7"/>
        <n v="1.423853152E7"/>
        <n v="5713540.31"/>
        <n v="4716250.06"/>
        <n v="3.761142052E7"/>
        <n v="9552973.54"/>
        <n v="1.23400612E7"/>
        <n v="949235.46"/>
        <n v="1.515601132E7"/>
        <n v="1.143900662E7"/>
        <n v="1.442192076E7"/>
        <n v="1.139259658E7"/>
        <n v="1948662.67"/>
        <n v="4.08624257E7"/>
        <n v="9338392.61"/>
        <n v="2.398869349E7"/>
        <n v="1.875739076E7"/>
        <n v="2083225.59"/>
        <n v="2569082.75"/>
        <n v="1.183650755E7"/>
        <n v="240564.97"/>
        <n v="1194976.46"/>
        <n v="2.367301418E7"/>
        <n v="1.514304627E7"/>
        <n v="1.418717073E7"/>
        <n v="5648989.87"/>
        <n v="1946853.03"/>
        <n v="3.941482621E7"/>
        <n v="9523312.81"/>
        <n v="9570508.58"/>
        <n v="1.565431009E7"/>
        <n v="4753842.29"/>
        <n v="1.510428675E7"/>
        <n v="1.6514560785E8"/>
        <n v="1941444.65"/>
        <n v="2.821437807E7"/>
        <n v="4638958.77"/>
        <n v="2190790.18"/>
        <n v="1.509140999E7"/>
        <n v="6695477.78"/>
        <n v="1.13344406E7"/>
        <n v="1939648.39"/>
        <n v="2188763.21"/>
        <n v="5.686835004E7"/>
        <n v="2.274734002E7"/>
        <n v="9494576.54"/>
        <n v="2.357211239E7"/>
        <n v="5.608770222E7"/>
        <n v="9511153.58"/>
        <n v="1.132045663E7"/>
        <n v="2.818896039E7"/>
        <n v="9521077.42"/>
        <n v="1.507855513E7"/>
        <n v="6661903.66"/>
        <n v="1.411482305E7"/>
        <n v="2186739.98"/>
        <n v="4735340.46"/>
        <n v="2557084.14"/>
        <n v="9487420.55"/>
        <n v="2.359344309E7"/>
        <n v="1.506572519E7"/>
        <n v="2.332447887E7"/>
        <n v="2184720.97"/>
        <n v="9463314.29"/>
        <n v="9463314.4"/>
        <n v="4.714787792E7"/>
        <n v="9412796.92"/>
        <n v="1.862672943E7"/>
        <n v="5214150.29"/>
        <n v="9463314.32"/>
        <n v="1.176599602E7"/>
        <n v="5.597873458E7"/>
        <n v="3986252.6"/>
        <n v="9507685.97"/>
        <n v="1.505291403E7"/>
        <n v="1.446744801E7"/>
        <n v="9.529501596E7"/>
        <n v="4620952.54"/>
        <n v="9455958.74"/>
        <n v="2182705.21"/>
        <n v="9404794.62"/>
        <n v="942178.79"/>
        <n v="9487668.12"/>
        <n v="1.501461398E7"/>
        <n v="1.443168292E7"/>
        <n v="1430488.04"/>
        <n v="2176680.67"/>
        <n v="2502751.32"/>
        <n v="4.1198508815E8"/>
        <n v="9433964.56"/>
        <n v="9433962.73"/>
        <n v="1.0747666183E8"/>
        <n v="1.185958475E7"/>
        <n v="9469696.97"/>
        <n v="9142857.56"/>
        <n v="3.966775588E7"/>
        <n v="1.896202692E7"/>
        <n v="9481013.46"/>
        <n v="1.500188956E7"/>
        <n v="1.441980357E7"/>
        <n v="9226842.43"/>
        <n v="2500391.09"/>
        <n v="3.929157939E7"/>
        <n v="9426653.04"/>
        <n v="2545196.47"/>
        <n v="1.824998625E7"/>
        <n v="5.570819287E7"/>
        <n v="1.4221519013E8"/>
        <n v="939075.99"/>
        <n v="1.498918667E7"/>
        <n v="1.440794069E7"/>
        <n v="9383034.45"/>
        <n v="3.745991705E7"/>
        <n v="3206849.45"/>
        <n v="9216573.56"/>
        <n v="9215926.72"/>
        <n v="9215890.19"/>
        <n v="9419356.64"/>
        <n v="7064517.18"/>
        <n v="8543564.3"/>
        <n v="9455958.95"/>
        <n v="1.187396564E7"/>
        <n v="9455959.12"/>
        <n v="9130945.8"/>
        <n v="2.103073149E7"/>
        <n v="1.219794479E7"/>
        <n v="1.497650525E7"/>
        <n v="1.439609729E7"/>
        <n v="9375321.55"/>
        <n v="3.742822452E7"/>
        <n v="3106342.94"/>
        <n v="1398110.48"/>
        <n v="9206143.22"/>
        <n v="9357055.38"/>
        <n v="9412069.2"/>
        <n v="4.687660774E7"/>
        <n v="9357055.8"/>
        <n v="7.907279413E7"/>
        <n v="1.549953872E7"/>
        <n v="2.343830589E7"/>
        <n v="1.169631962E7"/>
        <n v="9.412069035E7"/>
        <n v="1.186223318E7"/>
        <n v="3040612.07"/>
        <n v="937532.15"/>
        <n v="1.438427648E7"/>
        <n v="9367623.36"/>
        <n v="2.0382743255E8"/>
        <n v="2.830483129E7"/>
        <n v="8.798118998E7"/>
        <n v="1.934982473E7"/>
        <n v="6.515491242E7"/>
        <n v="6517779.97"/>
        <n v="6576980.12"/>
        <n v="2929467.1"/>
        <n v="3103421.75"/>
        <n v="9404792.97"/>
        <n v="4702397.49"/>
        <n v="9404792.78"/>
        <n v="9404792.84"/>
        <n v="4.65620646E7"/>
        <n v="2337286.71"/>
        <n v="2698080.74"/>
        <n v="5.554711609E7"/>
        <n v="9442261.08"/>
        <n v="6708037.71"/>
        <n v="1.119509101E7"/>
        <n v="3.004667663E7"/>
        <n v="1.897107175E7"/>
        <n v="3.234469959E7"/>
        <n v="2815851.13"/>
        <n v="1.434892086E7"/>
        <n v="9344598.34"/>
        <n v="3.737839336E7"/>
        <n v="4154021.52"/>
        <n v="1.398824766E8"/>
        <n v="3094692.09"/>
        <n v="4120160.99"/>
        <n v="9383035.89"/>
        <n v="9441283.21"/>
        <n v="4720641.61"/>
        <n v="1.815766555E7"/>
        <n v="1.886939093E7"/>
        <n v="1.433717738E7"/>
        <n v="3.734780206E7"/>
        <n v="1.593941608E7"/>
        <n v="3091792.75"/>
        <n v="4717347.67"/>
        <n v="4.639635166E7"/>
        <n v="2.348837837E7"/>
        <n v="1.164705289E7"/>
        <n v="6868916.49"/>
        <n v="9414981.68"/>
        <n v="4784596.52"/>
        <n v="933695.03"/>
        <n v="9336949.03"/>
        <n v="1.432544996E7"/>
        <n v="650682.44"/>
        <n v="507895.67"/>
        <n v="653861.16"/>
        <n v="2550735.99"/>
        <n v="3088898.84"/>
        <n v="9368583.24"/>
        <n v="7026438.54"/>
        <n v="9428114.9"/>
        <n v="4714057.46"/>
        <n v="2327449.96"/>
        <n v="3.29984011E7"/>
        <n v="5621150.11"/>
        <n v="8503314.71"/>
        <n v="9408186.95"/>
        <n v="9408187.11"/>
        <n v="577684.45"/>
        <n v="2804672.27"/>
        <n v="6167848.86"/>
        <n v="9329313.73"/>
        <n v="1.431374172E7"/>
        <n v="2838132.23"/>
        <n v="4680687.77"/>
        <n v="9361375.83"/>
        <n v="7537234.91"/>
        <n v="4710771.82"/>
        <n v="4.611963645E7"/>
        <n v="1.0652202888E8"/>
        <n v="4.731043493E7"/>
        <n v="932168.83"/>
        <n v="2835480.72"/>
        <n v="9354177.77"/>
        <n v="4707490.74"/>
        <n v="4.657038877E7"/>
        <n v="3.295244107E7"/>
        <n v="6855570.38"/>
        <n v="2.824495138E7"/>
        <n v="2.071296435E7"/>
        <n v="9414983.79"/>
        <n v="2.316086013E7"/>
        <n v="1.694697083E7"/>
        <n v="2800225.16"/>
        <n v="9.395352662E7"/>
        <n v="2.359405789E7"/>
        <n v="3.716526174E7"/>
        <n v="3074512.27"/>
        <n v="2827556.75"/>
        <n v="9332652.49"/>
        <n v="9332653.07"/>
        <n v="4697675.82"/>
        <n v="1.805113139E7"/>
        <n v="1.877765563E7"/>
        <n v="3.71350099E7"/>
        <n v="6320133.83"/>
        <n v="6.034440526E7"/>
        <n v="4694413.86"/>
        <n v="4.715762982E7"/>
        <n v="2.816648262E7"/>
        <n v="1.170952947E7"/>
        <n v="1.157877399E7"/>
        <n v="9367622.6"/>
        <n v="936279.14"/>
        <n v="3.71048161E7"/>
        <n v="4118941.13"/>
        <n v="9318356.12"/>
        <n v="9318355.91"/>
        <n v="2313817.12"/>
        <n v="2.751740976E7"/>
        <n v="3.276313127E7"/>
        <n v="9339577.46"/>
        <n v="4.659178588E7"/>
        <n v="9311225.9"/>
        <n v="9304104.59"/>
        <n v="1.531624504E7"/>
        <n v="1.976163467E7"/>
        <n v="8452118.24"/>
        <n v="9325737.87"/>
        <n v="9.304104908E7"/>
        <n v="1.40212048E7"/>
        <n v="3485286.26"/>
        <n v="5920808.5"/>
        <n v="6531095.88"/>
        <n v="9.143288662E7"/>
        <n v="1.1511291E7"/>
        <n v="2330183.96"/>
        <n v="2.330184195E7"/>
        <n v="1.229593195E7"/>
        <n v="1.335581874E7"/>
        <n v="6518144.37"/>
        <n v="7147992.94"/>
        <n v="2.300343336E7"/>
        <n v="2328519.29"/>
        <n v="1.334502636E7"/>
        <n v="3397835.67"/>
        <n v="7140911.81"/>
        <n v="6511687.21"/>
        <n v="2.342747589E7"/>
        <n v="1.333425142E7"/>
        <n v="2325196.37"/>
        <n v="1.329132828E7"/>
        <n v="3.671663677E7"/>
        <n v="3381466.55"/>
        <n v="7498714.35"/>
        <n v="1.328063982E7"/>
        <n v="3.668711012E7"/>
        <n v="3.73640437E7"/>
        <n v="9243549.06"/>
        <n v="1.143512369E7"/>
        <n v="2316930.73"/>
        <n v="2.316931006E7"/>
        <n v="7.3184795192E8"/>
        <n v="5.9462646094E8"/>
        <n v="5.9462650234E8"/>
        <n v="1.326997175E7"/>
        <n v="3128147.15"/>
        <n v="3646718.4"/>
        <n v="2.285135092E7"/>
        <n v="2315284.94"/>
        <n v="2.315284862E7"/>
        <n v="1842504.11"/>
        <n v="4693653.88"/>
        <n v="3.662819908E7"/>
        <n v="6632204.29"/>
        <n v="3371720.86"/>
        <n v="6567249.37"/>
        <n v="3362031.2"/>
        <n v="1359235.61"/>
        <n v="9184702.0"/>
        <n v="1.9577980025E8"/>
        <n v="1.511368216E7"/>
        <n v="2308724.1"/>
        <n v="6196039.23"/>
        <n v="4.096316466E7"/>
        <n v="2307089.56"/>
        <n v="2.307089452E7"/>
        <n v="1835554.64"/>
        <n v="6400536.41"/>
        <n v="1.093448078E7"/>
        <n v="2.305457609E7"/>
        <n v="3352397.07"/>
        <n v="9163948.66"/>
        <n v="4.089585586E7"/>
        <n v="1.843062008E7"/>
        <n v="2303827.77"/>
        <n v="2302200.21"/>
        <n v="5888041.56"/>
        <n v="3339636.87"/>
        <n v="6882552.56"/>
        <n v="2297331.61"/>
        <n v="4.604864783E7"/>
        <n v="2295713.18"/>
        <n v="1.845594272E7"/>
        <n v="1.380519152E7"/>
        <n v="3130206.89"/>
        <n v="2.752916518E7"/>
        <n v="2294097.04"/>
        <n v="9.176388554E7"/>
        <n v="3330130.48"/>
        <n v="9115886.18"/>
        <n v="2292483.52"/>
        <n v="1.213679354E7"/>
        <n v="1.359370345E7"/>
        <n v="1.375835654E7"/>
        <n v="3317538.91"/>
        <n v="2286050.99"/>
        <n v="3.003997953E8"/>
        <n v="3175042.79"/>
        <n v="1.210274055E7"/>
        <n v="1489394.66"/>
        <n v="3394543.05"/>
        <n v="9721177.13"/>
        <n v="8.3924589474E8"/>
        <n v="1.818428007E7"/>
        <n v="9891846.87"/>
        <n v="1.373040912E7"/>
        <n v="3308157.73"/>
        <n v="1.081223171E7"/>
        <n v="3292639.25"/>
        <n v="8.3517223196E8"/>
        <n v="3.170054188E7"/>
        <n v="4871134.12"/>
        <n v="4627488.69"/>
        <n v="7580551.84"/>
        <n v="3286473.04"/>
        <n v="3562018.9"/>
        <n v="1.549340637E7"/>
        <n v="9955863.4"/>
        <n v="7573935.98"/>
        <n v="3274208.84"/>
        <n v="3.156425848E7"/>
        <n v="8325088.18"/>
        <n v="1.339154933E7"/>
        <n v="1324703.79"/>
        <n v="2237726.62"/>
        <n v="8317860.36"/>
        <n v="3265070.78"/>
        <n v="2.690087596E7"/>
        <n v="8469441.02"/>
        <n v="8267618.4"/>
        <n v="4812776.59"/>
        <n v="3521127.65"/>
        <n v="1.811118578E7"/>
        <n v="2.564429796E7"/>
        <n v="3661761.38"/>
        <n v="1.659898096E7"/>
        <n v="1.291791845E7"/>
        <n v="7197205.11"/>
        <n v="1.29066501E7"/>
        <n v="1.289540142E7"/>
        <n v="3478344.52"/>
        <n v="4709423.89"/>
        <n v="6.189747377E7"/>
        <n v="3884063.96"/>
        <n v="1.936944883E7"/>
        <n v="1.277295858E7"/>
        <n v="3444859.19"/>
        <n v="1.759715004E7"/>
        <n v="4853954.56"/>
        <n v="6.218283326E7"/>
        <n v="1.057113307E7"/>
        <n v="6.361334683E7"/>
        <n v="1.052722725E7"/>
      </sharedItems>
    </cacheField>
    <cacheField name=" Nro. de Operación " numFmtId="3">
      <sharedItems containsString="0" containsBlank="1" containsNumber="1" containsInteger="1">
        <n v="6119.0"/>
        <n v="533.0"/>
        <n v="7744.0"/>
        <n v="263806.0"/>
        <n v="7.0219532E7"/>
        <n v="7.0219533E7"/>
        <n v="9266641.0"/>
        <n v="7353.0"/>
        <n v="6.5800963E7"/>
        <n v="147165.0"/>
        <m/>
        <n v="32529.0"/>
        <n v="147160.0"/>
        <n v="4.0012237E7"/>
        <n v="1.6779597E7"/>
        <n v="801.0"/>
        <n v="2.899652E7"/>
        <n v="7745.0"/>
        <n v="148257.0"/>
        <n v="1742541.0"/>
        <n v="4.0743051E7"/>
        <n v="802.0"/>
        <n v="7.038615E7"/>
        <n v="7.7043555E7"/>
        <n v="6.5964534E7"/>
        <n v="2.9098102E7"/>
        <n v="1.1123599E7"/>
        <n v="7746.0"/>
        <n v="1.3633523E7"/>
        <n v="1.0949772E7"/>
        <n v="387.0"/>
        <n v="1742542.0"/>
        <n v="32530.0"/>
        <n v="4.0743052E7"/>
        <n v="231704.0"/>
        <n v="3602.0"/>
        <n v="7.0379142E7"/>
        <n v="9.0022248E7"/>
        <n v="9.0000619E7"/>
        <n v="1.6779598E7"/>
        <n v="107.0"/>
        <n v="2.8996507E7"/>
        <n v="6120.0"/>
        <n v="2.9175485E7"/>
        <n v="2.9239213E7"/>
        <n v="9.5275287E7"/>
        <n v="2.9253353E7"/>
        <n v="379.0"/>
        <n v="6.7244927E7"/>
        <n v="6.7244959E7"/>
        <n v="7.0219531E7"/>
        <n v="9866.0"/>
        <n v="10948.0"/>
        <n v="6.0524151E7"/>
        <n v="6.6789069E7"/>
        <n v="543.0"/>
        <n v="9798605.0"/>
        <n v="6.6582572E7"/>
        <n v="6.6205682E7"/>
        <n v="2.9577226E7"/>
        <n v="32344.0"/>
        <n v="1.6779599E7"/>
        <n v="4136.0"/>
        <n v="9.0000756E7"/>
        <n v="6121.0"/>
        <n v="2.9175483E7"/>
        <n v="4.9400429E7"/>
        <n v="7747.0"/>
        <n v="545.0"/>
        <n v="148259.0"/>
        <n v="148258.0"/>
        <n v="7.0219526E7"/>
        <n v="32531.0"/>
        <n v="816.0"/>
        <n v="6.6607731E7"/>
        <n v="941.0"/>
        <n v="1.8305446E7"/>
        <n v="1.3494047E7"/>
        <n v="2.9131907E7"/>
        <n v="148262.0"/>
        <n v="7.021953E7"/>
        <n v="7.0219529E7"/>
        <n v="143.0"/>
        <n v="605.0"/>
        <n v="6.7385286E7"/>
        <n v="6.7385228E7"/>
        <n v="817.0"/>
        <n v="4.0743053E7"/>
        <n v="231707.0"/>
        <n v="3506.0"/>
        <n v="2.8996519E7"/>
        <n v="6123.0"/>
        <n v="6122.0"/>
        <n v="2.917549E7"/>
        <n v="2.9239217E7"/>
        <n v="573.0"/>
        <n v="6.6894092E7"/>
        <n v="6.6894107E7"/>
        <n v="6.6894124E7"/>
        <n v="9.0016926E7"/>
        <n v="521.0"/>
        <n v="470.0"/>
        <n v="453.0"/>
        <n v="9867.0"/>
        <n v="3501231.0"/>
        <n v="3501248.0"/>
        <n v="1.3633524E7"/>
        <n v="9.0029423E7"/>
        <n v="1.0949773E7"/>
        <n v="388.0"/>
        <n v="632.0"/>
        <n v="546.0"/>
        <n v="4949.0"/>
        <n v="1452.0"/>
        <n v="1.3039364E7"/>
        <n v="1.3039368E7"/>
        <n v="1.3039366E7"/>
        <n v="1.3039365E7"/>
        <n v="1.3039367E7"/>
        <n v="1.3039369E7"/>
        <n v="4526.0"/>
        <n v="2597.0"/>
        <n v="4020.0"/>
        <n v="6.7987165E7"/>
        <n v="6.7987166E7"/>
        <n v="7363.0"/>
        <n v="1537.0"/>
        <n v="798.0"/>
        <n v="59.0"/>
        <n v="9798604.0"/>
        <n v="3418.0"/>
        <n v="7.0379187E7"/>
        <n v="133.0"/>
        <n v="849.0"/>
        <n v="1.6812186E7"/>
        <n v="1.6812187E7"/>
        <n v="9756.0"/>
        <n v="848.0"/>
        <n v="812.0"/>
        <n v="1202.0"/>
        <n v="1.1952072E7"/>
        <n v="364.0"/>
        <n v="2.9086863E7"/>
        <n v="32476.0"/>
        <n v="3071.0"/>
        <n v="4.0734594E7"/>
        <n v="67982.0"/>
        <n v="5178.0"/>
        <n v="1.67796E7"/>
        <n v="1.6771073E7"/>
        <n v="5375.0"/>
        <n v="2.8996511E7"/>
        <n v="9.0000757E7"/>
        <n v="4135.0"/>
        <n v="8221.0"/>
        <n v="137.0"/>
        <n v="247.0"/>
        <n v="6.7473975E7"/>
        <n v="1289.0"/>
        <n v="2.9175488E7"/>
        <n v="6.6589641E7"/>
        <n v="7704.0"/>
        <n v="2466.0"/>
        <n v="572.0"/>
        <n v="1019.0"/>
        <n v="4021.0"/>
        <n v="31.0"/>
        <n v="30.0"/>
        <n v="28515.0"/>
        <n v="9.0044262E7"/>
        <n v="9.0044266E7"/>
        <n v="544.0"/>
        <n v="4.0742997E7"/>
        <n v="9.0015592E7"/>
        <n v="1125.0"/>
        <n v="3072.0"/>
        <n v="5179.0"/>
        <n v="6.7242787E7"/>
        <n v="1080.0"/>
        <n v="9918433.0"/>
        <n v="2.9131904E7"/>
        <n v="1.0"/>
        <n v="2499.0"/>
        <n v="2.9109534E7"/>
        <n v="518.0"/>
        <n v="404.0"/>
        <n v="1020.0"/>
        <n v="9.0041868E7"/>
        <n v="6.5800709E7"/>
        <n v="4.0734595E7"/>
        <n v="6.4885072E7"/>
        <n v="224.0"/>
        <n v="9856539.0"/>
        <n v="6.6998387E7"/>
        <n v="3073.0"/>
        <n v="89.0"/>
        <n v="1.0805445E7"/>
        <n v="2.8996509E7"/>
        <n v="6.7204031E7"/>
        <n v="2.0325323E7"/>
        <n v="6124.0"/>
        <n v="1236.0"/>
        <n v="522.0"/>
        <n v="7.0219528E7"/>
        <n v="6.052409E7"/>
        <n v="6.0524036E7"/>
        <n v="1021.0"/>
        <n v="4.0743001E7"/>
        <n v="172.0"/>
        <n v="821.0"/>
        <n v="450.0"/>
        <n v="693.0"/>
        <n v="6.8114484E7"/>
        <n v="1.6779601E7"/>
        <n v="30169.0"/>
        <n v="677.0"/>
        <n v="1117.0"/>
        <n v="215.0"/>
        <n v="4.062431E7"/>
        <n v="1.3668587E7"/>
        <n v="6.6786647E7"/>
        <n v="150840.0"/>
        <n v="454.0"/>
        <n v="305.0"/>
        <n v="436.0"/>
        <n v="1.3633526E7"/>
        <n v="2.9007572E7"/>
        <n v="2417.0"/>
        <n v="8.4234464E7"/>
        <n v="3925.0"/>
        <n v="1022.0"/>
        <n v="4022.0"/>
        <n v="359.0"/>
        <n v="9.003183E7"/>
        <n v="4.0742998E7"/>
        <n v="9.0015591E7"/>
        <n v="2.9496673E7"/>
        <n v="5.0448693E7"/>
        <n v="839.0"/>
        <n v="159.0"/>
        <n v="809.0"/>
        <n v="4.0734601E7"/>
        <n v="1.6771074E7"/>
        <n v="2.8996504E7"/>
        <n v="2229.0"/>
        <n v="6125.0"/>
        <n v="2.9175495E7"/>
        <n v="103.0"/>
        <n v="6.6786698E7"/>
        <n v="311.0"/>
        <n v="422.0"/>
        <n v="9947.0"/>
        <n v="9870354.0"/>
        <n v="606.0"/>
        <n v="631.0"/>
        <n v="519.0"/>
        <n v="405.0"/>
        <n v="269.0"/>
        <n v="6.7105505E7"/>
        <n v="1023.0"/>
        <n v="6.7236921E7"/>
        <n v="7376.0"/>
        <n v="2833124.0"/>
        <n v="6266.0"/>
        <n v="588.0"/>
        <n v="5.4026408E7"/>
        <n v="9798603.0"/>
        <n v="1.3567715E7"/>
        <n v="6.6581708E7"/>
        <n v="4.074299E7"/>
        <n v="9756466.0"/>
        <n v="2845.0"/>
        <n v="134.0"/>
        <n v="2.9577227E7"/>
        <n v="1.0174481E7"/>
        <n v="842389.0"/>
        <n v="850.0"/>
        <n v="1.0035319E7"/>
        <n v="851.0"/>
        <n v="4.45001E7"/>
        <n v="6.8114485E7"/>
        <n v="1.6771075E7"/>
        <n v="6.7242828E7"/>
        <n v="1395.0"/>
        <n v="1798382.0"/>
        <n v="6570.0"/>
        <n v="3467332.0"/>
        <n v="1.1265545E7"/>
        <n v="8222.0"/>
        <n v="9755699.0"/>
        <n v="2.9175489E7"/>
        <n v="155861.0"/>
        <n v="2503.0"/>
        <n v="547.0"/>
        <n v="4093.0"/>
        <n v="4576.0"/>
        <n v="3419.0"/>
        <n v="6.6581742E7"/>
        <n v="895.0"/>
        <n v="6.7962937E7"/>
        <n v="1.6751418E7"/>
        <n v="6898.0"/>
        <n v="1.6779602E7"/>
        <n v="8.4084371E7"/>
        <n v="9918440.0"/>
        <n v="9918434.0"/>
        <n v="6126.0"/>
        <n v="2.9131906E7"/>
        <n v="6.6632353E7"/>
        <n v="6.663232E7"/>
        <n v="6.6632294E7"/>
        <n v="26.0"/>
        <n v="523.0"/>
        <n v="4954.0"/>
        <n v="1372330.0"/>
        <n v="6.6179083E7"/>
        <n v="491333.0"/>
        <n v="6.0524037E7"/>
        <n v="4635.0"/>
        <n v="1420.0"/>
        <n v="852.0"/>
        <n v="5.4026409E7"/>
        <n v="290.0"/>
        <n v="1.1967244E7"/>
        <n v="1857772.0"/>
        <n v="1.6751419E7"/>
        <n v="1.220155E7"/>
        <n v="1.6779603E7"/>
        <n v="2.899651E7"/>
        <n v="2230.0"/>
        <n v="890.0"/>
        <n v="612119.0"/>
        <n v="612156.0"/>
        <n v="612236.0"/>
        <n v="612136.0"/>
        <n v="612237.0"/>
        <n v="612155.0"/>
        <n v="612126.0"/>
        <n v="612115.0"/>
        <n v="612241.0"/>
        <n v="471.0"/>
        <n v="1.0887325E7"/>
        <n v="2505.0"/>
        <n v="51.0"/>
        <n v="1024.0"/>
        <n v="6267.0"/>
        <n v="846.0"/>
        <n v="4.0743003E7"/>
        <n v="173.0"/>
        <n v="186.0"/>
        <n v="9929.0"/>
        <n v="1.6751421E7"/>
        <n v="6899.0"/>
        <n v="1.6779576E7"/>
        <n v="9.0003809E7"/>
        <n v="9918441.0"/>
        <n v="9918435.0"/>
        <n v="9.5275288E7"/>
        <n v="9.0015792E7"/>
        <n v="1.3633525E7"/>
        <n v="2.9007568E7"/>
        <n v="2418.0"/>
        <n v="1762.0"/>
        <n v="1025.0"/>
        <n v="4121.0"/>
        <n v="6.5800773E7"/>
        <n v="1415413.0"/>
        <n v="9.0044338E7"/>
        <n v="65968.0"/>
        <n v="5.402641E7"/>
        <n v="4.0742991E7"/>
        <n v="7.0383675E7"/>
        <n v="1.3812667E7"/>
        <n v="1.1341117E7"/>
        <n v="43314.0"/>
        <n v="1.6751422E7"/>
        <n v="1.6601551E7"/>
        <n v="1.6779577E7"/>
        <n v="9.0019958E7"/>
        <n v="6878.0"/>
        <n v="9.000381E7"/>
        <n v="2.8996506E7"/>
        <n v="3467336.0"/>
        <n v="6127.0"/>
        <n v="2.9175492E7"/>
        <n v="576.0"/>
        <n v="9.0000186E7"/>
        <n v="5411.0"/>
        <n v="1.3761282E7"/>
        <n v="6.6956177E7"/>
        <n v="524.0"/>
        <n v="2755.0"/>
        <n v="607.0"/>
        <n v="406.0"/>
        <n v="6.5931682E7"/>
        <n v="270.0"/>
        <n v="6.7836511E7"/>
        <n v="6.0524038E7"/>
        <n v="1026.0"/>
        <n v="7.2516195E7"/>
        <n v="7.2516194E7"/>
        <n v="9798602.0"/>
        <n v="135.0"/>
        <n v="3407518.0"/>
        <n v="43315.0"/>
        <n v="6896.0"/>
        <n v="1.5901552E7"/>
        <n v="1.6779604E7"/>
        <n v="1.6779578E7"/>
        <n v="6.6450549E7"/>
        <n v="9.0019959E7"/>
        <n v="6.724288E7"/>
        <n v="1396.0"/>
        <n v="6.7204032E7"/>
        <n v="1127.0"/>
        <n v="9.0019731E7"/>
        <n v="550.0"/>
        <n v="3467334.0"/>
        <n v="10492.0"/>
        <n v="248.0"/>
        <n v="69.0"/>
        <n v="6128.0"/>
        <n v="2.9175493E7"/>
        <n v="5412.0"/>
        <n v="2617.0"/>
        <n v="548.0"/>
        <n v="4122.0"/>
        <n v="6268.0"/>
        <n v="16181.0"/>
        <n v="174.0"/>
        <n v="1310.0"/>
        <n v="6.7963011E7"/>
        <n v="43316.0"/>
        <n v="6900.0"/>
        <n v="1.6779605E7"/>
        <n v="1.6779579E7"/>
        <n v="9.0003811E7"/>
        <n v="2.8996512E7"/>
        <n v="1.0115827E7"/>
        <n v="7.1912904E7"/>
        <n v="6.7620312E7"/>
        <n v="9918442.0"/>
        <n v="9918436.0"/>
        <n v="2.9131905E7"/>
        <n v="5413.0"/>
        <n v="499.0"/>
        <n v="2618.0"/>
        <n v="2425.0"/>
        <n v="6.6179118E7"/>
        <n v="491334.0"/>
        <n v="1027.0"/>
        <n v="28516.0"/>
        <n v="4.0743006E7"/>
        <n v="6.4885127E7"/>
        <n v="2.9088024E7"/>
        <n v="43317.0"/>
        <n v="16815.0"/>
        <n v="1.1001553E7"/>
        <n v="1.6779606E7"/>
        <n v="1.677958E7"/>
        <n v="9.001996E7"/>
        <n v="2.9386199E7"/>
        <n v="577.0"/>
        <n v="3.0001645E7"/>
        <n v="423.0"/>
        <n v="3463102.0"/>
        <n v="2619.0"/>
        <n v="2426.0"/>
        <n v="574.0"/>
        <n v="407.0"/>
        <n v="9.0041869E7"/>
        <n v="4.0743007E7"/>
        <n v="1165497.0"/>
        <n v="175.0"/>
        <n v="3233100.0"/>
        <n v="3233101.0"/>
        <n v="365.0"/>
        <n v="43318.0"/>
        <n v="1.6779581E7"/>
        <n v="9.0019961E7"/>
        <n v="9.0003812E7"/>
        <n v="2.9386345E7"/>
        <n v="211.0"/>
        <n v="9918443.0"/>
        <n v="9918437.0"/>
        <n v="2.0325324E7"/>
        <n v="6129.0"/>
        <n v="540.0"/>
        <n v="152491.0"/>
        <n v="1.0902567E7"/>
        <n v="207.0"/>
        <n v="203.0"/>
        <n v="206.0"/>
        <n v="9.0015793E7"/>
        <n v="492.0"/>
        <n v="7.0219538E7"/>
        <n v="7.0219527E7"/>
        <n v="1.3633527E7"/>
        <n v="2.9030848E7"/>
        <n v="2.9007569E7"/>
        <n v="2620.0"/>
        <n v="2757.0"/>
        <n v="1.0949784E7"/>
        <n v="152009.0"/>
        <n v="1.3784401E7"/>
        <n v="6.5931757E7"/>
        <n v="3935.0"/>
        <n v="140.0"/>
        <n v="4577.0"/>
        <n v="4.0743008E7"/>
        <n v="4.074301E7"/>
        <n v="4.0743009E7"/>
        <n v="9687.0"/>
        <n v="9.9486214E7"/>
        <n v="6540.0"/>
        <n v="7.0388002E7"/>
        <n v="1.1915482E7"/>
        <n v="9.000007E7"/>
        <n v="43319.0"/>
        <n v="1.6779582E7"/>
        <n v="9631288.0"/>
        <n v="1227536.0"/>
        <n v="6130.0"/>
        <n v="6.6717853E7"/>
        <n v="2.9175491E7"/>
        <n v="551.0"/>
        <n v="104.0"/>
        <n v="1.3270644E7"/>
        <n v="925.0"/>
        <n v="2621.0"/>
        <n v="2758.0"/>
        <n v="6.739191E7"/>
        <n v="4955.0"/>
        <n v="6269.0"/>
        <n v="1070.0"/>
        <n v="4.0621855E7"/>
        <n v="121.0"/>
        <n v="1.356771E7"/>
        <n v="4.0751276E7"/>
        <n v="136.0"/>
        <n v="32600.0"/>
        <n v="4.0012226E7"/>
        <n v="4.0012463E7"/>
        <n v="9.0000127E7"/>
        <n v="9.0003818E7"/>
        <n v="152123.0"/>
        <n v="6.648755E7"/>
        <n v="1.2864393E7"/>
        <n v="8220.0"/>
        <n v="2.9175497E7"/>
        <n v="7.0219539E7"/>
        <n v="7.021954E7"/>
        <n v="2622.0"/>
        <n v="2759.0"/>
        <n v="1075.0"/>
        <n v="4.0621856E7"/>
        <n v="122.0"/>
        <n v="4.0751277E7"/>
        <n v="896.0"/>
        <n v="1308.0"/>
        <n v="7.0379055E7"/>
        <n v="4501.0"/>
        <n v="9.0003813E7"/>
        <n v="6.7204033E7"/>
        <n v="9918438.0"/>
        <n v="9918444.0"/>
        <n v="7.0389104E7"/>
        <n v="7.0219541E7"/>
        <n v="7.0219542E7"/>
        <n v="2760.0"/>
        <n v="2598.0"/>
        <n v="6.0524152E7"/>
        <n v="141.0"/>
        <n v="4.0621854E7"/>
        <n v="991.0"/>
        <n v="9.0044419E7"/>
        <n v="4.0751278E7"/>
        <n v="4.0751262E7"/>
        <n v="1127975.0"/>
        <n v="2.9088028E7"/>
        <n v="7.0388044E7"/>
        <n v="7.0388041E7"/>
        <n v="9.000062E7"/>
        <n v="6.7242928E7"/>
        <n v="844.0"/>
        <n v="1.3647454E7"/>
        <n v="6131.0"/>
        <n v="1.3668591E7"/>
        <n v="7.0219543E7"/>
        <n v="7.0219544E7"/>
        <n v="424.0"/>
        <n v="3501249.0"/>
        <n v="2761.0"/>
        <n v="633.0"/>
        <n v="4578.0"/>
        <n v="123.0"/>
        <n v="124.0"/>
        <n v="1110.0"/>
        <n v="4.0200399E7"/>
        <n v="1.3001545E7"/>
        <n v="9.0003814E7"/>
        <n v="212.0"/>
        <n v="9918445.0"/>
        <n v="9918439.0"/>
        <n v="6192.0"/>
        <n v="9.0000479E7"/>
        <n v="435.0"/>
        <n v="9.0015794E7"/>
        <n v="7.0219545E7"/>
        <n v="425.0"/>
        <n v="1.3633528E7"/>
        <n v="2.9007571E7"/>
        <n v="2762.0"/>
        <n v="4636.0"/>
        <n v="6270.0"/>
        <n v="7.0388045E7"/>
        <n v="7.0379056E7"/>
        <n v="9.0003815E7"/>
        <n v="9755701.0"/>
        <n v="6132.0"/>
        <n v="2.9175494E7"/>
        <n v="590.0"/>
        <n v="283.0"/>
        <n v="500.0"/>
        <n v="312.0"/>
        <n v="151336.0"/>
        <n v="9.000005E7"/>
        <n v="3501230.0"/>
        <n v="2763.0"/>
        <n v="608.0"/>
        <n v="559.0"/>
        <n v="4678.0"/>
        <n v="6186.0"/>
        <n v="9.004187E7"/>
        <n v="126.0"/>
        <n v="125.0"/>
        <n v="3435966.0"/>
        <n v="32660.0"/>
        <n v="9.0003816E7"/>
        <n v="2.9572225E7"/>
        <n v="6553.0"/>
        <n v="1.3647455E7"/>
        <n v="1533585.0"/>
        <n v="298.0"/>
        <n v="299.0"/>
        <n v="249.0"/>
        <n v="9918446.0"/>
        <n v="2.9175498E7"/>
        <n v="226.0"/>
        <n v="151337.0"/>
        <n v="2764.0"/>
        <n v="152408.0"/>
        <n v="663.0"/>
        <n v="668.0"/>
        <n v="4633.0"/>
        <n v="254.0"/>
        <n v="4182.0"/>
        <n v="6187.0"/>
        <n v="1309.0"/>
        <n v="67981.0"/>
        <n v="6879.0"/>
        <n v="7578.0"/>
        <n v="6133.0"/>
        <n v="591.0"/>
        <n v="227.0"/>
        <n v="151338.0"/>
        <n v="2765.0"/>
        <n v="635.0"/>
        <n v="640.0"/>
        <n v="575.0"/>
        <n v="6188.0"/>
        <n v="6271.0"/>
        <n v="16182.0"/>
        <n v="4902.0"/>
        <n v="1176620.0"/>
        <n v="9825609.0"/>
        <n v="6573.0"/>
        <n v="3074.0"/>
        <n v="1.0401546E7"/>
        <n v="9.0003817E7"/>
        <n v="9918447.0"/>
        <n v="228.0"/>
        <n v="151340.0"/>
        <n v="1820.0"/>
        <n v="1819.0"/>
        <n v="3501229.0"/>
        <n v="3501250.0"/>
        <n v="2766.0"/>
        <n v="6189.0"/>
        <n v="28517.0"/>
        <n v="176.0"/>
        <n v="7.0390705E7"/>
        <n v="3075.0"/>
        <n v="6.7242959E7"/>
        <n v="1.3647456E7"/>
        <n v="300.0"/>
        <n v="229.0"/>
        <n v="9.0015795E7"/>
        <n v="151341.0"/>
        <n v="1821.0"/>
        <n v="1822.0"/>
        <n v="2.900757E7"/>
        <n v="3936.0"/>
        <n v="4183.0"/>
        <n v="6190.0"/>
        <n v="60.0"/>
        <n v="6.6554053E7"/>
        <n v="223.0"/>
        <n v="143910.0"/>
        <n v="366.0"/>
        <n v="3076.0"/>
        <n v="10946.0"/>
        <n v="6880.0"/>
        <n v="334.0"/>
        <n v="6135.0"/>
        <n v="6134.0"/>
        <n v="2.9175486E7"/>
        <n v="2.9175484E7"/>
        <n v="568307.0"/>
        <n v="568283.0"/>
        <n v="568282.0"/>
        <n v="568321.0"/>
        <n v="568312.0"/>
        <n v="691.0"/>
        <n v="230.0"/>
        <n v="231.0"/>
        <n v="284.0"/>
        <n v="501.0"/>
        <n v="472.0"/>
        <n v="151343.0"/>
        <n v="2.0"/>
        <n v="1824.0"/>
        <n v="1823.0"/>
        <n v="2768.0"/>
        <n v="2769.0"/>
        <n v="664.0"/>
        <n v="669.0"/>
        <n v="560.0"/>
        <n v="4266.0"/>
        <n v="6191.0"/>
        <n v="6272.0"/>
        <n v="2149.0"/>
        <n v="2150.0"/>
        <n v="1307.0"/>
        <n v="32806.0"/>
        <n v="568315.0"/>
        <n v="568311.0"/>
        <n v="568323.0"/>
        <n v="568292.0"/>
        <n v="568359.0"/>
        <n v="568349.0"/>
        <n v="1.3301548E7"/>
        <n v="1.9101547E7"/>
        <n v="5612.0"/>
        <n v="6881.0"/>
        <n v="9.0003854E7"/>
        <n v="6.7381452E7"/>
        <n v="2.9493306E7"/>
        <n v="232.0"/>
        <n v="151347.0"/>
        <n v="609.0"/>
        <n v="6.7237064E7"/>
        <n v="9.0003874E7"/>
        <n v="1088.0"/>
        <n v="1087.0"/>
        <n v="1086.0"/>
        <n v="1084.0"/>
        <n v="2151.0"/>
        <n v="2.9088026E7"/>
        <n v="7.0390734E7"/>
        <n v="3531.0"/>
        <n v="3533.0"/>
        <n v="6.7243116E7"/>
        <n v="6.7277718E7"/>
        <n v="1.3647457E7"/>
        <n v="7.0389145E7"/>
        <n v="9.0000558E7"/>
        <n v="1825.0"/>
        <n v="1826.0"/>
        <n v="3501251.0"/>
        <n v="510.0"/>
        <n v="6.6412292E7"/>
        <n v="6.7105677E7"/>
        <n v="1197.0"/>
        <n v="6193.0"/>
        <n v="7413.0"/>
        <n v="2152.0"/>
        <n v="2.9515959E7"/>
        <n v="3221.0"/>
        <n v="9.0021985E7"/>
        <n v="9.0003855E7"/>
        <n v="6136.0"/>
        <n v="437.0"/>
        <n v="9.0015796E7"/>
        <n v="2.9007567E7"/>
        <n v="4956.0"/>
        <n v="6.6412351E7"/>
        <n v="1.6806006E7"/>
        <n v="2992.0"/>
        <n v="161.0"/>
        <n v="4267.0"/>
        <n v="6194.0"/>
        <n v="2153.0"/>
        <n v="6.6554072E7"/>
        <n v="2.9515957E7"/>
        <n v="360532.0"/>
        <n v="8.0939847E7"/>
        <n v="6.7277769E7"/>
        <n v="9755703.0"/>
        <n v="6137.0"/>
        <n v="2.9175487E7"/>
        <n v="612232.0"/>
        <n v="612239.0"/>
        <n v="612234.0"/>
        <n v="555.0"/>
        <n v="1.3270645E7"/>
        <n v="285.0"/>
        <n v="502.0"/>
        <n v="473.0"/>
        <n v="670.0"/>
        <n v="568.0"/>
        <n v="2830.0"/>
        <n v="6.6412396E7"/>
        <n v="1.680601E7"/>
        <n v="1198.0"/>
        <n v="6195.0"/>
        <n v="6273.0"/>
        <n v="2154.0"/>
        <n v="177.0"/>
        <n v="5.3243195E7"/>
        <n v="360558.0"/>
        <n v="1.0601549E7"/>
        <n v="7610.0"/>
        <n v="9.0003856E7"/>
        <n v="6.7381469E7"/>
        <n v="6.7277847E7"/>
        <n v="5743953.0"/>
        <n v="2.9175496E7"/>
        <n v="438.0"/>
        <n v="634.0"/>
        <n v="636.0"/>
        <n v="641.0"/>
        <n v="681.0"/>
        <n v="6.6412433E7"/>
        <n v="4268.0"/>
        <n v="6196.0"/>
        <n v="4901.0"/>
        <n v="2155.0"/>
        <n v="1355.0"/>
        <n v="1.1341119E7"/>
        <n v="8.0939846E7"/>
        <n v="9.0003857E7"/>
        <n v="250.0"/>
        <n v="5743951.0"/>
        <n v="335.0"/>
        <n v="610.0"/>
        <n v="700.0"/>
        <n v="6.6412455E7"/>
        <n v="6197.0"/>
        <n v="2156.0"/>
        <n v="178.0"/>
        <n v="2.9088025E7"/>
        <n v="360559.0"/>
        <n v="8.0939845E7"/>
        <n v="9.0003858E7"/>
        <n v="5743952.0"/>
        <n v="3495447.0"/>
        <n v="3501252.0"/>
        <n v="671.0"/>
        <n v="511.0"/>
        <n v="1416.0"/>
        <n v="6.641248E7"/>
        <n v="255.0"/>
        <n v="6198.0"/>
        <n v="6.7237112E7"/>
        <n v="3329632.0"/>
        <n v="6274.0"/>
        <n v="9.0003876E7"/>
        <n v="2157.0"/>
        <n v="3222.0"/>
        <n v="6138.0"/>
        <n v="556.0"/>
        <n v="9.0015797E7"/>
        <n v="1179204.0"/>
        <n v="2.9030847E7"/>
        <n v="665.0"/>
        <n v="344.0"/>
        <n v="6.641251E7"/>
        <n v="287.0"/>
        <n v="3937.0"/>
        <n v="8292016.0"/>
        <n v="4269.0"/>
        <n v="6199.0"/>
        <n v="28518.0"/>
        <n v="9.0003877E7"/>
        <n v="2158.0"/>
        <n v="718978.0"/>
        <n v="3233102.0"/>
        <n v="3233103.0"/>
        <n v="367.0"/>
        <n v="360560.0"/>
        <n v="6.73815E7"/>
        <n v="43.0"/>
        <n v="5491.0"/>
        <n v="5490.0"/>
        <n v="286.0"/>
        <n v="503.0"/>
        <n v="493.0"/>
        <n v="7.0219552E7"/>
        <n v="7.0219551E7"/>
        <n v="39.0"/>
        <n v="1179207.0"/>
        <n v="1179206.0"/>
        <n v="1179205.0"/>
        <n v="3463103.0"/>
        <n v="578.0"/>
        <n v="2834.0"/>
        <n v="162.0"/>
        <n v="1199.0"/>
        <n v="6200.0"/>
        <n v="9.0003878E7"/>
        <n v="1382.0"/>
        <n v="1379.0"/>
        <n v="1381.0"/>
        <n v="1380.0"/>
        <n v="718979.0"/>
        <n v="179.0"/>
        <n v="1.0926495E7"/>
        <n v="6.7542727E7"/>
        <n v="7.0379073E7"/>
        <n v="360561.0"/>
        <n v="6.7277956E7"/>
        <n v="30712.0"/>
        <n v="30702.0"/>
        <n v="30690.0"/>
        <n v="9.002055E7"/>
        <n v="2201.0"/>
        <n v="155472.0"/>
        <n v="1179208.0"/>
        <n v="288.0"/>
        <n v="4318.0"/>
        <n v="6201.0"/>
        <n v="6275.0"/>
        <n v="1357.0"/>
        <n v="4.0013131E7"/>
        <n v="4.0013042E7"/>
        <n v="40.0"/>
        <n v="30713.0"/>
        <n v="9.0020551E7"/>
        <n v="160.0"/>
        <n v="2202.0"/>
        <n v="155473.0"/>
        <n v="6.6613066E7"/>
        <n v="9825610.0"/>
        <n v="2.9088027E7"/>
        <n v="58.0"/>
        <n v="30714.0"/>
        <n v="7.0389146E7"/>
        <n v="2203.0"/>
        <n v="451.0"/>
        <n v="598.0"/>
        <n v="2665.0"/>
        <n v="30715.0"/>
        <n v="6.5964541E7"/>
        <n v="9.0020552E7"/>
        <n v="2204.0"/>
        <n v="2664.0"/>
        <n v="61.0"/>
        <n v="718980.0"/>
        <n v="6.6613291E7"/>
        <n v="475880.0"/>
        <n v="7.0379068E7"/>
        <n v="360562.0"/>
        <n v="9.0021986E7"/>
        <n v="306.0"/>
        <n v="6.7936427E7"/>
        <n v="30716.0"/>
        <n v="9.0000168E7"/>
        <n v="9.0020553E7"/>
        <n v="2663.0"/>
        <n v="682.0"/>
        <n v="6276.0"/>
        <n v="6.6613416E7"/>
        <n v="475878.0"/>
        <n v="30717.0"/>
        <n v="7.0219553E7"/>
        <n v="2662.0"/>
        <n v="672.0"/>
        <n v="637.0"/>
        <n v="4774.0"/>
        <n v="326.0"/>
        <n v="4319.0"/>
        <n v="6.6554093E7"/>
        <n v="3435967.0"/>
        <n v="1358.0"/>
        <n v="7.0379069E7"/>
        <n v="6839.0"/>
        <n v="6.793646E7"/>
        <n v="30718.0"/>
        <n v="30742.0"/>
        <n v="568280.0"/>
        <n v="600.0"/>
        <n v="504.0"/>
        <n v="2661.0"/>
        <n v="666.0"/>
        <n v="6.738167E7"/>
        <n v="6.7936475E7"/>
        <n v="30719.0"/>
        <n v="30743.0"/>
        <n v="2660.0"/>
        <n v="2817.0"/>
        <n v="701.0"/>
        <n v="723.0"/>
        <n v="8427.0"/>
        <n v="6.7924258E7"/>
        <n v="360563.0"/>
        <n v="33949.0"/>
        <n v="7579.0"/>
        <n v="6.7970034E7"/>
        <n v="6.7936487E7"/>
        <n v="30720.0"/>
        <n v="30744.0"/>
        <n v="1179209.0"/>
        <n v="2818.0"/>
        <n v="638.0"/>
        <n v="6277.0"/>
        <n v="1064.0"/>
        <n v="7.0379071E7"/>
        <n v="67980.0"/>
        <n v="6.7381897E7"/>
        <n v="30721.0"/>
        <n v="30745.0"/>
        <n v="1.3795877E7"/>
        <n v="1.3662782E7"/>
        <n v="1391.0"/>
        <n v="1179211.0"/>
        <n v="1179210.0"/>
        <n v="1179212.0"/>
        <n v="579.0"/>
        <n v="512.0"/>
        <n v="3385281.0"/>
        <n v="3487822.0"/>
        <n v="5.3243196E7"/>
        <n v="360564.0"/>
        <n v="33950.0"/>
        <n v="33951.0"/>
        <n v="9.0000088E7"/>
        <n v="30722.0"/>
        <n v="30746.0"/>
        <n v="1.3795878E7"/>
        <n v="1.3662783E7"/>
        <n v="251.0"/>
        <n v="3.0"/>
        <n v="1179213.0"/>
        <n v="667.0"/>
        <n v="639.0"/>
        <n v="4775.0"/>
        <n v="327.0"/>
        <n v="8434.0"/>
        <n v="28674.0"/>
        <n v="1215681.0"/>
        <n v="1359.0"/>
        <n v="6601.0"/>
        <n v="5.3243197E7"/>
        <n v="143911.0"/>
        <n v="6.7381734E7"/>
        <n v="30747.0"/>
        <n v="1.3795879E7"/>
        <n v="568286.0"/>
        <n v="568285.0"/>
        <n v="568306.0"/>
        <n v="568296.0"/>
        <n v="568281.0"/>
        <n v="568310.0"/>
        <n v="568313.0"/>
        <n v="568383.0"/>
        <n v="252.0"/>
        <n v="673.0"/>
        <n v="683.0"/>
        <n v="724.0"/>
        <n v="569.0"/>
        <n v="2873.0"/>
        <n v="1200.0"/>
        <n v="6278.0"/>
        <n v="7.0379072E7"/>
        <n v="360565.0"/>
        <n v="568319.0"/>
        <n v="568322.0"/>
        <n v="568350.0"/>
        <n v="568324.0"/>
        <n v="568355.0"/>
        <n v="9.0003467E7"/>
        <n v="30748.0"/>
        <n v="1.3795884E7"/>
        <n v="1.379588E7"/>
        <n v="1.3662785E7"/>
        <n v="7.0389147E7"/>
        <n v="253.0"/>
        <n v="347.0"/>
        <n v="702.0"/>
        <n v="6.7280466E7"/>
        <n v="6.7193052E7"/>
        <n v="6.7205341E7"/>
        <n v="1065.0"/>
        <n v="6.797008E7"/>
        <n v="30749.0"/>
        <n v="1.3662787E7"/>
        <n v="940.0"/>
        <n v="6.7193053E7"/>
        <n v="2885.0"/>
        <n v="6.6410159E7"/>
        <n v="1360.0"/>
        <n v="33954.0"/>
        <n v="1406548.0"/>
        <n v="403.0"/>
        <n v="6.7381776E7"/>
        <n v="6.7448929E7"/>
        <n v="30750.0"/>
        <n v="612096.0"/>
        <n v="612233.0"/>
        <n v="612235.0"/>
        <n v="612121.0"/>
        <n v="612240.0"/>
        <n v="580.0"/>
        <n v="513.0"/>
        <n v="6.72805E7"/>
        <n v="6.7193054E7"/>
        <n v="6.7193055E7"/>
        <n v="1201.0"/>
        <n v="5.4027795E7"/>
        <n v="6.7280581E7"/>
        <n v="1.0926497E7"/>
        <n v="3487869.0"/>
        <n v="3487823.0"/>
        <n v="360566.0"/>
        <n v="612100.0"/>
        <n v="9.0003468E7"/>
        <n v="9.0000979E7"/>
        <n v="6.7448971E7"/>
        <n v="30751.0"/>
        <n v="2781.0"/>
        <n v="684.0"/>
        <n v="725.0"/>
        <n v="6.7280737E7"/>
        <n v="6.7193056E7"/>
        <n v="6.7836059E7"/>
        <n v="8428.0"/>
        <n v="4900.0"/>
        <n v="6.7381805E7"/>
        <n v="2782.0"/>
        <n v="570.0"/>
        <n v="6.7193057E7"/>
        <n v="4898.0"/>
        <n v="5.4027796E7"/>
        <n v="33955.0"/>
        <n v="9.0000209E7"/>
        <n v="9.0000343E7"/>
        <n v="9.0000267E7"/>
        <n v="9.0000306E7"/>
        <n v="9.0000338E7"/>
        <n v="9.0003469E7"/>
        <n v="1.4032579E7"/>
        <n v="928.0"/>
        <n v="1.366279E7"/>
        <n v="258.0"/>
        <n v="2783.0"/>
        <n v="674.0"/>
        <n v="732.0"/>
        <n v="6.7193059E7"/>
        <n v="1067.0"/>
        <n v="6.7970141E7"/>
        <n v="1.3662791E7"/>
        <n v="6.5964605E7"/>
        <n v="6.719306E7"/>
        <n v="4899.0"/>
        <n v="5.4027797E7"/>
        <n v="9.0027594E7"/>
        <n v="1361.0"/>
        <n v="360567.0"/>
        <n v="6.7381841E7"/>
        <n v="1.3662792E7"/>
        <n v="9.0000179E7"/>
        <n v="581.0"/>
        <n v="514.0"/>
        <n v="4355.0"/>
        <n v="3329633.0"/>
        <n v="3487824.0"/>
        <n v="787.0"/>
        <n v="675.0"/>
        <n v="571.0"/>
        <n v="28675.0"/>
        <n v="3233105.0"/>
        <n v="3487870.0"/>
        <n v="3385280.0"/>
        <n v="3487825.0"/>
        <n v="6676.0"/>
        <n v="360568.0"/>
        <n v="9.000058E7"/>
        <n v="6.6329827E7"/>
        <n v="8439.0"/>
        <n v="1362.0"/>
        <n v="9.0031811E7"/>
        <n v="360569.0"/>
        <n v="34113.0"/>
        <n v="9933008.0"/>
        <n v="6.6329877E7"/>
        <n v="877.0"/>
        <n v="1233892.0"/>
        <n v="9.0031812E7"/>
        <n v="9933007.0"/>
        <n v="6.6919994E7"/>
        <n v="15.0"/>
        <n v="876.0"/>
        <n v="929.0"/>
        <n v="9933006.0"/>
        <n v="9.0031813E7"/>
        <n v="9933005.0"/>
        <n v="1.3795907E7"/>
        <n v="6.6920072E7"/>
        <n v="9.0000803E7"/>
        <n v="9933004.0"/>
        <n v="1.3795908E7"/>
        <n v="6.7620341E7"/>
        <n v="8.0620808E7"/>
        <n v="1363.0"/>
        <n v="9.0031814E7"/>
        <n v="360570.0"/>
        <n v="152839.0"/>
        <n v="152838.0"/>
        <n v="153163.0"/>
        <n v="9933003.0"/>
        <n v="6.7525693E7"/>
        <n v="9.0000051E7"/>
        <n v="475881.0"/>
        <n v="9.0031815E7"/>
        <n v="360571.0"/>
        <n v="1.3442185E7"/>
        <n v="414.0"/>
        <n v="1.3795909E7"/>
        <n v="9.0000672E7"/>
        <n v="6.6920206E7"/>
        <n v="9.0001573E7"/>
        <n v="6.6917997E7"/>
        <n v="4.0"/>
        <n v="726.0"/>
        <n v="28676.0"/>
        <n v="9.0031816E7"/>
        <n v="6.5964607E7"/>
        <n v="6.776421E7"/>
        <n v="9.0031817E7"/>
        <n v="360572.0"/>
        <n v="1.3442187E7"/>
        <n v="9.000017E7"/>
        <n v="9.0021989E7"/>
        <n v="360573.0"/>
        <n v="6.6918105E7"/>
        <n v="727.0"/>
        <n v="6.7838018E7"/>
        <n v="1.1092146E7"/>
        <n v="9.0031818E7"/>
        <n v="9.0031819E7"/>
        <n v="9.0000581E7"/>
        <n v="6.6918134E7"/>
        <n v="9.0000775E7"/>
        <n v="9.003182E7"/>
        <n v="1415416.0"/>
        <n v="9.0031821E7"/>
        <n v="6.7863887E7"/>
        <n v="234.0"/>
        <n v="1.3270638E7"/>
        <n v="3329634.0"/>
        <n v="9.0031822E7"/>
        <n v="4.0627526E7"/>
        <n v="6.6918205E7"/>
        <n v="728.0"/>
        <n v="9.0031823E7"/>
        <n v="34114.0"/>
        <n v="6.7448999E7"/>
        <n v="235.0"/>
        <n v="6.6918247E7"/>
        <n v="9.0031824E7"/>
        <n v="155636.0"/>
        <n v="6.7525725E7"/>
        <n v="34115.0"/>
        <n v="4.0603614E7"/>
        <n v="154531.0"/>
        <n v="6.799806E7"/>
        <n v="237.0"/>
        <n v="236.0"/>
        <n v="6.6918287E7"/>
        <n v="9.002199E7"/>
        <n v="6.6918815E7"/>
        <n v="154563.0"/>
        <n v="65.0"/>
        <n v="9.0000595E7"/>
        <n v="9.0000654E7"/>
        <n v="1.3054211E7"/>
        <n v="6.6918856E7"/>
        <n v="9.0000052E7"/>
        <n v="27672.0"/>
        <n v="9.0000056E7"/>
        <n v="1.3054212E7"/>
        <n v="6.6918897E7"/>
        <n v="66.0"/>
        <n v="6.6335143E7"/>
        <n v="6.7449055E7"/>
        <n v="5.0"/>
        <n v="9.0003663E7"/>
        <n v="6.6335193E7"/>
        <n v="6.6918963E7"/>
        <n v="67.0"/>
        <n v="9.0020413E7"/>
        <n v="6.6335232E7"/>
        <n v="9.0000596E7"/>
        <n v="9.0000053E7"/>
        <n v="6.7863958E7"/>
        <n v="6.7998146E7"/>
        <n v="9.0000123E7"/>
        <n v="238.0"/>
        <n v="9.0023082E7"/>
        <n v="9.0023081E7"/>
        <n v="9.0000807E7"/>
        <n v="9.0023083E7"/>
        <n v="9.0023086E7"/>
        <n v="9.0000054E7"/>
        <n v="9.0000278E7"/>
        <n v="155355.0"/>
        <n v="9.0000109E7"/>
        <n v="6.7998226E7"/>
        <n v="9.0023099E7"/>
        <n v="9.0000055E7"/>
        <n v="2.0411015E7"/>
        <n v="239.0"/>
        <n v="155356.0"/>
        <n v="240.0"/>
        <n v="155357.0"/>
        <n v="241.0"/>
      </sharedItems>
    </cacheField>
    <cacheField name=" Nombre " numFmtId="0">
      <sharedItems containsBlank="1">
        <s v="AMOMPY"/>
        <m/>
      </sharedItems>
    </cacheField>
    <cacheField name=" Agente " numFmtId="0">
      <sharedItems containsBlank="1">
        <s v="Momentum Capital Investment S.A."/>
        <m/>
      </sharedItems>
    </cacheField>
    <cacheField name=" Fecha Concertación " numFmtId="164">
      <sharedItems containsBlank="1">
        <s v="29/05/2026"/>
        <s v="22/04/2026"/>
        <s v="08/05/2026"/>
        <s v="27/05/2026"/>
        <s v="05/05/2026"/>
        <s v="07/05/2026"/>
        <s v="16/04/2026"/>
        <s v="31/03/2026"/>
        <s v="26/03/2026"/>
        <s v="23/04/2026"/>
        <m/>
        <s v="27/04/2026"/>
        <s v="22/05/2026"/>
        <s v="30/04/2026"/>
        <s v="21/04/2026"/>
        <s v="26/05/2026"/>
        <s v="17/06/2026"/>
        <s v="04/06/2026"/>
        <s v="20/04/2026"/>
        <s v="19/05/2026"/>
        <s v="13/05/2026"/>
        <s v="28/05/2026"/>
        <s v="19/06/2026"/>
        <s v="12/05/2026"/>
        <s v="04/05/2026"/>
        <s v="21/05/2026"/>
        <s v="13/04/2026"/>
        <s v="08/04/2026"/>
        <s v="28/04/2026"/>
        <s v="14/04/2026"/>
        <s v="30/06/2026"/>
        <s v="24/04/2026"/>
        <s v="11/06/2026"/>
        <s v="11/05/2026"/>
        <s v="29/06/2026"/>
        <s v="05/06/2026"/>
        <s v="18/06/2026"/>
        <s v="18/05/2026"/>
        <s v="20/05/2026"/>
        <s v="17/04/2026"/>
        <s v="12/06/2026"/>
        <s v="06/04/2026"/>
        <s v="03/07/2026"/>
        <s v="13/02/2026"/>
        <s v="16/06/2026"/>
        <s v="29/04/2026"/>
        <s v="02/06/2026"/>
        <s v="09/03/2026"/>
        <s v="01/07/2026"/>
        <s v="24/06/2026"/>
        <s v="15/05/2026"/>
        <s v="18/03/2026"/>
        <s v="19/03/2026"/>
        <s v="06/03/2026"/>
        <s v="01/06/2026"/>
        <s v="25/06/2026"/>
        <s v="11/08/2025"/>
        <s v="10/04/2026"/>
        <s v="01/04/2026"/>
        <s v="22/06/2026"/>
        <s v="03/06/2026"/>
        <s v="23/06/2026"/>
        <s v="26/06/2026"/>
        <s v="29/01/2026"/>
        <s v="14/05/2026"/>
        <s v="08/06/2026"/>
        <s v="03/09/2025"/>
        <s v="17/03/2026"/>
        <s v="09/06/2026"/>
        <s v="07/04/2026"/>
        <s v="06/05/2026"/>
        <s v="03/03/2026"/>
        <s v="10/06/2026"/>
        <s v="02/07/2026"/>
        <s v="30/03/2026"/>
      </sharedItems>
    </cacheField>
    <cacheField name=" Fecha Liquidación " numFmtId="164">
      <sharedItems containsBlank="1">
        <s v="29/05/2026"/>
        <s v="22/04/2026"/>
        <s v="08/05/2026"/>
        <s v="27/05/2026"/>
        <s v="05/05/2026"/>
        <s v="07/05/2026"/>
        <s v="16/04/2026"/>
        <s v="31/03/2026"/>
        <s v="26/03/2026"/>
        <s v="23/04/2026"/>
        <m/>
        <s v="27/04/2026"/>
        <s v="22/05/2026"/>
        <s v="30/04/2026"/>
        <s v="21/04/2026"/>
        <s v="26/05/2026"/>
        <s v="17/06/2026"/>
        <s v="04/06/2026"/>
        <s v="20/04/2026"/>
        <s v="19/05/2026"/>
        <s v="13/05/2026"/>
        <s v="28/05/2026"/>
        <s v="19/06/2026"/>
        <s v="12/05/2026"/>
        <s v="04/05/2026"/>
        <s v="21/05/2026"/>
        <s v="13/04/2026"/>
        <s v="08/04/2026"/>
        <s v="28/04/2026"/>
        <s v="14/04/2026"/>
        <s v="30/06/2026"/>
        <s v="24/04/2026"/>
        <s v="11/06/2026"/>
        <s v="11/05/2026"/>
        <s v="29/06/2026"/>
        <s v="05/06/2026"/>
        <s v="18/06/2026"/>
        <s v="18/05/2026"/>
        <s v="20/05/2026"/>
        <s v="17/04/2026"/>
        <s v="12/06/2026"/>
        <s v="06/04/2026"/>
        <s v="03/07/2026"/>
        <s v="13/02/2026"/>
        <s v="16/06/2026"/>
        <s v="29/04/2026"/>
        <s v="02/06/2026"/>
        <s v="09/03/2026"/>
        <s v="01/07/2026"/>
        <s v="24/06/2026"/>
        <s v="15/05/2026"/>
        <s v="18/03/2026"/>
        <s v="19/03/2026"/>
        <s v="06/03/2026"/>
        <s v="01/06/2026"/>
        <s v="25/06/2026"/>
        <s v="11/08/2025"/>
        <s v="10/04/2026"/>
        <s v="01/04/2026"/>
        <s v="22/06/2026"/>
        <s v="03/06/2026"/>
        <s v="23/06/2026"/>
        <s v="26/06/2026"/>
        <s v="29/01/2026"/>
        <s v="14/05/2026"/>
        <s v="08/06/2026"/>
        <s v="03/09/2025"/>
        <s v="17/03/2026"/>
        <s v="09/06/2026"/>
        <s v="07/04/2026"/>
        <s v="06/05/2026"/>
        <s v="03/03/2026"/>
        <s v="10/06/2026"/>
        <s v="02/07/2026"/>
        <s v="30/03/2026"/>
      </sharedItems>
    </cacheField>
    <cacheField name=" Tasa de Descuento " numFmtId="165">
      <sharedItems containsString="0" containsBlank="1" containsNumber="1">
        <n v="20.0"/>
        <n v="38.0"/>
        <n v="35.0"/>
        <n v="33.0"/>
        <n v="31.0"/>
        <n v="37.0"/>
        <n v="28.0"/>
        <m/>
        <n v="27.0"/>
        <n v="30.0"/>
        <n v="21.0"/>
        <n v="29.0"/>
        <n v="26.0"/>
        <n v="36.0"/>
        <n v="25.0"/>
        <n v="40.0"/>
        <n v="42.0"/>
        <n v="32.0"/>
        <n v="22.0"/>
        <n v="43.0"/>
        <n v="41.0"/>
        <n v="34.0"/>
        <n v="46.0"/>
        <n v="24.0"/>
        <n v="27.5"/>
        <n v="18.0"/>
        <n v="78.0"/>
        <n v="39.0"/>
        <n v="20.5"/>
      </sharedItems>
    </cacheField>
    <cacheField name=" Vendido ">
      <sharedItems containsBlank="1" containsMixedTypes="1" containsNumber="1">
        <n v="31.870304340010215"/>
        <s v="No"/>
        <m/>
      </sharedItems>
    </cacheField>
    <cacheField name=" nro. de operación 2" numFmtId="0">
      <sharedItems containsBlank="1">
        <s v=""/>
        <m/>
      </sharedItems>
    </cacheField>
    <cacheField name=" fecha concertación 2" numFmtId="0">
      <sharedItems containsString="0" containsBlank="1">
        <m/>
      </sharedItems>
    </cacheField>
    <cacheField name=" fecha liquidación 2" numFmtId="0">
      <sharedItems containsString="0" containsBlank="1">
        <m/>
      </sharedItems>
    </cacheField>
    <cacheField name=" Abreviatura " numFmtId="0">
      <sharedItems containsBlank="1">
        <s v="*ACI010700324"/>
        <s v="*MAV010701115"/>
        <s v="*MAV010701183"/>
        <s v="*MAV010701315"/>
        <s v="*MAV010701150"/>
        <s v="*MAV010701178"/>
        <s v="*MAV010701098"/>
        <s v="*MAV010701052"/>
        <s v="*MAV010701039"/>
        <s v="#INT020760001"/>
        <s v="#UMV010760032"/>
        <s v="*MIL010700023"/>
        <s v="#MAV020760016"/>
        <s v="*MAV010701292"/>
        <s v="*INP010700054"/>
        <s v="*AAR010700018"/>
        <s v="*AAR010700017"/>
        <s v="*MAV020700893"/>
        <s v="#MAV030760052"/>
        <s v="*CMP020700021"/>
        <s v="*MAV020700980"/>
        <s v="*AAR020700017"/>
        <s v="*MAV020701143"/>
        <s v="*PRO030700015"/>
        <s v="*MAV030700983"/>
        <s v="*MAV030700971"/>
        <s v="*MAV030701051"/>
        <s v="*MAV030701081"/>
        <s v="*MAV030701138"/>
        <s v="*MAV030701116"/>
        <s v="*MAV030700970"/>
        <s v="*CMP030700027"/>
        <s v="*MIL030700016"/>
        <s v="*MAV030701186"/>
        <s v="MAVR030700105"/>
        <s v="%CP1060700002"/>
        <s v="*MAV030701106"/>
        <s v="*MAV030701309"/>
        <s v="*INP030700058"/>
        <s v="*INP030700057"/>
        <s v="*INP030700051"/>
        <s v="*AAR030700014"/>
        <s v="*ACI040700235"/>
        <s v="*CUY060700025"/>
        <s v="*MAV060700916"/>
        <s v="*MAV060701015"/>
        <s v="*MAV040701074"/>
        <s v="*MAV040701105"/>
        <s v="*MAV040701126"/>
        <s v="*MAV050701062"/>
        <s v="*MAV060700866"/>
        <s v="*MAV060700762"/>
        <s v="*MIL060700029"/>
        <s v="*MAV060700702"/>
        <s v="*MAV050701033"/>
        <s v="*MIL040700024"/>
        <s v="*MIL060700031"/>
        <s v="*MIL060700032"/>
        <s v="*MAV060700774"/>
        <s v="*MOV040700052"/>
        <s v="*MAV060700792"/>
        <s v="*INP060700044"/>
        <s v="*MAV040701189"/>
        <s v="*MAV040701190"/>
        <s v="*ACI070700239"/>
        <s v="*CUY070700022"/>
        <s v="*MAV070701178"/>
        <s v="*MAV070701218"/>
        <s v="*MAV070701293"/>
        <s v="#MAV080760032"/>
        <s v="#MAV080760029"/>
        <s v="*MAV070701195"/>
        <s v="*MIL070700029"/>
        <s v="*MIL070700030"/>
        <s v="*MIL070700031"/>
        <s v="*MOV070700069"/>
        <s v="*INP070700054"/>
        <s v="*MAV070701545"/>
        <s v="*PRO080700009"/>
        <s v="#MAV130760053"/>
        <s v="*MAV080701292"/>
        <s v="*MAV080701273"/>
        <s v="*MAV080701187"/>
        <s v="*MAV080701510"/>
        <s v="*MAV080701502"/>
        <s v="*MAV080701503"/>
        <s v="*MIL080700030"/>
        <s v="*MAV080701399"/>
        <s v="MAVR080700082"/>
        <s v="%CP1100700001"/>
        <s v="*AAR080700032"/>
        <s v="*ACI130700173"/>
        <s v="*ACI100700332"/>
        <s v="*CUY130700038"/>
        <s v="*MAV120701200"/>
        <s v="*MAV100701396"/>
        <s v="*MAV090700511"/>
        <s v="*MAV100701523"/>
        <s v="*MAV110701243"/>
        <s v="*MAV130701386"/>
        <s v="*MAV110701258"/>
        <s v="*MAV090700498"/>
        <s v="*MAV100701434"/>
        <s v="*MAV130700961"/>
        <s v="*MAV090700468"/>
        <s v="*MAV090700481"/>
        <s v="*MAV100701537"/>
        <s v="*MAV110701290"/>
        <s v="*MAV130701175"/>
        <s v="*MAV100701382"/>
        <s v="*MAV130701599"/>
        <s v="*MAV130701312"/>
        <s v="*MIL110700039"/>
        <s v="*MIL100700041"/>
        <s v="*MIL100700042"/>
        <s v="*MIL100700043"/>
        <s v="*MIL100700044"/>
        <s v="*MIL100700045"/>
        <s v="*MIL100700046"/>
        <s v="*MIL100700047"/>
        <s v="*MAV100701387"/>
        <s v="*MAV130700971"/>
        <s v="*MAV100701281"/>
        <s v="*MAV100701984"/>
        <s v="*MAV100701985"/>
        <s v="*MAV130700974"/>
        <s v="*FED130700032"/>
        <s v="*FED100700045"/>
        <s v="*MIL100700051"/>
        <s v="*MIL130700044"/>
        <s v="*MIL100700050"/>
        <s v="*MAV130701284"/>
        <s v="*MAV130701169"/>
        <s v="*MOV130700069"/>
        <s v="*MOV130700068"/>
        <s v="*MOV130700067"/>
        <s v="*MOV120700074"/>
        <s v="*MOV110700086"/>
        <s v="*MOV110700085"/>
        <s v="*MOV100700095"/>
        <s v="*MOV130700070"/>
        <s v="*MOV100700068"/>
        <s v="*MOV100700072"/>
        <s v="*MAV130701035"/>
        <s v="*MAV130700768"/>
        <s v="*MAV130701116"/>
        <s v="*MAV110701223"/>
        <s v="*POT130700116"/>
        <s v="*INP100700075"/>
        <s v="*INP130700050"/>
        <s v="*INP130700051"/>
        <s v="*AAR100700021"/>
        <s v="*MAV110701368"/>
        <s v="*MAV110701369"/>
        <s v="*MAV130701548"/>
        <s v="*MAV110701380"/>
        <s v="*MAV110701387"/>
        <s v="*MAV130701606"/>
        <s v="*PRO140700017"/>
        <s v="*CUY140700024"/>
        <s v="*MAV140701399"/>
        <s v="*MAV140701602"/>
        <s v="*MAV140701413"/>
        <s v="*MAV140701618"/>
        <s v="*MAV140701264"/>
        <s v="*MAV140701282"/>
        <s v="*FID140700021"/>
        <s v="*FID140700020"/>
        <s v="*MAV140701323"/>
        <s v="*MAV140701876"/>
        <s v="*MAV140701811"/>
        <s v="*MIL140700053"/>
        <s v="*MAV140701525"/>
        <s v="*MAV140701603"/>
        <s v="*MOV140700100"/>
        <s v="*MAV140701247"/>
        <s v="*POT140700107"/>
        <s v="*MAV140701601"/>
        <s v="*MAV140701863"/>
        <s v="*MAV140701864"/>
        <s v="*PRO150700020"/>
        <s v="*MAV150701604"/>
        <s v="*MAV150701756"/>
        <s v="*MAV150701881"/>
        <s v="*MAV150701779"/>
        <s v="*MIL150700044"/>
        <s v="*MAV150701468"/>
        <s v="*FED150700056"/>
        <s v="*MAV150701506"/>
        <s v="*MAV150701651"/>
        <s v="*MAV150701442"/>
        <s v="*MAV150701477"/>
        <s v="*MOV150700104"/>
        <s v="*MOV150700103"/>
        <s v="*MAV150701443"/>
        <s v="*MAV150701847"/>
        <s v="*INP150700098"/>
        <s v="*AAR150700042"/>
        <s v="*MAV150701880"/>
        <s v="*MAV150702225"/>
        <s v="*ACI160700208"/>
        <s v="*MAV160701249"/>
        <s v="*MAV160701166"/>
        <s v="*MAV160701096"/>
        <s v="*MAV160700961"/>
        <s v="*MAV160700952"/>
        <s v="*MAV160700955"/>
        <s v="*MAV160701168"/>
        <s v="*NEU160700021"/>
        <s v="*MOV160700053"/>
        <s v="*MOV160700052"/>
        <s v="*MAV160701255"/>
        <s v="*POT160700110"/>
        <s v="*INP160700044"/>
        <s v="*INP160700041"/>
        <s v="*MAV160701248"/>
        <s v="*MAV160701247"/>
        <s v="*MAV160701326"/>
        <s v="*MAV170701366"/>
        <s v="*MAV170701858"/>
        <s v="*MAV170701525"/>
        <s v="#MAV200760063"/>
        <s v="*MAV170701431"/>
        <s v="*MAV170701013"/>
        <s v="*MAV170701671"/>
        <s v="*MAV170701563"/>
        <s v="*MAV170701219"/>
        <s v="*MAV170701734"/>
        <s v="*MAV170702050"/>
        <s v="*MAV170700987"/>
        <s v="*MAV170701009"/>
        <s v="*MAV170701024"/>
        <s v="*MOV170700082"/>
        <s v="*MOV170700081"/>
        <s v="*MAV170701635"/>
        <s v="*MAV170701735"/>
        <s v="*MOV170700080"/>
        <s v="*MOV170700079"/>
        <s v="*MOV170700078"/>
        <s v="*MOV170700077"/>
        <s v="*MOV170700076"/>
        <s v="*MAV170701437"/>
        <s v="*INP170700067"/>
        <s v="*AAR170700014"/>
        <s v="*MAV170701736"/>
        <s v="*ACI190700175"/>
        <s v="*CUY200700030"/>
        <s v="*MAV200701011"/>
        <s v="*MAV200701147"/>
        <s v="*MAV200700987"/>
        <s v="*MAV190701002"/>
        <s v="*MAV200701092"/>
        <s v="*MAV200701282"/>
        <s v="*MAV180701336"/>
        <s v="*MAV190701042"/>
        <s v="*MAV200701183"/>
        <s v="*MIL200700045"/>
        <s v="*MIL200700043"/>
        <s v="*MAV200701243"/>
        <s v="*MAV200700914"/>
        <s v="*MAV180701374"/>
        <s v="*MAV200701047"/>
        <s v="*FID200700022"/>
        <s v="*MAV180701390"/>
        <s v="*MOV190700063"/>
        <s v="*MIL200700046"/>
        <s v="*MIL200700047"/>
        <s v="*MIL200700049"/>
        <s v="*MIL200700050"/>
        <s v="*MAV200701203"/>
        <s v="*MAV180701405"/>
        <s v="*MAV200701280"/>
        <s v="*MAV200701140"/>
        <s v="*MOV180700067"/>
        <s v="*MOV180700063"/>
        <s v="*MOV180700064"/>
        <s v="*MOV180700065"/>
        <s v="*MOV180700066"/>
        <s v="*MOV200700092"/>
        <s v="*MOV200700093"/>
        <s v="*POT180700106"/>
        <s v="*INP200700070"/>
        <s v="*MAV200701283"/>
        <s v="*MAV180701314"/>
        <s v="*MAV200701281"/>
        <s v="*MAV200701329"/>
        <s v="*MAV200701327"/>
        <s v="*MAV200701328"/>
        <s v="*MAV200701383"/>
        <s v="*MAV180701375"/>
        <s v="*CUY210700026"/>
        <s v="#MAV220760062"/>
        <s v="*MAV210701311"/>
        <s v="*MAV210701333"/>
        <s v="*MAV210701197"/>
        <s v="*BIF210700008"/>
        <s v="*MIL210700043"/>
        <s v="*MIL210700044"/>
        <s v="*TRD210700023"/>
        <s v="*MOV210700085"/>
        <s v="*MAV210701515"/>
        <s v="*MAV210701206"/>
        <s v="*INP210700080"/>
        <s v="*MAV210701389"/>
        <s v="*MAV210701647"/>
        <s v="*MAV210701646"/>
        <s v="*ACI220700283"/>
        <s v="*PRO220700012"/>
        <s v="*MAV220701306"/>
        <s v="*MAV220701307"/>
        <s v="*MAV220701308"/>
        <s v="*MAV220701449"/>
        <s v="*MAV220701394"/>
        <s v="*MIL220700038"/>
        <s v="*MIL220700034"/>
        <s v="*MIL220700035"/>
        <s v="*MIL220700036"/>
        <s v="*MAV220701194"/>
        <s v="*BIF220700005"/>
        <s v="*MOV220700094"/>
        <s v="*MOV220700093"/>
        <s v="*MIL220700040"/>
        <s v="*MAV220701228"/>
        <s v="*AFB220700009"/>
        <s v="*MOV220700091"/>
        <s v="*MOV220700092"/>
        <s v="*MAV220701632"/>
        <s v="*INP220700080"/>
        <s v="*INP220700079"/>
        <s v="*AAR220700016"/>
        <s v="*MAV220701450"/>
        <s v="*MAV220701753"/>
        <s v="*MAV230701095"/>
        <s v="*MAV230701094"/>
        <s v="*MAV230701096"/>
        <s v="*MAV230701097"/>
        <s v="*MAV230701098"/>
        <s v="*MAV230701099"/>
        <s v="*MAV230701100"/>
        <s v="*MAV230701101"/>
        <s v="*MAV230701102"/>
        <s v="*MAV230701030"/>
        <s v="*MAV230701126"/>
        <s v="*MAV230701047"/>
        <s v="*MIL230700028"/>
        <s v="*MAV230700923"/>
        <s v="*MAV230701198"/>
        <s v="*MOV230700077"/>
        <s v="*MAV230701065"/>
        <s v="*NEU230700018"/>
        <s v="*MOV230700079"/>
        <s v="*MOV230700078"/>
        <s v="*MAV230701239"/>
        <s v="*MAV230700964"/>
        <s v="*INP230700044"/>
        <s v="*MAV230701137"/>
        <s v="*MAV230701298"/>
        <s v="*MAV230701299"/>
        <s v="*MAV240701281"/>
        <s v="*MAV240701318"/>
        <s v="*MAV240701233"/>
        <s v="*MAV240701063"/>
        <s v="*MAV240701317"/>
        <s v="*MAV240701329"/>
        <s v="*MIL240700031"/>
        <s v="*MAV240701043"/>
        <s v="*MAV240701132"/>
        <s v="*MAV240701056"/>
        <s v="*MIL240700041"/>
        <s v="*MAV240701610"/>
        <s v="*MOV240700072"/>
        <s v="*MIL240700033"/>
        <s v="*MAV240701245"/>
        <s v="*MAV240701354"/>
        <s v="*AFB240700015"/>
        <s v="*MOV240700071"/>
        <s v="*MOV240700053"/>
        <s v="*MAV240701511"/>
        <s v="*INP240700067"/>
        <s v="*INP240700062"/>
        <s v="*INP240700065"/>
        <s v="*INP240700064"/>
        <s v="*MAV240701338"/>
        <s v="*AAR240700018"/>
        <s v="*MAV240701358"/>
        <s v="*ACI250700361"/>
        <s v="*CUY270700036"/>
        <s v="*MAV250701301"/>
        <s v="*MAV250701294"/>
        <s v="*MAV270701028"/>
        <s v="*MAV270701033"/>
        <s v="*MAV250701414"/>
        <s v="*MAV270700973"/>
        <s v="*MAV250701475"/>
        <s v="*MAV260701145"/>
        <s v="*MIL250700033"/>
        <s v="*MIL250700032"/>
        <s v="*MIL270700024"/>
        <s v="*MAV270701211"/>
        <s v="*MAV270700762"/>
        <s v="*MAV270700763"/>
        <s v="*MOV250700081"/>
        <s v="*MOV250700080"/>
        <s v="*MIL250700034"/>
        <s v="*MIL270700025"/>
        <s v="*MAV270700938"/>
        <s v="*MOV260700049"/>
        <s v="*MOV270700045"/>
        <s v="*MAV260701074"/>
        <s v="*INP270700051"/>
        <s v="*INP270700050"/>
        <s v="*INP270700048"/>
        <s v="*INP250700071"/>
        <s v="*INP270700049"/>
        <s v="*MAV270701034"/>
        <s v="*MAV250701415"/>
        <s v="*MAV250701413"/>
        <s v="*MAV250701431"/>
        <s v="*MAV270701035"/>
        <s v="*MAV260701143"/>
        <s v="*MAV250701432"/>
        <s v="*MAV270701080"/>
        <s v="*MAV250701451"/>
        <s v="*MAV270701117"/>
        <s v="*ACI280700201"/>
        <s v="*ACI280700242"/>
        <s v="*CUY280700024"/>
        <s v="*MAV280701342"/>
        <s v="*MAV280701317"/>
        <s v="*MAV280701292"/>
        <s v="*MAV280701203"/>
        <s v="*MAV280701442"/>
        <s v="*FED280700037"/>
        <s v="*NEU280700020"/>
        <s v="*MAV280701170"/>
        <s v="*MOV280700091"/>
        <s v="*MOV280700075"/>
        <s v="*MAV280701169"/>
        <s v="*INP280700072"/>
        <s v="*INP280700068"/>
        <s v="*MAV280701366"/>
        <s v="*AAR280700029"/>
        <s v="*MAV280701376"/>
        <s v="*MAV280701375"/>
        <s v="*MAV280701411"/>
        <s v="*MAV280701533"/>
        <s v="*MAV280701534"/>
        <s v="*PRO290700011"/>
        <s v="*MAV290701277"/>
        <s v="*MAV290701192"/>
        <s v="*MAV290701251"/>
        <s v="*MAV290701308"/>
        <s v="*MIL290700024"/>
        <s v="*MIL290700025"/>
        <s v="*MAV290701056"/>
        <s v="*MAV290701080"/>
        <s v="*MAV290701214"/>
        <s v="*MAV290701035"/>
        <s v="*MAV290701088"/>
        <s v="*MOV290700053"/>
        <s v="*MAV290701134"/>
        <s v="*INP290700073"/>
        <s v="*INP290700072"/>
        <s v="*INP290700068"/>
        <s v="*INP290700069"/>
        <s v="*MAV290701309"/>
        <s v="*MAV300701144"/>
        <s v="*MAV300701130"/>
        <s v="*MAV300701258"/>
        <s v="*MAV300701132"/>
        <s v="*MAV300701271"/>
        <s v="*MAV300701333"/>
        <s v="*MAV300701306"/>
        <s v="*MIL300700030"/>
        <s v="*FED300700061"/>
        <s v="*MAV300701240"/>
        <s v="*MAV300701114"/>
        <s v="*NEU300700019"/>
        <s v="*NEU300700021"/>
        <s v="*NEU300700020"/>
        <s v="*MOV300700055"/>
        <s v="*MOV300700056"/>
        <s v="*INP300700064"/>
        <s v="*INP300700065"/>
        <s v="*MAV300701319"/>
        <s v="*MAV300701334"/>
        <s v="*MAV300701402"/>
        <s v="*MAV300701526"/>
        <s v="*MAV300701527"/>
        <s v="*MAV300701528"/>
        <s v="*ACI310700409"/>
        <s v="%INC010800022"/>
        <s v="#MAV030860055"/>
        <s v="*MAV310701425"/>
        <s v="*MAV310701530"/>
        <s v="*MAV310701531"/>
        <s v="*MAV310701532"/>
        <s v="*MAV310701551"/>
        <s v="*MAV310701416"/>
        <s v="*MAV310701511"/>
        <s v="*MAV310701512"/>
        <s v="*MAV310701459"/>
        <s v="*MAV310701258"/>
        <s v="*MAV310701252"/>
        <s v="*MAV310701515"/>
        <s v="*MAV310701758"/>
        <s v="*MAV310701523"/>
        <s v="#MAV010860008"/>
        <s v="*MAV310701686"/>
        <s v="*MIL310700029"/>
        <s v="*MAV310701190"/>
        <s v="*MAV310701486"/>
        <s v="*BIF310700007"/>
        <s v="*MAV310701462"/>
        <s v="*MAV310701461"/>
        <s v="*MAV310701460"/>
        <s v="*MAV310701922"/>
        <s v="*MAV310702019"/>
        <s v="*MAV310701236"/>
        <s v="*MAV310701691"/>
        <s v="*AFB310700008"/>
        <s v="*MOV310700092"/>
        <s v="*MOV310700075"/>
        <s v="*INP310700079"/>
        <s v="*INP310700080"/>
        <s v="*MAV310701663"/>
        <s v="*MAV310701662"/>
        <s v="*ACI030800138"/>
        <s v="*PRO030800006"/>
        <s v="*CUY030800022"/>
        <s v="*MAV030800733"/>
        <s v="*MAV030800729"/>
        <s v="*MAV030800739"/>
        <s v="*MAV030800939"/>
        <s v="*MAV010801140"/>
        <s v="*MAV010801224"/>
        <s v="*MAV010801166"/>
        <s v="*MIL010800019"/>
        <s v="*MAV020800928"/>
        <s v="*FED030800023"/>
        <s v="*FED030800024"/>
        <s v="*MIL020800026"/>
        <s v="#UMV030860028"/>
        <s v="#UMV030860027"/>
        <s v="#UMV030860029"/>
        <s v="#UMV030860035"/>
        <s v="*MIL020800023"/>
        <s v="*MAV030800905"/>
        <s v="*MAV030800838"/>
        <s v="*MAV030800746"/>
        <s v="*MAV030800874"/>
        <s v="*MAV030800891"/>
        <s v="*INP030800027"/>
        <s v="*MAV030800921"/>
        <s v="#MAV040860041"/>
        <s v="*MAV010801165"/>
        <s v="*MAV010801167"/>
        <s v="*MAV030800940"/>
        <s v="*MAV030800972"/>
        <s v="*CUY040800025"/>
        <s v="*MAV040801171"/>
        <s v="*MAV040801168"/>
        <s v="*MAV040801135"/>
        <s v="*MAV040801302"/>
        <s v="*FED040800020"/>
        <s v="*FED040800021"/>
        <s v="*MIL040800028"/>
        <s v="*MAV040801154"/>
        <s v="*TRD040800019"/>
        <s v="*MAV040801017"/>
        <s v="*MAV040801224"/>
        <s v="*MOV040800058"/>
        <s v="*MAV040801170"/>
        <s v="*MAV040801146"/>
        <s v="*MAV040801418"/>
        <s v="*MAV040801419"/>
        <s v="*MAV050801348"/>
        <s v="*MAV050801290"/>
        <s v="*MAV050801291"/>
        <s v="*MAV050801363"/>
        <s v="*MAV050801102"/>
        <s v="*MAV050801095"/>
        <s v="*MAV050801234"/>
        <s v="*FED050800034"/>
        <s v="*MIL050800016"/>
        <s v="*MAV050801481"/>
        <s v="*MAV050801267"/>
        <s v="*MAV050801268"/>
        <s v="*MAV050801071"/>
        <s v="*MAV050801106"/>
        <s v="*MAV050801354"/>
        <s v="*MAV050801337"/>
        <s v="*INP050800057"/>
        <s v="*MAV050801250"/>
        <s v="*MAV050801292"/>
        <s v="*MAV050801293"/>
        <s v="*ACI060800164"/>
        <s v="*MAV060800999"/>
        <s v="*MAV060800959"/>
        <s v="*MAV060800954"/>
        <s v="*MAV060800923"/>
        <s v="*MAV060800856"/>
        <s v="*MAV060801029"/>
        <s v="*MAV060801020"/>
        <s v="*MAV060800872"/>
        <s v="*MIL060800023"/>
        <s v="*MIL060800024"/>
        <s v="*MAV060801139"/>
        <s v="*INP060800057"/>
        <s v="*INP060800056"/>
        <s v="*MAV060800947"/>
        <s v="*MAV060801017"/>
        <s v="*MAV060801099"/>
        <s v="*MAV060801100"/>
        <s v="*MAV060801113"/>
        <s v="*MAV070800991"/>
        <s v="*MAV070801387"/>
        <s v="*MAV070801167"/>
        <s v="*MAV070801204"/>
        <s v="*MAV070801124"/>
        <s v="*MAV070801108"/>
        <s v="*MAV070800967"/>
        <s v="*MAV070801322"/>
        <s v="*MAV070801075"/>
        <s v="*MAV070801321"/>
        <s v="*MAV070801312"/>
        <s v="*MAV070801215"/>
        <s v="*MAV070801180"/>
        <s v="*MAV070801305"/>
        <s v="*ACI090800238"/>
        <s v="*CUY100800020"/>
        <s v="*MAV090800979"/>
        <s v="*MAV100801131"/>
        <s v="*MAV080801225"/>
        <s v="*MAV090800974"/>
        <s v="#MAV110860043"/>
        <s v="*MAV100801236"/>
        <s v="*MAV090800977"/>
        <s v="*MAV080801292"/>
        <s v="*MAV090801006"/>
        <s v="*MAV100801143"/>
        <s v="*MAV090800990"/>
        <s v="*MAV100801171"/>
        <s v="*FED090800026"/>
        <s v="*MIL080800037"/>
        <s v="*MIL080800038"/>
        <s v="*NEU080800033"/>
        <s v="*MAV100800966"/>
        <s v="*MAV100801166"/>
        <s v="*MAV090801060"/>
        <s v="*MAV080801261"/>
        <s v="*MAV100801178"/>
        <s v="*MAV080801275"/>
        <s v="*MAV100801230"/>
        <s v="*MAV100801231"/>
        <s v="*MAV100801260"/>
        <s v="*MAV100801403"/>
        <s v="*CUY110800024"/>
        <s v="*MAV110801469"/>
        <s v="#MAV120860032"/>
        <s v="*MAV110801470"/>
        <s v="#MAV120860029"/>
        <s v="*MAV110801500"/>
        <s v="*MAV110801507"/>
        <s v="*MAV110801326"/>
        <s v="*MAV110801282"/>
        <s v="*MAV110801360"/>
        <s v="*MAV110801415"/>
        <s v="*MAV110801261"/>
        <s v="*MAV110801321"/>
        <s v="*INP110800047"/>
        <s v="*ACI120800233"/>
        <s v="*ACI120800246"/>
        <s v="*MAV120801457"/>
        <s v="*MAV120801779"/>
        <s v="#MAV130860035"/>
        <s v="*MAV120801780"/>
        <s v="*MAV120801757"/>
        <s v="*MAV120801758"/>
        <s v="*MAV120801634"/>
        <s v="*MAV120801558"/>
        <s v="*MAV120801669"/>
        <s v="*MAV120801775"/>
        <s v="*FED120800028"/>
        <s v="*BIF120800008"/>
        <s v="*MAV120801432"/>
        <s v="*NEU120800028"/>
        <s v="*MAV120801434"/>
        <s v="*MAV120801367"/>
        <s v="*INP120800052"/>
        <s v="*MAV120801652"/>
        <s v="*MAV120801871"/>
        <s v="*MAV130801115"/>
        <s v="#MAV140860044"/>
        <s v="*MAV130800932"/>
        <s v="*MAV130800931"/>
        <s v="*MAV130800934"/>
        <s v="*MAV130800942"/>
        <s v="*MAV130801114"/>
        <s v="*MAV130801046"/>
        <s v="*MAV130800927"/>
        <s v="*NEU130800014"/>
        <s v="*MAV130801162"/>
        <s v="*MAV130800916"/>
        <s v="*MAV130801036"/>
        <s v="*MAV130801054"/>
        <s v="*MAV130801084"/>
        <s v="*MAV140801401"/>
        <s v="*MAV140801457"/>
        <s v="*MAV140801289"/>
        <s v="#MAV180860038"/>
        <s v="*MAV140801128"/>
        <s v="*MAV140801129"/>
        <s v="*MAV140801114"/>
        <s v="*MAV140801099"/>
        <s v="*MAV140801231"/>
        <s v="*MAV140801306"/>
        <s v="*MIL140800023"/>
        <s v="*MIL140800022"/>
        <s v="*MAV140801110"/>
        <s v="*AFB140800011"/>
        <s v="*MOV140800051"/>
        <s v="*MAV140801103"/>
        <s v="*INP140800110"/>
        <s v="*INP140800093"/>
        <s v="*MAV140801384"/>
        <s v="*ACI180800202"/>
        <s v="*ACI150800332"/>
        <s v="*CUY170800021"/>
        <s v="*CUY180800042"/>
        <s v="*MAV180801234"/>
        <s v="*MAV180801235"/>
        <s v="*MAV180801236"/>
        <s v="*MAV180801237"/>
        <s v="*MAV180801238"/>
        <s v="*MAV150801357"/>
        <s v="*MAV150801508"/>
        <s v="*MAV180801457"/>
        <s v="*MAV170800745"/>
        <s v="*MAV150801372"/>
        <s v="*MAV150801364"/>
        <s v="#MAV190860035"/>
        <s v="*MAV150801344"/>
        <s v="*MAV160801087"/>
        <s v="*MAV160801088"/>
        <s v="*MAV150801509"/>
        <s v="*MAV180801458"/>
        <s v="*MAV160801152"/>
        <s v="*MAV180801524"/>
        <s v="*MAV170800753"/>
        <s v="*MAV180801414"/>
        <s v="*MAV180801393"/>
        <s v="*MAV170800800"/>
        <s v="*MIL170800018"/>
        <s v="*MIL180800036"/>
        <s v="*MAV180801225"/>
        <s v="*MAV180801262"/>
        <s v="*MAV180801239"/>
        <s v="*MAV180801240"/>
        <s v="*MAV180801241"/>
        <s v="*MAV180801242"/>
        <s v="*MAV180801243"/>
        <s v="*MAV180801244"/>
        <s v="*INP180800044"/>
        <s v="*INP150800068"/>
        <s v="*INP170800028"/>
        <s v="*INP180800042"/>
        <s v="*MAV180801537"/>
        <s v="*MAV150801456"/>
        <s v="*MAV180801398"/>
        <s v="*MAV150801507"/>
        <s v="*MAV190801281"/>
        <s v="#MAV200860046"/>
        <s v="*MAV190801242"/>
        <s v="*MAV190801323"/>
        <s v="*MAV190801220"/>
        <s v="*MAV190801232"/>
        <s v="*MAV190801272"/>
        <s v="*BIF190800006"/>
        <s v="*MIL190800031"/>
        <s v="*MIL190800032"/>
        <s v="*MIL190800033"/>
        <s v="*MIL190800034"/>
        <s v="*MIL190800025"/>
        <s v="*MAV190801107"/>
        <s v="*MAV190801350"/>
        <s v="*MOV190800063"/>
        <s v="*MOV190800064"/>
        <s v="*MAV190801208"/>
        <s v="*MAV190801237"/>
        <s v="*MAV190801238"/>
        <s v="*MAV200801501"/>
        <s v="*MAV200801174"/>
        <s v="*MAV200801170"/>
        <s v="*MAV200801171"/>
        <s v="*MAV200801181"/>
        <s v="*MAV200801228"/>
        <s v="*MIL200800030"/>
        <s v="*MAV200801263"/>
        <s v="*MAV200801233"/>
        <s v="*MAV200801295"/>
        <s v="*MAV200801245"/>
        <s v="*MIL200800031"/>
        <s v="*MAV200801378"/>
        <s v="*MAV200801291"/>
        <s v="*NEU200800029"/>
        <s v="*MAV200801416"/>
        <s v="*ACI210800309"/>
        <s v="*MAV210801326"/>
        <s v="*MAV210801180"/>
        <s v="*MAV210801063"/>
        <s v="*MIL210800021"/>
        <s v="*MIL210800020"/>
        <s v="*MAV210801341"/>
        <s v="*MAV210801387"/>
        <s v="*MAV210801077"/>
        <s v="*MAV210801237"/>
        <s v="*MAV210801215"/>
        <s v="*MIL210800022"/>
        <s v="*MIL210800023"/>
        <s v="*MAV210801298"/>
        <s v="*MOV210800042"/>
        <s v="*INP210800035"/>
        <s v="*MAV210801221"/>
        <s v="*MAV210801275"/>
        <s v="*ACI240800158"/>
        <s v="*CUY240800027"/>
        <s v="*MAV240800868"/>
        <s v="*MAV240800866"/>
        <s v="*MAV240800867"/>
        <s v="*MAV230801002"/>
        <s v="*MAV240800762"/>
        <s v="*MAV240800853"/>
        <s v="*MAV220801199"/>
        <s v="*MAV220801198"/>
        <s v="*MAV240800956"/>
        <s v="*MAV240800875"/>
        <s v="*MIL240800021"/>
        <s v="*MIL240800016"/>
        <s v="*MAV240800993"/>
        <s v="*MAV240800820"/>
        <s v="*MAV240800885"/>
        <s v="*MAV220801263"/>
        <s v="*MIL240800017"/>
        <s v="*NEU220800025"/>
        <s v="*MAV230801012"/>
        <s v="*MOV230800052"/>
        <s v="*INP220800066"/>
        <s v="*INP240800044"/>
        <s v="*MAV240800969"/>
        <s v="*MAV240800890"/>
        <s v="*MAV220801234"/>
        <s v="*MAV240801032"/>
        <s v="*CUY250800056"/>
        <s v="*MAV250801558"/>
        <s v="*MAV250801495"/>
        <s v="*MAV250801499"/>
        <s v="*MAV250801500"/>
        <s v="*MAV250801577"/>
        <s v="*MIL250800026"/>
        <s v="*MAV250801479"/>
        <s v="*MAV250801460"/>
        <s v="*BIF250800007"/>
        <s v="*MIL250800027"/>
        <s v="*MAV250801412"/>
        <s v="*MOV250800088"/>
        <s v="*INP250800064"/>
        <s v="*MAV250801559"/>
        <s v="*MAV250801497"/>
        <s v="*MAV250801622"/>
        <s v="*MAV260801320"/>
        <s v="*MAV260801238"/>
        <s v="*MAV260801328"/>
        <s v="*MAV260801222"/>
        <s v="*MIL260800029"/>
        <s v="*MAV260801235"/>
        <s v="*MIL260800030"/>
        <s v="*NEU260800027"/>
        <s v="*MAV260801138"/>
        <s v="*MOV260800071"/>
        <s v="*INP260800068"/>
        <s v="*MAV260801308"/>
        <s v="*MAV260801362"/>
        <s v="*MAV270800957"/>
        <s v="*MAV270800960"/>
        <s v="*MAV270801108"/>
        <s v="*MAV270800997"/>
        <s v="*MIL270800031"/>
        <s v="*MIL270800027"/>
        <s v="*MAV270800969"/>
        <s v="*MAV270801053"/>
        <s v="*MAV270801078"/>
        <s v="*FID270800026"/>
        <s v="*MAV270801084"/>
        <s v="*BIF270800005"/>
        <s v="*MIL270800028"/>
        <s v="*MAV270801044"/>
        <s v="*ACI280800203"/>
        <s v="*MAV280801009"/>
        <s v="*MAV280801098"/>
        <s v="*MAV280801005"/>
        <s v="*MAV280800998"/>
        <s v="*MAV280801208"/>
        <s v="*MIL280800034"/>
        <s v="*MIL280800029"/>
        <s v="*NIO280800031"/>
        <s v="*MAV280800986"/>
        <s v="*MAV280801153"/>
        <s v="*MAV280801141"/>
        <s v="*MAV280801125"/>
        <s v="*MAV280801000"/>
        <s v="*BIF280800005"/>
        <s v="*MIL280800030"/>
        <s v="*CVA280800007"/>
        <s v="*NEU280800014"/>
        <s v="*NEU280800013"/>
        <s v="*MOV280800055"/>
        <s v="*MOV280800056"/>
        <s v="*MAV280801128"/>
        <s v="*MAV310801103"/>
        <s v="*MAV310801112"/>
        <s v="*MAV310801113"/>
        <s v="*MAV310801202"/>
        <s v="*MAV290801184"/>
        <s v="*MAV310801141"/>
        <s v="*MAV310801408"/>
        <s v="*MAV310801407"/>
        <s v="*MAV300801312"/>
        <s v="*MAV310801101"/>
        <s v="*MAV300801317"/>
        <s v="*MAV290801169"/>
        <s v="*MAV300801320"/>
        <s v="*MAV300801345"/>
        <s v="*MAV310801247"/>
        <s v="*MAV310801104"/>
        <s v="*MAV310801175"/>
        <s v="*MAV310801249"/>
        <s v="*BIF310800004"/>
        <s v="*MIL290800030"/>
        <s v="*MIL290800031"/>
        <s v="*MIL290800032"/>
        <s v="*MIL290800033"/>
        <s v="*CVA310800024"/>
        <s v="*NEU290800019"/>
        <s v="*NEU310800017"/>
        <s v="*MAV310801293"/>
        <s v="*MAV310801326"/>
        <s v="*MOV310800090"/>
        <s v="*MAV290801216"/>
        <s v="*MAV300801351"/>
        <s v="*MAV010901181"/>
        <s v="*MAV010901180"/>
        <s v="*MAV010901182"/>
        <s v="*MAV010901143"/>
        <s v="*MAV010901183"/>
        <s v="#MAV020960040"/>
        <s v="*MAV010901130"/>
        <s v="*NIO010900019"/>
        <s v="*MAV010901262"/>
        <s v="*MAV010901221"/>
        <s v="*MAV010901263"/>
        <s v="#UMV010960019"/>
        <s v="#UMV010960024"/>
        <s v="#UMV010960009"/>
        <s v="#UMV010960013"/>
        <s v="*MAV010901169"/>
        <s v="*MAV010901282"/>
        <s v="*MAV010901283"/>
        <s v="*MAV010901339"/>
        <s v="*MAV020901169"/>
        <s v="*MAV020901153"/>
        <s v="*MAV020901218"/>
        <s v="*MAV020901170"/>
        <s v="#MAV030960028"/>
        <s v="*MIL020900026"/>
        <s v="*NEU020900019"/>
        <s v="*MAV020901140"/>
        <s v="*INP020900036"/>
        <s v="*MAV030900818"/>
        <s v="*MAV030900962"/>
        <s v="*MAV030900819"/>
        <s v="*MAV030900826"/>
        <s v="*MAV030900796"/>
        <s v="*MAV030900820"/>
        <s v="*MAV040900921"/>
        <s v="*MAV040900869"/>
        <s v="*MAV040900876"/>
        <s v="*MAV040900923"/>
        <s v="*MAV040900922"/>
        <s v="*MIL040900020"/>
        <s v="*CVA040900007"/>
        <s v="*MIL040900019"/>
        <s v="*MAV040900920"/>
        <s v="*MAV040901072"/>
        <s v="*MOV040900048"/>
        <s v="*NEU040900012"/>
        <s v="*MAV040901049"/>
        <s v="*PRO070900009"/>
        <s v="*MAV070900791"/>
        <s v="*MAV050901228"/>
        <s v="*MAV070900746"/>
        <s v="*MAV050901245"/>
        <s v="*MAV070900898"/>
        <s v="*MAV060901016"/>
        <s v="*MIL070900021"/>
        <s v="*MAV050901234"/>
        <s v="*MAV080901149"/>
        <s v="*MAV080901266"/>
        <s v="*MAV080901150"/>
        <s v="*MAV080901237"/>
        <s v="*MAV080901212"/>
        <s v="*MAV080901170"/>
        <s v="*MAV080901141"/>
        <s v="*MAV080901222"/>
        <s v="*MIL080900027"/>
        <s v="*NEU080900027"/>
        <s v="*MAV080901145"/>
        <s v="*MAV080901234"/>
        <s v="*MAV080901113"/>
        <s v="*PRO090900019"/>
        <s v="*MAV090901145"/>
        <s v="*MAV090901172"/>
        <s v="*MAV090901127"/>
        <s v="*MAV090901126"/>
        <s v="*MAV090901138"/>
        <s v="*MAV090901146"/>
        <s v="*MAV090901242"/>
        <s v="*MAV090901171"/>
        <s v="*PRO100900022"/>
        <s v="*MAV100901186"/>
        <s v="*MAV100901257"/>
        <s v="*MAV100901187"/>
        <s v="*MAV100901188"/>
        <s v="*MAV100901398"/>
        <s v="*MAV100901303"/>
        <s v="*MAV100901375"/>
        <s v="*MAV100901379"/>
        <s v="*MAV100901310"/>
        <s v="*MIL100900041"/>
        <s v="*MOV100900072"/>
        <s v="*MAV100901306"/>
        <s v="*ACI110900205"/>
        <s v="*PRO110900012"/>
        <s v="*PRO110900013"/>
        <s v="*MAV110900995"/>
        <s v="*MAV110901015"/>
        <s v="*MAV110900971"/>
        <s v="*MAV110901140"/>
        <s v="*MAV110901057"/>
        <s v="*MAV110901070"/>
        <s v="*MAV110901080"/>
        <s v="*MAV110901072"/>
        <s v="*MAV110901103"/>
        <s v="*MAV110900982"/>
        <s v="*MAV110901014"/>
        <s v="*MAV140900871"/>
        <s v="*MAV140900928"/>
        <s v="*MAV140900929"/>
        <s v="*MAV140900894"/>
        <s v="*MAV140900870"/>
        <s v="*MAV130901052"/>
        <s v="*MAV120901447"/>
        <s v="*MAV140900802"/>
        <s v="*MAV140900905"/>
        <s v="*MAV120901457"/>
        <s v="*NEU120900021"/>
        <s v="*NEU120900015"/>
        <s v="*MAV130901057"/>
        <s v="*MOV130900059"/>
        <s v="*MAV120901494"/>
        <s v="*MAV140900962"/>
        <s v="*MAV120901461"/>
        <s v="*MAV120901482"/>
        <s v="*MAV150901518"/>
        <s v="*MAV150901539"/>
        <s v="*MAV150901540"/>
        <s v="*MAV150901522"/>
        <s v="*MAV150901674"/>
        <s v="*MAV150901465"/>
        <s v="*MAV150901457"/>
        <s v="*MAV150901626"/>
        <s v="*MAV150901591"/>
        <s v="*MAV150901542"/>
        <s v="*MAV150901500"/>
        <s v="*MAV150901624"/>
        <s v="*MAV150901468"/>
        <s v="*MAV150901502"/>
        <s v="*MAV150901509"/>
        <s v="*MAV150901503"/>
        <s v="*MAV150901501"/>
        <s v="*AFB150900012"/>
        <s v="*MAV150901538"/>
        <s v="*MAV160901281"/>
        <s v="*MAV160901282"/>
        <s v="*MAV160901235"/>
        <s v="*MAV160901236"/>
        <s v="*MAV160901237"/>
        <s v="*MAV160901238"/>
        <s v="*MAV160901239"/>
        <s v="*MAV160901240"/>
        <s v="*MAV160901241"/>
        <s v="*MAV160901242"/>
        <s v="*MAV160901407"/>
        <s v="*MAV160901358"/>
        <s v="*MAV160901376"/>
        <s v="*MAV160901392"/>
        <s v="*MAV160901262"/>
        <s v="*MAV160901325"/>
        <s v="*MAV160901253"/>
        <s v="*MAV160901334"/>
        <s v="*MAV160901349"/>
        <s v="*MOV160900067"/>
        <s v="*MAV160901244"/>
        <s v="*MAV160901245"/>
        <s v="*MAV160901243"/>
        <s v="*MAV160901246"/>
        <s v="*MAV160901247"/>
        <s v="*INP160900050"/>
        <s v="*MAV170901057"/>
        <s v="*MAV170901058"/>
        <s v="*MAV170901059"/>
        <s v="*MAV170901060"/>
        <s v="*MAV170901010"/>
        <s v="*MAV170901158"/>
        <s v="*MAV170901150"/>
        <s v="*MAV170901008"/>
        <s v="*MAV170901139"/>
        <s v="*MIL170900035"/>
        <s v="*MIL170900036"/>
        <s v="*MIL170900034"/>
        <s v="*MAV170901091"/>
        <s v="*PRO180900014"/>
        <s v="*MAV180901036"/>
        <s v="*MAV180901037"/>
        <s v="*MAV180901026"/>
        <s v="*MAV180901160"/>
        <s v="*MIL180900029"/>
        <s v="*MAV180901091"/>
        <s v="*FID180900021"/>
        <s v="*MAV180901014"/>
        <s v="*MAV180901069"/>
        <s v="*INP180900068"/>
        <s v="*MAV180901027"/>
        <s v="*MAV180901035"/>
        <s v="*MAV180901040"/>
        <s v="*MAV210900806"/>
        <s v="*MAV210900782"/>
        <s v="*MAV210900783"/>
        <s v="*MAV210900784"/>
        <s v="*MAV210900785"/>
        <s v="*MAV210900786"/>
        <s v="*MAV190901258"/>
        <s v="*MAV210900798"/>
        <s v="*MAV190901194"/>
        <s v="*MIL200900039"/>
        <s v="*MIL190900031"/>
        <s v="*MIL200900040"/>
        <s v="*MAV210900773"/>
        <s v="*MIL210900026"/>
        <s v="*MIL210900024"/>
        <s v="*NEU210900016"/>
        <s v="*NEU190900027"/>
        <s v="*NEU190900025"/>
        <s v="*MOV210900051"/>
        <s v="*MAV210900845"/>
        <s v="*INP210900041"/>
        <s v="*MAV200901305"/>
        <s v="*MAV210900809"/>
        <s v="*MAV220901283"/>
        <s v="*MAV220901385"/>
        <s v="*MAV220901364"/>
        <s v="*MAV220901375"/>
        <s v="*MIL220900044"/>
        <s v="*MIL220900045"/>
        <s v="*MAV220901329"/>
        <s v="*MAV220901299"/>
        <s v="*BIF220900006"/>
        <s v="*MAV220901282"/>
        <s v="*MAV230901281"/>
        <s v="*MAV230901174"/>
        <s v="*MIL230900027"/>
        <s v="*MAV230901245"/>
        <s v="*MIL230900028"/>
        <s v="*MAV230901200"/>
        <s v="*INP230900073"/>
        <s v="*INP230900071"/>
        <s v="*INP230900072"/>
        <s v="*INP230900070"/>
        <s v="*INP230900069"/>
        <s v="*INP230900060"/>
        <s v="*PRO240900017"/>
        <s v="*PRO240900016"/>
        <s v="*MAV240900994"/>
        <s v="*MAV240901066"/>
        <s v="*MAV240901065"/>
        <s v="*MAV240901025"/>
        <s v="*MAV240901058"/>
        <s v="*MIL240900034"/>
        <s v="*MAV240901000"/>
        <s v="*PRO250900016"/>
        <s v="*MAV250901177"/>
        <s v="*MAV250901124"/>
        <s v="*MAV250901239"/>
        <s v="*MIL250900029"/>
        <s v="*BIF250900004"/>
        <s v="*MIL250900032"/>
        <s v="*CVA250900020"/>
        <s v="*MAV250901137"/>
        <s v="*MOV250900071"/>
        <s v="*MAV250901157"/>
        <s v="*MAV280900860"/>
        <s v="*MAV260901222"/>
        <s v="*MAV280900830"/>
        <s v="*MAV260901228"/>
        <s v="*MAV280900819"/>
        <s v="*MAV280900916"/>
        <s v="*FID260900031"/>
        <s v="*NEU260900020"/>
        <s v="*AFB280900003"/>
        <s v="*MAV290901239"/>
        <s v="*MAV300901898"/>
        <s v="*MAV300901858"/>
        <s v="*NEU300900058"/>
        <s v="*NEU300900063"/>
        <s v="*NEU300900064"/>
        <s v="*NEU300900061"/>
        <s v="*MAV300901974"/>
        <s v="*MOV300900114"/>
        <s v="*MAV300901921"/>
        <s v="*MAV011001000"/>
        <s v="*MAV011000998"/>
        <m/>
        <s v="*MAV021000989"/>
        <s v="*MAV021000917"/>
        <s v="*MOV021000044"/>
        <s v="*MOV021000043"/>
        <s v="*MAV021000966"/>
        <s v="*MAV051000919"/>
        <s v="*MAV051000897"/>
        <s v="*MAV051000898"/>
        <s v="*MAV031001149"/>
        <s v="*MOV051000047"/>
        <s v="*MAV061001220"/>
        <s v="*MAV061001207"/>
        <s v="*MAV061001203"/>
        <s v="*MAV061001204"/>
        <s v="*PRO071000009"/>
        <s v="*MAV071001163"/>
        <s v="*MOV071000055"/>
        <s v="*MAV081001044"/>
        <s v="*MAV081001065"/>
        <s v="*MAV081001027"/>
        <s v="*FED081000019"/>
        <s v="*MAV091001103"/>
        <s v="*MAV091001118"/>
        <s v="*FED091000019"/>
        <s v="*NEU091000021"/>
        <s v="*MAV091001085"/>
        <s v="*MOV091000055"/>
        <s v="*MOV091000054"/>
        <s v="#MAV121060011"/>
        <s v="#MAV121060010"/>
        <s v="#MAV131060021"/>
        <s v="*MAV131001308"/>
        <s v="*MAV131001307"/>
        <s v="*MAV121000902"/>
        <s v="*MAV101001396"/>
        <s v="*MOV131000083"/>
        <s v="*MOV131000082"/>
        <s v="*INP121000042"/>
        <s v="*MAV121000892"/>
        <s v="*MAV141001362"/>
        <s v="*MAV141001328"/>
        <s v="*MAV141001310"/>
        <s v="#UMV141060033"/>
        <s v="*MAV141001327"/>
        <s v="*MAV151001351"/>
        <s v="*MAV151001338"/>
        <s v="*MAV151001396"/>
        <s v="*FED151000042"/>
        <s v="*MAV151001343"/>
        <s v="*MOV151000067"/>
        <s v="*MAV161001047"/>
        <s v="*MAV161001066"/>
        <s v="*MOV161000058"/>
        <s v="*MOV161000057"/>
        <s v="*INP161000050"/>
        <s v="*MAV171001314"/>
        <s v="*NEU191000011"/>
        <s v="*MOV181000045"/>
        <s v="*MAV201001458"/>
        <s v="*MAV201001491"/>
        <s v="*MAV201001476"/>
        <s v="*NEU201000037"/>
        <s v="*MOV201000066"/>
        <s v="*MOV211000064"/>
        <s v="*MAV221000987"/>
        <s v="*MAV221000981"/>
        <s v="*FED221000026"/>
        <s v="*MOV221000057"/>
        <s v="*MIL231000034"/>
        <s v="*MOV231000049"/>
        <s v="*MAV231001129"/>
        <s v="*PRO261000007"/>
        <s v="*MAV261000813"/>
        <s v="*FID261000025"/>
        <s v="*MOV261000050"/>
        <s v="*AAR241000023"/>
        <s v="*MAV271001267"/>
        <s v="*MAV271001297"/>
        <s v="*MOV271000069"/>
        <s v="*MAV271001292"/>
        <s v="*MAV271001273"/>
        <s v="*PRO291000023"/>
        <s v="*MAV291001079"/>
        <s v="*MOV291000063"/>
        <s v="#MAV301060025"/>
        <s v="*MAV301001250"/>
        <s v="*MAV301001261"/>
        <s v="*MAV301001239"/>
        <s v="*MAV301001240"/>
        <s v="*MAV301001275"/>
        <s v="#MAV031160008"/>
        <s v="#UMV021160025"/>
        <s v="#UMV021160028"/>
        <s v="*MAV311001562"/>
        <s v="*MAV011101200"/>
        <s v="*PRO031100021"/>
        <s v="*MAV031101211"/>
        <s v="*NEU031100019"/>
        <s v="*MAV051100975"/>
        <s v="#MAV061160016"/>
        <s v="*PRO061100023"/>
        <s v="*MAV091100786"/>
        <s v="*FED091100055"/>
        <s v="*AAR091100027"/>
        <s v="*MAV101101561"/>
        <s v="*MAV101101571"/>
        <s v="*NEU101100035"/>
        <s v="*INP101100071"/>
        <s v="*AAR101100035"/>
        <s v="*MAV121101139"/>
        <s v="*PRO131100018"/>
        <s v="#UMV131160016"/>
        <s v="*AAR131100017"/>
        <s v="*MAV131101027"/>
        <s v="*MAV151101538"/>
        <s v="*CVA161100008"/>
        <s v="*AAR161100027"/>
        <s v="*MAV171101249"/>
        <s v="*PRO201100027"/>
        <s v="*NEU201100026"/>
        <s v="*AAR201100017"/>
        <s v="*MAV231100828"/>
        <s v="*MAV231100835"/>
        <s v="*MAV231100839"/>
        <s v="*MAV251101536"/>
        <s v="*FED301100090"/>
        <s v="*MAV021201175"/>
        <s v="*MAV031200912"/>
        <s v="*MAV031200913"/>
        <s v="*FED031200025"/>
        <s v="*MAV041200911"/>
        <s v="*MAV091201366"/>
        <s v="*MAV071200853"/>
        <s v="*FED071200026"/>
        <s v="#POT101260001"/>
        <s v="#UMV131260004"/>
        <s v="*FED141200032"/>
        <s v="*MAV161201238"/>
        <s v="*MAV181201190"/>
        <s v="*MAV211200942"/>
        <s v="*PRO221200015"/>
        <s v="*MAV010100420"/>
        <s v="#POT090170001"/>
        <s v="#UMV120170009"/>
        <s v="#UMV250170065"/>
        <s v="*MAV040200868"/>
        <s v="#POT080270001"/>
        <s v="#UMV110270012"/>
        <s v="*MAV120201148"/>
      </sharedItems>
    </cacheField>
    <cacheField name=" Código CAFCI " numFmtId="0">
      <sharedItems>
        <s v="*ACI010700324"/>
        <s v="*MAV010701115"/>
        <s v="*MAV010701183"/>
        <s v="*MAV010701315"/>
        <s v="*MAV010701150"/>
        <s v="*MAV010701178"/>
        <s v="*MAV010701098"/>
        <s v="*MAV010701052"/>
        <s v="*MAV010701039"/>
        <s v="#INT020760001"/>
        <s v="#UMV010760032"/>
        <s v="*MIL010700023"/>
        <s v="#MAV020760016"/>
        <s v="*MAV010701292"/>
        <s v="*INP010700054"/>
        <s v="*AAR010700018"/>
        <s v="*AAR010700017"/>
        <s v="*MAV020700893"/>
        <s v="#MAV030760052"/>
        <s v="*CMP020700021"/>
        <s v="*MAV020700980"/>
        <s v="*AAR020700017"/>
        <s v="*MAV020701143"/>
        <s v="*PRO030700015"/>
        <s v="*MAV030700983"/>
        <s v="*MAV030700971"/>
        <s v="*MAV030701051"/>
        <s v="*MAV030701081"/>
        <s v="*MAV030701138"/>
        <s v="*MAV030701116"/>
        <s v="*MAV030700970"/>
        <s v="*CMP030700027"/>
        <s v="*MIL030700016"/>
        <s v="*MAV030701186"/>
        <s v="MAVR030700105"/>
        <s v="%CP1060700002"/>
        <s v="*MAV030701106"/>
        <s v="*MAV030701309"/>
        <s v="*INP030700058"/>
        <s v="*INP030700057"/>
        <s v="*INP030700051"/>
        <s v="*AAR030700014"/>
        <s v="*ACI040700235"/>
        <s v="*CUY060700025"/>
        <s v="*MAV060700916"/>
        <s v="*MAV060701015"/>
        <s v="*MAV040701074"/>
        <s v="*MAV040701105"/>
        <s v="*MAV040701126"/>
        <s v="*MAV050701062"/>
        <s v="*MAV060700866"/>
        <s v="*MAV060700762"/>
        <s v="*MIL060700029"/>
        <s v="*MAV060700702"/>
        <s v="*MAV050701033"/>
        <s v="*MIL040700024"/>
        <s v="*MIL060700031"/>
        <s v="*MIL060700032"/>
        <s v="*MAV060700774"/>
        <s v="*MOV040700052"/>
        <s v="*MAV060700792"/>
        <s v="*INP060700044"/>
        <s v="*MAV040701189"/>
        <s v="*MAV040701190"/>
        <s v="*ACI070700239"/>
        <s v="*CUY070700022"/>
        <s v="*MAV070701178"/>
        <s v="*MAV070701218"/>
        <s v="*MAV070701293"/>
        <s v="#MAV080760032"/>
        <s v="#MAV080760029"/>
        <s v="*MAV070701195"/>
        <s v="*MIL070700029"/>
        <s v="*MIL070700030"/>
        <s v="*MIL070700031"/>
        <s v="*MOV070700069"/>
        <s v="*INP070700054"/>
        <s v="*MAV070701545"/>
        <s v="*PRO080700009"/>
        <s v="#MAV130760053"/>
        <s v="*MAV080701292"/>
        <s v="*MAV080701273"/>
        <s v="*MAV080701187"/>
        <s v="*MAV080701510"/>
        <s v="*MAV080701502"/>
        <s v="*MAV080701503"/>
        <s v="*MIL080700030"/>
        <s v="*MAV080701399"/>
        <s v="MAVR080700082"/>
        <s v="%CP1100700001"/>
        <s v="*AAR080700032"/>
        <s v="*ACI130700173"/>
        <s v="*ACI100700332"/>
        <s v="*CUY130700038"/>
        <s v="*MAV120701200"/>
        <s v="*MAV100701396"/>
        <s v="*MAV090700511"/>
        <s v="*MAV100701523"/>
        <s v="*MAV110701243"/>
        <s v="*MAV130701386"/>
        <s v="*MAV110701258"/>
        <s v="*MAV090700498"/>
        <s v="*MAV100701434"/>
        <s v="*MAV130700961"/>
        <s v="*MAV090700468"/>
        <s v="*MAV090700481"/>
        <s v="*MAV100701537"/>
        <s v="*MAV110701290"/>
        <s v="*MAV130701175"/>
        <s v="*MAV100701382"/>
        <s v="*MAV130701599"/>
        <s v="*MAV130701312"/>
        <s v="*MIL110700039"/>
        <s v="*MIL100700041"/>
        <s v="*MIL100700042"/>
        <s v="*MIL100700043"/>
        <s v="*MIL100700044"/>
        <s v="*MIL100700045"/>
        <s v="*MIL100700046"/>
        <s v="*MIL100700047"/>
        <s v="*MAV100701387"/>
        <s v="*MAV130700971"/>
        <s v="*MAV100701281"/>
        <s v="*MAV100701984"/>
        <s v="*MAV100701985"/>
        <s v="*MAV130700974"/>
        <s v="*FED130700032"/>
        <s v="*FED100700045"/>
        <s v="*MIL100700051"/>
        <s v="*MIL130700044"/>
        <s v="*MIL100700050"/>
        <s v="*MAV130701284"/>
        <s v="*MAV130701169"/>
        <s v="*MOV130700069"/>
        <s v="*MOV130700068"/>
        <s v="*MOV130700067"/>
        <s v="*MOV120700074"/>
        <s v="*MOV110700086"/>
        <s v="*MOV110700085"/>
        <s v="*MOV100700095"/>
        <s v="*MOV130700070"/>
        <s v="*MOV100700068"/>
        <s v="*MOV100700072"/>
        <s v="*MAV130701035"/>
        <s v="*MAV130700768"/>
        <s v="*MAV130701116"/>
        <s v="*MAV110701223"/>
        <s v="*POT130700116"/>
        <s v="*INP100700075"/>
        <s v="*INP130700050"/>
        <s v="*INP130700051"/>
        <s v="*AAR100700021"/>
        <s v="*MAV110701368"/>
        <s v="*MAV110701369"/>
        <s v="*MAV130701548"/>
        <s v="*MAV110701380"/>
        <s v="*MAV110701387"/>
        <s v="*MAV130701606"/>
        <s v="*PRO140700017"/>
        <s v="*CUY140700024"/>
        <s v="*MAV140701399"/>
        <s v="*MAV140701602"/>
        <s v="*MAV140701413"/>
        <s v="*MAV140701618"/>
        <s v="*MAV140701264"/>
        <s v="*MAV140701282"/>
        <s v="*FID140700021"/>
        <s v="*FID140700020"/>
        <s v="*MAV140701323"/>
        <s v="*MAV140701876"/>
        <s v="*MAV140701811"/>
        <s v="*MIL140700053"/>
        <s v="*MAV140701525"/>
        <s v="*MAV140701603"/>
        <s v="*MOV140700100"/>
        <s v="*MAV140701247"/>
        <s v="*POT140700107"/>
        <s v="*MAV140701601"/>
        <s v="*MAV140701863"/>
        <s v="*MAV140701864"/>
        <s v="*PRO150700020"/>
        <s v="*MAV150701604"/>
        <s v="*MAV150701756"/>
        <s v="*MAV150701881"/>
        <s v="*MAV150701779"/>
        <s v="*MIL150700044"/>
        <s v="*MAV150701468"/>
        <s v="*FED150700056"/>
        <s v="*MAV150701506"/>
        <s v="*MAV150701651"/>
        <s v="*MAV150701442"/>
        <s v="*MAV150701477"/>
        <s v="*MOV150700104"/>
        <s v="*MOV150700103"/>
        <s v="*MAV150701443"/>
        <s v="*MAV150701847"/>
        <s v="*INP150700098"/>
        <s v="*AAR150700042"/>
        <s v="*MAV150701880"/>
        <s v="*MAV150702225"/>
        <s v="*ACI160700208"/>
        <s v="*MAV160701249"/>
        <s v="*MAV160701166"/>
        <s v="*MAV160701096"/>
        <s v="*MAV160700961"/>
        <s v="*MAV160700952"/>
        <s v="*MAV160700955"/>
        <s v="*MAV160701168"/>
        <s v="*NEU160700021"/>
        <s v="*MOV160700053"/>
        <s v="*MOV160700052"/>
        <s v="*MAV160701255"/>
        <s v="*POT160700110"/>
        <s v="*INP160700044"/>
        <s v="*INP160700041"/>
        <s v="*MAV160701248"/>
        <s v="*MAV160701247"/>
        <s v="*MAV160701326"/>
        <s v="*MAV170701366"/>
        <s v="*MAV170701858"/>
        <s v="*MAV170701525"/>
        <s v="#MAV200760063"/>
        <s v="*MAV170701431"/>
        <s v="*MAV170701013"/>
        <s v="*MAV170701671"/>
        <s v="*MAV170701563"/>
        <s v="*MAV170701219"/>
        <s v="*MAV170701734"/>
        <s v="*MAV170702050"/>
        <s v="*MAV170700987"/>
        <s v="*MAV170701009"/>
        <s v="*MAV170701024"/>
        <s v="*MOV170700082"/>
        <s v="*MOV170700081"/>
        <s v="*MAV170701635"/>
        <s v="*MAV170701735"/>
        <s v="*MOV170700080"/>
        <s v="*MOV170700079"/>
        <s v="*MOV170700078"/>
        <s v="*MOV170700077"/>
        <s v="*MOV170700076"/>
        <s v="*MAV170701437"/>
        <s v="*INP170700067"/>
        <s v="*AAR170700014"/>
        <s v="*MAV170701736"/>
        <s v="*ACI190700175"/>
        <s v="*CUY200700030"/>
        <s v="*MAV200701011"/>
        <s v="*MAV200701147"/>
        <s v="*MAV200700987"/>
        <s v="*MAV190701002"/>
        <s v="*MAV200701092"/>
        <s v="*MAV200701282"/>
        <s v="*MAV180701336"/>
        <s v="*MAV190701042"/>
        <s v="*MAV200701183"/>
        <s v="*MIL200700045"/>
        <s v="*MIL200700043"/>
        <s v="*MAV200701243"/>
        <s v="*MAV200700914"/>
        <s v="*MAV180701374"/>
        <s v="*MAV200701047"/>
        <s v="*FID200700022"/>
        <s v="*MAV180701390"/>
        <s v="*MOV190700063"/>
        <s v="*MIL200700046"/>
        <s v="*MIL200700047"/>
        <s v="*MIL200700049"/>
        <s v="*MIL200700050"/>
        <s v="*MAV200701203"/>
        <s v="*MAV180701405"/>
        <s v="*MAV200701280"/>
        <s v="*MAV200701140"/>
        <s v="*MOV180700067"/>
        <s v="*MOV180700063"/>
        <s v="*MOV180700064"/>
        <s v="*MOV180700065"/>
        <s v="*MOV180700066"/>
        <s v="*MOV200700092"/>
        <s v="*MOV200700093"/>
        <s v="*POT180700106"/>
        <s v="*INP200700070"/>
        <s v="*MAV200701283"/>
        <s v="*MAV180701314"/>
        <s v="*MAV200701281"/>
        <s v="*MAV200701329"/>
        <s v="*MAV200701327"/>
        <s v="*MAV200701328"/>
        <s v="*MAV200701383"/>
        <s v="*MAV180701375"/>
        <s v="*CUY210700026"/>
        <s v="#MAV220760062"/>
        <s v="*MAV210701311"/>
        <s v="*MAV210701333"/>
        <s v="*MAV210701197"/>
        <s v="*BIF210700008"/>
        <s v="*MIL210700043"/>
        <s v="*MIL210700044"/>
        <s v="*TRD210700023"/>
        <s v="*MOV210700085"/>
        <s v="*MAV210701515"/>
        <s v="*MAV210701206"/>
        <s v="*INP210700080"/>
        <s v="*MAV210701389"/>
        <s v="*MAV210701647"/>
        <s v="*MAV210701646"/>
        <s v="*ACI220700283"/>
        <s v="*PRO220700012"/>
        <s v="*MAV220701306"/>
        <s v="*MAV220701307"/>
        <s v="*MAV220701308"/>
        <s v="*MAV220701449"/>
        <s v="*MAV220701394"/>
        <s v="*MIL220700038"/>
        <s v="*MIL220700034"/>
        <s v="*MIL220700035"/>
        <s v="*MIL220700036"/>
        <s v="*MAV220701194"/>
        <s v="*BIF220700005"/>
        <s v="*MOV220700094"/>
        <s v="*MOV220700093"/>
        <s v="*MIL220700040"/>
        <s v="*MAV220701228"/>
        <s v="*AFB220700009"/>
        <s v="*MOV220700091"/>
        <s v="*MOV220700092"/>
        <s v="*MAV220701632"/>
        <s v="*INP220700080"/>
        <s v="*INP220700079"/>
        <s v="*AAR220700016"/>
        <s v="*MAV220701450"/>
        <s v="*MAV220701753"/>
        <s v="*MAV230701095"/>
        <s v="*MAV230701094"/>
        <s v="*MAV230701096"/>
        <s v="*MAV230701097"/>
        <s v="*MAV230701098"/>
        <s v="*MAV230701099"/>
        <s v="*MAV230701100"/>
        <s v="*MAV230701101"/>
        <s v="*MAV230701102"/>
        <s v="*MAV230701030"/>
        <s v="*MAV230701126"/>
        <s v="*MAV230701047"/>
        <s v="*MIL230700028"/>
        <s v="*MAV230700923"/>
        <s v="*MAV230701198"/>
        <s v="*MOV230700077"/>
        <s v="*MAV230701065"/>
        <s v="*NEU230700018"/>
        <s v="*MOV230700079"/>
        <s v="*MOV230700078"/>
        <s v="*MAV230701239"/>
        <s v="*MAV230700964"/>
        <s v="*INP230700044"/>
        <s v="*MAV230701137"/>
        <s v="*MAV230701298"/>
        <s v="*MAV230701299"/>
        <s v="*MAV240701281"/>
        <s v="*MAV240701318"/>
        <s v="*MAV240701233"/>
        <s v="*MAV240701063"/>
        <s v="*MAV240701317"/>
        <s v="*MAV240701329"/>
        <s v="*MIL240700031"/>
        <s v="*MAV240701043"/>
        <s v="*MAV240701132"/>
        <s v="*MAV240701056"/>
        <s v="*MIL240700041"/>
        <s v="*MAV240701610"/>
        <s v="*MOV240700072"/>
        <s v="*MIL240700033"/>
        <s v="*MAV240701245"/>
        <s v="*MAV240701354"/>
        <s v="*AFB240700015"/>
        <s v="*MOV240700071"/>
        <s v="*MOV240700053"/>
        <s v="*MAV240701511"/>
        <s v="*INP240700067"/>
        <s v="*INP240700062"/>
        <s v="*INP240700065"/>
        <s v="*INP240700064"/>
        <s v="*MAV240701338"/>
        <s v="*AAR240700018"/>
        <s v="*MAV240701358"/>
        <s v="*ACI250700361"/>
        <s v="*CUY270700036"/>
        <s v="*MAV250701301"/>
        <s v="*MAV250701294"/>
        <s v="*MAV270701028"/>
        <s v="*MAV270701033"/>
        <s v="*MAV250701414"/>
        <s v="*MAV270700973"/>
        <s v="*MAV250701475"/>
        <s v="*MAV260701145"/>
        <s v="*MIL250700033"/>
        <s v="*MIL250700032"/>
        <s v="*MIL270700024"/>
        <s v="*MAV270701211"/>
        <s v="*MAV270700762"/>
        <s v="*MAV270700763"/>
        <s v="*MOV250700081"/>
        <s v="*MOV250700080"/>
        <s v="*MIL250700034"/>
        <s v="*MIL270700025"/>
        <s v="*MAV270700938"/>
        <s v="*MOV260700049"/>
        <s v="*MOV270700045"/>
        <s v="*MAV260701074"/>
        <s v="*INP270700051"/>
        <s v="*INP270700050"/>
        <s v="*INP270700048"/>
        <s v="*INP250700071"/>
        <s v="*INP270700049"/>
        <s v="*MAV270701034"/>
        <s v="*MAV250701415"/>
        <s v="*MAV250701413"/>
        <s v="*MAV250701431"/>
        <s v="*MAV270701035"/>
        <s v="*MAV260701143"/>
        <s v="*MAV250701432"/>
        <s v="*MAV270701080"/>
        <s v="*MAV250701451"/>
        <s v="*MAV270701117"/>
        <s v="*ACI280700201"/>
        <s v="*ACI280700242"/>
        <s v="*CUY280700024"/>
        <s v="*MAV280701342"/>
        <s v="*MAV280701317"/>
        <s v="*MAV280701292"/>
        <s v="*MAV280701203"/>
        <s v="*MAV280701442"/>
        <s v="*FED280700037"/>
        <s v="*NEU280700020"/>
        <s v="*MAV280701170"/>
        <s v="*MOV280700091"/>
        <s v="*MOV280700075"/>
        <s v="*MAV280701169"/>
        <s v="*INP280700072"/>
        <s v="*INP280700068"/>
        <s v="*MAV280701366"/>
        <s v="*AAR280700029"/>
        <s v="*MAV280701376"/>
        <s v="*MAV280701375"/>
        <s v="*MAV280701411"/>
        <s v="*MAV280701533"/>
        <s v="*MAV280701534"/>
        <s v="*PRO290700011"/>
        <s v="*MAV290701277"/>
        <s v="*MAV290701192"/>
        <s v="*MAV290701251"/>
        <s v="*MAV290701308"/>
        <s v="*MIL290700024"/>
        <s v="*MIL290700025"/>
        <s v="*MAV290701056"/>
        <s v="*MAV290701080"/>
        <s v="*MAV290701214"/>
        <s v="*MAV290701035"/>
        <s v="*MAV290701088"/>
        <s v="*MOV290700053"/>
        <s v="*MAV290701134"/>
        <s v="*INP290700073"/>
        <s v="*INP290700072"/>
        <s v="*INP290700068"/>
        <s v="*INP290700069"/>
        <s v="*MAV290701309"/>
        <s v="*MAV300701144"/>
        <s v="*MAV300701130"/>
        <s v="*MAV300701258"/>
        <s v="*MAV300701132"/>
        <s v="*MAV300701271"/>
        <s v="*MAV300701333"/>
        <s v="*MAV300701306"/>
        <s v="*MIL300700030"/>
        <s v="*FED300700061"/>
        <s v="*MAV300701240"/>
        <s v="*MAV300701114"/>
        <s v="*NEU300700019"/>
        <s v="*NEU300700021"/>
        <s v="*NEU300700020"/>
        <s v="*MOV300700055"/>
        <s v="*MOV300700056"/>
        <s v="*INP300700064"/>
        <s v="*INP300700065"/>
        <s v="*MAV300701319"/>
        <s v="*MAV300701334"/>
        <s v="*MAV300701402"/>
        <s v="*MAV300701526"/>
        <s v="*MAV300701527"/>
        <s v="*MAV300701528"/>
        <s v="*ACI310700409"/>
        <s v="%INC010800022"/>
        <s v="#MAV030860055"/>
        <s v="*MAV310701425"/>
        <s v="*MAV310701530"/>
        <s v="*MAV310701531"/>
        <s v="*MAV310701532"/>
        <s v="*MAV310701551"/>
        <s v="*MAV310701416"/>
        <s v="*MAV310701511"/>
        <s v="*MAV310701512"/>
        <s v="*MAV310701459"/>
        <s v="*MAV310701258"/>
        <s v="*MAV310701252"/>
        <s v="*MAV310701515"/>
        <s v="*MAV310701758"/>
        <s v="*MAV310701523"/>
        <s v="#MAV010860008"/>
        <s v="*MAV310701686"/>
        <s v="*MIL310700029"/>
        <s v="*MAV310701190"/>
        <s v="*MAV310701486"/>
        <s v="*BIF310700007"/>
        <s v="*MAV310701462"/>
        <s v="*MAV310701461"/>
        <s v="*MAV310701460"/>
        <s v="*MAV310701922"/>
        <s v="*MAV310702019"/>
        <s v="*MAV310701236"/>
        <s v="*MAV310701691"/>
        <s v="*AFB310700008"/>
        <s v="*MOV310700092"/>
        <s v="*MOV310700075"/>
        <s v="*INP310700079"/>
        <s v="*INP310700080"/>
        <s v="*MAV310701663"/>
        <s v="*MAV310701662"/>
        <s v="*ACI030800138"/>
        <s v="*PRO030800006"/>
        <s v="*CUY030800022"/>
        <s v="*MAV030800733"/>
        <s v="*MAV030800729"/>
        <s v="*MAV030800739"/>
        <s v="*MAV030800939"/>
        <s v="*MAV010801140"/>
        <s v="*MAV010801224"/>
        <s v="*MAV010801166"/>
        <s v="*MIL010800019"/>
        <s v="*MAV020800928"/>
        <s v="*FED030800023"/>
        <s v="*FED030800024"/>
        <s v="*MIL020800026"/>
        <s v="#UMV030860028"/>
        <s v="#UMV030860027"/>
        <s v="#UMV030860029"/>
        <s v="#UMV030860035"/>
        <s v="*MIL020800023"/>
        <s v="*MAV030800905"/>
        <s v="*MAV030800838"/>
        <s v="*MAV030800746"/>
        <s v="*MAV030800874"/>
        <s v="*MAV030800891"/>
        <s v="*INP030800027"/>
        <s v="*MAV030800921"/>
        <s v="#MAV040860041"/>
        <s v="*MAV010801165"/>
        <s v="*MAV010801167"/>
        <s v="*MAV030800940"/>
        <s v="*MAV030800972"/>
        <s v="*CUY040800025"/>
        <s v="*MAV040801171"/>
        <s v="*MAV040801168"/>
        <s v="*MAV040801135"/>
        <s v="*MAV040801302"/>
        <s v="*FED040800020"/>
        <s v="*FED040800021"/>
        <s v="*MIL040800028"/>
        <s v="*MAV040801154"/>
        <s v="*TRD040800019"/>
        <s v="*MAV040801017"/>
        <s v="*MAV040801224"/>
        <s v="*MOV040800058"/>
        <s v="*MAV040801170"/>
        <s v="*MAV040801146"/>
        <s v="*MAV040801418"/>
        <s v="*MAV040801419"/>
        <s v="*MAV050801348"/>
        <s v="*MAV050801290"/>
        <s v="*MAV050801291"/>
        <s v="*MAV050801363"/>
        <s v="*MAV050801102"/>
        <s v="*MAV050801095"/>
        <s v="*MAV050801234"/>
        <s v="*FED050800034"/>
        <s v="*MIL050800016"/>
        <s v="*MAV050801481"/>
        <s v="*MAV050801267"/>
        <s v="*MAV050801268"/>
        <s v="*MAV050801071"/>
        <s v="*MAV050801106"/>
        <s v="*MAV050801354"/>
        <s v="*MAV050801337"/>
        <s v="*INP050800057"/>
        <s v="*MAV050801250"/>
        <s v="*MAV050801292"/>
        <s v="*MAV050801293"/>
        <s v="*ACI060800164"/>
        <s v="*MAV060800999"/>
        <s v="*MAV060800959"/>
        <s v="*MAV060800954"/>
        <s v="*MAV060800923"/>
        <s v="*MAV060800856"/>
        <s v="*MAV060801029"/>
        <s v="*MAV060801020"/>
        <s v="*MAV060800872"/>
        <s v="*MIL060800023"/>
        <s v="*MIL060800024"/>
        <s v="*MAV060801139"/>
        <s v="*INP060800057"/>
        <s v="*INP060800056"/>
        <s v="*MAV060800947"/>
        <s v="*MAV060801017"/>
        <s v="*MAV060801099"/>
        <s v="*MAV060801100"/>
        <s v="*MAV060801113"/>
        <s v="*MAV070800991"/>
        <s v="*MAV070801387"/>
        <s v="*MAV070801167"/>
        <s v="*MAV070801204"/>
        <s v="*MAV070801124"/>
        <s v="*MAV070801108"/>
        <s v="*MAV070800967"/>
        <s v="*MAV070801322"/>
        <s v="*MAV070801075"/>
        <s v="*MAV070801321"/>
        <s v="*MAV070801312"/>
        <s v="*MAV070801215"/>
        <s v="*MAV070801180"/>
        <s v="*MAV070801305"/>
        <s v="*ACI090800238"/>
        <s v="*CUY100800020"/>
        <s v="*MAV090800979"/>
        <s v="*MAV100801131"/>
        <s v="*MAV080801225"/>
        <s v="*MAV090800974"/>
        <s v="#MAV110860043"/>
        <s v="*MAV100801236"/>
        <s v="*MAV090800977"/>
        <s v="*MAV080801292"/>
        <s v="*MAV090801006"/>
        <s v="*MAV100801143"/>
        <s v="*MAV090800990"/>
        <s v="*MAV100801171"/>
        <s v="*FED090800026"/>
        <s v="*MIL080800037"/>
        <s v="*MIL080800038"/>
        <s v="*NEU080800033"/>
        <s v="*MAV100800966"/>
        <s v="*MAV100801166"/>
        <s v="*MAV090801060"/>
        <s v="*MAV080801261"/>
        <s v="*MAV100801178"/>
        <s v="*MAV080801275"/>
        <s v="*MAV100801230"/>
        <s v="*MAV100801231"/>
        <s v="*MAV100801260"/>
        <s v="*MAV100801403"/>
        <s v="*CUY110800024"/>
        <s v="*MAV110801469"/>
        <s v="#MAV120860032"/>
        <s v="*MAV110801470"/>
        <s v="#MAV120860029"/>
        <s v="*MAV110801500"/>
        <s v="*MAV110801507"/>
        <s v="*MAV110801326"/>
        <s v="*MAV110801282"/>
        <s v="*MAV110801360"/>
        <s v="*MAV110801415"/>
        <s v="*MAV110801261"/>
        <s v="*MAV110801321"/>
        <s v="*INP110800047"/>
        <s v="*ACI120800233"/>
        <s v="*ACI120800246"/>
        <s v="*MAV120801457"/>
        <s v="*MAV120801779"/>
        <s v="#MAV130860035"/>
        <s v="*MAV120801780"/>
        <s v="*MAV120801757"/>
        <s v="*MAV120801758"/>
        <s v="*MAV120801634"/>
        <s v="*MAV120801558"/>
        <s v="*MAV120801669"/>
        <s v="*MAV120801775"/>
        <s v="*FED120800028"/>
        <s v="*BIF120800008"/>
        <s v="*MAV120801432"/>
        <s v="*NEU120800028"/>
        <s v="*MAV120801434"/>
        <s v="*MAV120801367"/>
        <s v="*INP120800052"/>
        <s v="*MAV120801652"/>
        <s v="*MAV120801871"/>
        <s v="*MAV130801115"/>
        <s v="#MAV140860044"/>
        <s v="*MAV130800932"/>
        <s v="*MAV130800931"/>
        <s v="*MAV130800934"/>
        <s v="*MAV130800942"/>
        <s v="*MAV130801114"/>
        <s v="*MAV130801046"/>
        <s v="*MAV130800927"/>
        <s v="*NEU130800014"/>
        <s v="*MAV130801162"/>
        <s v="*MAV130800916"/>
        <s v="*MAV130801036"/>
        <s v="*MAV130801054"/>
        <s v="*MAV130801084"/>
        <s v="*MAV140801401"/>
        <s v="*MAV140801457"/>
        <s v="*MAV140801289"/>
        <s v="#MAV180860038"/>
        <s v="*MAV140801128"/>
        <s v="*MAV140801129"/>
        <s v="*MAV140801114"/>
        <s v="*MAV140801099"/>
        <s v="*MAV140801231"/>
        <s v="*MAV140801306"/>
        <s v="*MIL140800023"/>
        <s v="*MIL140800022"/>
        <s v="*MAV140801110"/>
        <s v="*AFB140800011"/>
        <s v="*MOV140800051"/>
        <s v="*MAV140801103"/>
        <s v="*INP140800110"/>
        <s v="*INP140800093"/>
        <s v="*MAV140801384"/>
        <s v="*ACI180800202"/>
        <s v="*ACI150800332"/>
        <s v="*CUY170800021"/>
        <s v="*CUY180800042"/>
        <s v="*MAV180801234"/>
        <s v="*MAV180801235"/>
        <s v="*MAV180801236"/>
        <s v="*MAV180801237"/>
        <s v="*MAV180801238"/>
        <s v="*MAV150801357"/>
        <s v="*MAV150801508"/>
        <s v="*MAV180801457"/>
        <s v="*MAV170800745"/>
        <s v="*MAV150801372"/>
        <s v="*MAV150801364"/>
        <s v="#MAV190860035"/>
        <s v="*MAV150801344"/>
        <s v="*MAV160801087"/>
        <s v="*MAV160801088"/>
        <s v="*MAV150801509"/>
        <s v="*MAV180801458"/>
        <s v="*MAV160801152"/>
        <s v="*MAV180801524"/>
        <s v="*MAV170800753"/>
        <s v="*MAV180801414"/>
        <s v="*MAV180801393"/>
        <s v="*MAV170800800"/>
        <s v="*MIL170800018"/>
        <s v="*MIL180800036"/>
        <s v="*MAV180801225"/>
        <s v="*MAV180801262"/>
        <s v="*MAV180801239"/>
        <s v="*MAV180801240"/>
        <s v="*MAV180801241"/>
        <s v="*MAV180801242"/>
        <s v="*MAV180801243"/>
        <s v="*MAV180801244"/>
        <s v="*INP180800044"/>
        <s v="*INP150800068"/>
        <s v="*INP170800028"/>
        <s v="*INP180800042"/>
        <s v="*MAV180801537"/>
        <s v="*MAV150801456"/>
        <s v="*MAV180801398"/>
        <s v="*MAV150801507"/>
        <s v="*MAV190801281"/>
        <s v="#MAV200860046"/>
        <s v="*MAV190801242"/>
        <s v="*MAV190801323"/>
        <s v="*MAV190801220"/>
        <s v="*MAV190801232"/>
        <s v="*MAV190801272"/>
        <s v="*BIF190800006"/>
        <s v="*MIL190800031"/>
        <s v="*MIL190800032"/>
        <s v="*MIL190800033"/>
        <s v="*MIL190800034"/>
        <s v="*MIL190800025"/>
        <s v="*MAV190801107"/>
        <s v="*MAV190801350"/>
        <s v="*MOV190800063"/>
        <s v="*MOV190800064"/>
        <s v="*MAV190801208"/>
        <s v="*MAV190801237"/>
        <s v="*MAV190801238"/>
        <s v="*MAV200801501"/>
        <s v="*MAV200801174"/>
        <s v="*MAV200801170"/>
        <s v="*MAV200801171"/>
        <s v="*MAV200801181"/>
        <s v="*MAV200801228"/>
        <s v="*MIL200800030"/>
        <s v="*MAV200801263"/>
        <s v="*MAV200801233"/>
        <s v="*MAV200801295"/>
        <s v="*MAV200801245"/>
        <s v="*MIL200800031"/>
        <s v="*MAV200801378"/>
        <s v="*MAV200801291"/>
        <s v="*NEU200800029"/>
        <s v="*MAV200801416"/>
        <s v="*ACI210800309"/>
        <s v="*MAV210801326"/>
        <s v="*MAV210801180"/>
        <s v="*MAV210801063"/>
        <s v="*MIL210800021"/>
        <s v="*MIL210800020"/>
        <s v="*MAV210801341"/>
        <s v="*MAV210801387"/>
        <s v="*MAV210801077"/>
        <s v="*MAV210801237"/>
        <s v="*MAV210801215"/>
        <s v="*MIL210800022"/>
        <s v="*MIL210800023"/>
        <s v="*MAV210801298"/>
        <s v="*MOV210800042"/>
        <s v="*INP210800035"/>
        <s v="*MAV210801221"/>
        <s v="*MAV210801275"/>
        <s v="*ACI240800158"/>
        <s v="*CUY240800027"/>
        <s v="*MAV240800868"/>
        <s v="*MAV240800866"/>
        <s v="*MAV240800867"/>
        <s v="*MAV230801002"/>
        <s v="*MAV240800762"/>
        <s v="*MAV240800853"/>
        <s v="*MAV220801199"/>
        <s v="*MAV220801198"/>
        <s v="*MAV240800956"/>
        <s v="*MAV240800875"/>
        <s v="*MIL240800021"/>
        <s v="*MIL240800016"/>
        <s v="*MAV240800993"/>
        <s v="*MAV240800820"/>
        <s v="*MAV240800885"/>
        <s v="*MAV220801263"/>
        <s v="*MIL240800017"/>
        <s v="*NEU220800025"/>
        <s v="*MAV230801012"/>
        <s v="*MOV230800052"/>
        <s v="*INP220800066"/>
        <s v="*INP240800044"/>
        <s v="*MAV240800969"/>
        <s v="*MAV240800890"/>
        <s v="*MAV220801234"/>
        <s v="*MAV240801032"/>
        <s v="*CUY250800056"/>
        <s v="*MAV250801558"/>
        <s v="*MAV250801495"/>
        <s v="*MAV250801499"/>
        <s v="*MAV250801500"/>
        <s v="*MAV250801577"/>
        <s v="*MIL250800026"/>
        <s v="*MAV250801479"/>
        <s v="*MAV250801460"/>
        <s v="*BIF250800007"/>
        <s v="*MIL250800027"/>
        <s v="*MAV250801412"/>
        <s v="*MOV250800088"/>
        <s v="*INP250800064"/>
        <s v="*MAV250801559"/>
        <s v="*MAV250801497"/>
        <s v="*MAV250801622"/>
        <s v="*MAV260801320"/>
        <s v="*MAV260801238"/>
        <s v="*MAV260801328"/>
        <s v="*MAV260801222"/>
        <s v="*MIL260800029"/>
        <s v="*MAV260801235"/>
        <s v="*MIL260800030"/>
        <s v="*NEU260800027"/>
        <s v="*MAV260801138"/>
        <s v="*MOV260800071"/>
        <s v="*INP260800068"/>
        <s v="*MAV260801308"/>
        <s v="*MAV260801362"/>
        <s v="*MAV270800957"/>
        <s v="*MAV270800960"/>
        <s v="*MAV270801108"/>
        <s v="*MAV270800997"/>
        <s v="*MIL270800031"/>
        <s v="*MIL270800027"/>
        <s v="*MAV270800969"/>
        <s v="*MAV270801053"/>
        <s v="*MAV270801078"/>
        <s v="*FID270800026"/>
        <s v="*MAV270801084"/>
        <s v="*BIF270800005"/>
        <s v="*MIL270800028"/>
        <s v="*MAV270801044"/>
        <s v="*ACI280800203"/>
        <s v="*MAV280801009"/>
        <s v="*MAV280801098"/>
        <s v="*MAV280801005"/>
        <s v="*MAV280800998"/>
        <s v="*MAV280801208"/>
        <s v="*MIL280800034"/>
        <s v="*MIL280800029"/>
        <s v="*NIO280800031"/>
        <s v="*MAV280800986"/>
        <s v="*MAV280801153"/>
        <s v="*MAV280801141"/>
        <s v="*MAV280801125"/>
        <s v="*MAV280801000"/>
        <s v="*BIF280800005"/>
        <s v="*MIL280800030"/>
        <s v="*CVA280800007"/>
        <s v="*NEU280800014"/>
        <s v="*NEU280800013"/>
        <s v="*MOV280800055"/>
        <s v="*MOV280800056"/>
        <s v="*MAV280801128"/>
        <s v="*MAV310801103"/>
        <s v="*MAV310801112"/>
        <s v="*MAV310801113"/>
        <s v="*MAV310801202"/>
        <s v="*MAV290801184"/>
        <s v="*MAV310801141"/>
        <s v="*MAV310801408"/>
        <s v="*MAV310801407"/>
        <s v="*MAV300801312"/>
        <s v="*MAV310801101"/>
        <s v="*MAV300801317"/>
        <s v="*MAV290801169"/>
        <s v="*MAV300801320"/>
        <s v="*MAV300801345"/>
        <s v="*MAV310801247"/>
        <s v="*MAV310801104"/>
        <s v="*MAV310801175"/>
        <s v="*MAV310801249"/>
        <s v="*BIF310800004"/>
        <s v="*MIL290800030"/>
        <s v="*MIL290800031"/>
        <s v="*MIL290800032"/>
        <s v="*MIL290800033"/>
        <s v="*CVA310800024"/>
        <s v="*NEU290800019"/>
        <s v="*NEU310800017"/>
        <s v="*MAV310801293"/>
        <s v="*MAV310801326"/>
        <s v="*MOV310800090"/>
        <s v="*MAV290801216"/>
        <s v="*MAV300801351"/>
        <s v="*MAV010901181"/>
        <s v="*MAV010901180"/>
        <s v="*MAV010901182"/>
        <s v="*MAV010901143"/>
        <s v="*MAV010901183"/>
        <s v="#MAV020960040"/>
        <s v="*MAV010901130"/>
        <s v="*NIO010900019"/>
        <s v="*MAV010901262"/>
        <s v="*MAV010901221"/>
        <s v="*MAV010901263"/>
        <s v="#UMV010960019"/>
        <s v="#UMV010960024"/>
        <s v="#UMV010960009"/>
        <s v="#UMV010960013"/>
        <s v="*MAV010901169"/>
        <s v="*MAV010901282"/>
        <s v="*MAV010901283"/>
        <s v="*MAV010901339"/>
        <s v="*MAV020901169"/>
        <s v="*MAV020901153"/>
        <s v="*MAV020901218"/>
        <s v="*MAV020901170"/>
        <s v="#MAV030960028"/>
        <s v="*MIL020900026"/>
        <s v="*NEU020900019"/>
        <s v="*MAV020901140"/>
        <s v="*INP020900036"/>
        <s v="*MAV030900818"/>
        <s v="*MAV030900962"/>
        <s v="*MAV030900819"/>
        <s v="*MAV030900826"/>
        <s v="*MAV030900796"/>
        <s v="*MAV030900820"/>
        <s v="*MAV040900921"/>
        <s v="*MAV040900869"/>
        <s v="*MAV040900876"/>
        <s v="*MAV040900923"/>
        <s v="*MAV040900922"/>
        <s v="*MIL040900020"/>
        <s v="*CVA040900007"/>
        <s v="*MIL040900019"/>
        <s v="*MAV040900920"/>
        <s v="*MAV040901072"/>
        <s v="*MOV040900048"/>
        <s v="*NEU040900012"/>
        <s v="*MAV040901049"/>
        <s v="*PRO070900009"/>
        <s v="*MAV070900791"/>
        <s v="*MAV050901228"/>
        <s v="*MAV070900746"/>
        <s v="*MAV050901245"/>
        <s v="*MAV070900898"/>
        <s v="*MAV060901016"/>
        <s v="*MIL070900021"/>
        <s v="*MAV050901234"/>
        <s v="*MAV080901149"/>
        <s v="*MAV080901266"/>
        <s v="*MAV080901150"/>
        <s v="*MAV080901237"/>
        <s v="*MAV080901212"/>
        <s v="*MAV080901170"/>
        <s v="*MAV080901141"/>
        <s v="*MAV080901222"/>
        <s v="*MIL080900027"/>
        <s v="*NEU080900027"/>
        <s v="*MAV080901145"/>
        <s v="*MAV080901234"/>
        <s v="*MAV080901113"/>
        <s v="*PRO090900019"/>
        <s v="*MAV090901145"/>
        <s v="*MAV090901172"/>
        <s v="*MAV090901127"/>
        <s v="*MAV090901126"/>
        <s v="*MAV090901138"/>
        <s v="*MAV090901146"/>
        <s v="*MAV090901242"/>
        <s v="*MAV090901171"/>
        <s v="*PRO100900022"/>
        <s v="*MAV100901186"/>
        <s v="*MAV100901257"/>
        <s v="*MAV100901187"/>
        <s v="*MAV100901188"/>
        <s v="*MAV100901398"/>
        <s v="*MAV100901303"/>
        <s v="*MAV100901375"/>
        <s v="*MAV100901379"/>
        <s v="*MAV100901310"/>
        <s v="*MIL100900041"/>
        <s v="*MOV100900072"/>
        <s v="*MAV100901306"/>
        <s v="*ACI110900205"/>
        <s v="*PRO110900012"/>
        <s v="*PRO110900013"/>
        <s v="*MAV110900995"/>
        <s v="*MAV110901015"/>
        <s v="*MAV110900971"/>
        <s v="*MAV110901140"/>
        <s v="*MAV110901057"/>
        <s v="*MAV110901070"/>
        <s v="*MAV110901080"/>
        <s v="*MAV110901072"/>
        <s v="*MAV110901103"/>
        <s v="*MAV110900982"/>
        <s v="*MAV110901014"/>
        <s v="*MAV140900871"/>
        <s v="*MAV140900928"/>
        <s v="*MAV140900929"/>
        <s v="*MAV140900894"/>
        <s v="*MAV140900870"/>
        <s v="*MAV130901052"/>
        <s v="*MAV120901447"/>
        <s v="*MAV140900802"/>
        <s v="*MAV140900905"/>
        <s v="*MAV120901457"/>
        <s v="*NEU120900021"/>
        <s v="*NEU120900015"/>
        <s v="*MAV130901057"/>
        <s v="*MOV130900059"/>
        <s v="*MAV120901494"/>
        <s v="*MAV140900962"/>
        <s v="*MAV120901461"/>
        <s v="*MAV120901482"/>
        <s v="*MAV150901518"/>
        <s v="*MAV150901539"/>
        <s v="*MAV150901540"/>
        <s v="*MAV150901522"/>
        <s v="*MAV150901674"/>
        <s v="*MAV150901465"/>
        <s v="*MAV150901457"/>
        <s v="*MAV150901626"/>
        <s v="*MAV150901591"/>
        <s v="*MAV150901542"/>
        <s v="*MAV150901500"/>
        <s v="*MAV150901624"/>
        <s v="*MAV150901468"/>
        <s v="*MAV150901502"/>
        <s v="*MAV150901509"/>
        <s v="*MAV150901503"/>
        <s v="*MAV150901501"/>
        <s v="*AFB150900012"/>
        <s v="*MAV150901538"/>
        <s v="*MAV160901281"/>
        <s v="*MAV160901282"/>
        <s v="*MAV160901235"/>
        <s v="*MAV160901236"/>
        <s v="*MAV160901237"/>
        <s v="*MAV160901238"/>
        <s v="*MAV160901239"/>
        <s v="*MAV160901240"/>
        <s v="*MAV160901241"/>
        <s v="*MAV160901242"/>
        <s v="*MAV160901407"/>
        <s v="*MAV160901358"/>
        <s v="*MAV160901376"/>
        <s v="*MAV160901392"/>
        <s v="*MAV160901262"/>
        <s v="*MAV160901325"/>
        <s v="*MAV160901253"/>
        <s v="*MAV160901334"/>
        <s v="*MAV160901349"/>
        <s v="*MOV160900067"/>
        <s v="*MAV160901244"/>
        <s v="*MAV160901245"/>
        <s v="*MAV160901243"/>
        <s v="*MAV160901246"/>
        <s v="*MAV160901247"/>
        <s v="*INP160900050"/>
        <s v="*MAV170901057"/>
        <s v="*MAV170901058"/>
        <s v="*MAV170901059"/>
        <s v="*MAV170901060"/>
        <s v="*MAV170901010"/>
        <s v="*MAV170901158"/>
        <s v="*MAV170901150"/>
        <s v="*MAV170901008"/>
        <s v="*MAV170901139"/>
        <s v="*MIL170900035"/>
        <s v="*MIL170900036"/>
        <s v="*MIL170900034"/>
        <s v="*MAV170901091"/>
        <s v="*PRO180900014"/>
        <s v="*MAV180901036"/>
        <s v="*MAV180901037"/>
        <s v="*MAV180901026"/>
        <s v="*MAV180901160"/>
        <s v="*MIL180900029"/>
        <s v="*MAV180901091"/>
        <s v="*FID180900021"/>
        <s v="*MAV180901014"/>
        <s v="*MAV180901069"/>
        <s v="*INP180900068"/>
        <s v="*MAV180901027"/>
        <s v="*MAV180901035"/>
        <s v="*MAV180901040"/>
        <s v="*MAV210900806"/>
        <s v="*MAV210900782"/>
        <s v="*MAV210900783"/>
        <s v="*MAV210900784"/>
        <s v="*MAV210900785"/>
        <s v="*MAV210900786"/>
        <s v="*MAV190901258"/>
        <s v="*MAV210900798"/>
        <s v="*MAV190901194"/>
        <s v="*MIL200900039"/>
        <s v="*MIL190900031"/>
        <s v="*MIL200900040"/>
        <s v="*MAV210900773"/>
        <s v="*MIL210900026"/>
        <s v="*MIL210900024"/>
        <s v="*NEU210900016"/>
        <s v="*NEU190900027"/>
        <s v="*NEU190900025"/>
        <s v="*MOV210900051"/>
        <s v="*MAV210900845"/>
        <s v="*INP210900041"/>
        <s v="*MAV200901305"/>
        <s v="*MAV210900809"/>
        <s v="*MAV220901283"/>
        <s v="*MAV220901385"/>
        <s v="*MAV220901364"/>
        <s v="*MAV220901375"/>
        <s v="*MIL220900044"/>
        <s v="*MIL220900045"/>
        <s v="*MAV220901329"/>
        <s v="*MAV220901299"/>
        <s v="*BIF220900006"/>
        <s v="*MAV220901282"/>
        <s v="*MAV230901281"/>
        <s v="*MAV230901174"/>
        <s v="*MIL230900027"/>
        <s v="*MAV230901245"/>
        <s v="*MIL230900028"/>
        <s v="*MAV230901200"/>
        <s v="*INP230900073"/>
        <s v="*INP230900071"/>
        <s v="*INP230900072"/>
        <s v="*INP230900070"/>
        <s v="*INP230900069"/>
        <s v="*INP230900060"/>
        <s v="*PRO240900017"/>
        <s v="*PRO240900016"/>
        <s v="*MAV240900994"/>
        <s v="*MAV240901066"/>
        <s v="*MAV240901065"/>
        <s v="*MAV240901025"/>
        <s v="*MAV240901058"/>
        <s v="*MIL240900034"/>
        <s v="*MAV240901000"/>
        <s v="*PRO250900016"/>
        <s v="*MAV250901177"/>
        <s v="*MAV250901124"/>
        <s v="*MAV250901239"/>
        <s v="*MIL250900029"/>
        <s v="*BIF250900004"/>
        <s v="*MIL250900032"/>
        <s v="*CVA250900020"/>
        <s v="*MAV250901137"/>
        <s v="*MOV250900071"/>
        <s v="*MAV250901157"/>
        <s v="*MAV280900860"/>
        <s v="*MAV260901222"/>
        <s v="*MAV280900830"/>
        <s v="*MAV260901228"/>
        <s v="*MAV280900819"/>
        <s v="*MAV280900916"/>
        <s v="*FID260900031"/>
        <s v="*NEU260900020"/>
        <s v="*AFB280900003"/>
        <s v="*MAV290901239"/>
        <s v="*MAV300901898"/>
        <s v="*MAV300901858"/>
        <s v="*NEU300900058"/>
        <s v="*NEU300900063"/>
        <s v="*NEU300900064"/>
        <s v="*NEU300900061"/>
        <s v="*MAV300901974"/>
        <s v="*MOV300900114"/>
        <s v="*MAV300901921"/>
        <s v="*MAV011001000"/>
        <s v="*MAV011000998"/>
        <s v="#UMV011060013"/>
        <s v="#UMV011060014"/>
        <s v="*MAV021000989"/>
        <s v="*MAV021000917"/>
        <s v="*MOV021000044"/>
        <s v="*MOV021000043"/>
        <s v="*MAV021000966"/>
        <s v="*MAV051000919"/>
        <s v="*MAV051000897"/>
        <s v="*MAV051000898"/>
        <s v="*MAV031001149"/>
        <s v="*MOV051000047"/>
        <s v="*MAV061001220"/>
        <s v="*MAV061001207"/>
        <s v="*MAV061001203"/>
        <s v="*MAV061001204"/>
        <s v="*PRO071000009"/>
        <s v="*MAV071001163"/>
        <s v="*MOV071000055"/>
        <s v="*MAV081001044"/>
        <s v="*MAV081001065"/>
        <s v="*MAV081001027"/>
        <s v="*FED081000019"/>
        <s v="*MAV091001103"/>
        <s v="*MAV091001118"/>
        <s v="*FED091000019"/>
        <s v="*NEU091000021"/>
        <s v="*MAV091001085"/>
        <s v="*MOV091000055"/>
        <s v="*MOV091000054"/>
        <s v="#MAV121060011"/>
        <s v="#MAV121060010"/>
        <s v="#MAV131060021"/>
        <s v="*MAV131001308"/>
        <s v="*MAV131001307"/>
        <s v="*MAV121000902"/>
        <s v="*MAV101001396"/>
        <s v="*MOV131000083"/>
        <s v="*MOV131000082"/>
        <s v="*INP121000042"/>
        <s v="*MAV121000892"/>
        <s v="*MAV141001362"/>
        <s v="*MAV141001328"/>
        <s v="*MAV141001310"/>
        <s v="#UMV141060033"/>
        <s v="*MAV141001327"/>
        <s v="*MAV151001351"/>
        <s v="*MAV151001338"/>
        <s v="*MAV151001396"/>
        <s v="*FED151000042"/>
        <s v="*MAV151001343"/>
        <s v="*MOV151000067"/>
        <s v="*MAV161001047"/>
        <s v="*MAV161001066"/>
        <s v="*MOV161000058"/>
        <s v="*MOV161000057"/>
        <s v="*INP161000050"/>
        <s v="*MAV171001314"/>
        <s v="*NEU191000011"/>
        <s v="*MOV181000045"/>
        <s v="*MAV201001458"/>
        <s v="*MAV201001491"/>
        <s v="*MAV201001476"/>
        <s v="*NEU201000037"/>
        <s v="*MOV201000066"/>
        <s v="*MOV211000064"/>
        <s v="*MAV221000987"/>
        <s v="*MAV221000981"/>
        <s v="*FED221000026"/>
        <s v="*MOV221000057"/>
        <s v="*MIL231000034"/>
        <s v="*MOV231000049"/>
        <s v="*MAV231001129"/>
        <s v="*PRO261000007"/>
        <s v="*MAV261000813"/>
        <s v="*FID261000025"/>
        <s v="*MOV261000050"/>
        <s v="*AAR241000023"/>
        <s v="*MAV271001267"/>
        <s v="*MAV271001297"/>
        <s v="*MOV271000069"/>
        <s v="*MAV271001292"/>
        <s v="*MAV271001273"/>
        <s v="*PRO291000023"/>
        <s v="*MAV291001079"/>
        <s v="*MOV291000063"/>
        <s v="#MAV301060025"/>
        <s v="*MAV301001250"/>
        <s v="*MAV301001261"/>
        <s v="*MAV301001239"/>
        <s v="*MAV301001240"/>
        <s v="*MAV301001275"/>
        <s v="#MAV031160008"/>
        <s v="#UMV021160025"/>
        <s v="#UMV021160028"/>
        <s v="*MAV311001562"/>
        <s v="*MAV011101200"/>
        <s v="*PRO031100021"/>
        <s v="*MAV031101211"/>
        <s v="*NEU031100019"/>
        <s v="*MAV051100975"/>
        <s v="#MAV061160016"/>
        <s v="*PRO061100023"/>
        <s v="*MAV091100786"/>
        <s v="*FED091100055"/>
        <s v="*AAR091100027"/>
        <s v="*MAV101101561"/>
        <s v="*MAV101101571"/>
        <s v="*NEU101100035"/>
        <s v="*INP101100071"/>
        <s v="*AAR101100035"/>
        <s v="*MAV121101139"/>
        <s v="*PRO131100018"/>
        <s v="#UMV131160016"/>
        <s v="*AAR131100017"/>
        <s v="*MAV131101027"/>
        <s v="*MAV151101538"/>
        <s v="*CVA161100008"/>
        <s v="*AAR161100027"/>
        <s v="*MAV171101249"/>
        <s v="*PRO201100027"/>
        <s v="*NEU201100026"/>
        <s v="*AAR201100017"/>
        <s v="*MAV231100828"/>
        <s v="*MAV231100835"/>
        <s v="*MAV231100839"/>
        <s v="*MAV251101536"/>
        <s v="*FED301100090"/>
        <s v="*MAV021201175"/>
        <s v="*MAV031200912"/>
        <s v="*MAV031200913"/>
        <s v="*FED031200025"/>
        <s v="*MAV041200911"/>
        <s v="*MAV091201366"/>
        <s v="*MAV071200853"/>
        <s v="*FED071200026"/>
        <s v="#POT101260001"/>
        <s v="#UMV131260004"/>
        <s v="*FED141200032"/>
        <s v="*MAV161201238"/>
        <s v="*MAV181201190"/>
        <s v="*MAV211200942"/>
        <s v="*PRO221200015"/>
        <s v="*MAV010100420"/>
        <s v="#POT090170001"/>
        <s v="#UMV120170009"/>
        <s v="#UMV250170065"/>
        <s v="*MAV040200868"/>
        <s v="#POT080270001"/>
        <s v="#UMV110270012"/>
        <s v="*MAV120201148"/>
        <s v="#UMV130370002"/>
        <s v="#UMV120470004"/>
        <s v="#UMV120570002"/>
        <s v="#UMV110670002"/>
        <s v="#UMV250770007"/>
        <s v="#UMV250180006"/>
        <s v="#UMV250780006"/>
      </sharedItems>
    </cacheField>
    <cacheField name=" % " numFmtId="10">
      <sharedItems containsSemiMixedTypes="0" containsString="0" containsNumber="1">
        <n v="5.114002272029176E-5"/>
        <n v="8.792164925213074E-5"/>
        <n v="4.091201817623341E-5"/>
        <n v="1.9794714038167094E-4"/>
        <n v="3.0684013632175056E-4"/>
        <n v="5.114002272029176E-4"/>
        <n v="1.2761815111689924E-4"/>
        <n v="0.0020456009088116703"/>
        <n v="4.6026020448262586E-4"/>
        <n v="0.010228004544058353"/>
        <n v="0.0"/>
        <n v="2.0456009088116705E-4"/>
        <n v="0.020456009088116706"/>
        <n v="1.6708954810261902E-4"/>
        <n v="1.0228004544058352E-4"/>
        <n v="2.557001136014588E-4"/>
        <n v="4.0794664302255887E-5"/>
        <n v="8.569688721065003E-4"/>
        <n v="2.0412388121568951E-4"/>
        <n v="6.1186981969596E-5"/>
        <n v="3.0611050422999246E-4"/>
        <n v="2.819312365825208E-5"/>
        <n v="0.006520932985274519"/>
        <n v="1.4590873290440826E-4"/>
        <n v="2.0377847700191464E-4"/>
        <n v="3.795901100132279E-5"/>
        <n v="4.075569560494302E-5"/>
        <n v="2.0382298089072665E-4"/>
        <n v="1.9354729686700545E-4"/>
        <n v="2.039788935235949E-4"/>
        <n v="2.039566046560925E-4"/>
        <n v="6.112687035040985E-5"/>
        <n v="0.006113354252985173"/>
        <n v="3.1847226526314786E-4"/>
        <n v="0.005448100449171904"/>
        <n v="1.8409323049390936E-4"/>
        <n v="2.446944517794259E-4"/>
        <n v="1.0195602143838739E-4"/>
        <n v="4.077795405435992E-4"/>
        <n v="2.548900523686079E-4"/>
        <n v="5.100029610917457E-5"/>
        <n v="1.3245600913072412E-4"/>
        <n v="0.0010176425623343868"/>
        <n v="0.0015268800550657332"/>
        <n v="5.753816317506489E-4"/>
        <n v="4.073346176410505E-5"/>
        <n v="1.8266465748362847E-4"/>
        <n v="1.5926647554125457E-4"/>
        <n v="5.092377109969633E-4"/>
        <n v="4.033223412432919E-5"/>
        <n v="7.130300584004002E-4"/>
        <n v="1.017503874070291E-4"/>
        <n v="7.766154877978091E-4"/>
        <n v="2.4450080660587396E-5"/>
        <n v="2.546883409815524E-4"/>
        <n v="1.426254698041328E-4"/>
        <n v="1.0177812739183332E-4"/>
        <n v="1.7384265765326445E-4"/>
        <n v="3.3586781932933745E-4"/>
        <n v="1.0187533536982049E-4"/>
        <n v="8.735004351265993E-5"/>
        <n v="5.441668466643448E-6"/>
        <n v="5.0861331893516074E-5"/>
        <n v="1.319518300792894E-4"/>
        <n v="2.2299993730315077E-5"/>
        <n v="4.052343930511709E-5"/>
        <n v="2.028924869499704E-4"/>
        <n v="5.070934249817482E-4"/>
        <n v="8.519169480943711E-4"/>
        <n v="5.070934215042266E-4"/>
        <n v="2.0305802433967475E-4"/>
        <n v="4.058952722918237E-4"/>
        <n v="1.3191596333119465E-4"/>
        <n v="5.329716001865639E-6"/>
        <n v="2.030028117301051E-5"/>
        <n v="0.013120996885753335"/>
        <n v="3.0427258704464967E-4"/>
        <n v="6.485334050319161E-5"/>
        <n v="5.066667234738548E-4"/>
        <n v="6.080000642001601E-4"/>
        <n v="9.656422492646086E-5"/>
        <n v="2.0272722019326633E-4"/>
        <n v="0.0018212811718946443"/>
        <n v="0.004249656067685983"/>
        <n v="4.0557557043978783E-4"/>
        <n v="8.094583288038198E-5"/>
        <n v="0.006078185759100731"/>
        <n v="3.1244186078590306E-4"/>
        <n v="2.53484728430896E-4"/>
        <n v="5.080595645411409E-5"/>
        <n v="1.317512276124865E-4"/>
        <n v="0.0010105082967846429"/>
        <n v="9.292280431354459E-5"/>
        <n v="4.125864995511364E-5"/>
        <n v="2.1806351569161645E-5"/>
        <n v="2.0256222570604323E-4"/>
        <n v="2.0256222222852168E-4"/>
        <n v="2.0762627522211957E-4"/>
        <n v="4.016328774071034E-5"/>
        <n v="1.0128111121654088E-4"/>
        <n v="1.1332416435514202E-4"/>
        <n v="2.0236457933711367E-4"/>
        <n v="7.480107992601485E-5"/>
        <n v="1.9199657632157732E-4"/>
        <n v="2.2245633338540056E-4"/>
        <n v="1.772419584878927E-4"/>
        <n v="2.0256222897900466E-4"/>
        <n v="2.532852354980261E-4"/>
        <n v="7.089677744245844E-4"/>
        <n v="3.040412993368541E-4"/>
        <n v="1.4188593925413705E-4"/>
        <n v="0.0010118228895259652"/>
        <n v="0.002020360295042748"/>
        <n v="4.0354791436038865E-4"/>
        <n v="1.0124816108622192E-4"/>
        <n v="0.0017173062743005183"/>
        <n v="3.4698657178849386E-4"/>
        <n v="8.102488860502454E-5"/>
        <n v="0.001215373335416731"/>
        <n v="2.5328523672538665E-4"/>
        <n v="5.065704636318889E-4"/>
        <n v="0.00433086030946469"/>
        <n v="0.0010118229157096567"/>
        <n v="1.0144625851015189E-5"/>
        <n v="7.101238075254624E-5"/>
        <n v="1.3934652414913552E-5"/>
        <n v="2.1303714287131896E-5"/>
        <n v="3.3631057880436493E-4"/>
        <n v="0.004057850346133758"/>
        <n v="5.065704693595715E-5"/>
        <n v="8.107767934585421E-4"/>
        <n v="3.396410973312348E-4"/>
        <n v="6.051256289652771E-5"/>
        <n v="1.0105082748967132E-4"/>
        <n v="0.0010138012564423462"/>
        <n v="8.130084241778424E-4"/>
        <n v="1.0131409264455373E-4"/>
        <n v="1.013140936673542E-4"/>
        <n v="1.5972862567641684E-5"/>
        <n v="2.532852377481871E-4"/>
        <n v="5.405558087480468E-6"/>
        <n v="2.0066807536083742E-5"/>
        <n v="4.150574074817018E-5"/>
        <n v="1.1754820197266112E-5"/>
        <n v="3.585437364116263E-5"/>
        <n v="2.6285442481274853E-5"/>
        <n v="0.001965215163096602"/>
        <n v="1.3165115477042653E-4"/>
        <n v="2.9752431636295403E-4"/>
        <n v="2.9314101500915787E-5"/>
        <n v="6.491935920412216E-5"/>
        <n v="2.0239750410198134E-4"/>
        <n v="8.26915677200503E-5"/>
        <n v="4.0309039730672473E-4"/>
        <n v="0.0026339519792568113"/>
        <n v="0.00303917536063373"/>
        <n v="1.0999653401219524E-4"/>
        <n v="8.334892361769784E-5"/>
        <n v="1.1469883762251653E-4"/>
        <n v="2.4296260882008937E-5"/>
        <n v="7.573891818771402E-5"/>
        <n v="3.8780378474956756E-5"/>
        <n v="1.14049555507096E-5"/>
        <n v="7.05160735825288E-5"/>
        <n v="8.125221527258836E-4"/>
        <n v="3.43914568326636E-5"/>
        <n v="5.075573204236059E-6"/>
        <n v="1.6798994041232185E-5"/>
        <n v="3.035797747464497E-4"/>
        <n v="3.0277549049512542E-5"/>
        <n v="2.5221745146139515E-5"/>
        <n v="2.3250573017274773E-5"/>
        <n v="2.0223303778891288E-4"/>
        <n v="7.080841102208734E-5"/>
        <n v="8.260231549311767E-5"/>
        <n v="0.0014161682474436788"/>
        <n v="4.032427808689051E-4"/>
        <n v="1.0084882071784452E-4"/>
        <n v="9.062684343458395E-4"/>
        <n v="8.058762664152749E-4"/>
        <n v="4.506486069972224E-5"/>
        <n v="4.610143091208566E-5"/>
        <n v="7.043434957606076E-5"/>
        <n v="4.998947900990865E-4"/>
        <n v="2.0238651922510104E-5"/>
        <n v="2.528871805852598E-4"/>
        <n v="2.6609245149452657E-5"/>
        <n v="2.5854167009749455E-5"/>
        <n v="5.066804879132501E-5"/>
        <n v="5.8222991758845884E-5"/>
        <n v="2.017412454646613E-4"/>
        <n v="3.024729430523108E-4"/>
        <n v="1.6080209852917523E-4"/>
        <n v="7.028658579897286E-5"/>
        <n v="8.233571437227316E-5"/>
        <n v="6.035603187850471E-5"/>
        <n v="3.0233411977855494E-4"/>
        <n v="3.0330849431352628E-5"/>
        <n v="4.7720536714135724E-5"/>
        <n v="0.002012789818191046"/>
        <n v="7.92563512270096E-4"/>
        <n v="1.0091697993556604E-4"/>
        <n v="4.0403926238012286E-4"/>
        <n v="2.01463638192687E-5"/>
        <n v="2.095156470436024E-5"/>
        <n v="2.0137127072013033E-4"/>
        <n v="2.0108924658667374E-4"/>
        <n v="8.434156802806607E-5"/>
        <n v="1.0044722875654681E-4"/>
        <n v="0.020108924143175944"/>
        <n v="2.0661729852953532E-4"/>
        <n v="0.002006029993341737"/>
        <n v="4.019836263669328E-4"/>
        <n v="2.012844079596193E-4"/>
        <n v="0.0010064219874307131"/>
        <n v="2.0128440468665784E-5"/>
        <n v="3.064993162996124E-4"/>
        <n v="2.0002259581294624E-4"/>
        <n v="8.224722720008042E-5"/>
        <n v="4.0081832526201735E-4"/>
        <n v="9.388478680277044E-6"/>
        <n v="5.9231007019003017E-5"/>
        <n v="7.53719242928274E-5"/>
        <n v="3.187877302665814E-5"/>
        <n v="3.3118033159727854E-4"/>
        <n v="3.4104415412945945E-4"/>
        <n v="1.2124130735181972E-5"/>
        <n v="2.455171327334034E-6"/>
        <n v="3.0310326326554703E-5"/>
        <n v="1.0044723550702981E-4"/>
        <n v="1.0083792891580557E-4"/>
        <n v="2.5209481645955135E-4"/>
        <n v="2.214128455644438E-5"/>
        <n v="5.0613092700109326E-5"/>
        <n v="1.310539068098835E-4"/>
        <n v="6.25164720040967E-5"/>
        <n v="1.0946336347732031E-4"/>
        <n v="0.0013051819072923765"/>
        <n v="4.0159441315497466E-4"/>
        <n v="3.640758390534075E-5"/>
        <n v="4.763033430558094E-5"/>
        <n v="2.0141471376031105E-4"/>
        <n v="1.762378724179612E-4"/>
        <n v="2.0141471887431331E-4"/>
        <n v="7.053129919465316E-5"/>
        <n v="2.2166980760924589E-4"/>
        <n v="0.001002961107871927"/>
        <n v="8.215893026877219E-5"/>
        <n v="3.234990212244956E-5"/>
        <n v="0.0020069466203584923"/>
        <n v="3.0212208035707087E-4"/>
        <n v="5.4381975523894025E-5"/>
        <n v="8.609343748166786E-4"/>
        <n v="8.060720259219262E-4"/>
        <n v="2.518975080238919E-4"/>
        <n v="8.396583430329653E-5"/>
        <n v="2.0151800085507903E-4"/>
        <n v="1.0039861116430716E-4"/>
        <n v="0.0014084593486651193"/>
        <n v="3.350417437006518E-5"/>
        <n v="0.0010055274942249112"/>
        <n v="1.999709910296995E-4"/>
        <n v="2.019322485400794E-5"/>
        <n v="4.056282162293371E-5"/>
        <n v="3.933749235934916E-5"/>
        <n v="1.0096612324723925E-5"/>
        <n v="1.0096612406547962E-4"/>
        <n v="7.916189885755065E-4"/>
        <n v="1.0075900165490006E-4"/>
        <n v="3.420804395941764E-5"/>
        <n v="4.625426246086507E-5"/>
        <n v="2.436728435012297E-5"/>
        <n v="1.0439020040007502E-4"/>
        <n v="2.1126889885293035E-5"/>
        <n v="3.9880800278647906E-5"/>
        <n v="5.02650791178152E-5"/>
        <n v="7.116889806504313E-5"/>
        <n v="1.309548886796521E-4"/>
        <n v="0.015029075611561662"/>
        <n v="2.507537360503013E-5"/>
        <n v="2.0125185569867712E-4"/>
        <n v="2.0017274987469612E-4"/>
        <n v="0.0010073453186998872"/>
        <n v="5.034010124476174E-4"/>
        <n v="2.0136040469266283E-4"/>
        <n v="5.036726709075887E-4"/>
        <n v="1.0089789632012764E-5"/>
        <n v="0.0020125185543274898"/>
        <n v="1.0938741072469632E-4"/>
        <n v="1.0068020224405137E-4"/>
        <n v="4.797495750892881E-5"/>
        <n v="6.641311937856415E-6"/>
        <n v="8.351952857453354E-6"/>
        <n v="5.055825893582799E-5"/>
        <n v="3.0197544084224244E-4"/>
        <n v="1.2091531548154931E-4"/>
        <n v="4.8775373119814376E-5"/>
        <n v="2.0108923922251048E-4"/>
        <n v="2.515037916260931E-4"/>
        <n v="2.0108924392739255E-4"/>
        <n v="4.024060722066954E-4"/>
        <n v="2.0120303600106766E-4"/>
        <n v="6.998541115892814E-5"/>
        <n v="0.0010065847871927212"/>
        <n v="3.5381164169246955E-5"/>
        <n v="2.016595269813157E-5"/>
        <n v="8.048121374583478E-4"/>
        <n v="3.3286682419814693E-4"/>
        <n v="0.0020165952115135314"/>
        <n v="1.5228990025156865E-5"/>
        <n v="1.4116166970516135E-5"/>
        <n v="0.002010892502482994"/>
        <n v="2.091328128335183E-5"/>
        <n v="1.0060152106893519E-4"/>
        <n v="2.5150379653553526E-4"/>
        <n v="2.2769907739166662E-5"/>
        <n v="5.49886013372434E-5"/>
        <n v="2.1525926891055656E-5"/>
        <n v="1.0182967367089409E-5"/>
        <n v="1.7726549169442795E-4"/>
        <n v="1.9535971440965933E-5"/>
        <n v="2.1026232001373135E-5"/>
        <n v="7.543484309014072E-5"/>
        <n v="2.592651459533176E-6"/>
        <n v="1.6950395305856154E-6"/>
        <n v="2.0060299415880338E-4"/>
        <n v="2.084912551116895E-5"/>
        <n v="2.49787340995355E-5"/>
        <n v="0.0030139034698314724"/>
        <n v="8.172028592909298E-5"/>
        <n v="5.416280800148313E-5"/>
        <n v="5.031296786245102E-6"/>
        <n v="5.9948964252694275E-5"/>
        <n v="3.0051693803138447E-4"/>
        <n v="5.784131904095781E-5"/>
        <n v="6.520523295392904E-6"/>
        <n v="0.0020060300747566534"/>
        <n v="1.0897728042520522E-4"/>
        <n v="1.0036621436903405E-4"/>
        <n v="0.0020073243117233316"/>
        <n v="6.61989981490352E-6"/>
        <n v="8.325025385330122E-6"/>
        <n v="0.0014982829428201584"/>
        <n v="6.001160525740418E-5"/>
        <n v="2.0003868855529588E-4"/>
        <n v="0.0010001933713850075"/>
        <n v="2.4315267787413253E-5"/>
        <n v="2.0044144875927262E-4"/>
        <n v="0.0030116746456766187"/>
        <n v="8.163311551020524E-5"/>
        <n v="3.9821031318069977E-4"/>
        <n v="3.9874196690250086E-4"/>
        <n v="0.001004229287565109"/>
        <n v="1.4056757442473903E-4"/>
        <n v="4.3822961986952284E-4"/>
        <n v="6.017281415558544E-4"/>
        <n v="9.981876288053442E-5"/>
        <n v="0.0025485460807801287"/>
        <n v="6.22622312426396E-4"/>
        <n v="9.181519304089931E-6"/>
        <n v="1.0028802413813599E-4"/>
        <n v="0.0020044144867744857"/>
        <n v="2.0845909826540297E-5"/>
        <n v="1.0028802904757817E-4"/>
        <n v="2.004414377130277E-4"/>
        <n v="1.0028802659285708E-4"/>
        <n v="0.0020057607024602576"/>
        <n v="2.5072006361830145E-4"/>
        <n v="2.126349327294266E-5"/>
        <n v="5.0421687459552545E-5"/>
        <n v="1.3036392869174271E-4"/>
        <n v="9.160411321080159E-5"/>
        <n v="7.01064612291878E-5"/>
        <n v="0.0020028013915615863"/>
        <n v="3.1451019057097264E-5"/>
        <n v="2.2058194088569267E-5"/>
        <n v="2.0028014985465137E-4"/>
        <n v="4.9910392580796425E-5"/>
        <n v="2.0028013758104592E-4"/>
        <n v="7.014696944574463E-5"/>
        <n v="2.0028013737648584E-4"/>
        <n v="2.2046191545692826E-4"/>
        <n v="0.013970894599507249"/>
        <n v="6.961255252623594E-5"/>
        <n v="8.15461314455603E-5"/>
        <n v="2.0683475204294472E-4"/>
        <n v="2.009809800901735E-4"/>
        <n v="2.6054590077352643E-5"/>
        <n v="2.505249034727164E-4"/>
        <n v="9.993099268788344E-4"/>
        <n v="1.33987319991929E-4"/>
        <n v="1.0020996134817456E-4"/>
        <n v="1.087733716536534E-4"/>
        <n v="2.0829134262607315E-5"/>
        <n v="1.0020995725697273E-4"/>
        <n v="1.0020995971169383E-4"/>
        <n v="4.014001152301728E-4"/>
        <n v="2.002801341035244E-4"/>
        <n v="3.399652207496351E-5"/>
        <n v="4.5968254315078475E-5"/>
        <n v="2.634440631379108E-5"/>
        <n v="2.354072105018062E-5"/>
        <n v="2.897998532207594E-5"/>
        <n v="2.409762280575878E-5"/>
        <n v="1.0000059368603751E-4"/>
        <n v="2.100012461065425E-5"/>
        <n v="5.98752565470677E-4"/>
        <n v="3.545043578474268E-5"/>
        <n v="1.3077877144204744E-4"/>
        <n v="5.039446112513654E-5"/>
        <n v="1.30265949726773E-4"/>
        <n v="0.0020011909214683325"/>
        <n v="1.1720819794072546E-4"/>
        <n v="2.0011911053678544E-4"/>
        <n v="3.9736262680121294E-4"/>
        <n v="5.403215710791806E-5"/>
        <n v="0.0015041588119676268"/>
        <n v="2.997448196269907E-4"/>
        <n v="4.98494027442281E-4"/>
        <n v="1.1006746195074685E-5"/>
        <n v="1.0013201290730392E-4"/>
        <n v="1.086716981288823E-4"/>
        <n v="1.001320088161021E-4"/>
        <n v="1.0013201065714293E-4"/>
        <n v="0.002002640265305682"/>
        <n v="2.503300335979004E-4"/>
        <n v="5.408188184073756E-4"/>
        <n v="2.167289308834923E-5"/>
        <n v="0.0012007146632207128"/>
        <n v="6.6039314450891545E-6"/>
        <n v="8.304943925768409E-6"/>
        <n v="3.0038797475856916E-4"/>
        <n v="0.0019995832992606645"/>
        <n v="1.9995832385063178E-4"/>
        <n v="1.1709571464251181E-4"/>
        <n v="5.390789973999347E-5"/>
        <n v="4.002167420594683E-4"/>
        <n v="2.001083715411344E-4"/>
        <n v="9.129622715873516E-5"/>
        <n v="1.0832743863337601E-4"/>
        <n v="5.9674259074729326E-5"/>
        <n v="7.932898214877377E-4"/>
        <n v="3.306909381492127E-4"/>
        <n v="1.0005418515688692E-4"/>
        <n v="9.968017321440234E-5"/>
        <n v="2.0795665572457974E-5"/>
        <n v="1.0005418904352864E-4"/>
        <n v="1.0005418290672591E-4"/>
        <n v="1.999583205776703E-4"/>
        <n v="5.316738505140047E-5"/>
        <n v="9.1142185227898E-5"/>
        <n v="1.9772892406368263E-4"/>
        <n v="3.969823538880268E-4"/>
        <n v="1.994775200853421E-4"/>
        <n v="1.167595047911418E-4"/>
        <n v="5.746535354960531E-5"/>
        <n v="1.9947751353941923E-4"/>
        <n v="6.987500578211767E-5"/>
        <n v="0.0015971429096440029"/>
        <n v="5.9498314690401435E-5"/>
        <n v="4.96227907482538E-4"/>
        <n v="2.987214709515413E-4"/>
        <n v="4.257393016153325E-4"/>
        <n v="4.991071680854048E-5"/>
        <n v="9.982143463988141E-5"/>
        <n v="9.982143198060022E-5"/>
        <n v="1.9947752704038523E-4"/>
        <n v="0.0019964286817513834"/>
        <n v="1.1164431995722723E-4"/>
        <n v="1.9881888589168666E-4"/>
        <n v="6.5827590665627715E-6"/>
        <n v="8.278318384339317E-6"/>
        <n v="2.5501895304603544E-5"/>
        <n v="5.025877580317478E-5"/>
        <n v="5.553088729478411E-4"/>
        <n v="0.0011857771975087531"/>
        <n v="1.3074568916590976E-4"/>
        <n v="2.58450752342302E-4"/>
        <n v="5.96424859831733E-5"/>
        <n v="1.9931776663220747E-4"/>
        <n v="0.0019796490480953927"/>
        <n v="0.02141980270042897"/>
        <n v="1.988082925428203E-4"/>
        <n v="9.940413508197318E-4"/>
        <n v="9.940413796627047E-4"/>
        <n v="1.1664788187267038E-4"/>
        <n v="4.507590387622847E-5"/>
        <n v="1.3414655283963234E-4"/>
        <n v="0.015630172857067623"/>
        <n v="4.831029235451008E-4"/>
        <n v="1.9931777195076982E-4"/>
        <n v="1.91466904991617E-4"/>
        <n v="9.940414406216117E-4"/>
        <n v="9.982943856483737E-4"/>
        <n v="5.943990255645032E-5"/>
        <n v="1.18879805931141E-4"/>
        <n v="7.307749076178533E-5"/>
        <n v="2.3812323951631308E-4"/>
        <n v="9.88147662851867E-4"/>
        <n v="0.002944680294983507"/>
        <n v="9.948890797477174E-4"/>
        <n v="1.8015548536070317E-4"/>
        <n v="9.974408821935825E-5"/>
        <n v="9.974409456072106E-5"/>
        <n v="7.972710994630045E-4"/>
        <n v="2.6700152881200787E-5"/>
        <n v="3.979556377085936E-5"/>
        <n v="5.023172477675666E-5"/>
        <n v="1.2102307323710351E-4"/>
        <n v="1.296811778861728E-4"/>
        <n v="8.899453235814709E-5"/>
        <n v="6.163554072319995E-5"/>
        <n v="4.742707214847642E-5"/>
        <n v="2.2080474364547865E-5"/>
        <n v="1.1653645349084542E-4"/>
        <n v="4.5032844386218164E-5"/>
        <n v="2.0223145449380946E-5"/>
        <n v="2.491671730994292E-4"/>
        <n v="5.377273727362401E-5"/>
        <n v="1.692845374047604E-4"/>
        <n v="1.9915827931175106E-4"/>
        <n v="1.1581765183309899E-4"/>
        <n v="8.305572129807504E-5"/>
        <n v="3.9657117910471165E-5"/>
        <n v="9.931687782732685E-4"/>
        <n v="3.328280882902175E-4"/>
        <n v="1.7578226104610396E-4"/>
        <n v="2.9724771429926637E-5"/>
        <n v="2.9873742070638735E-4"/>
        <n v="0.0019933374623237084"/>
        <n v="0.006967028168722924"/>
        <n v="1.988082702457704E-5"/>
        <n v="9.940413471376502E-5"/>
        <n v="4.068596045628136E-5"/>
        <n v="1.092820424355637E-4"/>
        <n v="1.2958422213077766E-4"/>
        <n v="3.951335950178673E-4"/>
        <n v="3.9513357292537754E-4"/>
        <n v="1.1642523785151496E-4"/>
        <n v="4.498986631112403E-5"/>
        <n v="1.691491779470234E-4"/>
        <n v="1.989990327585216E-4"/>
        <n v="1.1573407410308741E-4"/>
        <n v="3.404189145752005E-5"/>
        <n v="4.98400882641379E-4"/>
        <n v="4.952536247950475E-4"/>
        <n v="4.930298933682166E-4"/>
        <n v="4.2479773054109494E-5"/>
        <n v="0.001991795293822"/>
        <n v="2.617680839029132E-5"/>
        <n v="8.258461327197298E-6"/>
        <n v="6.5669692777077445E-6"/>
        <n v="0.006325655638417374"/>
        <n v="3.947366647764807E-4"/>
        <n v="4.49469710828667E-5"/>
        <n v="0.001973683187031703"/>
        <n v="1.9736832676283788E-4"/>
        <n v="9.91428003811244E-4"/>
        <n v="1.988400408826053E-4"/>
        <n v="1.9884004047348515E-4"/>
        <n v="1.578446857435873E-4"/>
        <n v="8.122541620283417E-5"/>
        <n v="1.0885472479267665E-4"/>
        <n v="9.841101838326712E-4"/>
        <n v="3.364600207924384E-4"/>
        <n v="0.0026940779863815216"/>
        <n v="0.005289471611776576"/>
        <n v="1.5907204444783347E-4"/>
        <n v="3.3728380821194755E-5"/>
        <n v="7.63688088247594E-5"/>
        <n v="6.549512180919974E-5"/>
        <n v="5.009690944886142E-5"/>
        <n v="8.278382595751843E-5"/>
        <n v="3.935507346046402E-4"/>
        <n v="3.93550722740155E-4"/>
        <n v="3.94340567094664E-4"/>
        <n v="1.1074875362918849E-4"/>
        <n v="4.3329435074954055E-5"/>
        <n v="1.735690466672256E-4"/>
        <n v="9.89824438030178E-4"/>
        <n v="1.1540098849798541E-4"/>
        <n v="1.6034385569630886E-4"/>
        <n v="1.9836460375129993E-4"/>
        <n v="2.0629917690420147E-5"/>
        <n v="0.0019856506979697825"/>
        <n v="3.5562024643958945E-4"/>
        <n v="6.54603296152624E-6"/>
        <n v="8.232132397899984E-6"/>
        <n v="7.918595193310085E-4"/>
        <n v="1.0244707120950909E-4"/>
        <n v="3.951859083972689E-5"/>
        <n v="5.927788032734771E-5"/>
        <n v="3.9315697381730173E-4"/>
        <n v="3.939660181819408E-4"/>
        <n v="1.9759293967486802E-4"/>
        <n v="9.87964605708619E-4"/>
        <n v="4.32882900628343E-5"/>
        <n v="9.889852955120072E-4"/>
        <n v="5.351579732131172E-5"/>
        <n v="0.002677399162802158"/>
        <n v="4.904390520609277E-4"/>
        <n v="0.0019841203882256624"/>
        <n v="7.003534243607142E-5"/>
        <n v="5.004318787779421E-5"/>
        <n v="1.3892904441469922E-4"/>
        <n v="9.73605427896059E-5"/>
        <n v="7.699400623963969E-5"/>
        <n v="1.9804890309464167E-4"/>
        <n v="0.00127917453132048"/>
        <n v="8.24804400024353E-4"/>
        <n v="7.888476825150013E-5"/>
        <n v="9.902445625220294E-5"/>
        <n v="4.3247212350984454E-5"/>
        <n v="1.980489069812834E-4"/>
        <n v="1.9804889982168023E-4"/>
        <n v="9.881477501990255E-4"/>
        <n v="3.948410630416624E-5"/>
        <n v="0.00158607411157728"/>
        <n v="1.1722198979117285E-4"/>
        <n v="1.980489071858435E-4"/>
        <n v="3.327221658477987E-4"/>
        <n v="0.0019825927510591294"/>
        <n v="1.1063568160703328E-4"/>
        <n v="5.729548009965459E-5"/>
        <n v="6.521774343996715E-5"/>
        <n v="5.813871193769037E-4"/>
        <n v="5.910113461977581E-4"/>
        <n v="3.940075641318387E-4"/>
        <n v="3.505549877688159E-5"/>
        <n v="6.535613897857298E-6"/>
        <n v="1.3882571456687225E-4"/>
        <n v="6.577882844940382E-5"/>
        <n v="8.239809065576945E-4"/>
        <n v="4.3206212371969144E-5"/>
        <n v="6.215687089043851E-4"/>
        <n v="1.972484275476495E-4"/>
        <n v="1.978914223041167E-4"/>
        <n v="9.873114148589819E-4"/>
        <n v="1.9682202592484943E-4"/>
        <n v="2.952330371485134E-4"/>
        <n v="4.33946502638476E-5"/>
        <n v="4.920550784153696E-4"/>
        <n v="0.002978080050836942"/>
        <n v="9.905334954679953E-5"/>
        <n v="8.314084159527596E-4"/>
        <n v="4.9989582496858614E-5"/>
        <n v="9.716630541459086E-5"/>
        <n v="6.57165268098847E-5"/>
        <n v="8.231589497464387E-4"/>
        <n v="4.316529033034846E-5"/>
        <n v="1.9773423219348091E-4"/>
        <n v="9.88671164035806E-5"/>
        <n v="1.9773419803194574E-4"/>
        <n v="0.001966406210748236"/>
        <n v="4.335684980921376E-5"/>
        <n v="5.3388234671438685E-5"/>
        <n v="0.0014879717543242635"/>
        <n v="9.94200236528961E-4"/>
        <n v="4.910583387119819E-4"/>
        <n v="1.9861789844279274E-4"/>
        <n v="9.821166774239638E-4"/>
        <n v="5.847473077084752E-5"/>
        <n v="2.0564358636013822E-5"/>
        <n v="0.001979543891525954"/>
        <n v="6.525229813963897E-6"/>
        <n v="6.546851324625819E-5"/>
        <n v="8.394087795175302E-4"/>
        <n v="1.9365205229410578E-4"/>
        <n v="9.85539017657068E-5"/>
        <n v="1.0997970321703774E-4"/>
        <n v="4.510057791439055E-5"/>
        <n v="4.3206312606413675E-5"/>
        <n v="1.0639019156822336E-4"/>
        <n v="2.949453642927072E-4"/>
        <n v="0.0041970449878929355"/>
        <n v="6.79155666063856E-5"/>
        <n v="3.340633880171917E-5"/>
        <n v="6.48879835728227E-5"/>
        <n v="9.795911767009043E-4"/>
        <n v="6.540681383164661E-5"/>
        <n v="3.924440708543359E-5"/>
        <n v="5.8866605718708205E-5"/>
        <n v="8.190739387354057E-4"/>
        <n v="1.9345024660484834E-4"/>
        <n v="9.811100382395382E-4"/>
        <n v="1.858896428459325E-4"/>
        <n v="3.9147696045275187E-4"/>
        <n v="4.3168847630328886E-5"/>
        <n v="0.0011817110367100948"/>
        <n v="1.0845796249512464E-4"/>
        <n v="7.781598772084244E-4"/>
        <n v="6.371758830796402E-5"/>
        <n v="4.9299073954402156E-5"/>
        <n v="6.78397597051064E-5"/>
        <n v="5.732925501625998E-5"/>
        <n v="9.859815179544604E-5"/>
        <n v="4.923795876341013E-5"/>
        <n v="4.9829441606911846E-5"/>
        <n v="9.864765451919892E-5"/>
        <n v="5.679220172630002E-4"/>
        <n v="9.968796122618235E-4"/>
        <n v="9.184143830511947E-5"/>
        <n v="4.19424309253012E-5"/>
        <n v="6.748865358335833E-5"/>
        <n v="3.536336034310514E-4"/>
        <n v="6.534521485603965E-5"/>
        <n v="7.646027868763728E-5"/>
        <n v="1.9679608525060462E-4"/>
        <n v="1.9679609752421007E-4"/>
        <n v="7.870898579694018E-4"/>
        <n v="2.933385402785136E-5"/>
        <n v="1.4676253440325192E-4"/>
        <n v="4.501563883697415E-5"/>
        <n v="1.960520144893917E-4"/>
        <n v="1.9679608627340506E-4"/>
        <n v="1.9679611307077698E-4"/>
        <n v="2.933385453925159E-4"/>
        <n v="4.3131439521949344E-5"/>
        <n v="5.313494734410917E-5"/>
        <n v="1.9704538570176284E-4"/>
        <n v="4.888975825410495E-4"/>
        <n v="2.656747174918973E-4"/>
        <n v="4.949312047485239E-5"/>
        <n v="1.265001907401361E-4"/>
        <n v="3.679384326958656E-5"/>
        <n v="7.163333906866319E-5"/>
        <n v="2.956537231578141E-4"/>
        <n v="2.09746277499826E-4"/>
        <n v="2.0466793291547866E-5"/>
        <n v="1.2631000345036044E-4"/>
        <n v="1.0216470484702045E-4"/>
        <n v="0.003940907837180432"/>
        <n v="2.5518924154841057E-4"/>
        <n v="1.962994205095483E-5"/>
        <n v="2.8990357030083845E-4"/>
        <n v="6.528373104776386E-5"/>
        <n v="7.863103404219609E-4"/>
        <n v="1.9664062571833765E-4"/>
        <n v="1.9664059830728546E-4"/>
        <n v="1.9664059585256438E-4"/>
        <n v="4.309409564543836E-5"/>
        <n v="3.1583120486266776E-5"/>
        <n v="0.003948097421915553"/>
        <n v="1.4311852221854425E-4"/>
        <n v="1.9689468914665196E-4"/>
        <n v="3.243306801163018E-4"/>
        <n v="0.0055292520410698594"/>
        <n v="1.9127589721131677E-5"/>
        <n v="1.266258096600256E-5"/>
        <n v="3.326167226896728E-5"/>
        <n v="1.9613439370183086E-5"/>
        <n v="6.061822370659029E-5"/>
        <n v="0.00341905979620604"/>
        <n v="1.5262840097139644E-4"/>
        <n v="1.4615387526259918E-4"/>
        <n v="1.0940989596988598E-4"/>
        <n v="1.471317029764647E-4"/>
        <n v="1.9644399437657902E-4"/>
        <n v="9.702728782920465E-4"/>
        <n v="4.8843703758892037E-5"/>
        <n v="4.2982460248801415E-5"/>
        <n v="0.0019484457879246086"/>
        <n v="1.9644400317266297E-4"/>
        <n v="2.9187083696844806E-4"/>
        <n v="1.9537481994501033E-4"/>
        <n v="2.342216912911883E-4"/>
        <n v="0.0039288801452772954"/>
        <n v="4.9696778864852957E-5"/>
        <n v="3.9041247208374506E-5"/>
        <n v="5.856188052916608E-5"/>
        <n v="9.760312593741178E-4"/>
        <n v="2.4536778627489233E-4"/>
        <n v="1.9629423941156646E-4"/>
        <n v="2.9079469747034497E-4"/>
        <n v="9.733338316223551E-4"/>
        <n v="1.9466675400995354E-4"/>
        <n v="2.9200019033735666E-4"/>
        <n v="4.2945374322565026E-5"/>
        <n v="1.9629422488780002E-4"/>
        <n v="1.0796182695102346E-4"/>
        <n v="2.9159724337001695E-4"/>
        <n v="1.965681267582881E-4"/>
        <n v="7.851769815797966E-4"/>
        <n v="1.9547711962821968E-5"/>
        <n v="6.926309945458228E-5"/>
        <n v="4.9670329040541935E-5"/>
        <n v="9.82116706880617E-5"/>
        <n v="3.3572860330020706E-6"/>
        <n v="4.705672305897916E-5"/>
        <n v="8.715241084925645E-5"/>
        <n v="4.644536065672543E-5"/>
        <n v="7.606480716425873E-5"/>
        <n v="1.9586683830816236E-4"/>
        <n v="1.9586685119544808E-4"/>
        <n v="1.9586684587688573E-4"/>
        <n v="1.9586683912640275E-4"/>
        <n v="0.0019698300011078244"/>
        <n v="1.961446892112049E-4"/>
        <n v="2.905080251179433E-4"/>
        <n v="4.875949843852163E-5"/>
        <n v="4.290836060604071E-5"/>
        <n v="5.288405214248242E-5"/>
        <n v="1.9614469862096906E-4"/>
        <n v="2.929702085606326E-4"/>
        <n v="2.0888152855859867E-4"/>
        <n v="1.9642332685235693E-4"/>
        <n v="2.0370151331332153E-5"/>
        <n v="3.2499365446140546E-4"/>
        <n v="0.003922894252257586"/>
        <n v="1.9531347769231744E-5"/>
        <n v="1.9503797616191867E-4"/>
        <n v="9.813937669722321E-5"/>
        <n v="3.897400114689869E-5"/>
        <n v="1.7124870641891383E-4"/>
        <n v="1.9571281171933204E-4"/>
        <n v="9.785640545054582E-5"/>
        <n v="9.785640033654356E-5"/>
        <n v="1.9599536689078454E-4"/>
        <n v="2.914682078874896E-4"/>
        <n v="4.287140171162076E-5"/>
        <n v="9.856692379516417E-4"/>
        <n v="1.9599537630054874E-4"/>
        <n v="2.43587482825466E-4"/>
        <n v="8.999706499874841E-6"/>
        <n v="7.839814878145871E-4"/>
        <n v="0.003919907676567202"/>
        <n v="3.464199978181385E-5"/>
        <n v="1.9487003785042772E-4"/>
        <n v="0.0012674159429217798"/>
        <n v="1.9555905494526157E-4"/>
        <n v="1.955590475810983E-4"/>
        <n v="1.9555902426124792E-4"/>
        <n v="1.958462953610356E-4"/>
        <n v="4.283450704906934E-5"/>
        <n v="1.9584628063270908E-4"/>
        <n v="2.924805645264555E-4"/>
        <n v="3.22264616447919E-4"/>
        <n v="1.961343881787084E-4"/>
        <n v="7.833851051432286E-4"/>
        <n v="0.0039169256412925945"/>
        <n v="1.7523209463607815E-4"/>
        <n v="9.75495689963057E-5"/>
        <n v="1.0875253332175543E-4"/>
        <n v="1.9509912428708533E-4"/>
        <n v="1.46324345414335E-4"/>
        <n v="5.300362821409521E-4"/>
        <n v="1.9540036704564033E-4"/>
        <n v="1.936067334378917E-4"/>
        <n v="4.272421111190749E-5"/>
        <n v="3.133553404411003E-5"/>
        <n v="6.849589174018621E-4"/>
        <n v="5.267676772031089E-5"/>
        <n v="0.003920113880093853"/>
        <n v="1.954003762508444E-4"/>
        <n v="1.9420095922765207E-4"/>
        <n v="4.951222925118197E-5"/>
        <n v="8.664001952841321E-5"/>
        <n v="5.821032785273961E-5"/>
        <n v="1.9141850791515533E-4"/>
        <n v="9.70172004801791E-4"/>
        <n v="1.9403441785702168E-4"/>
        <n v="0.00235410743909168"/>
        <n v="1.952521992623729E-4"/>
        <n v="0.0010303131481458657"/>
        <n v="1.813123794550036E-4"/>
        <n v="4.327244841799624E-4"/>
        <n v="3.8686243828230983E-4"/>
        <n v="4.268756846738803E-5"/>
        <n v="1.0493067557123524E-4"/>
        <n v="0.003917337058684177"/>
        <n v="1.9525218392036609E-4"/>
        <n v="4.873657801219463E-4"/>
        <n v="4.151511463251077E-4"/>
        <n v="4.8813047360872136E-5"/>
        <n v="1.955590314208511E-4"/>
        <n v="1.9433743558348524E-5"/>
        <n v="3.865118652441585E-4"/>
        <n v="9.739687233445024E-4"/>
        <n v="7.39182443952321E-5"/>
        <n v="1.9479373877756987E-4"/>
        <n v="1.9479373039060614E-4"/>
        <n v="2.885173123863971E-4"/>
        <n v="4.808621872424752E-4"/>
        <n v="3.834845209322217E-5"/>
        <n v="1.9121634813238056E-4"/>
        <n v="1.9121212908050614E-4"/>
        <n v="1.9122841206374027E-4"/>
        <n v="1.9479372548116396E-4"/>
        <n v="1.9479375023293493E-4"/>
        <n v="9.693406672738874E-4"/>
        <n v="1.9325596668133443E-4"/>
        <n v="4.846704112674982E-5"/>
        <n v="4.2650989236496754E-5"/>
        <n v="0.003914564166055607"/>
        <n v="1.2233012241595428E-4"/>
        <n v="4.869843136006298E-4"/>
        <n v="2.9126353017455616E-4"/>
        <n v="1.1687623250668113E-4"/>
        <n v="9.647565408919095E-5"/>
        <n v="7.693795599740991E-4"/>
        <n v="1.9541571355277839E-4"/>
        <n v="2.524284040551163E-4"/>
        <n v="1.941756919652264E-5"/>
        <n v="3.1003150530151965E-4"/>
        <n v="2.3399642337774713E-4"/>
        <n v="2.9501494213465893E-4"/>
        <n v="2.330470591777273E-4"/>
        <n v="3.986186128719376E-5"/>
        <n v="8.358821514816936E-4"/>
        <n v="1.9102624409856185E-4"/>
        <n v="4.90712932043486E-4"/>
        <n v="3.837013558559163E-4"/>
        <n v="4.261448160163728E-5"/>
        <n v="5.255318008212386E-5"/>
        <n v="2.42127706014362E-4"/>
        <n v="4.9209992126025226E-6"/>
        <n v="2.4444449325845528E-5"/>
        <n v="4.842553932091956E-4"/>
        <n v="3.0976629212089177E-4"/>
        <n v="2.902128933875433E-4"/>
        <n v="1.155557881193992E-4"/>
        <n v="3.982484327490754E-5"/>
        <n v="8.062700431583005E-4"/>
        <n v="1.9480897339033823E-4"/>
        <n v="1.957744104903789E-4"/>
        <n v="3.20224709469237E-4"/>
        <n v="9.724464108771352E-5"/>
        <n v="3.089734270275207E-4"/>
        <n v="0.0033782200550421574"/>
        <n v="3.971420940447555E-5"/>
        <n v="5.771535742154807E-4"/>
        <n v="9.489458275851868E-5"/>
        <n v="4.481482383223683E-5"/>
        <n v="3.0871001990793524E-4"/>
        <n v="1.3696275431696346E-4"/>
        <n v="2.3185741992231895E-4"/>
        <n v="3.967746509359093E-5"/>
        <n v="4.477336011549549E-5"/>
        <n v="0.0011632994852444419"/>
        <n v="4.653197941796008E-4"/>
        <n v="1.9422114399005963E-4"/>
        <n v="4.821913452759484E-4"/>
        <n v="0.0011473305463439035"/>
        <n v="1.9456024407095372E-4"/>
        <n v="2.3157136370491102E-4"/>
        <n v="5.766336299224018E-4"/>
        <n v="1.9476324623218273E-4"/>
        <n v="3.0844706077494876E-4"/>
        <n v="1.3627596181311794E-4"/>
        <n v="2.8873294858795914E-4"/>
        <n v="4.473197290422814E-5"/>
        <n v="9.686616748508673E-5"/>
        <n v="5.230773640691909E-5"/>
        <n v="1.940747609935852E-4"/>
        <n v="4.8262768626900426E-4"/>
        <n v="3.0818461140570875E-4"/>
        <n v="4.771257517403061E-4"/>
        <n v="4.4690672017319146E-5"/>
        <n v="1.9358164311994466E-4"/>
        <n v="1.9358164537010568E-4"/>
        <n v="9.644574192169369E-4"/>
        <n v="1.9254825934011691E-4"/>
        <n v="3.8102854650197085E-4"/>
        <n v="1.0666070571904635E-4"/>
        <n v="1.9358164373362496E-4"/>
        <n v="2.4068532151586496E-4"/>
        <n v="0.0011451015033097527"/>
        <n v="8.154281941312885E-5"/>
        <n v="1.944893106092797E-4"/>
        <n v="3.079225462003194E-4"/>
        <n v="2.959462479744159E-4"/>
        <n v="0.0019493557125299862"/>
        <n v="9.452624715399597E-5"/>
        <n v="1.934311779222966E-4"/>
        <n v="4.464943761243968E-5"/>
        <n v="1.9238456421859107E-4"/>
        <n v="1.92732178908708E-5"/>
        <n v="1.940798252877551E-4"/>
        <n v="3.071390800294441E-4"/>
        <n v="2.952146369683386E-4"/>
        <n v="2.9262076346682254E-5"/>
        <n v="4.4526199567447956E-5"/>
        <n v="5.1196303747216075E-5"/>
        <n v="0.00842757070736496"/>
        <n v="1.929812647763309E-4"/>
        <n v="1.9298122734183427E-4"/>
        <n v="0.0021985435711549257"/>
        <n v="2.4259977342729028E-4"/>
        <n v="1.9371220728003124E-4"/>
        <n v="1.8702637733871653E-4"/>
        <n v="8.114439747864749E-4"/>
        <n v="3.878873950046336E-4"/>
        <n v="1.939436975023168E-4"/>
        <n v="3.068787891782831E-4"/>
        <n v="2.949716328767777E-4"/>
        <n v="1.887443726027008E-4"/>
        <n v="5.114802286088603E-5"/>
        <n v="8.03748905088299E-4"/>
        <n v="1.9283170025676295E-4"/>
        <n v="5.206456212136256E-5"/>
        <n v="3.7332188458800487E-4"/>
        <n v="0.001139567299631278"/>
        <n v="0.002909155221767525"/>
        <n v="1.920974698587219E-5"/>
        <n v="3.0661893874499774E-4"/>
        <n v="2.9472896569568646E-4"/>
        <n v="1.919394379833121E-4"/>
        <n v="7.662804036148978E-4"/>
        <n v="6.559934149342206E-5"/>
        <n v="1.8853431250465613E-4"/>
        <n v="1.8852108073973757E-4"/>
        <n v="1.8852033348172557E-4"/>
        <n v="1.9268244503205242E-4"/>
        <n v="1.4451182763723658E-4"/>
        <n v="1.7476722896570945E-4"/>
        <n v="1.9343118221805847E-4"/>
        <n v="2.4289394904382548E-4"/>
        <n v="1.9343118569558002E-4"/>
        <n v="1.8678271026790105E-4"/>
        <n v="4.3020483448918213E-4"/>
        <n v="2.495212694805858E-4"/>
        <n v="3.063595275022275E-4"/>
        <n v="2.9448669699765225E-4"/>
        <n v="1.917816628308164E-4"/>
        <n v="7.656321009331925E-4"/>
        <n v="6.354337941144716E-5"/>
        <n v="2.8599760685071206E-5"/>
        <n v="1.88320949374824E-4"/>
        <n v="1.9140800989129133E-4"/>
        <n v="1.925333730931833E-4"/>
        <n v="9.589083139495218E-4"/>
        <n v="1.9140801848281514E-4"/>
        <n v="0.001617513795346061"/>
        <n v="3.1705870491793674E-4"/>
        <n v="4.7945419829589927E-4"/>
        <n v="2.392600204442377E-4"/>
        <n v="0.0019253336971794181"/>
        <n v="2.426539497354395E-4"/>
        <n v="6.219878813735734E-5"/>
        <n v="1.9178166180801594E-5"/>
        <n v="2.942448904008634E-4"/>
        <n v="1.9162418858621432E-4"/>
        <n v="0.004169495812650295"/>
        <n v="5.790038861058501E-4"/>
        <n v="0.0017997440218142024"/>
        <n v="3.9582019053034537E-4"/>
        <n v="0.0013328094805989679"/>
        <n v="1.3332776630066502E-4"/>
        <n v="1.345387651070829E-4"/>
        <n v="5.992520562093889E-5"/>
        <n v="6.348362352225904E-5"/>
        <n v="1.923845304661761E-4"/>
        <n v="9.619228579137718E-5"/>
        <n v="1.9238452657953435E-4"/>
        <n v="1.923845278068949E-4"/>
        <n v="9.524740166190771E-4"/>
        <n v="4.781155818129439E-5"/>
        <n v="5.519196413791265E-5"/>
        <n v="0.0011362723115557138"/>
        <n v="1.9315097846485065E-4"/>
        <n v="1.3721968035918956E-4"/>
        <n v="2.2900688344285362E-4"/>
        <n v="6.146350902109837E-4"/>
        <n v="3.8807241612931405E-4"/>
        <n v="6.616434687654446E-4"/>
        <n v="5.760107630606369E-5"/>
        <n v="2.935216555168273E-4"/>
        <n v="1.9115318856784027E-4"/>
        <n v="7.646127542713611E-4"/>
        <n v="8.497470196535237E-5"/>
        <n v="0.002861437212597872"/>
        <n v="6.330504951796287E-5"/>
        <n v="8.428205065594392E-5"/>
        <n v="1.9193946743996523E-4"/>
        <n v="1.9313097514724368E-4"/>
        <n v="9.656548767590188E-5"/>
        <n v="3.714333715097836E-4"/>
        <n v="3.859924323513069E-4"/>
        <n v="2.9328143078322127E-4"/>
        <n v="7.639869783605439E-4"/>
        <n v="3.2605684019175354E-4"/>
        <n v="6.324574059257333E-5"/>
        <n v="9.649810680932616E-5"/>
        <n v="9.490841912124185E-4"/>
        <n v="4.8047848140184385E-4"/>
        <n v="2.3825221976761594E-4"/>
        <n v="1.405106181449547E-4"/>
        <n v="1.9259295081053228E-4"/>
        <n v="9.787374989609154E-5"/>
        <n v="1.9099674019209398E-5"/>
        <n v="1.9099671421296242E-4"/>
        <n v="2.930415345731211E-4"/>
        <n v="1.331036590611795E-5"/>
        <n v="1.0389518441335121E-5"/>
        <n v="1.3375389831326531E-5"/>
        <n v="5.2177878592826366E-5"/>
        <n v="6.318654274331314E-5"/>
        <n v="1.9164382390021785E-4"/>
        <n v="1.4373289063133348E-4"/>
        <n v="1.9286160407820853E-4"/>
        <n v="9.643080224366435E-5"/>
        <n v="4.7610337533896856E-5"/>
        <n v="6.750155927949203E-4"/>
        <n v="1.1498629773582822E-4"/>
        <n v="1.7394388298687649E-4"/>
        <n v="1.9245395775190096E-4"/>
        <n v="1.9245396102486243E-4"/>
        <n v="1.1817118359263698E-5"/>
        <n v="5.7372401444308906E-5"/>
        <n v="1.2616957233429026E-4"/>
        <n v="1.9084052644677195E-4"/>
        <n v="2.9280203070927523E-4"/>
        <n v="5.805685869015693E-5"/>
        <n v="9.57481915617567E-5"/>
        <n v="1.9149638905575605E-4"/>
        <n v="1.541817458182305E-4"/>
        <n v="9.636359116196408E-5"/>
        <n v="9.434237023618385E-4"/>
        <n v="0.00217901559085391"/>
        <n v="9.67782686890834E-4"/>
        <n v="1.9068454058139115E-5"/>
        <n v="5.80026193774997E-5"/>
        <n v="1.9134914547497923E-4"/>
        <n v="9.629647335966523E-5"/>
        <n v="9.526442959162482E-4"/>
        <n v="6.740754340035501E-4"/>
        <n v="1.402376099975037E-4"/>
        <n v="5.777789821226944E-4"/>
        <n v="4.237045869854373E-4"/>
        <n v="1.9259299397271143E-4"/>
        <n v="4.737787653078798E-4"/>
        <n v="3.4666738931452863E-4"/>
        <n v="5.728143132173305E-5"/>
        <n v="0.0019219141943993348"/>
        <n v="4.826402626233916E-4"/>
        <n v="7.60252931915676E-4"/>
        <n v="6.289225093664632E-5"/>
        <n v="5.784052657516573E-5"/>
        <n v="1.90908824151675E-4"/>
        <n v="1.9090883601616027E-4"/>
        <n v="9.60956992669461E-5"/>
        <n v="3.692541077646287E-4"/>
        <n v="3.841158942208058E-4"/>
        <n v="7.596341000017038E-4"/>
        <n v="1.2928471506459384E-4"/>
        <n v="0.0012344057024155574"/>
        <n v="9.602897258354103E-5"/>
        <n v="9.646569041719633E-4"/>
        <n v="5.761738244550013E-4"/>
        <n v="2.3953024125589038E-4"/>
        <n v="2.3685550596868932E-4"/>
        <n v="1.916241730396474E-4"/>
        <n v="1.9152534596854092E-5"/>
        <n v="7.590164553544991E-4"/>
        <n v="8.425709718869769E-5"/>
        <n v="1.9061637747702789E-4"/>
        <n v="1.90616373181266E-4"/>
        <n v="4.733146403496002E-5"/>
        <n v="5.628963841319913E-4"/>
        <n v="6.702029110142806E-4"/>
        <n v="1.9105048140092995E-4"/>
        <n v="9.530819953928676E-4"/>
        <n v="1.9047052163190766E-4"/>
        <n v="1.9032484804982835E-4"/>
        <n v="3.133092477340624E-4"/>
        <n v="4.042441784055622E-4"/>
        <n v="1.7289660753127696E-4"/>
        <n v="1.907673786221141E-4"/>
        <n v="0.0019032485455483922"/>
        <n v="2.868178928151456E-4"/>
        <n v="7.129504740924827E-5"/>
        <n v="1.2111611248499863E-4"/>
        <n v="1.3360015667664157E-4"/>
        <n v="0.0018703519596514643"/>
        <n v="2.3547507331195602E-4"/>
        <n v="4.766626426274377E-5"/>
        <n v="4.766626906990591E-4"/>
        <n v="2.515256957160645E-4"/>
        <n v="2.7320674952467937E-4"/>
        <n v="1.3333522047037673E-4"/>
        <n v="1.4621940854243404E-4"/>
        <n v="4.7055844187004694E-4"/>
        <n v="4.7632211758095055E-5"/>
        <n v="2.7298598050131697E-4"/>
        <n v="6.95061573454471E-5"/>
        <n v="1.460745568827999E-4"/>
        <n v="1.3320313274673332E-4"/>
        <n v="4.79232659717475E-4"/>
        <n v="2.7276556823075304E-4"/>
        <n v="4.756423807637597E-5"/>
        <n v="2.7188753208882255E-4"/>
        <n v="7.510758554522E-4"/>
        <n v="6.917131047796264E-5"/>
        <n v="1.5339376889279114E-4"/>
        <n v="2.716688888539246E-4"/>
        <n v="7.504718580314582E-4"/>
        <n v="7.643192174959897E-4"/>
        <n v="1.8908612357781263E-4"/>
        <n v="2.339169941263786E-4"/>
        <n v="4.739515606941687E-5"/>
        <n v="4.739516171527538E-4"/>
        <n v="0.014970688355595115"/>
        <n v="0.012163684289023313"/>
        <n v="0.012163685135902089"/>
        <n v="2.7145066271705193E-4"/>
        <n v="6.398940652936636E-5"/>
        <n v="7.459730473220241E-5"/>
        <n v="4.6744744209526406E-4"/>
        <n v="4.736148977421974E-5"/>
        <n v="4.736148817865103E-4"/>
        <n v="3.769028081905238E-5"/>
        <n v="9.601342642575422E-5"/>
        <n v="7.492667732618279E-4"/>
        <n v="1.356684312304866E-4"/>
        <n v="6.897195255475267E-5"/>
        <n v="1.343397127966487E-4"/>
        <n v="6.877374078173191E-5"/>
        <n v="2.7804535991051856E-5"/>
        <n v="1.8788234758364367E-4"/>
        <n v="0.004004873373183673"/>
        <n v="3.091656196198673E-4"/>
        <n v="4.722728117155406E-5"/>
        <n v="1.2674623479920765E-4"/>
        <n v="8.379428685629809E-4"/>
        <n v="4.719384500645917E-5"/>
        <n v="4.7193842797210186E-4"/>
        <n v="3.754812239757478E-5"/>
        <n v="1.3092943097178187E-4"/>
        <n v="2.2367583820951742E-4"/>
        <n v="4.7160461801971806E-4"/>
        <n v="6.857666493089581E-5"/>
        <n v="1.874578170719949E-4"/>
        <n v="8.365659991384708E-4"/>
        <n v="3.770169318561062E-4"/>
        <n v="4.712712180057564E-5"/>
        <n v="4.709382841842418E-5"/>
        <n v="1.2044583166256885E-4"/>
        <n v="6.831564216372962E-5"/>
        <n v="1.4078955771680088E-4"/>
        <n v="4.699423629257778E-5"/>
        <n v="9.419715585059655E-4"/>
        <n v="4.6961129673789305E-5"/>
        <n v="3.775349320100813E-4"/>
        <n v="2.823991231963116E-4"/>
        <n v="6.403154058952553E-5"/>
        <n v="5.631368531103459E-4"/>
        <n v="4.692806989926163E-5"/>
        <n v="0.001877122876567141"/>
        <n v="6.812117936349444E-5"/>
        <n v="1.8647465054431745E-4"/>
        <n v="4.689506371947777E-5"/>
        <n v="2.482703589548361E-4"/>
        <n v="2.7807292131436337E-4"/>
        <n v="2.8144106641978987E-4"/>
        <n v="6.786360609314079E-5"/>
        <n v="4.6763479827338194E-5"/>
        <n v="0.006144980942725198"/>
        <n v="6.494870416739941E-5"/>
        <n v="2.475737706819186E-4"/>
        <n v="3.0467070700752488E-5"/>
        <n v="6.94388034808034E-5"/>
        <n v="1.9885648771847227E-4"/>
        <n v="0.017167621649966075"/>
        <n v="3.7197779837277946E-4"/>
        <n v="2.0234770947097876E-4"/>
        <n v="2.8086937374228045E-4"/>
        <n v="6.767170458980353E-5"/>
        <n v="2.2117511012258363E-4"/>
        <n v="6.735425842188977E-5"/>
        <n v="0.017084290767116473"/>
        <n v="6.484665727955042E-4"/>
        <n v="9.964396382815537E-5"/>
        <n v="9.465995069779728E-5"/>
        <n v="1.550678373319798E-4"/>
        <n v="6.722812237409053E-5"/>
        <n v="7.286469099044347E-5"/>
        <n v="3.169332615106052E-4"/>
        <n v="2.0365723219044847E-4"/>
        <n v="1.549325032396941E-4"/>
        <n v="6.697724578743205E-5"/>
        <n v="6.456787583265448E-4"/>
        <n v="1.7029807946945295E-4"/>
        <n v="2.7393765479844314E-4"/>
        <n v="2.7098152767302643E-5"/>
        <n v="4.577495607544068E-5"/>
        <n v="1.7015022711784568E-4"/>
        <n v="6.67903175490243E-5"/>
        <n v="5.502845631160601E-4"/>
        <n v="1.732509624763884E-4"/>
        <n v="1.691224771274809E-4"/>
        <n v="9.845020166411532E-5"/>
        <n v="7.2028219208819E-5"/>
        <n v="3.7048258091225005E-4"/>
        <n v="5.245799921281326E-4"/>
        <n v="7.490502406779476E-5"/>
        <n v="3.3954890537123616E-4"/>
        <n v="2.642490572127504E-4"/>
        <n v="1.472260931392E-4"/>
        <n v="2.6401855174274235E-4"/>
        <n v="2.6378844864243303E-4"/>
        <n v="7.115304711272094E-5"/>
        <n v="9.633601789363392E-5"/>
        <n v="0.0012661752859705853"/>
        <n v="7.945244766458655E-5"/>
        <n v="3.9622162129829145E-4"/>
        <n v="2.6128375679461825E-4"/>
        <n v="7.046807089792234E-5"/>
        <n v="3.5996746114319323E-4"/>
        <n v="9.929253859266551E-5"/>
        <n v="0.0012720126022914057"/>
        <n v="2.1624319415161104E-4"/>
        <n v="0.0013012752008799999"/>
        <n v="2.153450562986698E-4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Concentración" cacheId="0" dataCaption="" compact="0" compactData="0">
  <location ref="A4:B208" firstHeaderRow="0" firstDataRow="1" firstDataCol="0"/>
  <pivotFields>
    <pivotField name=" Sociedad de Garantía Recíproca / Librador 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h="1"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 Descripción " compact="0" outline="0" multipleItemSelectionAllowed="1" showAll="0">
      <items>
        <item x="0"/>
        <item x="1"/>
        <item t="default"/>
      </items>
    </pivotField>
    <pivotField name=" Fecha de Vencimiento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 Fecha " compact="0" numFmtId="164" outline="0" multipleItemSelectionAllowed="1" showAll="0">
      <items>
        <item x="0"/>
        <item x="1"/>
        <item t="default"/>
      </items>
    </pivotField>
    <pivotField name=" Precio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t="default"/>
      </items>
    </pivotField>
    <pivotField name=" Tipo de Cambio (Cheque/Fondo) " compact="0" outline="0" multipleItemSelectionAllowed="1" showAll="0">
      <items>
        <item x="0"/>
        <item t="default"/>
      </items>
    </pivotField>
    <pivotField name=" Importe Nominal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 Importe Actual 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t="default"/>
      </items>
    </pivotField>
    <pivotField name=" importe nominal 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t="default"/>
      </items>
    </pivotField>
    <pivotField name=" importe actual 2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t="default"/>
      </items>
    </pivotField>
    <pivotField name=" Nro. de Operación " compact="0" numFmtId="3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t="default"/>
      </items>
    </pivotField>
    <pivotField name=" Nombre " compact="0" outline="0" multipleItemSelectionAllowed="1" showAll="0">
      <items>
        <item x="0"/>
        <item x="1"/>
        <item t="default"/>
      </items>
    </pivotField>
    <pivotField name=" Agente " compact="0" outline="0" multipleItemSelectionAllowed="1" showAll="0">
      <items>
        <item x="0"/>
        <item x="1"/>
        <item t="default"/>
      </items>
    </pivotField>
    <pivotField name=" Fecha Concertación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 Fecha Liquidación 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t="default"/>
      </items>
    </pivotField>
    <pivotField name=" Tasa de Descuento 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t="default"/>
      </items>
    </pivotField>
    <pivotField name=" Vendido " compact="0" outline="0" multipleItemSelectionAllowed="1" showAll="0">
      <items>
        <item x="0"/>
        <item x="1"/>
        <item x="2"/>
        <item t="default"/>
      </items>
    </pivotField>
    <pivotField name=" nro. de operación 2" compact="0" outline="0" multipleItemSelectionAllowed="1" showAll="0">
      <items>
        <item x="0"/>
        <item x="1"/>
        <item t="default"/>
      </items>
    </pivotField>
    <pivotField name=" fecha concertación 2" compact="0" outline="0" multipleItemSelectionAllowed="1" showAll="0">
      <items>
        <item x="0"/>
        <item t="default"/>
      </items>
    </pivotField>
    <pivotField name=" fecha liquidación 2" compact="0" outline="0" multipleItemSelectionAllowed="1" showAll="0">
      <items>
        <item x="0"/>
        <item t="default"/>
      </items>
    </pivotField>
    <pivotField name=" Abreviatura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t="default"/>
      </items>
    </pivotField>
    <pivotField name=" Código CAFCI 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t="default"/>
      </items>
    </pivotField>
    <pivotField name=" % 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t="default"/>
      </items>
    </pivotField>
  </pivotFields>
  <rowFields>
    <field x="0"/>
  </rowFields>
  <dataFields>
    <dataField name="Suma de %" fld="2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 fitToPage="1"/>
  </sheetPr>
  <sheetViews>
    <sheetView workbookViewId="0"/>
  </sheetViews>
  <sheetFormatPr customHeight="1" defaultColWidth="14.43" defaultRowHeight="15.0"/>
  <cols>
    <col customWidth="1" min="1" max="1" width="60.0"/>
    <col customWidth="1" min="2" max="2" width="23.0"/>
    <col customWidth="1" min="3" max="3" width="25.0"/>
    <col customWidth="1" min="4" max="4" width="15.0"/>
    <col customWidth="1" min="5" max="5" width="18.0"/>
    <col customWidth="1" min="6" max="6" width="19.0"/>
    <col customWidth="1" min="7" max="9" width="15.0"/>
    <col customWidth="1" min="10" max="10" width="14.14"/>
    <col customWidth="1" min="11" max="11" width="33.0"/>
    <col customWidth="1" min="12" max="12" width="20.86"/>
    <col customWidth="1" min="13" max="13" width="20.0"/>
    <col customWidth="1" min="14" max="14" width="18.29"/>
    <col customWidth="1" hidden="1" min="15" max="15" width="15.14"/>
    <col customWidth="1" hidden="1" min="16" max="16" width="12.29"/>
    <col customWidth="1" hidden="1" min="17" max="17" width="14.14"/>
    <col customWidth="1" hidden="1" min="18" max="18" width="12.71"/>
    <col customWidth="1" hidden="1" min="19" max="19" width="19.29"/>
    <col customWidth="1" hidden="1" min="20" max="20" width="17.14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3"/>
      <c r="L1" s="4"/>
      <c r="M1" s="5"/>
      <c r="N1" s="6"/>
      <c r="O1" s="7"/>
    </row>
    <row r="2">
      <c r="A2" s="1" t="s">
        <v>1</v>
      </c>
      <c r="B2" s="1"/>
      <c r="C2" s="1"/>
      <c r="D2" s="1"/>
      <c r="E2" s="1"/>
      <c r="F2" s="1"/>
      <c r="G2" s="1"/>
      <c r="H2" s="1"/>
      <c r="I2" s="1"/>
      <c r="J2" s="2"/>
      <c r="K2" s="3"/>
      <c r="L2" s="4"/>
      <c r="M2" s="5"/>
      <c r="N2" s="8"/>
      <c r="O2" s="7"/>
      <c r="P2" s="9"/>
    </row>
    <row r="3">
      <c r="A3" s="1" t="s">
        <v>2</v>
      </c>
      <c r="B3" s="1"/>
      <c r="C3" s="1"/>
      <c r="D3" s="1"/>
      <c r="E3" s="1"/>
      <c r="F3" s="1"/>
      <c r="G3" s="1"/>
      <c r="H3" s="1"/>
      <c r="I3" s="1"/>
      <c r="J3" s="2"/>
      <c r="K3" s="10"/>
      <c r="L3" s="2"/>
      <c r="M3" s="11"/>
      <c r="N3" s="2"/>
      <c r="O3" s="2"/>
    </row>
    <row r="4" ht="14.2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2"/>
      <c r="K4" s="10"/>
      <c r="L4" s="12"/>
      <c r="M4" s="13"/>
      <c r="N4" s="2"/>
      <c r="O4" s="2"/>
    </row>
    <row r="5">
      <c r="A5" s="1" t="s">
        <v>4</v>
      </c>
      <c r="B5" s="1"/>
      <c r="C5" s="1"/>
      <c r="D5" s="1"/>
      <c r="E5" s="1"/>
      <c r="F5" s="1"/>
      <c r="G5" s="1"/>
      <c r="H5" s="1"/>
      <c r="I5" s="1"/>
      <c r="J5" s="2"/>
      <c r="K5" s="14" t="s">
        <v>5</v>
      </c>
      <c r="L5" s="15"/>
      <c r="M5" s="11"/>
      <c r="N5" s="2"/>
      <c r="O5" s="2"/>
      <c r="P5" s="16"/>
      <c r="Q5" s="17"/>
    </row>
    <row r="6">
      <c r="A6" s="1" t="s">
        <v>6</v>
      </c>
      <c r="B6" s="1"/>
      <c r="C6" s="1"/>
      <c r="D6" s="1"/>
      <c r="E6" s="1"/>
      <c r="F6" s="1"/>
      <c r="G6" s="1"/>
      <c r="H6" s="1"/>
      <c r="I6" s="1"/>
      <c r="J6" s="2"/>
      <c r="K6" s="14" t="s">
        <v>7</v>
      </c>
      <c r="L6" s="2"/>
      <c r="M6" s="2"/>
      <c r="N6" s="2"/>
      <c r="O6" s="2"/>
      <c r="P6" s="16"/>
      <c r="Q6" s="17"/>
    </row>
    <row r="7">
      <c r="A7" s="18" t="s">
        <v>8</v>
      </c>
      <c r="B7" s="18"/>
      <c r="C7" s="18" t="s">
        <v>9</v>
      </c>
      <c r="D7" s="18" t="s">
        <v>10</v>
      </c>
      <c r="E7" s="18"/>
      <c r="F7" s="18"/>
      <c r="G7" s="18"/>
      <c r="H7" s="18"/>
      <c r="I7" s="18"/>
      <c r="J7" s="2"/>
      <c r="K7" s="19"/>
      <c r="L7" s="20">
        <v>46209.0</v>
      </c>
      <c r="M7" s="20">
        <f t="shared" ref="M7:N7" si="1">WORKDAY(L7,1,$R:$R)</f>
        <v>46210</v>
      </c>
      <c r="N7" s="20">
        <f t="shared" si="1"/>
        <v>46211</v>
      </c>
      <c r="O7" s="2"/>
      <c r="R7" s="21">
        <v>45719.0</v>
      </c>
      <c r="S7" s="22" t="s">
        <v>11</v>
      </c>
    </row>
    <row r="8">
      <c r="A8" s="1" t="s">
        <v>12</v>
      </c>
      <c r="B8" s="23">
        <v>4.921586590586E10</v>
      </c>
      <c r="C8" s="24">
        <v>100.0</v>
      </c>
      <c r="D8" s="1" t="s">
        <v>13</v>
      </c>
      <c r="E8" s="1"/>
      <c r="F8" s="1"/>
      <c r="G8" s="1"/>
      <c r="H8" s="1"/>
      <c r="I8" s="1"/>
      <c r="J8" s="2"/>
      <c r="K8" s="25" t="s">
        <v>14</v>
      </c>
      <c r="L8" s="26">
        <v>3.5044109956E9</v>
      </c>
      <c r="M8" s="26"/>
      <c r="N8" s="26"/>
      <c r="O8" s="2"/>
      <c r="P8" s="27"/>
      <c r="R8" s="21">
        <v>45720.0</v>
      </c>
    </row>
    <row r="9">
      <c r="A9" s="1" t="s">
        <v>15</v>
      </c>
      <c r="B9" s="23">
        <v>4.743311115692E10</v>
      </c>
      <c r="C9" s="23">
        <v>96.38</v>
      </c>
      <c r="D9" s="23">
        <v>97.03</v>
      </c>
      <c r="E9" s="1"/>
      <c r="F9" s="1"/>
      <c r="G9" s="1"/>
      <c r="H9" s="1"/>
      <c r="I9" s="1"/>
      <c r="J9" s="2"/>
      <c r="K9" s="25" t="s">
        <v>16</v>
      </c>
      <c r="L9" s="26"/>
      <c r="M9" s="26"/>
      <c r="N9" s="26"/>
      <c r="O9" s="2"/>
      <c r="P9" s="28"/>
      <c r="R9" s="21">
        <v>45740.0</v>
      </c>
    </row>
    <row r="10">
      <c r="A10" s="1" t="s">
        <v>17</v>
      </c>
      <c r="B10" s="24">
        <v>2.95167942E8</v>
      </c>
      <c r="C10" s="29">
        <v>0.6</v>
      </c>
      <c r="D10" s="29">
        <v>0.6</v>
      </c>
      <c r="E10" s="1"/>
      <c r="F10" s="1"/>
      <c r="G10" s="1"/>
      <c r="H10" s="1"/>
      <c r="I10" s="1"/>
      <c r="J10" s="2"/>
      <c r="K10" s="25" t="s">
        <v>18</v>
      </c>
      <c r="L10" s="26">
        <f t="shared" ref="L10:N10" si="2">SUMIFS(F:F,A:A,$K$10,B:B,L7)</f>
        <v>0</v>
      </c>
      <c r="M10" s="26">
        <f t="shared" si="2"/>
        <v>0</v>
      </c>
      <c r="N10" s="26">
        <f t="shared" si="2"/>
        <v>0</v>
      </c>
      <c r="O10" s="30"/>
      <c r="P10" s="31"/>
      <c r="R10" s="21">
        <v>45749.0</v>
      </c>
      <c r="T10" s="26"/>
    </row>
    <row r="11">
      <c r="A11" s="1" t="s">
        <v>19</v>
      </c>
      <c r="B11" s="24">
        <v>-1.224725E9</v>
      </c>
      <c r="C11" s="23">
        <v>-2.49</v>
      </c>
      <c r="D11" s="23">
        <v>-2.51</v>
      </c>
      <c r="E11" s="1"/>
      <c r="F11" s="1"/>
      <c r="G11" s="1"/>
      <c r="H11" s="1"/>
      <c r="I11" s="1"/>
      <c r="J11" s="2"/>
      <c r="K11" s="32" t="s">
        <v>20</v>
      </c>
      <c r="L11" s="26">
        <f t="shared" ref="L11:N11" si="3">SUMIF($B$95:$B$1441,L7,$D$95:$D$1441)</f>
        <v>73381630.2</v>
      </c>
      <c r="M11" s="26">
        <f t="shared" si="3"/>
        <v>1034833880</v>
      </c>
      <c r="N11" s="26">
        <f t="shared" si="3"/>
        <v>346461071.1</v>
      </c>
      <c r="O11" s="15"/>
      <c r="P11" s="31"/>
      <c r="R11" s="21">
        <v>45765.0</v>
      </c>
    </row>
    <row r="12">
      <c r="A12" s="1" t="s">
        <v>21</v>
      </c>
      <c r="B12" s="23">
        <v>2914404.19</v>
      </c>
      <c r="C12" s="23">
        <v>0.01</v>
      </c>
      <c r="D12" s="23">
        <v>0.01</v>
      </c>
      <c r="E12" s="1"/>
      <c r="F12" s="1"/>
      <c r="G12" s="1"/>
      <c r="H12" s="1"/>
      <c r="I12" s="1"/>
      <c r="J12" s="2"/>
      <c r="K12" s="32" t="s">
        <v>22</v>
      </c>
      <c r="L12" s="26">
        <f>+SUMIF($B$1446:$B$1472,L7,$F$1446:$F$1472)</f>
        <v>0</v>
      </c>
      <c r="M12" s="26">
        <f t="shared" ref="M12:N12" si="4">+SUMIF($B$1428:$B$1454,M7,$F$1428:$F$1454)</f>
        <v>0</v>
      </c>
      <c r="N12" s="26">
        <f t="shared" si="4"/>
        <v>0</v>
      </c>
      <c r="O12" s="10"/>
      <c r="P12" s="33"/>
      <c r="R12" s="21">
        <v>45778.0</v>
      </c>
    </row>
    <row r="13">
      <c r="A13" s="1" t="s">
        <v>23</v>
      </c>
      <c r="B13" s="23">
        <v>2914463.73</v>
      </c>
      <c r="C13" s="23">
        <v>0.01</v>
      </c>
      <c r="D13" s="23">
        <v>0.01</v>
      </c>
      <c r="E13" s="1"/>
      <c r="F13" s="1"/>
      <c r="G13" s="1"/>
      <c r="H13" s="1"/>
      <c r="I13" s="1"/>
      <c r="J13" s="34"/>
      <c r="K13" s="1" t="s">
        <v>24</v>
      </c>
      <c r="L13" s="35">
        <f>SUMIF(A:A,K13,E:E)</f>
        <v>3179000000</v>
      </c>
      <c r="M13" s="35"/>
      <c r="N13" s="36"/>
      <c r="O13" s="10"/>
      <c r="P13" s="31"/>
      <c r="R13" s="21">
        <v>45779.0</v>
      </c>
      <c r="T13" s="37"/>
    </row>
    <row r="14">
      <c r="A14" s="1" t="s">
        <v>25</v>
      </c>
      <c r="B14" s="23">
        <v>-59.54</v>
      </c>
      <c r="C14" s="24">
        <v>0.0</v>
      </c>
      <c r="D14" s="24">
        <v>0.0</v>
      </c>
      <c r="E14" s="1"/>
      <c r="F14" s="1"/>
      <c r="G14" s="1"/>
      <c r="H14" s="1"/>
      <c r="I14" s="1"/>
      <c r="J14" s="2"/>
      <c r="K14" s="25" t="s">
        <v>5</v>
      </c>
      <c r="L14" s="24">
        <f>+B13</f>
        <v>2914463.73</v>
      </c>
      <c r="M14" s="24"/>
      <c r="N14" s="24"/>
      <c r="O14" s="10"/>
      <c r="P14" s="31"/>
      <c r="Q14" s="26"/>
      <c r="R14" s="21">
        <v>45802.0</v>
      </c>
      <c r="T14" s="37"/>
    </row>
    <row r="15">
      <c r="A15" s="1" t="s">
        <v>26</v>
      </c>
      <c r="B15" s="23">
        <v>1.77984034475E9</v>
      </c>
      <c r="C15" s="23">
        <v>3.62</v>
      </c>
      <c r="D15" s="23">
        <v>3.64</v>
      </c>
      <c r="E15" s="1"/>
      <c r="F15" s="1"/>
      <c r="G15" s="1"/>
      <c r="H15" s="1"/>
      <c r="I15" s="1"/>
      <c r="J15" s="2"/>
      <c r="K15" s="25" t="s">
        <v>27</v>
      </c>
      <c r="L15" s="26">
        <v>5100000.0</v>
      </c>
      <c r="M15" s="36"/>
      <c r="N15" s="38"/>
      <c r="O15" s="15"/>
      <c r="R15" s="21">
        <v>45824.0</v>
      </c>
    </row>
    <row r="16">
      <c r="A16" s="1" t="s">
        <v>28</v>
      </c>
      <c r="B16" s="29">
        <v>-3.304750316E8</v>
      </c>
      <c r="C16" s="1" t="s">
        <v>13</v>
      </c>
      <c r="D16" s="1" t="s">
        <v>13</v>
      </c>
      <c r="E16" s="1"/>
      <c r="F16" s="1"/>
      <c r="G16" s="1"/>
      <c r="H16" s="1"/>
      <c r="I16" s="1"/>
      <c r="J16" s="2"/>
      <c r="K16" s="25" t="s">
        <v>29</v>
      </c>
      <c r="L16" s="39"/>
      <c r="M16" s="36"/>
      <c r="O16" s="2"/>
      <c r="P16" s="26"/>
      <c r="R16" s="21">
        <v>45828.0</v>
      </c>
    </row>
    <row r="17">
      <c r="A17" s="1" t="s">
        <v>30</v>
      </c>
      <c r="B17" s="23">
        <v>-1.150107766E7</v>
      </c>
      <c r="C17" s="1" t="s">
        <v>13</v>
      </c>
      <c r="D17" s="1" t="s">
        <v>13</v>
      </c>
      <c r="E17" s="1"/>
      <c r="F17" s="1"/>
      <c r="G17" s="1"/>
      <c r="H17" s="1"/>
      <c r="I17" s="1"/>
      <c r="J17" s="2"/>
      <c r="K17" s="32" t="s">
        <v>31</v>
      </c>
      <c r="L17" s="40"/>
      <c r="M17" s="36"/>
      <c r="N17" s="2"/>
      <c r="O17" s="2"/>
      <c r="P17" s="28"/>
      <c r="R17" s="21">
        <v>45847.0</v>
      </c>
      <c r="T17" s="41"/>
    </row>
    <row r="18">
      <c r="A18" s="1" t="s">
        <v>32</v>
      </c>
      <c r="B18" s="23">
        <v>-667357.16</v>
      </c>
      <c r="C18" s="1" t="s">
        <v>13</v>
      </c>
      <c r="D18" s="1" t="s">
        <v>13</v>
      </c>
      <c r="E18" s="1"/>
      <c r="F18" s="1"/>
      <c r="G18" s="1"/>
      <c r="H18" s="1"/>
      <c r="I18" s="1"/>
      <c r="J18" s="2"/>
      <c r="K18" s="22" t="s">
        <v>33</v>
      </c>
      <c r="L18" s="42">
        <f>SUM(L8:L17)</f>
        <v>6764807090</v>
      </c>
      <c r="M18" s="36"/>
      <c r="O18" s="30"/>
      <c r="R18" s="21">
        <v>45884.0</v>
      </c>
    </row>
    <row r="19">
      <c r="A19" s="1" t="s">
        <v>34</v>
      </c>
      <c r="B19" s="23">
        <v>-9848836.81</v>
      </c>
      <c r="C19" s="1" t="s">
        <v>13</v>
      </c>
      <c r="D19" s="1" t="s">
        <v>13</v>
      </c>
      <c r="E19" s="1"/>
      <c r="F19" s="1"/>
      <c r="G19" s="1"/>
      <c r="H19" s="1"/>
      <c r="I19" s="1"/>
      <c r="J19" s="2"/>
      <c r="K19" s="32" t="s">
        <v>35</v>
      </c>
      <c r="L19" s="36">
        <f>-607698546.5</f>
        <v>-607698546.5</v>
      </c>
      <c r="M19" s="36"/>
      <c r="N19" s="36"/>
      <c r="O19" s="2"/>
      <c r="R19" s="21">
        <v>45886.0</v>
      </c>
    </row>
    <row r="20">
      <c r="A20" s="1" t="s">
        <v>36</v>
      </c>
      <c r="B20" s="23">
        <v>-984883.69</v>
      </c>
      <c r="C20" s="1" t="s">
        <v>13</v>
      </c>
      <c r="D20" s="1" t="s">
        <v>13</v>
      </c>
      <c r="E20" s="1"/>
      <c r="F20" s="1"/>
      <c r="G20" s="1"/>
      <c r="H20" s="1"/>
      <c r="I20" s="1"/>
      <c r="J20" s="2"/>
      <c r="K20" s="25" t="s">
        <v>37</v>
      </c>
      <c r="L20" s="36"/>
      <c r="M20" s="36"/>
      <c r="O20" s="2"/>
      <c r="R20" s="21">
        <v>45942.0</v>
      </c>
    </row>
    <row r="21" ht="15.75" customHeight="1">
      <c r="A21" s="1" t="s">
        <v>38</v>
      </c>
      <c r="B21" s="23">
        <v>-2.9410994594E8</v>
      </c>
      <c r="C21" s="1" t="s">
        <v>13</v>
      </c>
      <c r="D21" s="1" t="s">
        <v>13</v>
      </c>
      <c r="E21" s="1"/>
      <c r="F21" s="1"/>
      <c r="G21" s="1"/>
      <c r="H21" s="1"/>
      <c r="I21" s="1"/>
      <c r="J21" s="2"/>
      <c r="K21" s="25" t="s">
        <v>39</v>
      </c>
      <c r="L21" s="36"/>
      <c r="M21" s="36"/>
      <c r="N21" s="26"/>
      <c r="O21" s="2"/>
      <c r="R21" s="21">
        <v>45982.0</v>
      </c>
    </row>
    <row r="22" ht="15.75" customHeight="1">
      <c r="A22" s="1" t="s">
        <v>40</v>
      </c>
      <c r="B22" s="24">
        <v>-8056027.0</v>
      </c>
      <c r="C22" s="1" t="s">
        <v>13</v>
      </c>
      <c r="D22" s="1" t="s">
        <v>13</v>
      </c>
      <c r="E22" s="1"/>
      <c r="F22" s="1"/>
      <c r="G22" s="1"/>
      <c r="H22" s="1"/>
      <c r="I22" s="1"/>
      <c r="J22" s="43" t="s">
        <v>41</v>
      </c>
      <c r="K22" s="25" t="s">
        <v>42</v>
      </c>
      <c r="L22" s="36"/>
      <c r="M22" s="36"/>
      <c r="N22" s="2"/>
      <c r="O22" s="2"/>
      <c r="R22" s="21">
        <v>45985.0</v>
      </c>
    </row>
    <row r="23" ht="15.75" customHeight="1">
      <c r="A23" s="1" t="s">
        <v>43</v>
      </c>
      <c r="B23" s="23">
        <v>-2.4492491565E8</v>
      </c>
      <c r="C23" s="1" t="s">
        <v>13</v>
      </c>
      <c r="D23" s="1" t="s">
        <v>13</v>
      </c>
      <c r="E23" s="1"/>
      <c r="F23" s="1"/>
      <c r="G23" s="1"/>
      <c r="H23" s="1"/>
      <c r="I23" s="1"/>
      <c r="J23" s="2"/>
      <c r="K23" s="25" t="s">
        <v>44</v>
      </c>
      <c r="L23" s="36">
        <f>SUMIF(A:A,K23,B:B)</f>
        <v>-8056027</v>
      </c>
      <c r="M23" s="36"/>
      <c r="N23" s="36"/>
      <c r="O23" s="2"/>
      <c r="Q23" s="26"/>
      <c r="R23" s="21">
        <v>45999.0</v>
      </c>
    </row>
    <row r="24" ht="15.75" customHeight="1">
      <c r="A24" s="1" t="s">
        <v>45</v>
      </c>
      <c r="B24" s="23">
        <v>4.888539087426E10</v>
      </c>
      <c r="C24" s="1" t="s">
        <v>13</v>
      </c>
      <c r="D24" s="1" t="s">
        <v>13</v>
      </c>
      <c r="E24" s="1"/>
      <c r="F24" s="1"/>
      <c r="G24" s="1"/>
      <c r="H24" s="1"/>
      <c r="I24" s="1"/>
      <c r="J24" s="2"/>
      <c r="K24" s="32" t="s">
        <v>46</v>
      </c>
      <c r="L24" s="44"/>
      <c r="M24" s="40"/>
      <c r="N24" s="26"/>
      <c r="O24" s="2"/>
      <c r="R24" s="21">
        <v>46016.0</v>
      </c>
    </row>
    <row r="25" ht="15.75" customHeight="1">
      <c r="A25" s="1" t="s">
        <v>47</v>
      </c>
      <c r="B25" s="24">
        <v>1.463780795E9</v>
      </c>
      <c r="C25" s="1" t="s">
        <v>13</v>
      </c>
      <c r="D25" s="23">
        <v>2.99</v>
      </c>
      <c r="E25" s="1"/>
      <c r="F25" s="1"/>
      <c r="G25" s="1"/>
      <c r="H25" s="1"/>
      <c r="I25" s="1"/>
      <c r="J25" s="2"/>
      <c r="K25" s="32" t="s">
        <v>48</v>
      </c>
      <c r="L25" s="35"/>
      <c r="M25" s="40"/>
      <c r="N25" s="26"/>
      <c r="O25" s="2"/>
      <c r="R25" s="21"/>
    </row>
    <row r="26" ht="15.75" customHeight="1">
      <c r="A26" s="1" t="s">
        <v>49</v>
      </c>
      <c r="B26" s="23">
        <v>1.45227971734E9</v>
      </c>
      <c r="C26" s="1" t="s">
        <v>13</v>
      </c>
      <c r="D26" s="23">
        <v>2.97</v>
      </c>
      <c r="E26" s="1"/>
      <c r="F26" s="1"/>
      <c r="G26" s="1"/>
      <c r="H26" s="1"/>
      <c r="I26" s="1"/>
      <c r="J26" s="2"/>
      <c r="K26" s="45" t="s">
        <v>50</v>
      </c>
      <c r="L26" s="46"/>
      <c r="M26" s="46"/>
      <c r="N26" s="47"/>
      <c r="O26" s="2"/>
    </row>
    <row r="27" ht="15.75" customHeight="1">
      <c r="A27" s="1" t="s">
        <v>13</v>
      </c>
      <c r="B27" s="1"/>
      <c r="C27" s="1"/>
      <c r="D27" s="1"/>
      <c r="E27" s="1"/>
      <c r="F27" s="1"/>
      <c r="G27" s="1"/>
      <c r="H27" s="1"/>
      <c r="I27" s="1"/>
      <c r="J27" s="2"/>
      <c r="K27" s="22" t="s">
        <v>51</v>
      </c>
      <c r="L27" s="42">
        <f>SUM(L18:L26)</f>
        <v>6149052516</v>
      </c>
      <c r="M27" s="42">
        <f t="shared" ref="M27:N27" si="5">SUM(M8:M26)</f>
        <v>1034833880</v>
      </c>
      <c r="N27" s="42">
        <f t="shared" si="5"/>
        <v>346461071.1</v>
      </c>
      <c r="O27" s="2"/>
    </row>
    <row r="28" ht="15.75" customHeight="1">
      <c r="A28" s="1" t="s">
        <v>13</v>
      </c>
      <c r="B28" s="1"/>
      <c r="C28" s="1"/>
      <c r="D28" s="1"/>
      <c r="E28" s="1"/>
      <c r="F28" s="1"/>
      <c r="G28" s="1"/>
      <c r="H28" s="1"/>
      <c r="I28" s="1"/>
      <c r="J28" s="2"/>
      <c r="K28" s="2"/>
      <c r="L28" s="48"/>
      <c r="M28" s="2"/>
      <c r="N28" s="2"/>
      <c r="O28" s="2"/>
    </row>
    <row r="29" ht="15.75" customHeight="1">
      <c r="A29" s="1" t="s">
        <v>13</v>
      </c>
      <c r="B29" s="1"/>
      <c r="C29" s="1"/>
      <c r="D29" s="1"/>
      <c r="E29" s="1"/>
      <c r="F29" s="1"/>
      <c r="G29" s="1"/>
      <c r="H29" s="1"/>
      <c r="I29" s="1"/>
      <c r="J29" s="2"/>
      <c r="K29" s="2"/>
      <c r="L29" s="48"/>
      <c r="M29" s="2"/>
      <c r="N29" s="2"/>
      <c r="O29" s="2"/>
    </row>
    <row r="30" ht="15.75" customHeight="1">
      <c r="A30" s="1" t="s">
        <v>13</v>
      </c>
      <c r="B30" s="1"/>
      <c r="C30" s="1"/>
      <c r="D30" s="1"/>
      <c r="E30" s="1"/>
      <c r="F30" s="1"/>
      <c r="G30" s="1"/>
      <c r="H30" s="1"/>
      <c r="I30" s="1"/>
      <c r="J30" s="2"/>
      <c r="K30" s="2"/>
      <c r="L30" s="11"/>
      <c r="M30" s="2"/>
      <c r="N30" s="2"/>
      <c r="O30" s="2"/>
    </row>
    <row r="31" ht="15.75" customHeight="1">
      <c r="A31" s="1" t="s">
        <v>13</v>
      </c>
      <c r="B31" s="1"/>
      <c r="C31" s="1"/>
      <c r="D31" s="1"/>
      <c r="E31" s="1"/>
      <c r="F31" s="1"/>
      <c r="G31" s="1"/>
      <c r="H31" s="1"/>
      <c r="I31" s="1"/>
      <c r="J31" s="2"/>
      <c r="K31" s="25" t="s">
        <v>52</v>
      </c>
      <c r="L31" s="49">
        <v>3.318698410089E10</v>
      </c>
      <c r="M31" s="50"/>
      <c r="N31" s="2"/>
      <c r="O31" s="2"/>
    </row>
    <row r="32" ht="15.75" customHeight="1">
      <c r="A32" s="1" t="s">
        <v>13</v>
      </c>
      <c r="B32" s="1"/>
      <c r="C32" s="1"/>
      <c r="D32" s="1"/>
      <c r="E32" s="1"/>
      <c r="F32" s="1"/>
      <c r="G32" s="1"/>
      <c r="H32" s="1"/>
      <c r="I32" s="1"/>
      <c r="J32" s="2"/>
      <c r="K32" s="25" t="s">
        <v>53</v>
      </c>
      <c r="L32" s="51">
        <f>L31/B24</f>
        <v>0.6788732484</v>
      </c>
      <c r="M32" s="2"/>
      <c r="N32" s="12"/>
      <c r="O32" s="2"/>
      <c r="Q32" s="26"/>
      <c r="R32" s="26"/>
    </row>
    <row r="33" ht="15.75" customHeight="1">
      <c r="A33" s="1" t="s">
        <v>13</v>
      </c>
      <c r="B33" s="1"/>
      <c r="C33" s="1"/>
      <c r="D33" s="1"/>
      <c r="E33" s="1"/>
      <c r="F33" s="1"/>
      <c r="G33" s="1"/>
      <c r="H33" s="1"/>
      <c r="I33" s="1"/>
      <c r="J33" s="2"/>
      <c r="K33" s="52"/>
      <c r="L33" s="26"/>
      <c r="M33" s="2"/>
      <c r="N33" s="12"/>
      <c r="O33" s="2"/>
    </row>
    <row r="34" ht="15.75" customHeight="1">
      <c r="A34" s="1" t="s">
        <v>13</v>
      </c>
      <c r="B34" s="1"/>
      <c r="C34" s="1"/>
      <c r="D34" s="1"/>
      <c r="E34" s="1"/>
      <c r="F34" s="1"/>
      <c r="G34" s="1"/>
      <c r="H34" s="1"/>
      <c r="I34" s="1"/>
      <c r="J34" s="2"/>
      <c r="K34" s="2"/>
      <c r="L34" s="53"/>
      <c r="M34" s="12"/>
      <c r="N34" s="12"/>
      <c r="O34" s="2"/>
    </row>
    <row r="35" ht="15.75" customHeight="1">
      <c r="A35" s="1" t="s">
        <v>13</v>
      </c>
      <c r="B35" s="1"/>
      <c r="C35" s="1"/>
      <c r="D35" s="1"/>
      <c r="E35" s="1"/>
      <c r="F35" s="1"/>
      <c r="G35" s="1"/>
      <c r="H35" s="1"/>
      <c r="I35" s="1"/>
      <c r="J35" s="2"/>
      <c r="K35" s="2"/>
      <c r="L35" s="53"/>
      <c r="M35" s="12"/>
      <c r="N35" s="2"/>
      <c r="O35" s="2"/>
    </row>
    <row r="36" ht="15.75" customHeight="1">
      <c r="A36" s="1" t="s">
        <v>13</v>
      </c>
      <c r="B36" s="1"/>
      <c r="C36" s="1"/>
      <c r="D36" s="1"/>
      <c r="E36" s="1"/>
      <c r="F36" s="1"/>
      <c r="G36" s="1"/>
      <c r="H36" s="1"/>
      <c r="I36" s="1"/>
      <c r="J36" s="2"/>
      <c r="K36" s="2"/>
      <c r="L36" s="40"/>
      <c r="M36" s="12"/>
      <c r="N36" s="12"/>
      <c r="O36" s="2"/>
    </row>
    <row r="37" ht="15.75" customHeight="1">
      <c r="A37" s="1" t="s">
        <v>13</v>
      </c>
      <c r="B37" s="1"/>
      <c r="C37" s="1"/>
      <c r="D37" s="1"/>
      <c r="E37" s="1"/>
      <c r="F37" s="1"/>
      <c r="G37" s="1"/>
      <c r="H37" s="1"/>
      <c r="I37" s="1"/>
      <c r="J37" s="2"/>
      <c r="K37" s="2"/>
      <c r="L37" s="40"/>
      <c r="M37" s="12"/>
      <c r="N37" s="12"/>
      <c r="O37" s="2"/>
    </row>
    <row r="38" ht="15.75" customHeight="1">
      <c r="A38" s="1" t="s">
        <v>13</v>
      </c>
      <c r="B38" s="1"/>
      <c r="C38" s="1"/>
      <c r="D38" s="1"/>
      <c r="E38" s="1"/>
      <c r="F38" s="1"/>
      <c r="G38" s="1"/>
      <c r="H38" s="1"/>
      <c r="I38" s="1"/>
      <c r="J38" s="2"/>
      <c r="K38" s="2"/>
      <c r="L38" s="53"/>
      <c r="M38" s="12"/>
      <c r="N38" s="54"/>
      <c r="O38" s="2"/>
    </row>
    <row r="39" ht="15.75" customHeight="1">
      <c r="A39" s="1" t="s">
        <v>13</v>
      </c>
      <c r="B39" s="1"/>
      <c r="C39" s="1"/>
      <c r="D39" s="1"/>
      <c r="E39" s="1"/>
      <c r="F39" s="1"/>
      <c r="G39" s="1"/>
      <c r="H39" s="1"/>
      <c r="I39" s="1"/>
      <c r="J39" s="2"/>
      <c r="K39" s="2"/>
      <c r="L39" s="53"/>
      <c r="M39" s="12"/>
      <c r="N39" s="12"/>
      <c r="O39" s="55"/>
    </row>
    <row r="40" ht="15.75" customHeight="1">
      <c r="A40" s="1" t="s">
        <v>13</v>
      </c>
      <c r="B40" s="1"/>
      <c r="C40" s="1"/>
      <c r="D40" s="1"/>
      <c r="E40" s="1"/>
      <c r="F40" s="1"/>
      <c r="G40" s="1"/>
      <c r="H40" s="1"/>
      <c r="I40" s="1"/>
      <c r="J40" s="2"/>
      <c r="K40" s="56" t="s">
        <v>54</v>
      </c>
      <c r="L40" s="57">
        <f>VLOOKUP("Valor Patrimonial del Fondo",A:B,2,0)+L22+L23</f>
        <v>48877334847</v>
      </c>
      <c r="M40" s="12"/>
      <c r="N40" s="58"/>
      <c r="O40" s="55"/>
      <c r="Q40" s="27"/>
    </row>
    <row r="41" ht="15.75" customHeight="1">
      <c r="A41" s="1" t="s">
        <v>55</v>
      </c>
      <c r="B41" s="1"/>
      <c r="C41" s="1"/>
      <c r="D41" s="1"/>
      <c r="E41" s="1"/>
      <c r="F41" s="1"/>
      <c r="G41" s="1"/>
      <c r="H41" s="1"/>
      <c r="I41" s="1"/>
      <c r="J41" s="2"/>
      <c r="K41" s="59" t="s">
        <v>56</v>
      </c>
      <c r="L41" s="60">
        <f>+L40*0.05</f>
        <v>2443866742</v>
      </c>
      <c r="M41" s="12"/>
      <c r="N41" s="58"/>
      <c r="O41" s="55"/>
    </row>
    <row r="42" ht="15.75" customHeight="1">
      <c r="A42" s="1" t="s">
        <v>57</v>
      </c>
      <c r="B42" s="1"/>
      <c r="C42" s="1"/>
      <c r="D42" s="1"/>
      <c r="E42" s="1"/>
      <c r="F42" s="1"/>
      <c r="G42" s="1"/>
      <c r="H42" s="1"/>
      <c r="I42" s="1"/>
      <c r="J42" s="2"/>
      <c r="K42" s="59" t="s">
        <v>58</v>
      </c>
      <c r="L42" s="60">
        <f>+L40*0.2</f>
        <v>9775466969</v>
      </c>
      <c r="M42" s="12"/>
      <c r="N42" s="58"/>
      <c r="O42" s="55"/>
    </row>
    <row r="43" ht="15.75" customHeight="1">
      <c r="A43" s="18" t="s">
        <v>59</v>
      </c>
      <c r="B43" s="18" t="s">
        <v>60</v>
      </c>
      <c r="C43" s="18" t="s">
        <v>61</v>
      </c>
      <c r="D43" s="18" t="s">
        <v>62</v>
      </c>
      <c r="E43" s="18" t="s">
        <v>63</v>
      </c>
      <c r="F43" s="18" t="s">
        <v>64</v>
      </c>
      <c r="G43" s="18" t="s">
        <v>65</v>
      </c>
      <c r="H43" s="18" t="s">
        <v>66</v>
      </c>
      <c r="I43" s="18" t="s">
        <v>67</v>
      </c>
      <c r="J43" s="61"/>
      <c r="K43" s="2"/>
      <c r="L43" s="53"/>
      <c r="M43" s="12"/>
      <c r="N43" s="58"/>
      <c r="O43" s="55"/>
    </row>
    <row r="44" ht="15.75" customHeight="1">
      <c r="A44" s="1" t="s">
        <v>68</v>
      </c>
      <c r="B44" s="1" t="s">
        <v>69</v>
      </c>
      <c r="C44" s="24">
        <v>2.0E8</v>
      </c>
      <c r="D44" s="62">
        <v>1.1909</v>
      </c>
      <c r="E44" s="24">
        <v>2.38183006E8</v>
      </c>
      <c r="F44" s="23">
        <v>0.49</v>
      </c>
      <c r="G44" s="24">
        <v>0.0</v>
      </c>
      <c r="H44" s="1" t="s">
        <v>13</v>
      </c>
      <c r="I44" s="63" t="s">
        <v>70</v>
      </c>
      <c r="J44" s="61"/>
      <c r="K44" s="64"/>
      <c r="L44" s="53"/>
      <c r="M44" s="12"/>
      <c r="N44" s="58"/>
      <c r="O44" s="55"/>
    </row>
    <row r="45" ht="15.75" customHeight="1">
      <c r="A45" s="1"/>
      <c r="B45" s="1" t="s">
        <v>13</v>
      </c>
      <c r="C45" s="24">
        <v>2.0E8</v>
      </c>
      <c r="D45" s="1" t="s">
        <v>13</v>
      </c>
      <c r="E45" s="24">
        <v>2.38183006E8</v>
      </c>
      <c r="F45" s="23">
        <v>0.49</v>
      </c>
      <c r="G45" s="1" t="s">
        <v>13</v>
      </c>
      <c r="H45" s="1" t="s">
        <v>13</v>
      </c>
      <c r="I45" s="1" t="s">
        <v>13</v>
      </c>
      <c r="J45" s="2"/>
      <c r="K45" s="2"/>
      <c r="L45" s="53"/>
      <c r="M45" s="12"/>
      <c r="N45" s="55"/>
      <c r="O45" s="55"/>
    </row>
    <row r="46" ht="15.75" customHeight="1">
      <c r="A46" s="1" t="s">
        <v>13</v>
      </c>
      <c r="B46" s="1"/>
      <c r="C46" s="1"/>
      <c r="D46" s="1"/>
      <c r="E46" s="1"/>
      <c r="F46" s="1"/>
      <c r="G46" s="1"/>
      <c r="H46" s="1"/>
      <c r="I46" s="1"/>
      <c r="J46" s="2"/>
      <c r="K46" s="2"/>
      <c r="L46" s="53"/>
      <c r="M46" s="12"/>
      <c r="N46" s="55"/>
      <c r="O46" s="55"/>
    </row>
    <row r="47" ht="15.75" customHeight="1">
      <c r="A47" s="1" t="s">
        <v>71</v>
      </c>
      <c r="B47" s="1"/>
      <c r="C47" s="1"/>
      <c r="D47" s="1"/>
      <c r="E47" s="1"/>
      <c r="F47" s="1"/>
      <c r="G47" s="1"/>
      <c r="H47" s="1"/>
      <c r="I47" s="1"/>
      <c r="J47" s="61"/>
      <c r="K47" s="2"/>
      <c r="L47" s="53"/>
      <c r="M47" s="12"/>
      <c r="N47" s="55"/>
      <c r="O47" s="55"/>
    </row>
    <row r="48" ht="15.75" customHeight="1">
      <c r="A48" s="18" t="s">
        <v>59</v>
      </c>
      <c r="B48" s="18" t="s">
        <v>60</v>
      </c>
      <c r="C48" s="18" t="s">
        <v>61</v>
      </c>
      <c r="D48" s="18" t="s">
        <v>62</v>
      </c>
      <c r="E48" s="18" t="s">
        <v>63</v>
      </c>
      <c r="F48" s="18" t="s">
        <v>64</v>
      </c>
      <c r="G48" s="18" t="s">
        <v>65</v>
      </c>
      <c r="H48" s="18" t="s">
        <v>66</v>
      </c>
      <c r="I48" s="18" t="s">
        <v>67</v>
      </c>
      <c r="J48" s="2"/>
      <c r="K48" s="2"/>
      <c r="L48" s="53"/>
      <c r="M48" s="12"/>
      <c r="N48" s="55"/>
      <c r="O48" s="55"/>
    </row>
    <row r="49" ht="15.75" customHeight="1">
      <c r="A49" s="1" t="s">
        <v>72</v>
      </c>
      <c r="B49" s="1" t="s">
        <v>73</v>
      </c>
      <c r="C49" s="24">
        <v>3.0E8</v>
      </c>
      <c r="D49" s="62">
        <v>1.0379</v>
      </c>
      <c r="E49" s="24">
        <v>3.11382795E8</v>
      </c>
      <c r="F49" s="23">
        <v>0.64</v>
      </c>
      <c r="G49" s="24">
        <v>1.0</v>
      </c>
      <c r="H49" s="23">
        <v>3.79</v>
      </c>
      <c r="I49" s="63" t="s">
        <v>74</v>
      </c>
      <c r="J49" s="2"/>
      <c r="K49" s="2"/>
      <c r="L49" s="53"/>
      <c r="M49" s="12"/>
      <c r="N49" s="55"/>
      <c r="O49" s="55"/>
    </row>
    <row r="50" ht="15.75" customHeight="1">
      <c r="A50" s="1" t="s">
        <v>75</v>
      </c>
      <c r="B50" s="1" t="s">
        <v>76</v>
      </c>
      <c r="C50" s="24">
        <v>2.5E8</v>
      </c>
      <c r="D50" s="62">
        <v>0.9973</v>
      </c>
      <c r="E50" s="24">
        <v>2.49320315E8</v>
      </c>
      <c r="F50" s="23">
        <v>0.51</v>
      </c>
      <c r="G50" s="24">
        <v>1.0</v>
      </c>
      <c r="H50" s="23">
        <v>-0.27</v>
      </c>
      <c r="I50" s="63" t="s">
        <v>77</v>
      </c>
      <c r="J50" s="2"/>
      <c r="K50" s="2"/>
      <c r="L50" s="53"/>
      <c r="M50" s="12"/>
      <c r="N50" s="55"/>
      <c r="O50" s="2"/>
    </row>
    <row r="51" ht="15.75" customHeight="1">
      <c r="A51" s="1" t="s">
        <v>78</v>
      </c>
      <c r="B51" s="1" t="s">
        <v>79</v>
      </c>
      <c r="C51" s="24">
        <v>3.0E8</v>
      </c>
      <c r="D51" s="62">
        <v>1.0476</v>
      </c>
      <c r="E51" s="24">
        <v>3.14281872E8</v>
      </c>
      <c r="F51" s="23">
        <v>0.64</v>
      </c>
      <c r="G51" s="24">
        <v>1.0</v>
      </c>
      <c r="H51" s="23">
        <v>4.76</v>
      </c>
      <c r="I51" s="63" t="s">
        <v>80</v>
      </c>
      <c r="J51" s="2"/>
      <c r="K51" s="2"/>
      <c r="L51" s="53"/>
      <c r="M51" s="12"/>
      <c r="N51" s="2"/>
      <c r="O51" s="2"/>
    </row>
    <row r="52" ht="15.75" customHeight="1">
      <c r="A52" s="1"/>
      <c r="B52" s="1" t="s">
        <v>13</v>
      </c>
      <c r="C52" s="24">
        <v>8.5E8</v>
      </c>
      <c r="D52" s="1" t="s">
        <v>13</v>
      </c>
      <c r="E52" s="24">
        <v>8.74984982E8</v>
      </c>
      <c r="F52" s="23">
        <v>1.79</v>
      </c>
      <c r="G52" s="1" t="s">
        <v>13</v>
      </c>
      <c r="H52" s="1" t="s">
        <v>13</v>
      </c>
      <c r="I52" s="1" t="s">
        <v>13</v>
      </c>
      <c r="J52" s="2"/>
      <c r="K52" s="2"/>
      <c r="L52" s="53"/>
      <c r="M52" s="12"/>
      <c r="N52" s="2"/>
      <c r="O52" s="2"/>
    </row>
    <row r="53" ht="15.75" customHeight="1">
      <c r="A53" s="1" t="s">
        <v>13</v>
      </c>
      <c r="B53" s="1"/>
      <c r="C53" s="1"/>
      <c r="D53" s="1"/>
      <c r="E53" s="1"/>
      <c r="F53" s="1"/>
      <c r="G53" s="1"/>
      <c r="H53" s="1"/>
      <c r="I53" s="1"/>
      <c r="J53" s="2"/>
      <c r="K53" s="2"/>
      <c r="L53" s="53"/>
      <c r="M53" s="12"/>
      <c r="N53" s="2"/>
      <c r="O53" s="2"/>
    </row>
    <row r="54" ht="15.75" customHeight="1">
      <c r="A54" s="1" t="s">
        <v>81</v>
      </c>
      <c r="B54" s="1"/>
      <c r="C54" s="1"/>
      <c r="D54" s="1"/>
      <c r="E54" s="1"/>
      <c r="F54" s="1"/>
      <c r="G54" s="1"/>
      <c r="H54" s="1"/>
      <c r="I54" s="1"/>
      <c r="J54" s="2"/>
      <c r="K54" s="2"/>
      <c r="L54" s="53"/>
      <c r="M54" s="12"/>
      <c r="N54" s="2"/>
      <c r="O54" s="2"/>
    </row>
    <row r="55" ht="15.75" customHeight="1">
      <c r="A55" s="18" t="s">
        <v>59</v>
      </c>
      <c r="B55" s="18" t="s">
        <v>60</v>
      </c>
      <c r="C55" s="18" t="s">
        <v>61</v>
      </c>
      <c r="D55" s="18" t="s">
        <v>62</v>
      </c>
      <c r="E55" s="18" t="s">
        <v>63</v>
      </c>
      <c r="F55" s="18" t="s">
        <v>64</v>
      </c>
      <c r="G55" s="18" t="s">
        <v>65</v>
      </c>
      <c r="H55" s="18" t="s">
        <v>66</v>
      </c>
      <c r="I55" s="18" t="s">
        <v>67</v>
      </c>
      <c r="J55" s="2"/>
      <c r="K55" s="2"/>
      <c r="L55" s="53"/>
      <c r="M55" s="12"/>
      <c r="N55" s="2"/>
      <c r="O55" s="2"/>
    </row>
    <row r="56" ht="15.75" customHeight="1">
      <c r="A56" s="1" t="s">
        <v>82</v>
      </c>
      <c r="B56" s="1" t="s">
        <v>83</v>
      </c>
      <c r="C56" s="24">
        <v>2.5E8</v>
      </c>
      <c r="D56" s="65">
        <v>1.001</v>
      </c>
      <c r="E56" s="24">
        <v>2.50253945E8</v>
      </c>
      <c r="F56" s="23">
        <v>0.51</v>
      </c>
      <c r="G56" s="62">
        <v>0.9784</v>
      </c>
      <c r="H56" s="23">
        <v>2.31</v>
      </c>
      <c r="I56" s="63" t="s">
        <v>84</v>
      </c>
      <c r="J56" s="2"/>
      <c r="K56" s="2"/>
      <c r="L56" s="53"/>
      <c r="M56" s="12"/>
      <c r="N56" s="2"/>
      <c r="O56" s="2"/>
    </row>
    <row r="57" ht="15.75" customHeight="1">
      <c r="A57" s="1" t="s">
        <v>85</v>
      </c>
      <c r="B57" s="1" t="s">
        <v>86</v>
      </c>
      <c r="C57" s="24">
        <v>1.0E8</v>
      </c>
      <c r="D57" s="62">
        <v>0.2654</v>
      </c>
      <c r="E57" s="24">
        <v>2.6540514E7</v>
      </c>
      <c r="F57" s="23">
        <v>0.05</v>
      </c>
      <c r="G57" s="62">
        <v>0.9846</v>
      </c>
      <c r="H57" s="23">
        <v>-73.04</v>
      </c>
      <c r="I57" s="63" t="s">
        <v>87</v>
      </c>
      <c r="J57" s="2"/>
      <c r="K57" s="2"/>
      <c r="L57" s="53"/>
      <c r="M57" s="12"/>
      <c r="N57" s="2"/>
      <c r="O57" s="2"/>
    </row>
    <row r="58" ht="15.75" customHeight="1">
      <c r="A58" s="1" t="s">
        <v>88</v>
      </c>
      <c r="B58" s="1" t="s">
        <v>89</v>
      </c>
      <c r="C58" s="24">
        <v>1.01962042E8</v>
      </c>
      <c r="D58" s="62">
        <v>1.3755</v>
      </c>
      <c r="E58" s="23">
        <v>1.4024750303E8</v>
      </c>
      <c r="F58" s="23">
        <v>0.29</v>
      </c>
      <c r="G58" s="65">
        <v>0.924</v>
      </c>
      <c r="H58" s="23">
        <v>48.86</v>
      </c>
      <c r="I58" s="63" t="s">
        <v>90</v>
      </c>
      <c r="J58" s="2"/>
      <c r="K58" s="2"/>
      <c r="L58" s="53"/>
      <c r="M58" s="12"/>
      <c r="N58" s="2"/>
      <c r="O58" s="2"/>
    </row>
    <row r="59" ht="15.75" customHeight="1">
      <c r="A59" s="1" t="s">
        <v>91</v>
      </c>
      <c r="B59" s="1" t="s">
        <v>92</v>
      </c>
      <c r="C59" s="24">
        <v>3.82357659E8</v>
      </c>
      <c r="D59" s="62">
        <v>1.1508</v>
      </c>
      <c r="E59" s="23">
        <v>4.4002556379E8</v>
      </c>
      <c r="F59" s="29">
        <v>0.9</v>
      </c>
      <c r="G59" s="23">
        <v>0.85</v>
      </c>
      <c r="H59" s="23">
        <v>35.39</v>
      </c>
      <c r="I59" s="63" t="s">
        <v>93</v>
      </c>
      <c r="J59" s="2"/>
      <c r="K59" s="2"/>
      <c r="L59" s="53"/>
      <c r="M59" s="12"/>
      <c r="N59" s="2"/>
      <c r="O59" s="2"/>
    </row>
    <row r="60" ht="15.75" customHeight="1">
      <c r="A60" s="1" t="s">
        <v>94</v>
      </c>
      <c r="B60" s="1" t="s">
        <v>95</v>
      </c>
      <c r="C60" s="24">
        <v>7.5584213E7</v>
      </c>
      <c r="D60" s="65">
        <v>1.063</v>
      </c>
      <c r="E60" s="23">
        <v>8.034326867E7</v>
      </c>
      <c r="F60" s="23">
        <v>0.16</v>
      </c>
      <c r="G60" s="62">
        <v>0.8718</v>
      </c>
      <c r="H60" s="23">
        <v>21.93</v>
      </c>
      <c r="I60" s="63" t="s">
        <v>96</v>
      </c>
      <c r="J60" s="2"/>
      <c r="K60" s="2"/>
      <c r="L60" s="53"/>
      <c r="M60" s="12"/>
      <c r="N60" s="2"/>
      <c r="O60" s="2"/>
      <c r="R60" s="31"/>
    </row>
    <row r="61" ht="15.75" customHeight="1">
      <c r="A61" s="1" t="s">
        <v>97</v>
      </c>
      <c r="B61" s="1" t="s">
        <v>98</v>
      </c>
      <c r="C61" s="24">
        <v>1.76363163E8</v>
      </c>
      <c r="D61" s="62">
        <v>1.0057</v>
      </c>
      <c r="E61" s="29">
        <v>1.773708492E8</v>
      </c>
      <c r="F61" s="23">
        <v>0.36</v>
      </c>
      <c r="G61" s="62">
        <v>0.8446</v>
      </c>
      <c r="H61" s="23">
        <v>19.08</v>
      </c>
      <c r="I61" s="63" t="s">
        <v>99</v>
      </c>
      <c r="J61" s="2"/>
      <c r="K61" s="2"/>
      <c r="L61" s="53"/>
      <c r="M61" s="12"/>
      <c r="N61" s="2"/>
      <c r="O61" s="2"/>
    </row>
    <row r="62" ht="15.75" customHeight="1">
      <c r="A62" s="1" t="s">
        <v>100</v>
      </c>
      <c r="B62" s="1" t="s">
        <v>101</v>
      </c>
      <c r="C62" s="24">
        <v>6.3635566E7</v>
      </c>
      <c r="D62" s="62">
        <v>0.9177</v>
      </c>
      <c r="E62" s="23">
        <v>5.839897109E7</v>
      </c>
      <c r="F62" s="23">
        <v>0.12</v>
      </c>
      <c r="G62" s="62">
        <v>0.9054</v>
      </c>
      <c r="H62" s="23">
        <v>1.36</v>
      </c>
      <c r="I62" s="63" t="s">
        <v>102</v>
      </c>
      <c r="J62" s="2"/>
      <c r="K62" s="2"/>
      <c r="L62" s="53"/>
      <c r="M62" s="12"/>
      <c r="N62" s="2"/>
      <c r="O62" s="2"/>
    </row>
    <row r="63" ht="15.75" customHeight="1">
      <c r="A63" s="1" t="s">
        <v>103</v>
      </c>
      <c r="B63" s="1" t="s">
        <v>104</v>
      </c>
      <c r="C63" s="24">
        <v>1.48482986E8</v>
      </c>
      <c r="D63" s="62">
        <v>0.8645</v>
      </c>
      <c r="E63" s="23">
        <v>1.2836839976E8</v>
      </c>
      <c r="F63" s="23">
        <v>0.26</v>
      </c>
      <c r="G63" s="62">
        <v>0.7853</v>
      </c>
      <c r="H63" s="23">
        <v>10.09</v>
      </c>
      <c r="I63" s="63" t="s">
        <v>105</v>
      </c>
      <c r="J63" s="2"/>
      <c r="K63" s="2"/>
      <c r="L63" s="53"/>
      <c r="M63" s="12"/>
      <c r="N63" s="2"/>
      <c r="O63" s="2"/>
    </row>
    <row r="64" ht="15.75" customHeight="1">
      <c r="A64" s="1" t="s">
        <v>106</v>
      </c>
      <c r="B64" s="1" t="s">
        <v>107</v>
      </c>
      <c r="C64" s="24">
        <v>3.06275E8</v>
      </c>
      <c r="D64" s="62">
        <v>0.0622</v>
      </c>
      <c r="E64" s="23">
        <v>1.903784267E7</v>
      </c>
      <c r="F64" s="23">
        <v>0.04</v>
      </c>
      <c r="G64" s="62">
        <v>1.0324</v>
      </c>
      <c r="H64" s="23">
        <v>-93.98</v>
      </c>
      <c r="I64" s="63" t="s">
        <v>108</v>
      </c>
      <c r="J64" s="2"/>
      <c r="K64" s="2"/>
      <c r="L64" s="53"/>
      <c r="M64" s="12"/>
      <c r="N64" s="2"/>
      <c r="O64" s="2"/>
      <c r="S64" s="31"/>
      <c r="T64" s="31"/>
    </row>
    <row r="65" ht="15.75" customHeight="1">
      <c r="A65" s="1"/>
      <c r="B65" s="1" t="s">
        <v>13</v>
      </c>
      <c r="C65" s="24">
        <v>1.604660629E9</v>
      </c>
      <c r="D65" s="1" t="s">
        <v>13</v>
      </c>
      <c r="E65" s="23">
        <v>1.32058685721E9</v>
      </c>
      <c r="F65" s="29">
        <v>2.7</v>
      </c>
      <c r="G65" s="1" t="s">
        <v>13</v>
      </c>
      <c r="H65" s="1" t="s">
        <v>13</v>
      </c>
      <c r="I65" s="1" t="s">
        <v>13</v>
      </c>
      <c r="J65" s="2"/>
      <c r="K65" s="2"/>
      <c r="L65" s="53"/>
      <c r="M65" s="12"/>
      <c r="N65" s="2"/>
      <c r="O65" s="2"/>
    </row>
    <row r="66" ht="15.75" customHeight="1">
      <c r="A66" s="1" t="s">
        <v>13</v>
      </c>
      <c r="B66" s="1"/>
      <c r="C66" s="1"/>
      <c r="D66" s="1"/>
      <c r="E66" s="1"/>
      <c r="F66" s="1"/>
      <c r="G66" s="1"/>
      <c r="H66" s="1"/>
      <c r="I66" s="1"/>
      <c r="J66" s="2"/>
      <c r="K66" s="2"/>
      <c r="L66" s="53"/>
      <c r="M66" s="12"/>
      <c r="N66" s="2"/>
      <c r="O66" s="2"/>
    </row>
    <row r="67" ht="15.75" customHeight="1">
      <c r="A67" s="1" t="s">
        <v>109</v>
      </c>
      <c r="B67" s="1"/>
      <c r="C67" s="1"/>
      <c r="D67" s="1"/>
      <c r="E67" s="1"/>
      <c r="F67" s="1"/>
      <c r="G67" s="1"/>
      <c r="H67" s="1"/>
      <c r="I67" s="1"/>
      <c r="J67" s="2"/>
      <c r="K67" s="2"/>
      <c r="L67" s="53"/>
      <c r="M67" s="12"/>
      <c r="N67" s="2"/>
      <c r="O67" s="2"/>
    </row>
    <row r="68" ht="15.75" customHeight="1">
      <c r="A68" s="18" t="s">
        <v>59</v>
      </c>
      <c r="B68" s="18" t="s">
        <v>60</v>
      </c>
      <c r="C68" s="18" t="s">
        <v>61</v>
      </c>
      <c r="D68" s="18" t="s">
        <v>62</v>
      </c>
      <c r="E68" s="18" t="s">
        <v>63</v>
      </c>
      <c r="F68" s="18" t="s">
        <v>64</v>
      </c>
      <c r="G68" s="18" t="s">
        <v>65</v>
      </c>
      <c r="H68" s="18" t="s">
        <v>66</v>
      </c>
      <c r="I68" s="18" t="s">
        <v>67</v>
      </c>
      <c r="J68" s="2"/>
      <c r="K68" s="2"/>
      <c r="L68" s="53"/>
      <c r="M68" s="12"/>
      <c r="N68" s="2"/>
      <c r="O68" s="2"/>
      <c r="S68" s="31"/>
      <c r="T68" s="31"/>
    </row>
    <row r="69" ht="15.75" customHeight="1">
      <c r="A69" s="1" t="s">
        <v>110</v>
      </c>
      <c r="B69" s="1" t="s">
        <v>13</v>
      </c>
      <c r="C69" s="24">
        <v>-225000.0</v>
      </c>
      <c r="D69" s="29">
        <v>1504.5</v>
      </c>
      <c r="E69" s="24">
        <v>-3.385125E8</v>
      </c>
      <c r="F69" s="23">
        <v>-0.69</v>
      </c>
      <c r="G69" s="62">
        <v>-651.5822</v>
      </c>
      <c r="H69" s="29">
        <v>-330.9</v>
      </c>
      <c r="I69" s="63" t="s">
        <v>111</v>
      </c>
      <c r="J69" s="66"/>
      <c r="K69" s="2"/>
      <c r="L69" s="53"/>
      <c r="M69" s="12"/>
      <c r="N69" s="2"/>
      <c r="O69" s="2"/>
    </row>
    <row r="70" ht="15.75" customHeight="1">
      <c r="A70" s="1" t="s">
        <v>112</v>
      </c>
      <c r="B70" s="1" t="s">
        <v>13</v>
      </c>
      <c r="C70" s="24">
        <v>-475000.0</v>
      </c>
      <c r="D70" s="29">
        <v>1531.5</v>
      </c>
      <c r="E70" s="24">
        <v>-7.274625E8</v>
      </c>
      <c r="F70" s="23">
        <v>-1.49</v>
      </c>
      <c r="G70" s="24">
        <v>0.0</v>
      </c>
      <c r="H70" s="1" t="s">
        <v>13</v>
      </c>
      <c r="I70" s="63" t="s">
        <v>113</v>
      </c>
      <c r="J70" s="2"/>
      <c r="K70" s="2"/>
      <c r="L70" s="53"/>
      <c r="M70" s="12"/>
      <c r="N70" s="2"/>
      <c r="O70" s="2"/>
    </row>
    <row r="71" ht="15.75" customHeight="1">
      <c r="A71" s="1" t="s">
        <v>114</v>
      </c>
      <c r="B71" s="1" t="s">
        <v>13</v>
      </c>
      <c r="C71" s="24">
        <v>-575000.0</v>
      </c>
      <c r="D71" s="24">
        <v>1558.0</v>
      </c>
      <c r="E71" s="24">
        <v>-8.9585E8</v>
      </c>
      <c r="F71" s="23">
        <v>-1.83</v>
      </c>
      <c r="G71" s="24">
        <v>0.0</v>
      </c>
      <c r="H71" s="1" t="s">
        <v>13</v>
      </c>
      <c r="I71" s="63" t="s">
        <v>115</v>
      </c>
      <c r="J71" s="66"/>
      <c r="K71" s="2"/>
      <c r="L71" s="53"/>
      <c r="M71" s="12"/>
      <c r="N71" s="2"/>
      <c r="O71" s="2"/>
    </row>
    <row r="72" ht="15.75" customHeight="1">
      <c r="A72" s="1" t="s">
        <v>116</v>
      </c>
      <c r="B72" s="1" t="s">
        <v>13</v>
      </c>
      <c r="C72" s="24">
        <v>-100000.0</v>
      </c>
      <c r="D72" s="29">
        <v>1587.5</v>
      </c>
      <c r="E72" s="24">
        <v>-1.5875E8</v>
      </c>
      <c r="F72" s="23">
        <v>-0.32</v>
      </c>
      <c r="G72" s="24">
        <v>0.0</v>
      </c>
      <c r="H72" s="1" t="s">
        <v>13</v>
      </c>
      <c r="I72" s="63" t="s">
        <v>117</v>
      </c>
      <c r="J72" s="2"/>
      <c r="K72" s="2"/>
      <c r="L72" s="53"/>
      <c r="M72" s="12"/>
      <c r="N72" s="2"/>
      <c r="O72" s="2"/>
    </row>
    <row r="73" ht="15.75" customHeight="1">
      <c r="A73" s="1"/>
      <c r="B73" s="1" t="s">
        <v>13</v>
      </c>
      <c r="C73" s="24">
        <v>-1375000.0</v>
      </c>
      <c r="D73" s="1" t="s">
        <v>13</v>
      </c>
      <c r="E73" s="24">
        <v>-2.120575E9</v>
      </c>
      <c r="F73" s="23">
        <v>-4.34</v>
      </c>
      <c r="G73" s="1" t="s">
        <v>13</v>
      </c>
      <c r="H73" s="1" t="s">
        <v>13</v>
      </c>
      <c r="I73" s="1" t="s">
        <v>13</v>
      </c>
      <c r="J73" s="2"/>
      <c r="K73" s="2"/>
      <c r="L73" s="53"/>
      <c r="M73" s="12"/>
      <c r="N73" s="2"/>
      <c r="O73" s="2"/>
    </row>
    <row r="74" ht="15.75" customHeight="1">
      <c r="A74" s="1" t="s">
        <v>13</v>
      </c>
      <c r="B74" s="1"/>
      <c r="C74" s="1"/>
      <c r="D74" s="1"/>
      <c r="E74" s="1"/>
      <c r="F74" s="1"/>
      <c r="G74" s="1"/>
      <c r="H74" s="1"/>
      <c r="I74" s="1"/>
      <c r="J74" s="2"/>
      <c r="K74" s="2"/>
      <c r="L74" s="53"/>
      <c r="M74" s="12"/>
      <c r="N74" s="2"/>
      <c r="O74" s="2"/>
    </row>
    <row r="75" ht="15.75" customHeight="1">
      <c r="A75" s="1" t="s">
        <v>118</v>
      </c>
      <c r="B75" s="1"/>
      <c r="C75" s="1"/>
      <c r="D75" s="1"/>
      <c r="E75" s="1"/>
      <c r="F75" s="1"/>
      <c r="G75" s="1"/>
      <c r="H75" s="1"/>
      <c r="I75" s="1"/>
      <c r="J75" s="2"/>
      <c r="K75" s="2"/>
      <c r="L75" s="53"/>
      <c r="M75" s="12"/>
      <c r="N75" s="2"/>
      <c r="O75" s="2"/>
    </row>
    <row r="76" ht="15.75" customHeight="1">
      <c r="A76" s="18" t="s">
        <v>59</v>
      </c>
      <c r="B76" s="18" t="s">
        <v>60</v>
      </c>
      <c r="C76" s="18" t="s">
        <v>61</v>
      </c>
      <c r="D76" s="18" t="s">
        <v>62</v>
      </c>
      <c r="E76" s="18" t="s">
        <v>63</v>
      </c>
      <c r="F76" s="18" t="s">
        <v>64</v>
      </c>
      <c r="G76" s="18" t="s">
        <v>65</v>
      </c>
      <c r="H76" s="18" t="s">
        <v>66</v>
      </c>
      <c r="I76" s="18" t="s">
        <v>67</v>
      </c>
      <c r="J76" s="2"/>
      <c r="K76" s="2"/>
      <c r="L76" s="53"/>
      <c r="M76" s="12"/>
      <c r="N76" s="2"/>
      <c r="O76" s="2"/>
    </row>
    <row r="77" ht="15.75" customHeight="1">
      <c r="A77" s="1" t="s">
        <v>24</v>
      </c>
      <c r="B77" s="1" t="s">
        <v>13</v>
      </c>
      <c r="C77" s="67">
        <v>2.551999908163332E8</v>
      </c>
      <c r="D77" s="62">
        <v>12.4569</v>
      </c>
      <c r="E77" s="24">
        <v>3.179E9</v>
      </c>
      <c r="F77" s="29">
        <v>6.5</v>
      </c>
      <c r="G77" s="62">
        <v>12.4569</v>
      </c>
      <c r="H77" s="24">
        <v>0.0</v>
      </c>
      <c r="I77" s="1" t="s">
        <v>13</v>
      </c>
      <c r="J77" s="2"/>
      <c r="K77" s="2"/>
      <c r="L77" s="53"/>
      <c r="M77" s="12"/>
      <c r="N77" s="2"/>
      <c r="O77" s="2"/>
    </row>
    <row r="78" ht="15.75" customHeight="1">
      <c r="A78" s="1"/>
      <c r="B78" s="1" t="s">
        <v>13</v>
      </c>
      <c r="C78" s="67">
        <v>2.551999908163332E8</v>
      </c>
      <c r="D78" s="1" t="s">
        <v>13</v>
      </c>
      <c r="E78" s="24">
        <v>3.179E9</v>
      </c>
      <c r="F78" s="29">
        <v>6.5</v>
      </c>
      <c r="G78" s="1" t="s">
        <v>13</v>
      </c>
      <c r="H78" s="1" t="s">
        <v>13</v>
      </c>
      <c r="I78" s="1" t="s">
        <v>13</v>
      </c>
      <c r="J78" s="2"/>
      <c r="K78" s="2"/>
      <c r="L78" s="53"/>
      <c r="M78" s="12"/>
      <c r="N78" s="2"/>
      <c r="O78" s="2"/>
    </row>
    <row r="79" ht="15.75" customHeight="1">
      <c r="A79" s="1" t="s">
        <v>13</v>
      </c>
      <c r="B79" s="1"/>
      <c r="C79" s="1"/>
      <c r="D79" s="1"/>
      <c r="E79" s="1"/>
      <c r="F79" s="1"/>
      <c r="G79" s="1"/>
      <c r="H79" s="1"/>
      <c r="I79" s="1"/>
      <c r="J79" s="2"/>
      <c r="K79" s="2"/>
      <c r="L79" s="53"/>
      <c r="M79" s="12"/>
      <c r="N79" s="2"/>
      <c r="O79" s="2"/>
    </row>
    <row r="80" ht="15.75" customHeight="1">
      <c r="A80" s="1" t="s">
        <v>119</v>
      </c>
      <c r="B80" s="1"/>
      <c r="C80" s="1"/>
      <c r="D80" s="1"/>
      <c r="E80" s="1"/>
      <c r="F80" s="1"/>
      <c r="G80" s="1"/>
      <c r="H80" s="1"/>
      <c r="I80" s="1"/>
      <c r="J80" s="2"/>
      <c r="K80" s="2"/>
      <c r="L80" s="53"/>
      <c r="M80" s="12"/>
      <c r="N80" s="2"/>
      <c r="O80" s="2"/>
    </row>
    <row r="81" ht="15.75" customHeight="1">
      <c r="A81" s="18" t="s">
        <v>59</v>
      </c>
      <c r="B81" s="18" t="s">
        <v>60</v>
      </c>
      <c r="C81" s="18" t="s">
        <v>61</v>
      </c>
      <c r="D81" s="18" t="s">
        <v>62</v>
      </c>
      <c r="E81" s="18" t="s">
        <v>63</v>
      </c>
      <c r="F81" s="18" t="s">
        <v>64</v>
      </c>
      <c r="G81" s="18" t="s">
        <v>65</v>
      </c>
      <c r="H81" s="18" t="s">
        <v>66</v>
      </c>
      <c r="I81" s="18" t="s">
        <v>67</v>
      </c>
      <c r="J81" s="2"/>
      <c r="K81" s="2"/>
      <c r="L81" s="53"/>
      <c r="M81" s="12"/>
      <c r="N81" s="2"/>
      <c r="O81" s="2"/>
    </row>
    <row r="82" ht="15.75" customHeight="1">
      <c r="A82" s="1" t="s">
        <v>120</v>
      </c>
      <c r="B82" s="1" t="s">
        <v>121</v>
      </c>
      <c r="C82" s="24">
        <v>3.0E8</v>
      </c>
      <c r="D82" s="62">
        <v>0.9839</v>
      </c>
      <c r="E82" s="24">
        <v>2.95167942E8</v>
      </c>
      <c r="F82" s="29">
        <v>0.6</v>
      </c>
      <c r="G82" s="24">
        <v>0.0</v>
      </c>
      <c r="H82" s="1" t="s">
        <v>13</v>
      </c>
      <c r="I82" s="63" t="s">
        <v>122</v>
      </c>
      <c r="J82" s="2"/>
      <c r="K82" s="2"/>
      <c r="L82" s="53"/>
      <c r="M82" s="12"/>
      <c r="N82" s="2"/>
      <c r="O82" s="2"/>
    </row>
    <row r="83" ht="15.75" customHeight="1">
      <c r="A83" s="1"/>
      <c r="B83" s="1" t="s">
        <v>13</v>
      </c>
      <c r="C83" s="24">
        <v>3.0E8</v>
      </c>
      <c r="D83" s="1" t="s">
        <v>13</v>
      </c>
      <c r="E83" s="24">
        <v>2.95167942E8</v>
      </c>
      <c r="F83" s="29">
        <v>0.6</v>
      </c>
      <c r="G83" s="1" t="s">
        <v>13</v>
      </c>
      <c r="H83" s="1" t="s">
        <v>13</v>
      </c>
      <c r="I83" s="1" t="s">
        <v>13</v>
      </c>
      <c r="J83" s="2"/>
      <c r="K83" s="2"/>
      <c r="L83" s="53"/>
      <c r="M83" s="12"/>
      <c r="N83" s="2"/>
      <c r="O83" s="2"/>
    </row>
    <row r="84" ht="15.75" customHeight="1">
      <c r="A84" s="1" t="s">
        <v>13</v>
      </c>
      <c r="B84" s="1"/>
      <c r="C84" s="1"/>
      <c r="D84" s="1"/>
      <c r="E84" s="1"/>
      <c r="F84" s="1"/>
      <c r="G84" s="1"/>
      <c r="H84" s="1"/>
      <c r="I84" s="1"/>
      <c r="J84" s="2"/>
      <c r="K84" s="2"/>
      <c r="L84" s="53"/>
      <c r="M84" s="12"/>
      <c r="N84" s="2"/>
      <c r="O84" s="2"/>
    </row>
    <row r="85" ht="15.75" customHeight="1">
      <c r="A85" s="1" t="s">
        <v>13</v>
      </c>
      <c r="B85" s="1"/>
      <c r="C85" s="1"/>
      <c r="D85" s="1"/>
      <c r="E85" s="1"/>
      <c r="F85" s="1"/>
      <c r="G85" s="1"/>
      <c r="H85" s="1"/>
      <c r="I85" s="1"/>
      <c r="J85" s="2"/>
      <c r="K85" s="2"/>
      <c r="L85" s="53"/>
      <c r="M85" s="12"/>
      <c r="N85" s="2"/>
      <c r="O85" s="2"/>
    </row>
    <row r="86" ht="15.75" customHeight="1">
      <c r="A86" s="1" t="s">
        <v>123</v>
      </c>
      <c r="B86" s="1"/>
      <c r="C86" s="1"/>
      <c r="D86" s="1"/>
      <c r="E86" s="1"/>
      <c r="F86" s="1"/>
      <c r="G86" s="1"/>
      <c r="H86" s="1"/>
      <c r="I86" s="1"/>
      <c r="J86" s="2"/>
      <c r="K86" s="2"/>
      <c r="L86" s="53"/>
      <c r="M86" s="12"/>
      <c r="N86" s="2"/>
      <c r="O86" s="2"/>
    </row>
    <row r="87" ht="15.75" customHeight="1">
      <c r="A87" s="18" t="s">
        <v>124</v>
      </c>
      <c r="B87" s="18" t="s">
        <v>67</v>
      </c>
      <c r="C87" s="18" t="s">
        <v>125</v>
      </c>
      <c r="D87" s="18" t="s">
        <v>126</v>
      </c>
      <c r="E87" s="18" t="s">
        <v>127</v>
      </c>
      <c r="F87" s="18" t="s">
        <v>63</v>
      </c>
      <c r="G87" s="18" t="s">
        <v>64</v>
      </c>
      <c r="H87" s="18"/>
      <c r="I87" s="18"/>
      <c r="J87" s="2"/>
      <c r="K87" s="2"/>
      <c r="L87" s="53"/>
      <c r="M87" s="12"/>
      <c r="N87" s="2"/>
      <c r="O87" s="2"/>
    </row>
    <row r="88" ht="15.75" customHeight="1">
      <c r="A88" s="1" t="s">
        <v>128</v>
      </c>
      <c r="B88" s="63" t="s">
        <v>129</v>
      </c>
      <c r="C88" s="63" t="s">
        <v>130</v>
      </c>
      <c r="D88" s="24">
        <v>3.0</v>
      </c>
      <c r="E88" s="67">
        <v>15.3334609</v>
      </c>
      <c r="F88" s="24">
        <v>3.5E9</v>
      </c>
      <c r="G88" s="23">
        <v>7.16</v>
      </c>
      <c r="H88" s="1"/>
      <c r="I88" s="1"/>
      <c r="J88" s="2"/>
      <c r="K88" s="2"/>
      <c r="L88" s="53"/>
      <c r="M88" s="12"/>
      <c r="N88" s="2"/>
      <c r="O88" s="2"/>
    </row>
    <row r="89" ht="15.75" customHeight="1">
      <c r="A89" s="1" t="s">
        <v>131</v>
      </c>
      <c r="B89" s="63" t="s">
        <v>132</v>
      </c>
      <c r="C89" s="63" t="s">
        <v>130</v>
      </c>
      <c r="D89" s="24">
        <v>31.0</v>
      </c>
      <c r="E89" s="68">
        <v>38.49997596</v>
      </c>
      <c r="F89" s="24">
        <v>6.12E8</v>
      </c>
      <c r="G89" s="23">
        <v>1.25</v>
      </c>
      <c r="H89" s="1"/>
      <c r="I89" s="1"/>
      <c r="J89" s="2"/>
      <c r="K89" s="2"/>
      <c r="L89" s="53"/>
      <c r="M89" s="12"/>
      <c r="N89" s="2"/>
      <c r="O89" s="2"/>
    </row>
    <row r="90" ht="15.75" customHeight="1">
      <c r="A90" s="1"/>
      <c r="B90" s="1"/>
      <c r="C90" s="1" t="s">
        <v>13</v>
      </c>
      <c r="D90" s="23">
        <v>7.17</v>
      </c>
      <c r="E90" s="68">
        <v>30.24643334</v>
      </c>
      <c r="F90" s="24">
        <v>4.112E9</v>
      </c>
      <c r="G90" s="23">
        <v>8.41</v>
      </c>
      <c r="H90" s="1"/>
      <c r="I90" s="1"/>
      <c r="J90" s="2"/>
      <c r="K90" s="2"/>
      <c r="L90" s="53"/>
      <c r="M90" s="12"/>
      <c r="N90" s="2"/>
      <c r="O90" s="2"/>
    </row>
    <row r="91" ht="15.75" customHeight="1">
      <c r="A91" s="1" t="s">
        <v>13</v>
      </c>
      <c r="B91" s="1"/>
      <c r="C91" s="1"/>
      <c r="D91" s="1"/>
      <c r="E91" s="1"/>
      <c r="F91" s="1"/>
      <c r="G91" s="1"/>
      <c r="H91" s="1"/>
      <c r="I91" s="1"/>
      <c r="J91" s="2"/>
      <c r="K91" s="2"/>
      <c r="L91" s="53"/>
      <c r="M91" s="12"/>
      <c r="N91" s="2"/>
      <c r="O91" s="2"/>
    </row>
    <row r="92" ht="15.75" customHeight="1">
      <c r="A92" s="1" t="s">
        <v>13</v>
      </c>
      <c r="B92" s="1"/>
      <c r="C92" s="1"/>
      <c r="D92" s="1"/>
      <c r="E92" s="1"/>
      <c r="F92" s="1"/>
      <c r="G92" s="1"/>
      <c r="H92" s="1"/>
      <c r="I92" s="1"/>
      <c r="J92" s="2"/>
      <c r="K92" s="2"/>
      <c r="L92" s="53"/>
      <c r="M92" s="12"/>
      <c r="N92" s="2"/>
      <c r="O92" s="2"/>
    </row>
    <row r="93" ht="15.75" customHeight="1">
      <c r="A93" s="1" t="s">
        <v>133</v>
      </c>
      <c r="B93" s="1"/>
      <c r="C93" s="1"/>
      <c r="D93" s="1"/>
      <c r="E93" s="1"/>
      <c r="F93" s="1"/>
      <c r="G93" s="1"/>
      <c r="H93" s="1"/>
      <c r="I93" s="1"/>
      <c r="J93" s="2"/>
      <c r="K93" s="2"/>
      <c r="L93" s="53"/>
      <c r="M93" s="12"/>
      <c r="N93" s="2"/>
      <c r="O93" s="2"/>
    </row>
    <row r="94" ht="15.75" customHeight="1">
      <c r="A94" s="18" t="s">
        <v>134</v>
      </c>
      <c r="B94" s="18" t="s">
        <v>67</v>
      </c>
      <c r="C94" s="18" t="s">
        <v>135</v>
      </c>
      <c r="D94" s="18" t="s">
        <v>136</v>
      </c>
      <c r="E94" s="18" t="s">
        <v>137</v>
      </c>
      <c r="F94" s="18" t="s">
        <v>138</v>
      </c>
      <c r="G94" s="18" t="s">
        <v>64</v>
      </c>
      <c r="H94" s="18"/>
      <c r="I94" s="18"/>
      <c r="J94" s="2"/>
      <c r="K94" s="2"/>
      <c r="L94" s="53"/>
      <c r="M94" s="12"/>
      <c r="N94" s="2"/>
      <c r="O94" s="2"/>
    </row>
    <row r="95" ht="15.75" customHeight="1">
      <c r="A95" s="1" t="s">
        <v>139</v>
      </c>
      <c r="B95" s="63" t="s">
        <v>140</v>
      </c>
      <c r="C95" s="63" t="s">
        <v>141</v>
      </c>
      <c r="D95" s="24">
        <v>1.0E7</v>
      </c>
      <c r="E95" s="69">
        <v>0.9778182781</v>
      </c>
      <c r="F95" s="23">
        <v>9778182.78</v>
      </c>
      <c r="G95" s="23">
        <v>0.02</v>
      </c>
      <c r="H95" s="1"/>
      <c r="I95" s="1"/>
      <c r="J95" s="2"/>
      <c r="K95" s="2"/>
      <c r="L95" s="53"/>
      <c r="M95" s="12"/>
      <c r="N95" s="2"/>
      <c r="O95" s="2"/>
    </row>
    <row r="96" ht="15.75" customHeight="1">
      <c r="A96" s="1" t="s">
        <v>142</v>
      </c>
      <c r="B96" s="63" t="s">
        <v>143</v>
      </c>
      <c r="C96" s="63" t="s">
        <v>144</v>
      </c>
      <c r="D96" s="24">
        <v>1.0E7</v>
      </c>
      <c r="E96" s="69">
        <v>0.9087287852</v>
      </c>
      <c r="F96" s="23">
        <v>9087287.85</v>
      </c>
      <c r="G96" s="23">
        <v>0.02</v>
      </c>
      <c r="H96" s="1"/>
      <c r="I96" s="1"/>
      <c r="J96" s="2"/>
      <c r="K96" s="2"/>
      <c r="L96" s="53"/>
      <c r="M96" s="12"/>
      <c r="N96" s="2"/>
      <c r="O96" s="2"/>
    </row>
    <row r="97" ht="15.75" customHeight="1">
      <c r="A97" s="1" t="s">
        <v>145</v>
      </c>
      <c r="B97" s="63" t="s">
        <v>146</v>
      </c>
      <c r="C97" s="63" t="s">
        <v>144</v>
      </c>
      <c r="D97" s="24">
        <v>1.0E7</v>
      </c>
      <c r="E97" s="69">
        <v>0.8863526539</v>
      </c>
      <c r="F97" s="23">
        <v>8863526.54</v>
      </c>
      <c r="G97" s="23">
        <v>0.02</v>
      </c>
      <c r="H97" s="1"/>
      <c r="I97" s="1"/>
      <c r="J97" s="2"/>
      <c r="K97" s="2"/>
      <c r="L97" s="53"/>
      <c r="M97" s="12"/>
      <c r="N97" s="2"/>
      <c r="O97" s="2"/>
    </row>
    <row r="98" ht="15.75" customHeight="1">
      <c r="A98" s="1" t="s">
        <v>147</v>
      </c>
      <c r="B98" s="63" t="s">
        <v>148</v>
      </c>
      <c r="C98" s="63" t="s">
        <v>144</v>
      </c>
      <c r="D98" s="24">
        <v>1.0E7</v>
      </c>
      <c r="E98" s="70">
        <v>0.935993449</v>
      </c>
      <c r="F98" s="23">
        <v>9359934.49</v>
      </c>
      <c r="G98" s="23">
        <v>0.02</v>
      </c>
      <c r="H98" s="1"/>
      <c r="I98" s="1"/>
      <c r="J98" s="2"/>
      <c r="K98" s="2"/>
      <c r="L98" s="53"/>
      <c r="M98" s="12"/>
      <c r="N98" s="2"/>
      <c r="O98" s="2"/>
    </row>
    <row r="99" ht="15.75" customHeight="1">
      <c r="A99" s="1" t="s">
        <v>149</v>
      </c>
      <c r="B99" s="63" t="s">
        <v>150</v>
      </c>
      <c r="C99" s="63" t="s">
        <v>151</v>
      </c>
      <c r="D99" s="24">
        <v>6530318.0</v>
      </c>
      <c r="E99" s="69">
        <v>0.9789984747</v>
      </c>
      <c r="F99" s="23">
        <v>6393171.36</v>
      </c>
      <c r="G99" s="23">
        <v>0.01</v>
      </c>
      <c r="H99" s="1"/>
      <c r="I99" s="1"/>
      <c r="J99" s="2"/>
      <c r="K99" s="2"/>
      <c r="L99" s="53"/>
      <c r="M99" s="12"/>
      <c r="N99" s="2"/>
      <c r="O99" s="2"/>
    </row>
    <row r="100" ht="15.75" customHeight="1">
      <c r="A100" s="1" t="s">
        <v>152</v>
      </c>
      <c r="B100" s="63" t="s">
        <v>153</v>
      </c>
      <c r="C100" s="63" t="s">
        <v>154</v>
      </c>
      <c r="D100" s="24">
        <v>4.5E7</v>
      </c>
      <c r="E100" s="70">
        <v>0.984517481</v>
      </c>
      <c r="F100" s="23">
        <v>4.430328665E7</v>
      </c>
      <c r="G100" s="23">
        <v>0.09</v>
      </c>
      <c r="H100" s="1"/>
      <c r="I100" s="1"/>
      <c r="J100" s="2"/>
      <c r="K100" s="2"/>
      <c r="L100" s="53"/>
      <c r="M100" s="12"/>
      <c r="N100" s="2"/>
      <c r="O100" s="2"/>
    </row>
    <row r="101" ht="15.75" customHeight="1">
      <c r="A101" s="1" t="s">
        <v>155</v>
      </c>
      <c r="B101" s="63" t="s">
        <v>111</v>
      </c>
      <c r="C101" s="63" t="s">
        <v>154</v>
      </c>
      <c r="D101" s="24">
        <v>4.0E7</v>
      </c>
      <c r="E101" s="69">
        <v>0.9695070751</v>
      </c>
      <c r="F101" s="24">
        <v>3.8780283E7</v>
      </c>
      <c r="G101" s="23">
        <v>0.08</v>
      </c>
      <c r="H101" s="1"/>
      <c r="I101" s="1"/>
      <c r="J101" s="2"/>
      <c r="K101" s="2"/>
      <c r="L101" s="53"/>
      <c r="M101" s="12"/>
      <c r="N101" s="2"/>
      <c r="O101" s="2"/>
    </row>
    <row r="102" ht="15.75" customHeight="1">
      <c r="A102" s="1" t="s">
        <v>156</v>
      </c>
      <c r="B102" s="63" t="s">
        <v>157</v>
      </c>
      <c r="C102" s="63" t="s">
        <v>154</v>
      </c>
      <c r="D102" s="24">
        <v>3000000.0</v>
      </c>
      <c r="E102" s="69">
        <v>0.9528533567</v>
      </c>
      <c r="F102" s="23">
        <v>2858560.07</v>
      </c>
      <c r="G102" s="23">
        <v>0.01</v>
      </c>
      <c r="H102" s="1"/>
      <c r="I102" s="1"/>
      <c r="J102" s="2"/>
      <c r="K102" s="2"/>
      <c r="L102" s="53"/>
      <c r="M102" s="12"/>
      <c r="N102" s="2"/>
      <c r="O102" s="2"/>
    </row>
    <row r="103" ht="15.75" customHeight="1">
      <c r="A103" s="1" t="s">
        <v>158</v>
      </c>
      <c r="B103" s="63" t="s">
        <v>159</v>
      </c>
      <c r="C103" s="63" t="s">
        <v>154</v>
      </c>
      <c r="D103" s="24">
        <v>3000000.0</v>
      </c>
      <c r="E103" s="69">
        <v>0.9860600968</v>
      </c>
      <c r="F103" s="23">
        <v>2958180.29</v>
      </c>
      <c r="G103" s="23">
        <v>0.01</v>
      </c>
      <c r="H103" s="1"/>
      <c r="I103" s="1"/>
      <c r="J103" s="2"/>
      <c r="K103" s="2"/>
      <c r="L103" s="53"/>
      <c r="M103" s="12"/>
      <c r="N103" s="2"/>
      <c r="O103" s="2"/>
    </row>
    <row r="104" ht="15.75" customHeight="1">
      <c r="A104" s="1" t="s">
        <v>160</v>
      </c>
      <c r="B104" s="63" t="s">
        <v>161</v>
      </c>
      <c r="C104" s="63" t="s">
        <v>154</v>
      </c>
      <c r="D104" s="24">
        <v>3500000.0</v>
      </c>
      <c r="E104" s="69">
        <v>0.9485940052</v>
      </c>
      <c r="F104" s="23">
        <v>3320079.02</v>
      </c>
      <c r="G104" s="23">
        <v>0.01</v>
      </c>
      <c r="H104" s="1"/>
      <c r="I104" s="1"/>
      <c r="J104" s="2"/>
      <c r="K104" s="2"/>
      <c r="L104" s="53"/>
      <c r="M104" s="12"/>
      <c r="N104" s="2"/>
      <c r="O104" s="2"/>
    </row>
    <row r="105" ht="15.75" customHeight="1">
      <c r="A105" s="1" t="s">
        <v>162</v>
      </c>
      <c r="B105" s="63" t="s">
        <v>163</v>
      </c>
      <c r="C105" s="63" t="s">
        <v>154</v>
      </c>
      <c r="D105" s="24">
        <v>3500000.0</v>
      </c>
      <c r="E105" s="69">
        <v>0.9849159486</v>
      </c>
      <c r="F105" s="23">
        <v>3447205.82</v>
      </c>
      <c r="G105" s="23">
        <v>0.01</v>
      </c>
      <c r="H105" s="1"/>
      <c r="I105" s="1"/>
      <c r="J105" s="2"/>
      <c r="K105" s="2"/>
      <c r="L105" s="53"/>
      <c r="M105" s="12"/>
      <c r="N105" s="2"/>
      <c r="O105" s="2"/>
    </row>
    <row r="106" ht="15.75" customHeight="1">
      <c r="A106" s="1" t="s">
        <v>164</v>
      </c>
      <c r="B106" s="63" t="s">
        <v>143</v>
      </c>
      <c r="C106" s="63" t="s">
        <v>154</v>
      </c>
      <c r="D106" s="24">
        <v>3500000.0</v>
      </c>
      <c r="E106" s="69">
        <v>0.9475351916</v>
      </c>
      <c r="F106" s="23">
        <v>3316373.17</v>
      </c>
      <c r="G106" s="23">
        <v>0.01</v>
      </c>
      <c r="H106" s="1"/>
      <c r="I106" s="1"/>
      <c r="J106" s="2"/>
      <c r="K106" s="2"/>
      <c r="L106" s="53"/>
      <c r="M106" s="12"/>
      <c r="N106" s="2"/>
      <c r="O106" s="2"/>
    </row>
    <row r="107" ht="15.75" customHeight="1">
      <c r="A107" s="1" t="s">
        <v>165</v>
      </c>
      <c r="B107" s="63" t="s">
        <v>153</v>
      </c>
      <c r="C107" s="63" t="s">
        <v>154</v>
      </c>
      <c r="D107" s="24">
        <v>3500000.0</v>
      </c>
      <c r="E107" s="69">
        <v>0.9837744886</v>
      </c>
      <c r="F107" s="23">
        <v>3443210.71</v>
      </c>
      <c r="G107" s="23">
        <v>0.01</v>
      </c>
      <c r="H107" s="1"/>
      <c r="I107" s="1"/>
      <c r="J107" s="2"/>
      <c r="K107" s="2"/>
      <c r="L107" s="53"/>
      <c r="M107" s="12"/>
      <c r="N107" s="2"/>
      <c r="O107" s="2"/>
    </row>
    <row r="108" ht="15.75" customHeight="1">
      <c r="A108" s="1" t="s">
        <v>166</v>
      </c>
      <c r="B108" s="63" t="s">
        <v>167</v>
      </c>
      <c r="C108" s="63" t="s">
        <v>168</v>
      </c>
      <c r="D108" s="24">
        <v>5.0E7</v>
      </c>
      <c r="E108" s="68">
        <v>0.96217222</v>
      </c>
      <c r="F108" s="24">
        <v>4.8108611E7</v>
      </c>
      <c r="G108" s="29">
        <v>0.1</v>
      </c>
      <c r="H108" s="1"/>
      <c r="I108" s="1"/>
      <c r="J108" s="2"/>
      <c r="K108" s="2"/>
      <c r="L108" s="53"/>
      <c r="M108" s="12"/>
      <c r="N108" s="2"/>
      <c r="O108" s="2"/>
    </row>
    <row r="109" ht="15.75" customHeight="1">
      <c r="A109" s="1" t="s">
        <v>169</v>
      </c>
      <c r="B109" s="63" t="s">
        <v>170</v>
      </c>
      <c r="C109" s="63" t="s">
        <v>171</v>
      </c>
      <c r="D109" s="24">
        <v>3500000.0</v>
      </c>
      <c r="E109" s="69">
        <v>0.9817106344</v>
      </c>
      <c r="F109" s="23">
        <v>3435987.22</v>
      </c>
      <c r="G109" s="23">
        <v>0.01</v>
      </c>
      <c r="H109" s="1"/>
      <c r="I109" s="1"/>
      <c r="J109" s="2"/>
      <c r="K109" s="2"/>
      <c r="L109" s="53"/>
      <c r="M109" s="12"/>
      <c r="N109" s="2"/>
      <c r="O109" s="2"/>
    </row>
    <row r="110" ht="15.75" customHeight="1">
      <c r="A110" s="1" t="s">
        <v>172</v>
      </c>
      <c r="B110" s="63" t="s">
        <v>173</v>
      </c>
      <c r="C110" s="63" t="s">
        <v>171</v>
      </c>
      <c r="D110" s="24">
        <v>3500000.0</v>
      </c>
      <c r="E110" s="69">
        <v>0.9775040512</v>
      </c>
      <c r="F110" s="23">
        <v>3421264.18</v>
      </c>
      <c r="G110" s="23">
        <v>0.01</v>
      </c>
      <c r="H110" s="1"/>
      <c r="I110" s="1"/>
      <c r="J110" s="2"/>
      <c r="K110" s="2"/>
      <c r="L110" s="53"/>
      <c r="M110" s="12"/>
      <c r="N110" s="2"/>
      <c r="O110" s="2"/>
    </row>
    <row r="111" ht="15.75" customHeight="1">
      <c r="A111" s="1" t="s">
        <v>174</v>
      </c>
      <c r="B111" s="63" t="s">
        <v>175</v>
      </c>
      <c r="C111" s="63" t="s">
        <v>171</v>
      </c>
      <c r="D111" s="24">
        <v>3500000.0</v>
      </c>
      <c r="E111" s="69">
        <v>0.9722962403</v>
      </c>
      <c r="F111" s="23">
        <v>3403036.84</v>
      </c>
      <c r="G111" s="23">
        <v>0.01</v>
      </c>
      <c r="H111" s="1"/>
      <c r="I111" s="1"/>
      <c r="J111" s="2"/>
      <c r="K111" s="2"/>
      <c r="L111" s="53"/>
      <c r="M111" s="12"/>
      <c r="N111" s="2"/>
      <c r="O111" s="2"/>
    </row>
    <row r="112" ht="15.75" customHeight="1">
      <c r="A112" s="1" t="s">
        <v>176</v>
      </c>
      <c r="B112" s="63" t="s">
        <v>163</v>
      </c>
      <c r="C112" s="63" t="s">
        <v>177</v>
      </c>
      <c r="D112" s="24">
        <v>4100000.0</v>
      </c>
      <c r="E112" s="69">
        <v>0.9859535636</v>
      </c>
      <c r="F112" s="23">
        <v>4042409.61</v>
      </c>
      <c r="G112" s="23">
        <v>0.01</v>
      </c>
      <c r="H112" s="1"/>
      <c r="I112" s="1"/>
      <c r="J112" s="2"/>
      <c r="K112" s="2"/>
      <c r="L112" s="53"/>
      <c r="M112" s="12"/>
      <c r="N112" s="2"/>
      <c r="O112" s="2"/>
    </row>
    <row r="113" ht="15.75" customHeight="1">
      <c r="A113" s="1" t="s">
        <v>178</v>
      </c>
      <c r="B113" s="63" t="s">
        <v>153</v>
      </c>
      <c r="C113" s="63" t="s">
        <v>177</v>
      </c>
      <c r="D113" s="24">
        <v>4100000.0</v>
      </c>
      <c r="E113" s="69">
        <v>0.9848893853</v>
      </c>
      <c r="F113" s="23">
        <v>4038046.48</v>
      </c>
      <c r="G113" s="23">
        <v>0.01</v>
      </c>
      <c r="H113" s="1"/>
      <c r="I113" s="1"/>
      <c r="J113" s="2"/>
      <c r="K113" s="2"/>
      <c r="L113" s="53"/>
      <c r="M113" s="12"/>
      <c r="N113" s="2"/>
      <c r="O113" s="2"/>
    </row>
    <row r="114" ht="15.75" customHeight="1">
      <c r="A114" s="1" t="s">
        <v>179</v>
      </c>
      <c r="B114" s="63" t="s">
        <v>170</v>
      </c>
      <c r="C114" s="63" t="s">
        <v>177</v>
      </c>
      <c r="D114" s="24">
        <v>4100000.0</v>
      </c>
      <c r="E114" s="69">
        <v>0.9817106294</v>
      </c>
      <c r="F114" s="23">
        <v>4025013.58</v>
      </c>
      <c r="G114" s="23">
        <v>0.01</v>
      </c>
      <c r="H114" s="1"/>
      <c r="I114" s="1"/>
      <c r="J114" s="2"/>
      <c r="K114" s="2"/>
      <c r="L114" s="53"/>
      <c r="M114" s="12"/>
      <c r="N114" s="2"/>
      <c r="O114" s="2"/>
    </row>
    <row r="115" ht="15.75" customHeight="1">
      <c r="A115" s="1" t="s">
        <v>180</v>
      </c>
      <c r="B115" s="63" t="s">
        <v>140</v>
      </c>
      <c r="C115" s="63" t="s">
        <v>177</v>
      </c>
      <c r="D115" s="24">
        <v>4100000.0</v>
      </c>
      <c r="E115" s="69">
        <v>0.9806555729</v>
      </c>
      <c r="F115" s="23">
        <v>4020687.85</v>
      </c>
      <c r="G115" s="23">
        <v>0.01</v>
      </c>
      <c r="H115" s="1"/>
      <c r="I115" s="1"/>
      <c r="J115" s="2"/>
      <c r="K115" s="2"/>
      <c r="L115" s="53"/>
      <c r="M115" s="12"/>
      <c r="N115" s="2"/>
      <c r="O115" s="2"/>
    </row>
    <row r="116" ht="15.75" customHeight="1">
      <c r="A116" s="1" t="s">
        <v>181</v>
      </c>
      <c r="B116" s="63" t="s">
        <v>182</v>
      </c>
      <c r="C116" s="63" t="s">
        <v>177</v>
      </c>
      <c r="D116" s="24">
        <v>4100000.0</v>
      </c>
      <c r="E116" s="69">
        <v>0.9743727122</v>
      </c>
      <c r="F116" s="23">
        <v>3994928.12</v>
      </c>
      <c r="G116" s="23">
        <v>0.01</v>
      </c>
      <c r="H116" s="1"/>
      <c r="I116" s="1"/>
      <c r="J116" s="2"/>
      <c r="K116" s="2"/>
      <c r="L116" s="53"/>
      <c r="M116" s="12"/>
      <c r="N116" s="2"/>
      <c r="O116" s="2"/>
    </row>
    <row r="117" ht="15.75" customHeight="1">
      <c r="A117" s="1" t="s">
        <v>183</v>
      </c>
      <c r="B117" s="63" t="s">
        <v>111</v>
      </c>
      <c r="C117" s="63" t="s">
        <v>177</v>
      </c>
      <c r="D117" s="24">
        <v>4600000.0</v>
      </c>
      <c r="E117" s="69">
        <v>0.9702286415</v>
      </c>
      <c r="F117" s="23">
        <v>4463051.75</v>
      </c>
      <c r="G117" s="23">
        <v>0.01</v>
      </c>
      <c r="H117" s="1"/>
      <c r="I117" s="1"/>
      <c r="J117" s="2"/>
      <c r="K117" s="2"/>
      <c r="L117" s="53"/>
      <c r="M117" s="12"/>
      <c r="N117" s="2"/>
      <c r="O117" s="2"/>
    </row>
    <row r="118" ht="15.75" customHeight="1">
      <c r="A118" s="1" t="s">
        <v>184</v>
      </c>
      <c r="B118" s="63" t="s">
        <v>185</v>
      </c>
      <c r="C118" s="63" t="s">
        <v>177</v>
      </c>
      <c r="D118" s="24">
        <v>4100000.0</v>
      </c>
      <c r="E118" s="69">
        <v>0.9796027852</v>
      </c>
      <c r="F118" s="23">
        <v>4016371.42</v>
      </c>
      <c r="G118" s="23">
        <v>0.01</v>
      </c>
      <c r="H118" s="1"/>
      <c r="I118" s="1"/>
      <c r="J118" s="2"/>
      <c r="K118" s="2"/>
      <c r="L118" s="53"/>
      <c r="M118" s="12"/>
      <c r="N118" s="2"/>
      <c r="O118" s="2"/>
    </row>
    <row r="119" ht="15.75" customHeight="1">
      <c r="A119" s="1" t="s">
        <v>186</v>
      </c>
      <c r="B119" s="63" t="s">
        <v>187</v>
      </c>
      <c r="C119" s="63" t="s">
        <v>177</v>
      </c>
      <c r="D119" s="24">
        <v>4100000.0</v>
      </c>
      <c r="E119" s="70">
        <v>0.973333356</v>
      </c>
      <c r="F119" s="23">
        <v>3990666.76</v>
      </c>
      <c r="G119" s="23">
        <v>0.01</v>
      </c>
      <c r="H119" s="1"/>
      <c r="I119" s="1"/>
      <c r="J119" s="2"/>
      <c r="K119" s="2"/>
      <c r="L119" s="53"/>
      <c r="M119" s="12"/>
      <c r="N119" s="2"/>
      <c r="O119" s="2"/>
    </row>
    <row r="120" ht="15.75" customHeight="1">
      <c r="A120" s="1" t="s">
        <v>188</v>
      </c>
      <c r="B120" s="63" t="s">
        <v>175</v>
      </c>
      <c r="C120" s="63" t="s">
        <v>177</v>
      </c>
      <c r="D120" s="24">
        <v>4100000.0</v>
      </c>
      <c r="E120" s="69">
        <v>0.9722962221</v>
      </c>
      <c r="F120" s="23">
        <v>3986414.51</v>
      </c>
      <c r="G120" s="23">
        <v>0.01</v>
      </c>
      <c r="H120" s="1"/>
      <c r="I120" s="1"/>
      <c r="J120" s="2"/>
      <c r="K120" s="2"/>
      <c r="L120" s="53"/>
      <c r="M120" s="12"/>
      <c r="N120" s="2"/>
      <c r="O120" s="2"/>
    </row>
    <row r="121" ht="15.75" customHeight="1">
      <c r="A121" s="1" t="s">
        <v>189</v>
      </c>
      <c r="B121" s="63" t="s">
        <v>148</v>
      </c>
      <c r="C121" s="63" t="s">
        <v>190</v>
      </c>
      <c r="D121" s="24">
        <v>5.0E7</v>
      </c>
      <c r="E121" s="69">
        <v>0.9661196948</v>
      </c>
      <c r="F121" s="23">
        <v>4.830598474E7</v>
      </c>
      <c r="G121" s="29">
        <v>0.1</v>
      </c>
      <c r="H121" s="1"/>
      <c r="I121" s="1"/>
      <c r="J121" s="2"/>
      <c r="K121" s="2"/>
      <c r="L121" s="53"/>
      <c r="M121" s="12"/>
      <c r="N121" s="2"/>
      <c r="O121" s="2"/>
    </row>
    <row r="122" ht="15.75" customHeight="1">
      <c r="A122" s="1" t="s">
        <v>191</v>
      </c>
      <c r="B122" s="63" t="s">
        <v>140</v>
      </c>
      <c r="C122" s="63" t="s">
        <v>192</v>
      </c>
      <c r="D122" s="24">
        <v>1.0E8</v>
      </c>
      <c r="E122" s="69">
        <v>0.9806556033</v>
      </c>
      <c r="F122" s="23">
        <v>9.806556033E7</v>
      </c>
      <c r="G122" s="29">
        <v>0.2</v>
      </c>
      <c r="H122" s="1"/>
      <c r="I122" s="1"/>
      <c r="J122" s="2"/>
      <c r="K122" s="2"/>
      <c r="L122" s="53"/>
      <c r="M122" s="12"/>
      <c r="N122" s="2"/>
      <c r="O122" s="2"/>
    </row>
    <row r="123" ht="15.75" customHeight="1">
      <c r="A123" s="1" t="s">
        <v>193</v>
      </c>
      <c r="B123" s="63" t="s">
        <v>153</v>
      </c>
      <c r="C123" s="63" t="s">
        <v>192</v>
      </c>
      <c r="D123" s="24">
        <v>4.0E7</v>
      </c>
      <c r="E123" s="69">
        <v>0.9848894069</v>
      </c>
      <c r="F123" s="23">
        <v>3.939557628E7</v>
      </c>
      <c r="G123" s="23">
        <v>0.08</v>
      </c>
      <c r="H123" s="1"/>
      <c r="I123" s="1"/>
      <c r="J123" s="2"/>
      <c r="K123" s="2"/>
      <c r="L123" s="53"/>
      <c r="M123" s="12"/>
      <c r="N123" s="2"/>
      <c r="O123" s="2"/>
    </row>
    <row r="124" ht="15.75" customHeight="1">
      <c r="A124" s="1" t="s">
        <v>194</v>
      </c>
      <c r="B124" s="63" t="s">
        <v>143</v>
      </c>
      <c r="C124" s="63" t="s">
        <v>192</v>
      </c>
      <c r="D124" s="24">
        <v>4.0E7</v>
      </c>
      <c r="E124" s="69">
        <v>0.9510162439</v>
      </c>
      <c r="F124" s="23">
        <v>3.804064976E7</v>
      </c>
      <c r="G124" s="23">
        <v>0.08</v>
      </c>
      <c r="H124" s="1"/>
      <c r="I124" s="1"/>
      <c r="J124" s="2"/>
      <c r="K124" s="2"/>
      <c r="L124" s="53"/>
      <c r="M124" s="12"/>
      <c r="N124" s="2"/>
      <c r="O124" s="2"/>
    </row>
    <row r="125" ht="15.75" customHeight="1">
      <c r="A125" s="1" t="s">
        <v>195</v>
      </c>
      <c r="B125" s="63" t="s">
        <v>170</v>
      </c>
      <c r="C125" s="63" t="s">
        <v>196</v>
      </c>
      <c r="D125" s="24">
        <v>8000000.0</v>
      </c>
      <c r="E125" s="68">
        <v>0.98260918</v>
      </c>
      <c r="F125" s="23">
        <v>7860873.44</v>
      </c>
      <c r="G125" s="23">
        <v>0.02</v>
      </c>
      <c r="H125" s="1"/>
      <c r="I125" s="1"/>
      <c r="J125" s="2"/>
      <c r="K125" s="2"/>
      <c r="L125" s="53"/>
      <c r="M125" s="12"/>
      <c r="N125" s="2"/>
      <c r="O125" s="2"/>
    </row>
    <row r="126" ht="15.75" customHeight="1">
      <c r="A126" s="1" t="s">
        <v>197</v>
      </c>
      <c r="B126" s="63" t="s">
        <v>140</v>
      </c>
      <c r="C126" s="63" t="s">
        <v>198</v>
      </c>
      <c r="D126" s="24">
        <v>2.0E7</v>
      </c>
      <c r="E126" s="69">
        <v>0.9797080252</v>
      </c>
      <c r="F126" s="29">
        <v>1.95941605E7</v>
      </c>
      <c r="G126" s="23">
        <v>0.04</v>
      </c>
      <c r="H126" s="1"/>
      <c r="I126" s="1"/>
      <c r="J126" s="2"/>
      <c r="K126" s="2"/>
      <c r="L126" s="53"/>
      <c r="M126" s="12"/>
      <c r="N126" s="2"/>
      <c r="O126" s="2"/>
    </row>
    <row r="127" ht="15.75" customHeight="1">
      <c r="A127" s="1" t="s">
        <v>199</v>
      </c>
      <c r="B127" s="63" t="s">
        <v>159</v>
      </c>
      <c r="C127" s="63" t="s">
        <v>198</v>
      </c>
      <c r="D127" s="24">
        <v>2.0E7</v>
      </c>
      <c r="E127" s="69">
        <v>0.9863798764</v>
      </c>
      <c r="F127" s="23">
        <v>1.972759753E7</v>
      </c>
      <c r="G127" s="23">
        <v>0.04</v>
      </c>
      <c r="H127" s="1"/>
      <c r="I127" s="1"/>
      <c r="J127" s="2"/>
      <c r="K127" s="2"/>
      <c r="L127" s="53"/>
      <c r="M127" s="12"/>
      <c r="N127" s="2"/>
      <c r="O127" s="2"/>
    </row>
    <row r="128" ht="15.75" customHeight="1">
      <c r="A128" s="1" t="s">
        <v>200</v>
      </c>
      <c r="B128" s="63" t="s">
        <v>163</v>
      </c>
      <c r="C128" s="63" t="s">
        <v>198</v>
      </c>
      <c r="D128" s="24">
        <v>2.0E7</v>
      </c>
      <c r="E128" s="69">
        <v>0.9852615816</v>
      </c>
      <c r="F128" s="23">
        <v>1.970523163E7</v>
      </c>
      <c r="G128" s="23">
        <v>0.04</v>
      </c>
      <c r="H128" s="1"/>
      <c r="I128" s="1"/>
      <c r="J128" s="2"/>
      <c r="K128" s="2"/>
      <c r="L128" s="53"/>
      <c r="M128" s="12"/>
      <c r="N128" s="2"/>
      <c r="O128" s="2"/>
    </row>
    <row r="129" ht="15.75" customHeight="1">
      <c r="A129" s="1" t="s">
        <v>201</v>
      </c>
      <c r="B129" s="63" t="s">
        <v>187</v>
      </c>
      <c r="C129" s="63" t="s">
        <v>198</v>
      </c>
      <c r="D129" s="24">
        <v>2.0E7</v>
      </c>
      <c r="E129" s="69">
        <v>0.9746328457</v>
      </c>
      <c r="F129" s="23">
        <v>1.949265691E7</v>
      </c>
      <c r="G129" s="23">
        <v>0.04</v>
      </c>
      <c r="H129" s="1"/>
      <c r="I129" s="1"/>
      <c r="J129" s="2"/>
      <c r="K129" s="2"/>
      <c r="L129" s="53"/>
      <c r="M129" s="12"/>
      <c r="N129" s="2"/>
      <c r="O129" s="2"/>
    </row>
    <row r="130" ht="15.75" customHeight="1">
      <c r="A130" s="1" t="s">
        <v>202</v>
      </c>
      <c r="B130" s="63" t="s">
        <v>153</v>
      </c>
      <c r="C130" s="63" t="s">
        <v>198</v>
      </c>
      <c r="D130" s="24">
        <v>2.0E7</v>
      </c>
      <c r="E130" s="69">
        <v>0.9856340481</v>
      </c>
      <c r="F130" s="23">
        <v>1.971268096E7</v>
      </c>
      <c r="G130" s="23">
        <v>0.04</v>
      </c>
      <c r="H130" s="1"/>
      <c r="I130" s="1"/>
      <c r="J130" s="2"/>
      <c r="K130" s="2"/>
      <c r="L130" s="53"/>
      <c r="M130" s="12"/>
      <c r="N130" s="2"/>
      <c r="O130" s="2"/>
    </row>
    <row r="131" ht="15.75" customHeight="1">
      <c r="A131" s="1" t="s">
        <v>203</v>
      </c>
      <c r="B131" s="63" t="s">
        <v>204</v>
      </c>
      <c r="C131" s="63" t="s">
        <v>205</v>
      </c>
      <c r="D131" s="24">
        <v>2000000.0</v>
      </c>
      <c r="E131" s="69">
        <v>0.9373395348</v>
      </c>
      <c r="F131" s="23">
        <v>1874679.07</v>
      </c>
      <c r="G131" s="24">
        <v>0.0</v>
      </c>
      <c r="H131" s="1"/>
      <c r="I131" s="1"/>
      <c r="J131" s="2"/>
      <c r="K131" s="2"/>
      <c r="L131" s="53"/>
      <c r="M131" s="12"/>
      <c r="N131" s="2"/>
      <c r="O131" s="2"/>
    </row>
    <row r="132" ht="15.75" customHeight="1">
      <c r="A132" s="1" t="s">
        <v>206</v>
      </c>
      <c r="B132" s="63" t="s">
        <v>129</v>
      </c>
      <c r="C132" s="63" t="s">
        <v>207</v>
      </c>
      <c r="D132" s="24">
        <v>1.5E7</v>
      </c>
      <c r="E132" s="68">
        <v>0.99762211</v>
      </c>
      <c r="F132" s="23">
        <v>1.496433165E7</v>
      </c>
      <c r="G132" s="23">
        <v>0.03</v>
      </c>
      <c r="H132" s="1"/>
      <c r="I132" s="1"/>
      <c r="J132" s="2"/>
      <c r="K132" s="2"/>
      <c r="L132" s="53"/>
      <c r="M132" s="12"/>
      <c r="N132" s="2"/>
      <c r="O132" s="2"/>
    </row>
    <row r="133" ht="15.75" customHeight="1">
      <c r="A133" s="1" t="s">
        <v>208</v>
      </c>
      <c r="B133" s="63" t="s">
        <v>209</v>
      </c>
      <c r="C133" s="63" t="s">
        <v>207</v>
      </c>
      <c r="D133" s="24">
        <v>1.25E7</v>
      </c>
      <c r="E133" s="69">
        <v>0.9968319872</v>
      </c>
      <c r="F133" s="23">
        <v>1.246039984E7</v>
      </c>
      <c r="G133" s="23">
        <v>0.03</v>
      </c>
      <c r="H133" s="1"/>
      <c r="I133" s="1"/>
      <c r="J133" s="2"/>
      <c r="K133" s="2"/>
      <c r="L133" s="53"/>
      <c r="M133" s="12"/>
      <c r="N133" s="2"/>
      <c r="O133" s="2"/>
    </row>
    <row r="134" ht="15.75" customHeight="1">
      <c r="A134" s="1" t="s">
        <v>210</v>
      </c>
      <c r="B134" s="63" t="s">
        <v>211</v>
      </c>
      <c r="C134" s="63" t="s">
        <v>207</v>
      </c>
      <c r="D134" s="24">
        <v>1.25E7</v>
      </c>
      <c r="E134" s="69">
        <v>0.9913360024</v>
      </c>
      <c r="F134" s="23">
        <v>1.239170003E7</v>
      </c>
      <c r="G134" s="23">
        <v>0.03</v>
      </c>
      <c r="H134" s="1"/>
      <c r="I134" s="1"/>
      <c r="J134" s="2"/>
      <c r="K134" s="2"/>
      <c r="L134" s="53"/>
      <c r="M134" s="12"/>
      <c r="N134" s="2"/>
      <c r="O134" s="2"/>
    </row>
    <row r="135" ht="15.75" customHeight="1">
      <c r="A135" s="1" t="s">
        <v>212</v>
      </c>
      <c r="B135" s="63" t="s">
        <v>159</v>
      </c>
      <c r="C135" s="63" t="s">
        <v>207</v>
      </c>
      <c r="D135" s="24">
        <v>1.25E7</v>
      </c>
      <c r="E135" s="69">
        <v>0.9905558281</v>
      </c>
      <c r="F135" s="23">
        <v>1.238194785E7</v>
      </c>
      <c r="G135" s="23">
        <v>0.03</v>
      </c>
      <c r="H135" s="1"/>
      <c r="I135" s="1"/>
      <c r="J135" s="2"/>
      <c r="K135" s="2"/>
      <c r="L135" s="53"/>
      <c r="M135" s="12"/>
      <c r="N135" s="2"/>
      <c r="O135" s="2"/>
    </row>
    <row r="136" ht="15.75" customHeight="1">
      <c r="A136" s="1" t="s">
        <v>213</v>
      </c>
      <c r="B136" s="63" t="s">
        <v>153</v>
      </c>
      <c r="C136" s="63" t="s">
        <v>207</v>
      </c>
      <c r="D136" s="24">
        <v>1.25E7</v>
      </c>
      <c r="E136" s="69">
        <v>0.9889990934</v>
      </c>
      <c r="F136" s="23">
        <v>1.236248867E7</v>
      </c>
      <c r="G136" s="23">
        <v>0.03</v>
      </c>
      <c r="H136" s="1"/>
      <c r="I136" s="1"/>
      <c r="J136" s="2"/>
      <c r="K136" s="2"/>
      <c r="L136" s="53"/>
      <c r="M136" s="12"/>
      <c r="N136" s="2"/>
      <c r="O136" s="2"/>
    </row>
    <row r="137" ht="15.75" customHeight="1">
      <c r="A137" s="1" t="s">
        <v>214</v>
      </c>
      <c r="B137" s="63" t="s">
        <v>140</v>
      </c>
      <c r="C137" s="63" t="s">
        <v>207</v>
      </c>
      <c r="D137" s="24">
        <v>1.25E7</v>
      </c>
      <c r="E137" s="69">
        <v>0.9859002913</v>
      </c>
      <c r="F137" s="23">
        <v>1.232375364E7</v>
      </c>
      <c r="G137" s="23">
        <v>0.03</v>
      </c>
      <c r="H137" s="1"/>
      <c r="I137" s="1"/>
      <c r="J137" s="2"/>
      <c r="K137" s="2"/>
      <c r="L137" s="53"/>
      <c r="M137" s="12"/>
      <c r="N137" s="2"/>
      <c r="O137" s="2"/>
    </row>
    <row r="138" ht="15.75" customHeight="1">
      <c r="A138" s="1" t="s">
        <v>215</v>
      </c>
      <c r="B138" s="63" t="s">
        <v>173</v>
      </c>
      <c r="C138" s="63" t="s">
        <v>207</v>
      </c>
      <c r="D138" s="24">
        <v>1.25E7</v>
      </c>
      <c r="E138" s="69">
        <v>0.9835889118</v>
      </c>
      <c r="F138" s="29">
        <v>1.22948614E7</v>
      </c>
      <c r="G138" s="23">
        <v>0.03</v>
      </c>
      <c r="H138" s="1"/>
      <c r="I138" s="1"/>
      <c r="J138" s="2"/>
      <c r="K138" s="2"/>
      <c r="L138" s="53"/>
      <c r="M138" s="12"/>
      <c r="N138" s="2"/>
      <c r="O138" s="2"/>
    </row>
    <row r="139" ht="15.75" customHeight="1">
      <c r="A139" s="1" t="s">
        <v>216</v>
      </c>
      <c r="B139" s="63" t="s">
        <v>187</v>
      </c>
      <c r="C139" s="63" t="s">
        <v>207</v>
      </c>
      <c r="D139" s="24">
        <v>1.25E7</v>
      </c>
      <c r="E139" s="69">
        <v>0.9805238646</v>
      </c>
      <c r="F139" s="23">
        <v>1.225654831E7</v>
      </c>
      <c r="G139" s="23">
        <v>0.03</v>
      </c>
      <c r="H139" s="1"/>
      <c r="I139" s="1"/>
      <c r="J139" s="2"/>
      <c r="K139" s="2"/>
      <c r="L139" s="53"/>
      <c r="M139" s="12"/>
      <c r="N139" s="2"/>
      <c r="O139" s="2"/>
    </row>
    <row r="140" ht="15.75" customHeight="1">
      <c r="A140" s="1" t="s">
        <v>217</v>
      </c>
      <c r="B140" s="63" t="s">
        <v>150</v>
      </c>
      <c r="C140" s="63" t="s">
        <v>207</v>
      </c>
      <c r="D140" s="24">
        <v>1.25E7</v>
      </c>
      <c r="E140" s="69">
        <v>0.9789985229</v>
      </c>
      <c r="F140" s="23">
        <v>1.223748154E7</v>
      </c>
      <c r="G140" s="23">
        <v>0.03</v>
      </c>
      <c r="H140" s="1"/>
      <c r="I140" s="1"/>
      <c r="J140" s="2"/>
      <c r="K140" s="2"/>
      <c r="L140" s="53"/>
      <c r="M140" s="12"/>
      <c r="N140" s="2"/>
      <c r="O140" s="2"/>
    </row>
    <row r="141" ht="15.75" customHeight="1">
      <c r="A141" s="1" t="s">
        <v>218</v>
      </c>
      <c r="B141" s="63" t="s">
        <v>219</v>
      </c>
      <c r="C141" s="63" t="s">
        <v>207</v>
      </c>
      <c r="D141" s="24">
        <v>5.0E7</v>
      </c>
      <c r="E141" s="69">
        <v>0.9659407183</v>
      </c>
      <c r="F141" s="23">
        <v>4.829703592E7</v>
      </c>
      <c r="G141" s="29">
        <v>0.1</v>
      </c>
      <c r="H141" s="1"/>
      <c r="I141" s="1"/>
      <c r="J141" s="2"/>
      <c r="K141" s="2"/>
      <c r="L141" s="53"/>
      <c r="M141" s="12"/>
      <c r="N141" s="2"/>
      <c r="O141" s="2"/>
    </row>
    <row r="142" ht="15.75" customHeight="1">
      <c r="A142" s="1" t="s">
        <v>220</v>
      </c>
      <c r="B142" s="63" t="s">
        <v>143</v>
      </c>
      <c r="C142" s="63" t="s">
        <v>207</v>
      </c>
      <c r="D142" s="24">
        <v>5.0E7</v>
      </c>
      <c r="E142" s="69">
        <v>0.9592389541</v>
      </c>
      <c r="F142" s="23">
        <v>4.796194771E7</v>
      </c>
      <c r="G142" s="29">
        <v>0.1</v>
      </c>
      <c r="H142" s="1"/>
      <c r="I142" s="1"/>
      <c r="J142" s="2"/>
      <c r="K142" s="2"/>
      <c r="L142" s="53"/>
      <c r="M142" s="12"/>
      <c r="N142" s="2"/>
      <c r="O142" s="10"/>
      <c r="P142" s="31"/>
    </row>
    <row r="143" ht="15.75" customHeight="1">
      <c r="A143" s="1" t="s">
        <v>221</v>
      </c>
      <c r="B143" s="63" t="s">
        <v>140</v>
      </c>
      <c r="C143" s="63" t="s">
        <v>207</v>
      </c>
      <c r="D143" s="24">
        <v>5.0E7</v>
      </c>
      <c r="E143" s="69">
        <v>0.9839866448</v>
      </c>
      <c r="F143" s="23">
        <v>4.919933224E7</v>
      </c>
      <c r="G143" s="29">
        <v>0.1</v>
      </c>
      <c r="H143" s="1"/>
      <c r="I143" s="1"/>
      <c r="J143" s="2"/>
      <c r="K143" s="2"/>
      <c r="L143" s="53"/>
      <c r="M143" s="12"/>
      <c r="N143" s="10"/>
      <c r="O143" s="2"/>
    </row>
    <row r="144" ht="15.75" customHeight="1">
      <c r="A144" s="1" t="s">
        <v>222</v>
      </c>
      <c r="B144" s="63" t="s">
        <v>223</v>
      </c>
      <c r="C144" s="63" t="s">
        <v>207</v>
      </c>
      <c r="D144" s="24">
        <v>5.0E7</v>
      </c>
      <c r="E144" s="69">
        <v>0.9542733924</v>
      </c>
      <c r="F144" s="23">
        <v>4.771366962E7</v>
      </c>
      <c r="G144" s="29">
        <v>0.1</v>
      </c>
      <c r="H144" s="1"/>
      <c r="I144" s="1"/>
      <c r="J144" s="2"/>
      <c r="K144" s="2"/>
      <c r="L144" s="53"/>
      <c r="M144" s="12"/>
      <c r="N144" s="2"/>
      <c r="O144" s="2"/>
    </row>
    <row r="145" ht="15.75" customHeight="1">
      <c r="A145" s="1" t="s">
        <v>224</v>
      </c>
      <c r="B145" s="63" t="s">
        <v>187</v>
      </c>
      <c r="C145" s="63" t="s">
        <v>207</v>
      </c>
      <c r="D145" s="24">
        <v>5.0E7</v>
      </c>
      <c r="E145" s="69">
        <v>0.9778968782</v>
      </c>
      <c r="F145" s="23">
        <v>4.889484391E7</v>
      </c>
      <c r="G145" s="29">
        <v>0.1</v>
      </c>
      <c r="H145" s="1"/>
      <c r="I145" s="1"/>
      <c r="J145" s="2"/>
      <c r="K145" s="2"/>
      <c r="L145" s="53"/>
      <c r="M145" s="12"/>
      <c r="N145" s="2"/>
      <c r="O145" s="2"/>
    </row>
    <row r="146" ht="15.75" customHeight="1">
      <c r="A146" s="1" t="s">
        <v>225</v>
      </c>
      <c r="B146" s="63" t="s">
        <v>148</v>
      </c>
      <c r="C146" s="63" t="s">
        <v>207</v>
      </c>
      <c r="D146" s="24">
        <v>5.0E7</v>
      </c>
      <c r="E146" s="69">
        <v>0.9718820277</v>
      </c>
      <c r="F146" s="23">
        <v>4.859410139E7</v>
      </c>
      <c r="G146" s="29">
        <v>0.1</v>
      </c>
      <c r="H146" s="1"/>
      <c r="I146" s="1"/>
      <c r="J146" s="2"/>
      <c r="K146" s="2"/>
      <c r="L146" s="53"/>
      <c r="M146" s="12"/>
      <c r="N146" s="2"/>
      <c r="O146" s="2"/>
    </row>
    <row r="147" ht="15.75" customHeight="1">
      <c r="A147" s="1" t="s">
        <v>226</v>
      </c>
      <c r="B147" s="63" t="s">
        <v>167</v>
      </c>
      <c r="C147" s="63" t="s">
        <v>207</v>
      </c>
      <c r="D147" s="24">
        <v>1.0E7</v>
      </c>
      <c r="E147" s="69">
        <v>0.9648427799</v>
      </c>
      <c r="F147" s="29">
        <v>9648427.8</v>
      </c>
      <c r="G147" s="23">
        <v>0.02</v>
      </c>
      <c r="H147" s="1"/>
      <c r="I147" s="1"/>
      <c r="J147" s="2"/>
      <c r="K147" s="2"/>
      <c r="L147" s="53"/>
      <c r="M147" s="12"/>
      <c r="N147" s="2"/>
      <c r="O147" s="2"/>
    </row>
    <row r="148" ht="15.75" customHeight="1">
      <c r="A148" s="1" t="s">
        <v>227</v>
      </c>
      <c r="B148" s="63" t="s">
        <v>228</v>
      </c>
      <c r="C148" s="63" t="s">
        <v>207</v>
      </c>
      <c r="D148" s="24">
        <v>5000000.0</v>
      </c>
      <c r="E148" s="70">
        <v>0.994821492</v>
      </c>
      <c r="F148" s="23">
        <v>4974107.46</v>
      </c>
      <c r="G148" s="23">
        <v>0.01</v>
      </c>
      <c r="H148" s="1"/>
      <c r="I148" s="1"/>
      <c r="J148" s="2"/>
      <c r="K148" s="2"/>
      <c r="L148" s="53"/>
      <c r="M148" s="12"/>
      <c r="N148" s="2"/>
      <c r="O148" s="2"/>
    </row>
    <row r="149" ht="15.75" customHeight="1">
      <c r="A149" s="1" t="s">
        <v>229</v>
      </c>
      <c r="B149" s="63" t="s">
        <v>173</v>
      </c>
      <c r="C149" s="63" t="s">
        <v>230</v>
      </c>
      <c r="D149" s="24">
        <v>1.0E7</v>
      </c>
      <c r="E149" s="69">
        <v>0.9830326288</v>
      </c>
      <c r="F149" s="23">
        <v>9830326.29</v>
      </c>
      <c r="G149" s="23">
        <v>0.02</v>
      </c>
      <c r="H149" s="1"/>
      <c r="I149" s="1"/>
      <c r="J149" s="2"/>
      <c r="K149" s="2"/>
      <c r="L149" s="53"/>
      <c r="M149" s="12"/>
      <c r="N149" s="2"/>
      <c r="O149" s="2"/>
    </row>
    <row r="150" ht="15.75" customHeight="1">
      <c r="A150" s="1" t="s">
        <v>231</v>
      </c>
      <c r="B150" s="63" t="s">
        <v>175</v>
      </c>
      <c r="C150" s="63" t="s">
        <v>230</v>
      </c>
      <c r="D150" s="24">
        <v>1.0E7</v>
      </c>
      <c r="E150" s="69">
        <v>0.9790772798</v>
      </c>
      <c r="F150" s="29">
        <v>9790772.8</v>
      </c>
      <c r="G150" s="23">
        <v>0.02</v>
      </c>
      <c r="H150" s="1"/>
      <c r="I150" s="1"/>
      <c r="J150" s="2"/>
      <c r="K150" s="2"/>
      <c r="L150" s="53"/>
      <c r="M150" s="12"/>
      <c r="N150" s="2"/>
      <c r="O150" s="2"/>
    </row>
    <row r="151" ht="15.75" customHeight="1">
      <c r="A151" s="1" t="s">
        <v>232</v>
      </c>
      <c r="B151" s="63" t="s">
        <v>148</v>
      </c>
      <c r="C151" s="63" t="s">
        <v>230</v>
      </c>
      <c r="D151" s="24">
        <v>1.0E7</v>
      </c>
      <c r="E151" s="69">
        <v>0.9743727191</v>
      </c>
      <c r="F151" s="23">
        <v>9743727.19</v>
      </c>
      <c r="G151" s="23">
        <v>0.02</v>
      </c>
      <c r="H151" s="1"/>
      <c r="I151" s="1"/>
      <c r="J151" s="2"/>
      <c r="K151" s="2"/>
      <c r="L151" s="53"/>
      <c r="M151" s="12"/>
      <c r="N151" s="2"/>
      <c r="O151" s="2"/>
    </row>
    <row r="152" ht="15.75" customHeight="1">
      <c r="A152" s="1" t="s">
        <v>233</v>
      </c>
      <c r="B152" s="63" t="s">
        <v>132</v>
      </c>
      <c r="C152" s="63" t="s">
        <v>234</v>
      </c>
      <c r="D152" s="24">
        <v>2.5E7</v>
      </c>
      <c r="E152" s="69">
        <v>0.9703318089</v>
      </c>
      <c r="F152" s="23">
        <v>2.425829522E7</v>
      </c>
      <c r="G152" s="23">
        <v>0.05</v>
      </c>
      <c r="H152" s="1"/>
      <c r="I152" s="1"/>
      <c r="J152" s="2"/>
      <c r="K152" s="2"/>
      <c r="L152" s="53"/>
      <c r="M152" s="12"/>
      <c r="N152" s="2"/>
      <c r="O152" s="2"/>
    </row>
    <row r="153" ht="15.75" customHeight="1">
      <c r="A153" s="1" t="s">
        <v>235</v>
      </c>
      <c r="B153" s="63" t="s">
        <v>159</v>
      </c>
      <c r="C153" s="63" t="s">
        <v>234</v>
      </c>
      <c r="D153" s="24">
        <v>3.5E7</v>
      </c>
      <c r="E153" s="69">
        <v>0.9902333362</v>
      </c>
      <c r="F153" s="23">
        <v>3.465816677E7</v>
      </c>
      <c r="G153" s="23">
        <v>0.07</v>
      </c>
      <c r="H153" s="1"/>
      <c r="I153" s="1"/>
      <c r="J153" s="2"/>
      <c r="K153" s="2"/>
      <c r="L153" s="53"/>
      <c r="M153" s="12"/>
      <c r="N153" s="2"/>
      <c r="O153" s="2"/>
    </row>
    <row r="154" ht="15.75" customHeight="1">
      <c r="A154" s="1" t="s">
        <v>236</v>
      </c>
      <c r="B154" s="63" t="s">
        <v>146</v>
      </c>
      <c r="C154" s="63" t="s">
        <v>234</v>
      </c>
      <c r="D154" s="24">
        <v>5.0E7</v>
      </c>
      <c r="E154" s="69">
        <v>0.9485447533</v>
      </c>
      <c r="F154" s="23">
        <v>4.742723767E7</v>
      </c>
      <c r="G154" s="29">
        <v>0.1</v>
      </c>
      <c r="H154" s="1"/>
      <c r="I154" s="1"/>
      <c r="J154" s="2"/>
      <c r="K154" s="2"/>
      <c r="L154" s="53"/>
      <c r="M154" s="12"/>
      <c r="N154" s="2"/>
      <c r="O154" s="2"/>
    </row>
    <row r="155" ht="15.75" customHeight="1">
      <c r="A155" s="1" t="s">
        <v>237</v>
      </c>
      <c r="B155" s="63" t="s">
        <v>148</v>
      </c>
      <c r="C155" s="63" t="s">
        <v>234</v>
      </c>
      <c r="D155" s="24">
        <v>5.0E7</v>
      </c>
      <c r="E155" s="69">
        <v>0.9718819995</v>
      </c>
      <c r="F155" s="23">
        <v>4.859409998E7</v>
      </c>
      <c r="G155" s="29">
        <v>0.1</v>
      </c>
      <c r="H155" s="1"/>
      <c r="I155" s="1"/>
      <c r="J155" s="2"/>
      <c r="K155" s="2"/>
      <c r="L155" s="53"/>
      <c r="M155" s="12"/>
      <c r="N155" s="2"/>
      <c r="O155" s="2"/>
    </row>
    <row r="156" ht="15.75" customHeight="1">
      <c r="A156" s="1" t="s">
        <v>238</v>
      </c>
      <c r="B156" s="63" t="s">
        <v>148</v>
      </c>
      <c r="C156" s="63" t="s">
        <v>239</v>
      </c>
      <c r="D156" s="24">
        <v>5.0E7</v>
      </c>
      <c r="E156" s="69">
        <v>0.9727108308</v>
      </c>
      <c r="F156" s="23">
        <v>4.863554154E7</v>
      </c>
      <c r="G156" s="29">
        <v>0.1</v>
      </c>
      <c r="H156" s="1"/>
      <c r="I156" s="1"/>
      <c r="J156" s="2"/>
      <c r="K156" s="2"/>
      <c r="L156" s="53"/>
      <c r="M156" s="12"/>
      <c r="N156" s="2"/>
      <c r="O156" s="2"/>
    </row>
    <row r="157" ht="15.75" customHeight="1">
      <c r="A157" s="1" t="s">
        <v>240</v>
      </c>
      <c r="B157" s="63" t="s">
        <v>228</v>
      </c>
      <c r="C157" s="63" t="s">
        <v>241</v>
      </c>
      <c r="D157" s="24">
        <v>3.5E7</v>
      </c>
      <c r="E157" s="69">
        <v>0.9959072316</v>
      </c>
      <c r="F157" s="23">
        <v>3.485675311E7</v>
      </c>
      <c r="G157" s="23">
        <v>0.07</v>
      </c>
      <c r="H157" s="1"/>
      <c r="I157" s="1"/>
      <c r="J157" s="2"/>
      <c r="K157" s="2"/>
      <c r="L157" s="53"/>
      <c r="M157" s="12"/>
      <c r="N157" s="2"/>
      <c r="O157" s="2"/>
    </row>
    <row r="158" ht="15.75" customHeight="1">
      <c r="A158" s="1" t="s">
        <v>242</v>
      </c>
      <c r="B158" s="63" t="s">
        <v>163</v>
      </c>
      <c r="C158" s="63" t="s">
        <v>241</v>
      </c>
      <c r="D158" s="24">
        <v>5450000.0</v>
      </c>
      <c r="E158" s="69">
        <v>0.9866465248</v>
      </c>
      <c r="F158" s="23">
        <v>5377223.56</v>
      </c>
      <c r="G158" s="23">
        <v>0.01</v>
      </c>
      <c r="H158" s="1"/>
      <c r="I158" s="1"/>
      <c r="J158" s="2"/>
      <c r="K158" s="2"/>
      <c r="L158" s="53"/>
      <c r="M158" s="12"/>
      <c r="N158" s="2"/>
      <c r="O158" s="2"/>
    </row>
    <row r="159" ht="15.75" customHeight="1">
      <c r="A159" s="1" t="s">
        <v>243</v>
      </c>
      <c r="B159" s="63" t="s">
        <v>146</v>
      </c>
      <c r="C159" s="63" t="s">
        <v>241</v>
      </c>
      <c r="D159" s="24">
        <v>5450000.0</v>
      </c>
      <c r="E159" s="69">
        <v>0.9412068062</v>
      </c>
      <c r="F159" s="23">
        <v>5129577.09</v>
      </c>
      <c r="G159" s="23">
        <v>0.01</v>
      </c>
      <c r="H159" s="1"/>
      <c r="I159" s="1"/>
      <c r="J159" s="2"/>
      <c r="K159" s="2"/>
      <c r="L159" s="53"/>
      <c r="M159" s="12"/>
      <c r="N159" s="2"/>
      <c r="O159" s="2"/>
    </row>
    <row r="160" ht="15.75" customHeight="1">
      <c r="A160" s="1" t="s">
        <v>244</v>
      </c>
      <c r="B160" s="63" t="s">
        <v>161</v>
      </c>
      <c r="C160" s="63" t="s">
        <v>241</v>
      </c>
      <c r="D160" s="24">
        <v>5450000.0</v>
      </c>
      <c r="E160" s="69">
        <v>0.9542983673</v>
      </c>
      <c r="F160" s="29">
        <v>5200926.1</v>
      </c>
      <c r="G160" s="23">
        <v>0.01</v>
      </c>
      <c r="H160" s="1"/>
      <c r="I160" s="1"/>
      <c r="J160" s="2"/>
      <c r="K160" s="2"/>
      <c r="L160" s="53"/>
      <c r="M160" s="12"/>
      <c r="N160" s="2"/>
      <c r="O160" s="2"/>
    </row>
    <row r="161" ht="15.75" customHeight="1">
      <c r="A161" s="1" t="s">
        <v>245</v>
      </c>
      <c r="B161" s="63" t="s">
        <v>111</v>
      </c>
      <c r="C161" s="63" t="s">
        <v>241</v>
      </c>
      <c r="D161" s="24">
        <v>5450000.0</v>
      </c>
      <c r="E161" s="70">
        <v>0.971675079</v>
      </c>
      <c r="F161" s="23">
        <v>5295629.18</v>
      </c>
      <c r="G161" s="23">
        <v>0.01</v>
      </c>
      <c r="H161" s="1"/>
      <c r="I161" s="1"/>
      <c r="J161" s="2"/>
      <c r="K161" s="2"/>
      <c r="L161" s="53"/>
      <c r="M161" s="12"/>
      <c r="N161" s="2"/>
      <c r="O161" s="2"/>
    </row>
    <row r="162" ht="15.75" customHeight="1">
      <c r="A162" s="1" t="s">
        <v>246</v>
      </c>
      <c r="B162" s="63" t="s">
        <v>247</v>
      </c>
      <c r="C162" s="63" t="s">
        <v>248</v>
      </c>
      <c r="D162" s="24">
        <v>6.5E7</v>
      </c>
      <c r="E162" s="69">
        <v>0.9620453378</v>
      </c>
      <c r="F162" s="23">
        <v>6.253294696E7</v>
      </c>
      <c r="G162" s="23">
        <v>0.13</v>
      </c>
      <c r="H162" s="1"/>
      <c r="I162" s="1"/>
      <c r="J162" s="2"/>
      <c r="K162" s="2"/>
      <c r="L162" s="53"/>
      <c r="M162" s="12"/>
      <c r="N162" s="2"/>
      <c r="O162" s="2"/>
    </row>
    <row r="163" ht="15.75" customHeight="1">
      <c r="A163" s="1" t="s">
        <v>249</v>
      </c>
      <c r="B163" s="63" t="s">
        <v>185</v>
      </c>
      <c r="C163" s="63" t="s">
        <v>248</v>
      </c>
      <c r="D163" s="24">
        <v>6.5E7</v>
      </c>
      <c r="E163" s="69">
        <v>0.9816050416</v>
      </c>
      <c r="F163" s="29">
        <v>6.38043277E7</v>
      </c>
      <c r="G163" s="23">
        <v>0.13</v>
      </c>
      <c r="H163" s="1"/>
      <c r="I163" s="1"/>
      <c r="J163" s="2"/>
      <c r="K163" s="2"/>
      <c r="L163" s="53"/>
      <c r="M163" s="12"/>
      <c r="N163" s="2"/>
      <c r="O163" s="2"/>
    </row>
    <row r="164" ht="15.75" customHeight="1">
      <c r="A164" s="1" t="s">
        <v>250</v>
      </c>
      <c r="B164" s="63" t="s">
        <v>228</v>
      </c>
      <c r="C164" s="63" t="s">
        <v>251</v>
      </c>
      <c r="D164" s="24">
        <v>1977599.0</v>
      </c>
      <c r="E164" s="69">
        <v>0.9969953615</v>
      </c>
      <c r="F164" s="23">
        <v>1971657.03</v>
      </c>
      <c r="G164" s="24">
        <v>0.0</v>
      </c>
      <c r="H164" s="1"/>
      <c r="I164" s="1"/>
      <c r="J164" s="2"/>
      <c r="K164" s="2"/>
      <c r="L164" s="53"/>
      <c r="M164" s="12"/>
      <c r="N164" s="2"/>
      <c r="O164" s="2"/>
    </row>
    <row r="165" ht="15.75" customHeight="1">
      <c r="A165" s="1" t="s">
        <v>252</v>
      </c>
      <c r="B165" s="63" t="s">
        <v>159</v>
      </c>
      <c r="C165" s="63" t="s">
        <v>251</v>
      </c>
      <c r="D165" s="24">
        <v>1977599.0</v>
      </c>
      <c r="E165" s="69">
        <v>0.9928190799</v>
      </c>
      <c r="F165" s="23">
        <v>1963398.02</v>
      </c>
      <c r="G165" s="24">
        <v>0.0</v>
      </c>
      <c r="H165" s="1"/>
      <c r="I165" s="1"/>
      <c r="J165" s="2"/>
      <c r="K165" s="2"/>
      <c r="L165" s="53"/>
      <c r="M165" s="12"/>
      <c r="N165" s="2"/>
      <c r="O165" s="2"/>
    </row>
    <row r="166" ht="15.75" customHeight="1">
      <c r="A166" s="1" t="s">
        <v>253</v>
      </c>
      <c r="B166" s="63" t="s">
        <v>167</v>
      </c>
      <c r="C166" s="63" t="s">
        <v>251</v>
      </c>
      <c r="D166" s="24">
        <v>1.0E8</v>
      </c>
      <c r="E166" s="69">
        <v>0.9648427406</v>
      </c>
      <c r="F166" s="23">
        <v>9.648427406E7</v>
      </c>
      <c r="G166" s="29">
        <v>0.2</v>
      </c>
      <c r="H166" s="1"/>
      <c r="I166" s="1"/>
      <c r="J166" s="2"/>
      <c r="K166" s="2"/>
      <c r="L166" s="53"/>
      <c r="M166" s="12"/>
      <c r="N166" s="2"/>
      <c r="O166" s="2"/>
    </row>
    <row r="167" ht="15.75" customHeight="1">
      <c r="A167" s="1" t="s">
        <v>254</v>
      </c>
      <c r="B167" s="63" t="s">
        <v>159</v>
      </c>
      <c r="C167" s="63" t="s">
        <v>251</v>
      </c>
      <c r="D167" s="24">
        <v>1.0E8</v>
      </c>
      <c r="E167" s="69">
        <v>0.9876610273</v>
      </c>
      <c r="F167" s="23">
        <v>9.876610273E7</v>
      </c>
      <c r="G167" s="29">
        <v>0.2</v>
      </c>
      <c r="H167" s="1"/>
      <c r="I167" s="1"/>
      <c r="J167" s="2"/>
      <c r="K167" s="2"/>
      <c r="L167" s="53"/>
      <c r="M167" s="12"/>
      <c r="N167" s="2"/>
      <c r="O167" s="2"/>
    </row>
    <row r="168" ht="15.75" customHeight="1">
      <c r="A168" s="1" t="s">
        <v>255</v>
      </c>
      <c r="B168" s="63" t="s">
        <v>157</v>
      </c>
      <c r="C168" s="63" t="s">
        <v>256</v>
      </c>
      <c r="D168" s="24">
        <v>2.5E7</v>
      </c>
      <c r="E168" s="69">
        <v>0.9602231532</v>
      </c>
      <c r="F168" s="23">
        <v>2.400557883E7</v>
      </c>
      <c r="G168" s="23">
        <v>0.05</v>
      </c>
      <c r="H168" s="1"/>
      <c r="I168" s="1"/>
      <c r="J168" s="2"/>
      <c r="K168" s="2"/>
      <c r="L168" s="53"/>
      <c r="M168" s="12"/>
      <c r="N168" s="2"/>
      <c r="O168" s="2"/>
    </row>
    <row r="169" ht="15.75" customHeight="1">
      <c r="A169" s="1" t="s">
        <v>257</v>
      </c>
      <c r="B169" s="63" t="s">
        <v>159</v>
      </c>
      <c r="C169" s="63" t="s">
        <v>256</v>
      </c>
      <c r="D169" s="24">
        <v>1.5E7</v>
      </c>
      <c r="E169" s="69">
        <v>0.9908785175</v>
      </c>
      <c r="F169" s="23">
        <v>1.486317776E7</v>
      </c>
      <c r="G169" s="23">
        <v>0.03</v>
      </c>
      <c r="H169" s="1"/>
      <c r="I169" s="1"/>
      <c r="J169" s="2"/>
      <c r="K169" s="2"/>
      <c r="L169" s="53"/>
      <c r="M169" s="12"/>
      <c r="N169" s="2"/>
      <c r="O169" s="2"/>
    </row>
    <row r="170" ht="15.75" customHeight="1">
      <c r="A170" s="1" t="s">
        <v>258</v>
      </c>
      <c r="B170" s="63" t="s">
        <v>159</v>
      </c>
      <c r="C170" s="63" t="s">
        <v>256</v>
      </c>
      <c r="D170" s="24">
        <v>1.5E7</v>
      </c>
      <c r="E170" s="69">
        <v>0.9908785175</v>
      </c>
      <c r="F170" s="23">
        <v>1.486317776E7</v>
      </c>
      <c r="G170" s="23">
        <v>0.03</v>
      </c>
      <c r="H170" s="1"/>
      <c r="I170" s="1"/>
      <c r="J170" s="2"/>
      <c r="K170" s="2"/>
      <c r="L170" s="53"/>
      <c r="M170" s="12"/>
      <c r="N170" s="2"/>
      <c r="O170" s="2"/>
    </row>
    <row r="171" ht="15.75" customHeight="1">
      <c r="A171" s="1" t="s">
        <v>259</v>
      </c>
      <c r="B171" s="63" t="s">
        <v>159</v>
      </c>
      <c r="C171" s="63" t="s">
        <v>256</v>
      </c>
      <c r="D171" s="24">
        <v>1.5E7</v>
      </c>
      <c r="E171" s="69">
        <v>0.9908785175</v>
      </c>
      <c r="F171" s="23">
        <v>1.486317776E7</v>
      </c>
      <c r="G171" s="23">
        <v>0.03</v>
      </c>
      <c r="H171" s="1"/>
      <c r="I171" s="1"/>
      <c r="J171" s="2"/>
      <c r="K171" s="2"/>
      <c r="L171" s="53"/>
      <c r="M171" s="12"/>
      <c r="N171" s="2"/>
      <c r="O171" s="2"/>
    </row>
    <row r="172" ht="15.75" customHeight="1">
      <c r="A172" s="1" t="s">
        <v>260</v>
      </c>
      <c r="B172" s="63" t="s">
        <v>159</v>
      </c>
      <c r="C172" s="63" t="s">
        <v>256</v>
      </c>
      <c r="D172" s="24">
        <v>1.5E7</v>
      </c>
      <c r="E172" s="69">
        <v>0.9908785175</v>
      </c>
      <c r="F172" s="23">
        <v>1.486317776E7</v>
      </c>
      <c r="G172" s="23">
        <v>0.03</v>
      </c>
      <c r="H172" s="1"/>
      <c r="I172" s="1"/>
      <c r="J172" s="2"/>
      <c r="K172" s="2"/>
      <c r="L172" s="53"/>
      <c r="M172" s="12"/>
      <c r="N172" s="2"/>
      <c r="O172" s="2"/>
    </row>
    <row r="173" ht="15.75" customHeight="1">
      <c r="A173" s="1" t="s">
        <v>261</v>
      </c>
      <c r="B173" s="63" t="s">
        <v>159</v>
      </c>
      <c r="C173" s="63" t="s">
        <v>256</v>
      </c>
      <c r="D173" s="24">
        <v>1.5E7</v>
      </c>
      <c r="E173" s="69">
        <v>0.9908785175</v>
      </c>
      <c r="F173" s="23">
        <v>1.486317776E7</v>
      </c>
      <c r="G173" s="23">
        <v>0.03</v>
      </c>
      <c r="H173" s="1"/>
      <c r="I173" s="1"/>
      <c r="J173" s="2"/>
      <c r="K173" s="2"/>
      <c r="L173" s="53"/>
      <c r="M173" s="12"/>
      <c r="N173" s="2"/>
      <c r="O173" s="2"/>
    </row>
    <row r="174" ht="15.75" customHeight="1">
      <c r="A174" s="1" t="s">
        <v>262</v>
      </c>
      <c r="B174" s="63" t="s">
        <v>159</v>
      </c>
      <c r="C174" s="63" t="s">
        <v>256</v>
      </c>
      <c r="D174" s="24">
        <v>7000000.0</v>
      </c>
      <c r="E174" s="69">
        <v>0.9908785143</v>
      </c>
      <c r="F174" s="29">
        <v>6936149.6</v>
      </c>
      <c r="G174" s="23">
        <v>0.01</v>
      </c>
      <c r="H174" s="1"/>
      <c r="I174" s="1"/>
      <c r="J174" s="2"/>
      <c r="K174" s="2"/>
      <c r="L174" s="53"/>
      <c r="M174" s="12"/>
      <c r="N174" s="2"/>
      <c r="O174" s="2"/>
    </row>
    <row r="175" ht="15.75" customHeight="1">
      <c r="A175" s="1" t="s">
        <v>263</v>
      </c>
      <c r="B175" s="63" t="s">
        <v>185</v>
      </c>
      <c r="C175" s="63" t="s">
        <v>256</v>
      </c>
      <c r="D175" s="24">
        <v>1.1E7</v>
      </c>
      <c r="E175" s="69">
        <v>0.9851286535</v>
      </c>
      <c r="F175" s="23">
        <v>1.083641519E7</v>
      </c>
      <c r="G175" s="23">
        <v>0.02</v>
      </c>
      <c r="H175" s="1"/>
      <c r="I175" s="1"/>
      <c r="J175" s="2"/>
      <c r="K175" s="2"/>
      <c r="L175" s="53"/>
      <c r="M175" s="12"/>
      <c r="N175" s="2"/>
      <c r="O175" s="2"/>
    </row>
    <row r="176" ht="15.75" customHeight="1">
      <c r="A176" s="1" t="s">
        <v>264</v>
      </c>
      <c r="B176" s="63" t="s">
        <v>175</v>
      </c>
      <c r="C176" s="63" t="s">
        <v>256</v>
      </c>
      <c r="D176" s="24">
        <v>1.1E7</v>
      </c>
      <c r="E176" s="69">
        <v>0.9797606283</v>
      </c>
      <c r="F176" s="23">
        <v>1.077736691E7</v>
      </c>
      <c r="G176" s="23">
        <v>0.02</v>
      </c>
      <c r="H176" s="1"/>
      <c r="I176" s="1"/>
      <c r="J176" s="2"/>
      <c r="K176" s="2"/>
      <c r="L176" s="53"/>
      <c r="M176" s="12"/>
      <c r="N176" s="2"/>
      <c r="O176" s="2"/>
    </row>
    <row r="177" ht="15.75" customHeight="1">
      <c r="A177" s="1" t="s">
        <v>265</v>
      </c>
      <c r="B177" s="63" t="s">
        <v>173</v>
      </c>
      <c r="C177" s="63" t="s">
        <v>256</v>
      </c>
      <c r="D177" s="24">
        <v>2.0E7</v>
      </c>
      <c r="E177" s="69">
        <v>0.9835889063</v>
      </c>
      <c r="F177" s="23">
        <v>1.967177813E7</v>
      </c>
      <c r="G177" s="23">
        <v>0.04</v>
      </c>
      <c r="H177" s="1"/>
      <c r="I177" s="1"/>
      <c r="J177" s="2"/>
      <c r="K177" s="2"/>
      <c r="L177" s="53"/>
      <c r="M177" s="12"/>
      <c r="N177" s="2"/>
      <c r="O177" s="2"/>
    </row>
    <row r="178" ht="15.75" customHeight="1">
      <c r="A178" s="1" t="s">
        <v>266</v>
      </c>
      <c r="B178" s="63" t="s">
        <v>173</v>
      </c>
      <c r="C178" s="63" t="s">
        <v>256</v>
      </c>
      <c r="D178" s="24">
        <v>1.0E7</v>
      </c>
      <c r="E178" s="69">
        <v>0.9835889057</v>
      </c>
      <c r="F178" s="23">
        <v>9835889.06</v>
      </c>
      <c r="G178" s="23">
        <v>0.02</v>
      </c>
      <c r="H178" s="1"/>
      <c r="I178" s="1"/>
      <c r="J178" s="2"/>
      <c r="K178" s="2"/>
      <c r="L178" s="53"/>
      <c r="M178" s="12"/>
      <c r="N178" s="2"/>
      <c r="O178" s="2"/>
    </row>
    <row r="179" ht="15.75" customHeight="1">
      <c r="A179" s="1" t="s">
        <v>267</v>
      </c>
      <c r="B179" s="63" t="s">
        <v>111</v>
      </c>
      <c r="C179" s="63" t="s">
        <v>256</v>
      </c>
      <c r="D179" s="24">
        <v>2.0E7</v>
      </c>
      <c r="E179" s="69">
        <v>0.9782375937</v>
      </c>
      <c r="F179" s="23">
        <v>1.956475187E7</v>
      </c>
      <c r="G179" s="23">
        <v>0.04</v>
      </c>
      <c r="H179" s="1"/>
      <c r="I179" s="1"/>
      <c r="J179" s="2"/>
      <c r="K179" s="2"/>
      <c r="L179" s="53"/>
      <c r="M179" s="12"/>
      <c r="N179" s="10"/>
      <c r="O179" s="2"/>
    </row>
    <row r="180" ht="15.75" customHeight="1">
      <c r="A180" s="1" t="s">
        <v>268</v>
      </c>
      <c r="B180" s="63" t="s">
        <v>111</v>
      </c>
      <c r="C180" s="63" t="s">
        <v>256</v>
      </c>
      <c r="D180" s="24">
        <v>1.0E7</v>
      </c>
      <c r="E180" s="69">
        <v>0.9782375959</v>
      </c>
      <c r="F180" s="23">
        <v>9782375.96</v>
      </c>
      <c r="G180" s="23">
        <v>0.02</v>
      </c>
      <c r="H180" s="1"/>
      <c r="I180" s="1"/>
      <c r="J180" s="2"/>
      <c r="K180" s="2"/>
      <c r="L180" s="53"/>
      <c r="M180" s="12"/>
      <c r="N180" s="2"/>
      <c r="O180" s="2"/>
    </row>
    <row r="181" ht="15.75" customHeight="1">
      <c r="A181" s="1" t="s">
        <v>269</v>
      </c>
      <c r="B181" s="63" t="s">
        <v>159</v>
      </c>
      <c r="C181" s="63" t="s">
        <v>256</v>
      </c>
      <c r="D181" s="24">
        <v>8.5E7</v>
      </c>
      <c r="E181" s="69">
        <v>0.9876610408</v>
      </c>
      <c r="F181" s="23">
        <v>8.395118847E7</v>
      </c>
      <c r="G181" s="23">
        <v>0.17</v>
      </c>
      <c r="H181" s="1"/>
      <c r="I181" s="1"/>
      <c r="J181" s="2"/>
      <c r="K181" s="2"/>
      <c r="L181" s="53"/>
      <c r="M181" s="12"/>
      <c r="N181" s="2"/>
      <c r="O181" s="2"/>
    </row>
    <row r="182" ht="15.75" customHeight="1">
      <c r="A182" s="1" t="s">
        <v>270</v>
      </c>
      <c r="B182" s="63" t="s">
        <v>271</v>
      </c>
      <c r="C182" s="63" t="s">
        <v>256</v>
      </c>
      <c r="D182" s="24">
        <v>1.66E7</v>
      </c>
      <c r="E182" s="69">
        <v>0.9430307283</v>
      </c>
      <c r="F182" s="23">
        <v>1.565431009E7</v>
      </c>
      <c r="G182" s="23">
        <v>0.03</v>
      </c>
      <c r="H182" s="1"/>
      <c r="I182" s="1"/>
      <c r="J182" s="2"/>
      <c r="K182" s="2"/>
      <c r="L182" s="53"/>
      <c r="M182" s="12"/>
      <c r="N182" s="2"/>
      <c r="O182" s="2"/>
    </row>
    <row r="183" ht="15.75" customHeight="1">
      <c r="A183" s="1" t="s">
        <v>272</v>
      </c>
      <c r="B183" s="63" t="s">
        <v>167</v>
      </c>
      <c r="C183" s="63" t="s">
        <v>256</v>
      </c>
      <c r="D183" s="24">
        <v>1.7E7</v>
      </c>
      <c r="E183" s="69">
        <v>0.9675282137</v>
      </c>
      <c r="F183" s="23">
        <v>1.644797963E7</v>
      </c>
      <c r="G183" s="23">
        <v>0.03</v>
      </c>
      <c r="H183" s="1"/>
      <c r="I183" s="1"/>
      <c r="J183" s="2"/>
      <c r="K183" s="2"/>
      <c r="L183" s="53"/>
      <c r="M183" s="12"/>
      <c r="N183" s="2"/>
      <c r="O183" s="2"/>
    </row>
    <row r="184" ht="15.75" customHeight="1">
      <c r="A184" s="1" t="s">
        <v>273</v>
      </c>
      <c r="B184" s="63" t="s">
        <v>274</v>
      </c>
      <c r="C184" s="63" t="s">
        <v>256</v>
      </c>
      <c r="D184" s="24">
        <v>1.66E7</v>
      </c>
      <c r="E184" s="69">
        <v>0.9551224138</v>
      </c>
      <c r="F184" s="23">
        <v>1.585503207E7</v>
      </c>
      <c r="G184" s="23">
        <v>0.03</v>
      </c>
      <c r="H184" s="1"/>
      <c r="I184" s="1"/>
      <c r="J184" s="2"/>
      <c r="K184" s="2"/>
      <c r="L184" s="53"/>
      <c r="M184" s="12"/>
      <c r="N184" s="2"/>
      <c r="O184" s="2"/>
    </row>
    <row r="185" ht="15.75" customHeight="1">
      <c r="A185" s="1" t="s">
        <v>275</v>
      </c>
      <c r="B185" s="63" t="s">
        <v>108</v>
      </c>
      <c r="C185" s="63" t="s">
        <v>256</v>
      </c>
      <c r="D185" s="24">
        <v>1.66E7</v>
      </c>
      <c r="E185" s="69">
        <v>0.9490380569</v>
      </c>
      <c r="F185" s="23">
        <v>1.575403174E7</v>
      </c>
      <c r="G185" s="23">
        <v>0.03</v>
      </c>
      <c r="H185" s="1"/>
      <c r="I185" s="1"/>
      <c r="J185" s="2"/>
      <c r="K185" s="2"/>
      <c r="L185" s="53"/>
      <c r="M185" s="12"/>
      <c r="N185" s="2"/>
      <c r="O185" s="2"/>
    </row>
    <row r="186" ht="15.75" customHeight="1">
      <c r="A186" s="1" t="s">
        <v>276</v>
      </c>
      <c r="B186" s="63" t="s">
        <v>173</v>
      </c>
      <c r="C186" s="63" t="s">
        <v>256</v>
      </c>
      <c r="D186" s="24">
        <v>1.66E7</v>
      </c>
      <c r="E186" s="69">
        <v>0.9802605308</v>
      </c>
      <c r="F186" s="23">
        <v>1.627232481E7</v>
      </c>
      <c r="G186" s="23">
        <v>0.03</v>
      </c>
      <c r="H186" s="1"/>
      <c r="I186" s="1"/>
      <c r="J186" s="2"/>
      <c r="K186" s="2"/>
      <c r="L186" s="53"/>
      <c r="M186" s="12"/>
      <c r="N186" s="2"/>
      <c r="O186" s="2"/>
    </row>
    <row r="187" ht="15.75" customHeight="1">
      <c r="A187" s="1" t="s">
        <v>277</v>
      </c>
      <c r="B187" s="63" t="s">
        <v>111</v>
      </c>
      <c r="C187" s="63" t="s">
        <v>256</v>
      </c>
      <c r="D187" s="24">
        <v>1.66E7</v>
      </c>
      <c r="E187" s="69">
        <v>0.9738527571</v>
      </c>
      <c r="F187" s="23">
        <v>1.616595577E7</v>
      </c>
      <c r="G187" s="23">
        <v>0.03</v>
      </c>
      <c r="H187" s="1"/>
      <c r="I187" s="1"/>
      <c r="J187" s="2"/>
      <c r="K187" s="2"/>
      <c r="L187" s="53"/>
      <c r="M187" s="12"/>
      <c r="N187" s="2"/>
      <c r="O187" s="2"/>
    </row>
    <row r="188" ht="15.75" customHeight="1">
      <c r="A188" s="1" t="s">
        <v>278</v>
      </c>
      <c r="B188" s="63" t="s">
        <v>157</v>
      </c>
      <c r="C188" s="63" t="s">
        <v>256</v>
      </c>
      <c r="D188" s="24">
        <v>5.0E7</v>
      </c>
      <c r="E188" s="69">
        <v>0.9602231532</v>
      </c>
      <c r="F188" s="23">
        <v>4.801115766E7</v>
      </c>
      <c r="G188" s="29">
        <v>0.1</v>
      </c>
      <c r="H188" s="1"/>
      <c r="I188" s="1"/>
      <c r="J188" s="2"/>
      <c r="K188" s="2"/>
      <c r="L188" s="53"/>
      <c r="M188" s="12"/>
      <c r="N188" s="2"/>
      <c r="O188" s="2"/>
    </row>
    <row r="189" ht="15.75" customHeight="1">
      <c r="A189" s="1" t="s">
        <v>279</v>
      </c>
      <c r="B189" s="63" t="s">
        <v>228</v>
      </c>
      <c r="C189" s="63" t="s">
        <v>256</v>
      </c>
      <c r="D189" s="24">
        <v>5000000.0</v>
      </c>
      <c r="E189" s="69">
        <v>0.9950927079</v>
      </c>
      <c r="F189" s="23">
        <v>4975463.54</v>
      </c>
      <c r="G189" s="23">
        <v>0.01</v>
      </c>
      <c r="H189" s="1"/>
      <c r="I189" s="1"/>
      <c r="J189" s="2"/>
      <c r="K189" s="2"/>
      <c r="L189" s="53"/>
      <c r="M189" s="12"/>
      <c r="N189" s="2"/>
      <c r="O189" s="2"/>
    </row>
    <row r="190" ht="15.75" customHeight="1">
      <c r="A190" s="1" t="s">
        <v>280</v>
      </c>
      <c r="B190" s="63" t="s">
        <v>211</v>
      </c>
      <c r="C190" s="63" t="s">
        <v>256</v>
      </c>
      <c r="D190" s="23">
        <v>4771794.93</v>
      </c>
      <c r="E190" s="70">
        <v>0.989267131</v>
      </c>
      <c r="F190" s="23">
        <v>4720579.88</v>
      </c>
      <c r="G190" s="23">
        <v>0.01</v>
      </c>
      <c r="H190" s="1"/>
      <c r="I190" s="1"/>
      <c r="J190" s="2"/>
      <c r="K190" s="2"/>
      <c r="L190" s="53"/>
      <c r="M190" s="12"/>
      <c r="N190" s="2"/>
      <c r="O190" s="2"/>
    </row>
    <row r="191" ht="15.75" customHeight="1">
      <c r="A191" s="1" t="s">
        <v>281</v>
      </c>
      <c r="B191" s="63" t="s">
        <v>282</v>
      </c>
      <c r="C191" s="63" t="s">
        <v>283</v>
      </c>
      <c r="D191" s="24">
        <v>9974100.0</v>
      </c>
      <c r="E191" s="69">
        <v>0.9240506469</v>
      </c>
      <c r="F191" s="23">
        <v>9216573.56</v>
      </c>
      <c r="G191" s="23">
        <v>0.02</v>
      </c>
      <c r="H191" s="1"/>
      <c r="I191" s="1"/>
      <c r="J191" s="2"/>
      <c r="K191" s="2"/>
      <c r="L191" s="53"/>
      <c r="M191" s="12"/>
      <c r="N191" s="2"/>
      <c r="O191" s="2"/>
    </row>
    <row r="192" ht="15.75" customHeight="1">
      <c r="A192" s="1" t="s">
        <v>284</v>
      </c>
      <c r="B192" s="63" t="s">
        <v>285</v>
      </c>
      <c r="C192" s="63" t="s">
        <v>283</v>
      </c>
      <c r="D192" s="23">
        <v>9972890.55</v>
      </c>
      <c r="E192" s="69">
        <v>0.9363777293</v>
      </c>
      <c r="F192" s="23">
        <v>9338392.61</v>
      </c>
      <c r="G192" s="23">
        <v>0.02</v>
      </c>
      <c r="H192" s="1"/>
      <c r="I192" s="1"/>
      <c r="J192" s="2"/>
      <c r="K192" s="2"/>
      <c r="L192" s="53"/>
      <c r="M192" s="12"/>
      <c r="N192" s="2"/>
      <c r="O192" s="2"/>
    </row>
    <row r="193" ht="15.75" customHeight="1">
      <c r="A193" s="1" t="s">
        <v>286</v>
      </c>
      <c r="B193" s="63" t="s">
        <v>287</v>
      </c>
      <c r="C193" s="63" t="s">
        <v>283</v>
      </c>
      <c r="D193" s="23">
        <v>9972899.99</v>
      </c>
      <c r="E193" s="69">
        <v>0.9231159669</v>
      </c>
      <c r="F193" s="23">
        <v>9206143.22</v>
      </c>
      <c r="G193" s="23">
        <v>0.02</v>
      </c>
      <c r="H193" s="1"/>
      <c r="I193" s="1"/>
      <c r="J193" s="2"/>
      <c r="K193" s="2"/>
      <c r="L193" s="53"/>
      <c r="M193" s="12"/>
      <c r="N193" s="2"/>
      <c r="O193" s="2"/>
    </row>
    <row r="194" ht="15.75" customHeight="1">
      <c r="A194" s="1" t="s">
        <v>288</v>
      </c>
      <c r="B194" s="63" t="s">
        <v>289</v>
      </c>
      <c r="C194" s="63" t="s">
        <v>283</v>
      </c>
      <c r="D194" s="29">
        <v>9975100.8</v>
      </c>
      <c r="E194" s="69">
        <v>0.9249873879</v>
      </c>
      <c r="F194" s="23">
        <v>9226842.43</v>
      </c>
      <c r="G194" s="23">
        <v>0.02</v>
      </c>
      <c r="H194" s="1"/>
      <c r="I194" s="1"/>
      <c r="J194" s="2"/>
      <c r="K194" s="2"/>
      <c r="L194" s="53"/>
      <c r="M194" s="12"/>
      <c r="N194" s="10"/>
      <c r="O194" s="2"/>
    </row>
    <row r="195" ht="15.75" customHeight="1">
      <c r="A195" s="1" t="s">
        <v>290</v>
      </c>
      <c r="B195" s="63" t="s">
        <v>282</v>
      </c>
      <c r="C195" s="63" t="s">
        <v>283</v>
      </c>
      <c r="D195" s="24">
        <v>9973400.0</v>
      </c>
      <c r="E195" s="69">
        <v>0.9240506469</v>
      </c>
      <c r="F195" s="23">
        <v>9215926.72</v>
      </c>
      <c r="G195" s="23">
        <v>0.02</v>
      </c>
      <c r="H195" s="1"/>
      <c r="I195" s="1"/>
      <c r="J195" s="2"/>
      <c r="K195" s="2"/>
      <c r="L195" s="53"/>
      <c r="M195" s="12"/>
      <c r="N195" s="2"/>
      <c r="O195" s="2"/>
    </row>
    <row r="196" ht="15.75" customHeight="1">
      <c r="A196" s="1" t="s">
        <v>291</v>
      </c>
      <c r="B196" s="63" t="s">
        <v>204</v>
      </c>
      <c r="C196" s="63" t="s">
        <v>283</v>
      </c>
      <c r="D196" s="23">
        <v>9972570.82</v>
      </c>
      <c r="E196" s="69">
        <v>0.9373396376</v>
      </c>
      <c r="F196" s="23">
        <v>9347685.92</v>
      </c>
      <c r="G196" s="23">
        <v>0.02</v>
      </c>
      <c r="H196" s="1"/>
      <c r="I196" s="1"/>
      <c r="J196" s="2"/>
      <c r="K196" s="2"/>
      <c r="L196" s="53"/>
      <c r="M196" s="12"/>
      <c r="N196" s="2"/>
      <c r="O196" s="2"/>
    </row>
    <row r="197" ht="15.75" customHeight="1">
      <c r="A197" s="1" t="s">
        <v>292</v>
      </c>
      <c r="B197" s="63" t="s">
        <v>204</v>
      </c>
      <c r="C197" s="63" t="s">
        <v>283</v>
      </c>
      <c r="D197" s="23">
        <v>9972350.78</v>
      </c>
      <c r="E197" s="69">
        <v>0.9373396376</v>
      </c>
      <c r="F197" s="23">
        <v>9347479.67</v>
      </c>
      <c r="G197" s="23">
        <v>0.02</v>
      </c>
      <c r="H197" s="1"/>
      <c r="I197" s="1"/>
      <c r="J197" s="2"/>
      <c r="K197" s="2"/>
      <c r="L197" s="53"/>
      <c r="M197" s="12"/>
      <c r="N197" s="2"/>
      <c r="O197" s="2"/>
    </row>
    <row r="198" ht="15.75" customHeight="1">
      <c r="A198" s="1" t="s">
        <v>293</v>
      </c>
      <c r="B198" s="63" t="s">
        <v>204</v>
      </c>
      <c r="C198" s="63" t="s">
        <v>283</v>
      </c>
      <c r="D198" s="24">
        <v>9973200.0</v>
      </c>
      <c r="E198" s="69">
        <v>0.9373396376</v>
      </c>
      <c r="F198" s="23">
        <v>9348275.67</v>
      </c>
      <c r="G198" s="23">
        <v>0.02</v>
      </c>
      <c r="H198" s="1"/>
      <c r="I198" s="1"/>
      <c r="J198" s="2"/>
      <c r="K198" s="2"/>
      <c r="L198" s="53"/>
      <c r="M198" s="12"/>
      <c r="N198" s="2"/>
      <c r="O198" s="2"/>
    </row>
    <row r="199" ht="15.75" customHeight="1">
      <c r="A199" s="1" t="s">
        <v>294</v>
      </c>
      <c r="B199" s="63" t="s">
        <v>146</v>
      </c>
      <c r="C199" s="63" t="s">
        <v>283</v>
      </c>
      <c r="D199" s="23">
        <v>9972860.45</v>
      </c>
      <c r="E199" s="69">
        <v>0.9383033708</v>
      </c>
      <c r="F199" s="23">
        <v>9357568.58</v>
      </c>
      <c r="G199" s="23">
        <v>0.02</v>
      </c>
      <c r="H199" s="1"/>
      <c r="I199" s="1"/>
      <c r="J199" s="2"/>
      <c r="K199" s="2"/>
      <c r="L199" s="53"/>
      <c r="M199" s="12"/>
      <c r="N199" s="2"/>
      <c r="O199" s="2"/>
    </row>
    <row r="200" ht="15.75" customHeight="1">
      <c r="A200" s="1" t="s">
        <v>295</v>
      </c>
      <c r="B200" s="63" t="s">
        <v>282</v>
      </c>
      <c r="C200" s="63" t="s">
        <v>283</v>
      </c>
      <c r="D200" s="23">
        <v>9973360.47</v>
      </c>
      <c r="E200" s="69">
        <v>0.9240506469</v>
      </c>
      <c r="F200" s="23">
        <v>9215890.19</v>
      </c>
      <c r="G200" s="23">
        <v>0.02</v>
      </c>
      <c r="H200" s="1"/>
      <c r="I200" s="1"/>
      <c r="J200" s="2"/>
      <c r="K200" s="2"/>
      <c r="L200" s="53"/>
      <c r="M200" s="12"/>
      <c r="N200" s="2"/>
      <c r="O200" s="2"/>
    </row>
    <row r="201" ht="15.75" customHeight="1">
      <c r="A201" s="1" t="s">
        <v>296</v>
      </c>
      <c r="B201" s="63" t="s">
        <v>297</v>
      </c>
      <c r="C201" s="63" t="s">
        <v>283</v>
      </c>
      <c r="D201" s="24">
        <v>7551944.0</v>
      </c>
      <c r="E201" s="69">
        <v>0.9500260934</v>
      </c>
      <c r="F201" s="23">
        <v>7174543.86</v>
      </c>
      <c r="G201" s="23">
        <v>0.01</v>
      </c>
      <c r="H201" s="1"/>
      <c r="I201" s="1"/>
      <c r="J201" s="2"/>
      <c r="K201" s="2"/>
      <c r="L201" s="53"/>
      <c r="M201" s="12"/>
      <c r="N201" s="2"/>
      <c r="O201" s="2"/>
    </row>
    <row r="202" ht="15.75" customHeight="1">
      <c r="A202" s="1" t="s">
        <v>298</v>
      </c>
      <c r="B202" s="63" t="s">
        <v>161</v>
      </c>
      <c r="C202" s="63" t="s">
        <v>283</v>
      </c>
      <c r="D202" s="29">
        <v>9943984.5</v>
      </c>
      <c r="E202" s="69">
        <v>0.9520083498</v>
      </c>
      <c r="F202" s="23">
        <v>9466756.27</v>
      </c>
      <c r="G202" s="23">
        <v>0.02</v>
      </c>
      <c r="H202" s="1"/>
      <c r="I202" s="1"/>
      <c r="J202" s="2"/>
      <c r="K202" s="2"/>
      <c r="L202" s="53"/>
      <c r="M202" s="12"/>
      <c r="N202" s="2"/>
      <c r="O202" s="2"/>
    </row>
    <row r="203" ht="15.75" customHeight="1">
      <c r="A203" s="1" t="s">
        <v>299</v>
      </c>
      <c r="B203" s="63" t="s">
        <v>143</v>
      </c>
      <c r="C203" s="63" t="s">
        <v>283</v>
      </c>
      <c r="D203" s="29">
        <v>9943984.5</v>
      </c>
      <c r="E203" s="69">
        <v>0.9510162567</v>
      </c>
      <c r="F203" s="23">
        <v>9456890.92</v>
      </c>
      <c r="G203" s="23">
        <v>0.02</v>
      </c>
      <c r="H203" s="1"/>
      <c r="I203" s="1"/>
      <c r="J203" s="2"/>
      <c r="K203" s="2"/>
      <c r="L203" s="53"/>
      <c r="M203" s="12"/>
      <c r="N203" s="2"/>
      <c r="O203" s="2"/>
    </row>
    <row r="204" ht="15.75" customHeight="1">
      <c r="A204" s="1" t="s">
        <v>300</v>
      </c>
      <c r="B204" s="63" t="s">
        <v>301</v>
      </c>
      <c r="C204" s="63" t="s">
        <v>283</v>
      </c>
      <c r="D204" s="24">
        <v>7551944.0</v>
      </c>
      <c r="E204" s="69">
        <v>0.9460861098</v>
      </c>
      <c r="F204" s="23">
        <v>7144789.32</v>
      </c>
      <c r="G204" s="23">
        <v>0.01</v>
      </c>
      <c r="H204" s="1"/>
      <c r="I204" s="1"/>
      <c r="J204" s="2"/>
      <c r="K204" s="2"/>
      <c r="L204" s="53"/>
      <c r="M204" s="12"/>
      <c r="N204" s="2"/>
      <c r="O204" s="2"/>
    </row>
    <row r="205" ht="15.75" customHeight="1">
      <c r="A205" s="1" t="s">
        <v>302</v>
      </c>
      <c r="B205" s="63" t="s">
        <v>301</v>
      </c>
      <c r="C205" s="63" t="s">
        <v>283</v>
      </c>
      <c r="D205" s="24">
        <v>7551944.0</v>
      </c>
      <c r="E205" s="69">
        <v>0.9460861098</v>
      </c>
      <c r="F205" s="23">
        <v>7144789.32</v>
      </c>
      <c r="G205" s="23">
        <v>0.01</v>
      </c>
      <c r="H205" s="1"/>
      <c r="I205" s="1"/>
      <c r="J205" s="2"/>
      <c r="K205" s="2"/>
      <c r="L205" s="53"/>
      <c r="M205" s="12"/>
      <c r="N205" s="2"/>
      <c r="O205" s="2"/>
    </row>
    <row r="206" ht="15.75" customHeight="1">
      <c r="A206" s="1" t="s">
        <v>303</v>
      </c>
      <c r="B206" s="63" t="s">
        <v>161</v>
      </c>
      <c r="C206" s="63" t="s">
        <v>283</v>
      </c>
      <c r="D206" s="29">
        <v>9943984.5</v>
      </c>
      <c r="E206" s="69">
        <v>0.9520083498</v>
      </c>
      <c r="F206" s="23">
        <v>9466756.27</v>
      </c>
      <c r="G206" s="23">
        <v>0.02</v>
      </c>
      <c r="H206" s="1"/>
      <c r="I206" s="1"/>
      <c r="J206" s="2"/>
      <c r="K206" s="2"/>
      <c r="L206" s="53"/>
      <c r="M206" s="12"/>
      <c r="N206" s="2"/>
      <c r="O206" s="2"/>
      <c r="Q206" s="31"/>
    </row>
    <row r="207" ht="15.75" customHeight="1">
      <c r="A207" s="1" t="s">
        <v>304</v>
      </c>
      <c r="B207" s="63" t="s">
        <v>143</v>
      </c>
      <c r="C207" s="63" t="s">
        <v>283</v>
      </c>
      <c r="D207" s="29">
        <v>9943984.5</v>
      </c>
      <c r="E207" s="69">
        <v>0.9510162567</v>
      </c>
      <c r="F207" s="23">
        <v>9456890.92</v>
      </c>
      <c r="G207" s="23">
        <v>0.02</v>
      </c>
      <c r="H207" s="1"/>
      <c r="I207" s="1"/>
      <c r="J207" s="2"/>
      <c r="K207" s="2"/>
      <c r="L207" s="53"/>
      <c r="M207" s="12"/>
      <c r="N207" s="2"/>
      <c r="O207" s="2"/>
    </row>
    <row r="208" ht="15.75" customHeight="1">
      <c r="A208" s="1" t="s">
        <v>305</v>
      </c>
      <c r="B208" s="63" t="s">
        <v>297</v>
      </c>
      <c r="C208" s="63" t="s">
        <v>283</v>
      </c>
      <c r="D208" s="24">
        <v>7551944.0</v>
      </c>
      <c r="E208" s="69">
        <v>0.9500260934</v>
      </c>
      <c r="F208" s="23">
        <v>7174543.86</v>
      </c>
      <c r="G208" s="23">
        <v>0.01</v>
      </c>
      <c r="H208" s="1"/>
      <c r="I208" s="1"/>
      <c r="J208" s="2"/>
      <c r="K208" s="2"/>
      <c r="L208" s="53"/>
      <c r="M208" s="12"/>
      <c r="N208" s="2"/>
      <c r="O208" s="2"/>
    </row>
    <row r="209" ht="15.75" customHeight="1">
      <c r="A209" s="1" t="s">
        <v>306</v>
      </c>
      <c r="B209" s="63" t="s">
        <v>143</v>
      </c>
      <c r="C209" s="63" t="s">
        <v>307</v>
      </c>
      <c r="D209" s="23">
        <v>3243208.42</v>
      </c>
      <c r="E209" s="70">
        <v>0.960425235</v>
      </c>
      <c r="F209" s="23">
        <v>3114859.21</v>
      </c>
      <c r="G209" s="23">
        <v>0.01</v>
      </c>
      <c r="H209" s="1"/>
      <c r="I209" s="1"/>
      <c r="J209" s="2"/>
      <c r="K209" s="2"/>
      <c r="L209" s="53"/>
      <c r="M209" s="12"/>
      <c r="N209" s="2"/>
      <c r="O209" s="2"/>
    </row>
    <row r="210" ht="15.75" customHeight="1">
      <c r="A210" s="1" t="s">
        <v>308</v>
      </c>
      <c r="B210" s="63" t="s">
        <v>287</v>
      </c>
      <c r="C210" s="63" t="s">
        <v>307</v>
      </c>
      <c r="D210" s="23">
        <v>3243208.42</v>
      </c>
      <c r="E210" s="69">
        <v>0.9375321219</v>
      </c>
      <c r="F210" s="23">
        <v>3040612.07</v>
      </c>
      <c r="G210" s="23">
        <v>0.01</v>
      </c>
      <c r="H210" s="1"/>
      <c r="I210" s="1"/>
      <c r="J210" s="2"/>
      <c r="K210" s="2"/>
      <c r="L210" s="53"/>
      <c r="M210" s="12"/>
      <c r="N210" s="2"/>
      <c r="O210" s="2"/>
    </row>
    <row r="211" ht="15.75" customHeight="1">
      <c r="A211" s="1" t="s">
        <v>309</v>
      </c>
      <c r="B211" s="63" t="s">
        <v>159</v>
      </c>
      <c r="C211" s="63" t="s">
        <v>307</v>
      </c>
      <c r="D211" s="24">
        <v>2500000.0</v>
      </c>
      <c r="E211" s="69">
        <v>0.9905558161</v>
      </c>
      <c r="F211" s="23">
        <v>2476389.54</v>
      </c>
      <c r="G211" s="23">
        <v>0.01</v>
      </c>
      <c r="H211" s="1"/>
      <c r="I211" s="1"/>
      <c r="J211" s="2"/>
      <c r="K211" s="2"/>
      <c r="L211" s="53"/>
      <c r="M211" s="12"/>
      <c r="N211" s="2"/>
      <c r="O211" s="2"/>
    </row>
    <row r="212" ht="15.75" customHeight="1">
      <c r="A212" s="1" t="s">
        <v>310</v>
      </c>
      <c r="B212" s="63" t="s">
        <v>143</v>
      </c>
      <c r="C212" s="63" t="s">
        <v>307</v>
      </c>
      <c r="D212" s="24">
        <v>2500000.0</v>
      </c>
      <c r="E212" s="69">
        <v>0.9640017995</v>
      </c>
      <c r="F212" s="29">
        <v>2410004.5</v>
      </c>
      <c r="G212" s="24">
        <v>0.0</v>
      </c>
      <c r="H212" s="1"/>
      <c r="I212" s="1"/>
      <c r="J212" s="2"/>
      <c r="K212" s="2"/>
      <c r="L212" s="53"/>
      <c r="M212" s="12"/>
      <c r="N212" s="2"/>
      <c r="O212" s="2"/>
    </row>
    <row r="213" ht="15.75" customHeight="1">
      <c r="A213" s="1" t="s">
        <v>311</v>
      </c>
      <c r="B213" s="63" t="s">
        <v>146</v>
      </c>
      <c r="C213" s="63" t="s">
        <v>307</v>
      </c>
      <c r="D213" s="24">
        <v>2500000.0</v>
      </c>
      <c r="E213" s="69">
        <v>0.9544979604</v>
      </c>
      <c r="F213" s="29">
        <v>2386244.9</v>
      </c>
      <c r="G213" s="24">
        <v>0.0</v>
      </c>
      <c r="H213" s="1"/>
      <c r="I213" s="1"/>
      <c r="J213" s="2"/>
      <c r="K213" s="2"/>
      <c r="L213" s="53"/>
      <c r="M213" s="12"/>
      <c r="N213" s="2"/>
      <c r="O213" s="2"/>
    </row>
    <row r="214" ht="15.75" customHeight="1">
      <c r="A214" s="1" t="s">
        <v>312</v>
      </c>
      <c r="B214" s="63" t="s">
        <v>132</v>
      </c>
      <c r="C214" s="63" t="s">
        <v>307</v>
      </c>
      <c r="D214" s="24">
        <v>2500000.0</v>
      </c>
      <c r="E214" s="69">
        <v>0.9759619597</v>
      </c>
      <c r="F214" s="29">
        <v>2439904.9</v>
      </c>
      <c r="G214" s="24">
        <v>0.0</v>
      </c>
      <c r="H214" s="1"/>
      <c r="I214" s="1"/>
      <c r="J214" s="2"/>
      <c r="K214" s="2"/>
      <c r="L214" s="53"/>
      <c r="M214" s="12"/>
      <c r="N214" s="2"/>
      <c r="O214" s="2"/>
    </row>
    <row r="215" ht="15.75" customHeight="1">
      <c r="A215" s="1" t="s">
        <v>313</v>
      </c>
      <c r="B215" s="63" t="s">
        <v>146</v>
      </c>
      <c r="C215" s="63" t="s">
        <v>307</v>
      </c>
      <c r="D215" s="24">
        <v>2.5E7</v>
      </c>
      <c r="E215" s="69">
        <v>0.9530026662</v>
      </c>
      <c r="F215" s="23">
        <v>2.382506666E7</v>
      </c>
      <c r="G215" s="23">
        <v>0.05</v>
      </c>
      <c r="H215" s="1"/>
      <c r="I215" s="1"/>
      <c r="J215" s="2"/>
      <c r="K215" s="2"/>
      <c r="L215" s="53"/>
      <c r="M215" s="12"/>
      <c r="N215" s="2"/>
      <c r="O215" s="2"/>
    </row>
    <row r="216" ht="15.75" customHeight="1">
      <c r="A216" s="1" t="s">
        <v>314</v>
      </c>
      <c r="B216" s="63" t="s">
        <v>315</v>
      </c>
      <c r="C216" s="63" t="s">
        <v>307</v>
      </c>
      <c r="D216" s="24">
        <v>2.4E7</v>
      </c>
      <c r="E216" s="70">
        <v>0.947805834</v>
      </c>
      <c r="F216" s="23">
        <v>2.274734002E7</v>
      </c>
      <c r="G216" s="23">
        <v>0.05</v>
      </c>
      <c r="H216" s="1"/>
      <c r="I216" s="1"/>
      <c r="J216" s="2"/>
      <c r="K216" s="2"/>
      <c r="L216" s="53"/>
      <c r="M216" s="12"/>
      <c r="N216" s="2"/>
      <c r="O216" s="2"/>
    </row>
    <row r="217" ht="15.75" customHeight="1">
      <c r="A217" s="1" t="s">
        <v>316</v>
      </c>
      <c r="B217" s="63" t="s">
        <v>204</v>
      </c>
      <c r="C217" s="63" t="s">
        <v>307</v>
      </c>
      <c r="D217" s="24">
        <v>2.5E7</v>
      </c>
      <c r="E217" s="69">
        <v>0.9522567407</v>
      </c>
      <c r="F217" s="23">
        <v>2.380641852E7</v>
      </c>
      <c r="G217" s="23">
        <v>0.05</v>
      </c>
      <c r="H217" s="1"/>
      <c r="I217" s="1"/>
      <c r="J217" s="2"/>
      <c r="K217" s="2"/>
      <c r="L217" s="53"/>
      <c r="M217" s="12"/>
      <c r="N217" s="2"/>
      <c r="O217" s="2"/>
    </row>
    <row r="218" ht="15.75" customHeight="1">
      <c r="A218" s="1" t="s">
        <v>317</v>
      </c>
      <c r="B218" s="63" t="s">
        <v>159</v>
      </c>
      <c r="C218" s="63" t="s">
        <v>307</v>
      </c>
      <c r="D218" s="24">
        <v>4.0E7</v>
      </c>
      <c r="E218" s="69">
        <v>0.9908785114</v>
      </c>
      <c r="F218" s="23">
        <v>3.963514046E7</v>
      </c>
      <c r="G218" s="23">
        <v>0.08</v>
      </c>
      <c r="H218" s="1"/>
      <c r="I218" s="1"/>
      <c r="J218" s="2"/>
      <c r="K218" s="2"/>
      <c r="L218" s="53"/>
      <c r="M218" s="12"/>
      <c r="N218" s="2"/>
      <c r="O218" s="2"/>
    </row>
    <row r="219" ht="15.75" customHeight="1">
      <c r="A219" s="1" t="s">
        <v>318</v>
      </c>
      <c r="B219" s="63" t="s">
        <v>163</v>
      </c>
      <c r="C219" s="63" t="s">
        <v>307</v>
      </c>
      <c r="D219" s="24">
        <v>1.3E8</v>
      </c>
      <c r="E219" s="69">
        <v>0.9904751696</v>
      </c>
      <c r="F219" s="23">
        <v>1.2876177205E8</v>
      </c>
      <c r="G219" s="23">
        <v>0.26</v>
      </c>
      <c r="H219" s="1"/>
      <c r="I219" s="1"/>
      <c r="J219" s="2"/>
      <c r="K219" s="2"/>
      <c r="L219" s="53"/>
      <c r="M219" s="12"/>
      <c r="N219" s="2"/>
      <c r="O219" s="2"/>
    </row>
    <row r="220" ht="15.75" customHeight="1">
      <c r="A220" s="1" t="s">
        <v>319</v>
      </c>
      <c r="B220" s="63" t="s">
        <v>163</v>
      </c>
      <c r="C220" s="63" t="s">
        <v>307</v>
      </c>
      <c r="D220" s="24">
        <v>1.5E8</v>
      </c>
      <c r="E220" s="69">
        <v>0.9904751696</v>
      </c>
      <c r="F220" s="23">
        <v>1.4857127544E8</v>
      </c>
      <c r="G220" s="29">
        <v>0.3</v>
      </c>
      <c r="H220" s="1"/>
      <c r="I220" s="1"/>
      <c r="J220" s="2"/>
      <c r="K220" s="2"/>
      <c r="L220" s="53"/>
      <c r="M220" s="12"/>
      <c r="N220" s="2"/>
      <c r="O220" s="2"/>
    </row>
    <row r="221" ht="15.75" customHeight="1">
      <c r="A221" s="1" t="s">
        <v>320</v>
      </c>
      <c r="B221" s="63" t="s">
        <v>161</v>
      </c>
      <c r="C221" s="63" t="s">
        <v>307</v>
      </c>
      <c r="D221" s="24">
        <v>1.5E7</v>
      </c>
      <c r="E221" s="69">
        <v>0.9612346277</v>
      </c>
      <c r="F221" s="23">
        <v>1.441851942E7</v>
      </c>
      <c r="G221" s="23">
        <v>0.03</v>
      </c>
      <c r="H221" s="1"/>
      <c r="I221" s="1"/>
      <c r="J221" s="2"/>
      <c r="K221" s="2"/>
      <c r="L221" s="53"/>
      <c r="M221" s="12"/>
      <c r="N221" s="2"/>
      <c r="O221" s="2"/>
    </row>
    <row r="222" ht="15.75" customHeight="1">
      <c r="A222" s="1" t="s">
        <v>321</v>
      </c>
      <c r="B222" s="63" t="s">
        <v>170</v>
      </c>
      <c r="C222" s="63" t="s">
        <v>307</v>
      </c>
      <c r="D222" s="24">
        <v>1.5E7</v>
      </c>
      <c r="E222" s="69">
        <v>0.9853147748</v>
      </c>
      <c r="F222" s="23">
        <v>1.477972162E7</v>
      </c>
      <c r="G222" s="23">
        <v>0.03</v>
      </c>
      <c r="H222" s="1"/>
      <c r="I222" s="1"/>
      <c r="J222" s="2"/>
      <c r="K222" s="2"/>
      <c r="L222" s="53"/>
      <c r="M222" s="12"/>
      <c r="N222" s="2"/>
      <c r="O222" s="2"/>
    </row>
    <row r="223" ht="15.75" customHeight="1">
      <c r="A223" s="1" t="s">
        <v>322</v>
      </c>
      <c r="B223" s="63" t="s">
        <v>132</v>
      </c>
      <c r="C223" s="63" t="s">
        <v>307</v>
      </c>
      <c r="D223" s="24">
        <v>1.5E7</v>
      </c>
      <c r="E223" s="69">
        <v>0.9735410583</v>
      </c>
      <c r="F223" s="23">
        <v>1.460311587E7</v>
      </c>
      <c r="G223" s="23">
        <v>0.03</v>
      </c>
      <c r="H223" s="1"/>
      <c r="I223" s="1"/>
      <c r="J223" s="2"/>
      <c r="K223" s="2"/>
      <c r="L223" s="53"/>
      <c r="M223" s="12"/>
      <c r="N223" s="2"/>
      <c r="O223" s="2"/>
    </row>
    <row r="224" ht="15.75" customHeight="1">
      <c r="A224" s="1" t="s">
        <v>323</v>
      </c>
      <c r="B224" s="63" t="s">
        <v>204</v>
      </c>
      <c r="C224" s="63" t="s">
        <v>307</v>
      </c>
      <c r="D224" s="24">
        <v>1.5E7</v>
      </c>
      <c r="E224" s="69">
        <v>0.9492354345</v>
      </c>
      <c r="F224" s="23">
        <v>1.423853152E7</v>
      </c>
      <c r="G224" s="23">
        <v>0.03</v>
      </c>
      <c r="H224" s="1"/>
      <c r="I224" s="1"/>
      <c r="J224" s="2"/>
      <c r="K224" s="2"/>
      <c r="L224" s="53"/>
      <c r="M224" s="12"/>
      <c r="N224" s="2"/>
      <c r="O224" s="2"/>
    </row>
    <row r="225" ht="15.75" customHeight="1">
      <c r="A225" s="1" t="s">
        <v>324</v>
      </c>
      <c r="B225" s="63" t="s">
        <v>150</v>
      </c>
      <c r="C225" s="63" t="s">
        <v>307</v>
      </c>
      <c r="D225" s="24">
        <v>1.5E7</v>
      </c>
      <c r="E225" s="69">
        <v>0.9768761777</v>
      </c>
      <c r="F225" s="23">
        <v>1.465314267E7</v>
      </c>
      <c r="G225" s="23">
        <v>0.03</v>
      </c>
      <c r="H225" s="1"/>
      <c r="I225" s="1"/>
      <c r="J225" s="2"/>
      <c r="K225" s="2"/>
      <c r="L225" s="53"/>
      <c r="M225" s="12"/>
      <c r="N225" s="2"/>
      <c r="O225" s="2"/>
    </row>
    <row r="226" ht="15.75" customHeight="1">
      <c r="A226" s="1" t="s">
        <v>325</v>
      </c>
      <c r="B226" s="63" t="s">
        <v>108</v>
      </c>
      <c r="C226" s="63" t="s">
        <v>307</v>
      </c>
      <c r="D226" s="24">
        <v>1.5E7</v>
      </c>
      <c r="E226" s="69">
        <v>0.9532017815</v>
      </c>
      <c r="F226" s="23">
        <v>1.429802672E7</v>
      </c>
      <c r="G226" s="23">
        <v>0.03</v>
      </c>
      <c r="H226" s="1"/>
      <c r="I226" s="1"/>
      <c r="J226" s="2"/>
      <c r="K226" s="2"/>
      <c r="L226" s="53"/>
      <c r="M226" s="12"/>
      <c r="N226" s="2"/>
      <c r="O226" s="2"/>
    </row>
    <row r="227" ht="15.75" customHeight="1">
      <c r="A227" s="1" t="s">
        <v>326</v>
      </c>
      <c r="B227" s="63" t="s">
        <v>182</v>
      </c>
      <c r="C227" s="63" t="s">
        <v>307</v>
      </c>
      <c r="D227" s="24">
        <v>1.5E7</v>
      </c>
      <c r="E227" s="69">
        <v>0.9793925323</v>
      </c>
      <c r="F227" s="23">
        <v>1.469088798E7</v>
      </c>
      <c r="G227" s="23">
        <v>0.03</v>
      </c>
      <c r="H227" s="1"/>
      <c r="I227" s="1"/>
      <c r="J227" s="2"/>
      <c r="K227" s="2"/>
      <c r="L227" s="53"/>
      <c r="M227" s="12"/>
      <c r="N227" s="2"/>
      <c r="O227" s="2"/>
    </row>
    <row r="228" ht="15.75" customHeight="1">
      <c r="A228" s="1" t="s">
        <v>327</v>
      </c>
      <c r="B228" s="63" t="s">
        <v>328</v>
      </c>
      <c r="C228" s="63" t="s">
        <v>307</v>
      </c>
      <c r="D228" s="24">
        <v>1.5E7</v>
      </c>
      <c r="E228" s="69">
        <v>0.9547975441</v>
      </c>
      <c r="F228" s="23">
        <v>1.432196316E7</v>
      </c>
      <c r="G228" s="23">
        <v>0.03</v>
      </c>
      <c r="H228" s="1"/>
      <c r="I228" s="1"/>
      <c r="J228" s="2"/>
      <c r="K228" s="2"/>
      <c r="L228" s="53"/>
      <c r="M228" s="12"/>
      <c r="N228" s="2"/>
      <c r="O228" s="2"/>
    </row>
    <row r="229" ht="15.75" customHeight="1">
      <c r="A229" s="1" t="s">
        <v>329</v>
      </c>
      <c r="B229" s="63" t="s">
        <v>330</v>
      </c>
      <c r="C229" s="63" t="s">
        <v>307</v>
      </c>
      <c r="D229" s="24">
        <v>1.0E7</v>
      </c>
      <c r="E229" s="69">
        <v>0.9785523119</v>
      </c>
      <c r="F229" s="23">
        <v>9785523.12</v>
      </c>
      <c r="G229" s="23">
        <v>0.02</v>
      </c>
      <c r="H229" s="1"/>
      <c r="I229" s="1"/>
      <c r="J229" s="2"/>
      <c r="K229" s="2"/>
      <c r="L229" s="53"/>
      <c r="M229" s="12"/>
      <c r="N229" s="2"/>
      <c r="O229" s="2"/>
    </row>
    <row r="230" ht="15.75" customHeight="1">
      <c r="A230" s="1" t="s">
        <v>331</v>
      </c>
      <c r="B230" s="63" t="s">
        <v>132</v>
      </c>
      <c r="C230" s="63" t="s">
        <v>307</v>
      </c>
      <c r="D230" s="23">
        <v>9978017.32</v>
      </c>
      <c r="E230" s="69">
        <v>0.9687351131</v>
      </c>
      <c r="F230" s="23">
        <v>9666055.74</v>
      </c>
      <c r="G230" s="23">
        <v>0.02</v>
      </c>
      <c r="H230" s="1"/>
      <c r="I230" s="1"/>
      <c r="J230" s="2"/>
      <c r="K230" s="2"/>
      <c r="L230" s="53"/>
      <c r="M230" s="12"/>
      <c r="N230" s="2"/>
      <c r="O230" s="2"/>
    </row>
    <row r="231" ht="15.75" customHeight="1">
      <c r="A231" s="1" t="s">
        <v>332</v>
      </c>
      <c r="B231" s="63" t="s">
        <v>175</v>
      </c>
      <c r="C231" s="63" t="s">
        <v>307</v>
      </c>
      <c r="D231" s="23">
        <v>3519950.15</v>
      </c>
      <c r="E231" s="69">
        <v>0.9736449706</v>
      </c>
      <c r="F231" s="23">
        <v>3427181.76</v>
      </c>
      <c r="G231" s="23">
        <v>0.01</v>
      </c>
      <c r="H231" s="1"/>
      <c r="I231" s="1"/>
      <c r="J231" s="2"/>
      <c r="K231" s="2"/>
      <c r="L231" s="53"/>
      <c r="M231" s="12"/>
      <c r="N231" s="2"/>
      <c r="O231" s="2"/>
    </row>
    <row r="232" ht="15.75" customHeight="1">
      <c r="A232" s="1" t="s">
        <v>333</v>
      </c>
      <c r="B232" s="63" t="s">
        <v>185</v>
      </c>
      <c r="C232" s="63" t="s">
        <v>307</v>
      </c>
      <c r="D232" s="23">
        <v>3116595.02</v>
      </c>
      <c r="E232" s="69">
        <v>0.9806029178</v>
      </c>
      <c r="F232" s="23">
        <v>3056142.17</v>
      </c>
      <c r="G232" s="23">
        <v>0.01</v>
      </c>
      <c r="H232" s="1"/>
      <c r="I232" s="1"/>
      <c r="J232" s="2"/>
      <c r="K232" s="2"/>
      <c r="L232" s="53"/>
      <c r="M232" s="12"/>
      <c r="N232" s="2"/>
      <c r="O232" s="2"/>
    </row>
    <row r="233" ht="15.75" customHeight="1">
      <c r="A233" s="1" t="s">
        <v>334</v>
      </c>
      <c r="B233" s="63" t="s">
        <v>335</v>
      </c>
      <c r="C233" s="63" t="s">
        <v>307</v>
      </c>
      <c r="D233" s="23">
        <v>3116595.02</v>
      </c>
      <c r="E233" s="69">
        <v>0.9667850592</v>
      </c>
      <c r="F233" s="29">
        <v>3013077.5</v>
      </c>
      <c r="G233" s="23">
        <v>0.01</v>
      </c>
      <c r="H233" s="1"/>
      <c r="I233" s="1"/>
      <c r="J233" s="2"/>
      <c r="K233" s="2"/>
      <c r="L233" s="53"/>
      <c r="M233" s="12"/>
      <c r="N233" s="2"/>
      <c r="O233" s="2"/>
    </row>
    <row r="234" ht="15.75" customHeight="1">
      <c r="A234" s="1" t="s">
        <v>336</v>
      </c>
      <c r="B234" s="63" t="s">
        <v>337</v>
      </c>
      <c r="C234" s="63" t="s">
        <v>307</v>
      </c>
      <c r="D234" s="23">
        <v>4463318.82</v>
      </c>
      <c r="E234" s="69">
        <v>0.9231159946</v>
      </c>
      <c r="F234" s="23">
        <v>4120160.99</v>
      </c>
      <c r="G234" s="23">
        <v>0.01</v>
      </c>
      <c r="H234" s="1"/>
      <c r="I234" s="1"/>
      <c r="J234" s="2"/>
      <c r="K234" s="2"/>
      <c r="L234" s="53"/>
      <c r="M234" s="12"/>
      <c r="N234" s="2"/>
      <c r="O234" s="2"/>
    </row>
    <row r="235" ht="15.75" customHeight="1">
      <c r="A235" s="1" t="s">
        <v>338</v>
      </c>
      <c r="B235" s="63" t="s">
        <v>335</v>
      </c>
      <c r="C235" s="63" t="s">
        <v>307</v>
      </c>
      <c r="D235" s="24">
        <v>8500000.0</v>
      </c>
      <c r="E235" s="69">
        <v>0.9735930327</v>
      </c>
      <c r="F235" s="23">
        <v>8275540.78</v>
      </c>
      <c r="G235" s="23">
        <v>0.02</v>
      </c>
      <c r="H235" s="1"/>
      <c r="I235" s="1"/>
      <c r="J235" s="2"/>
      <c r="K235" s="2"/>
      <c r="L235" s="53"/>
      <c r="M235" s="12"/>
      <c r="N235" s="2"/>
      <c r="O235" s="2"/>
    </row>
    <row r="236" ht="15.75" customHeight="1">
      <c r="A236" s="1" t="s">
        <v>339</v>
      </c>
      <c r="B236" s="63" t="s">
        <v>335</v>
      </c>
      <c r="C236" s="63" t="s">
        <v>307</v>
      </c>
      <c r="D236" s="24">
        <v>1.0E7</v>
      </c>
      <c r="E236" s="69">
        <v>0.9735930327</v>
      </c>
      <c r="F236" s="23">
        <v>9735930.33</v>
      </c>
      <c r="G236" s="23">
        <v>0.02</v>
      </c>
      <c r="H236" s="1"/>
      <c r="I236" s="1"/>
      <c r="J236" s="2"/>
      <c r="K236" s="2"/>
      <c r="L236" s="53"/>
      <c r="M236" s="12"/>
      <c r="N236" s="2"/>
      <c r="O236" s="2"/>
    </row>
    <row r="237" ht="15.75" customHeight="1">
      <c r="A237" s="1" t="s">
        <v>340</v>
      </c>
      <c r="B237" s="63" t="s">
        <v>341</v>
      </c>
      <c r="C237" s="63" t="s">
        <v>307</v>
      </c>
      <c r="D237" s="24">
        <v>8500000.0</v>
      </c>
      <c r="E237" s="69">
        <v>0.9728145509</v>
      </c>
      <c r="F237" s="23">
        <v>8268923.68</v>
      </c>
      <c r="G237" s="23">
        <v>0.02</v>
      </c>
      <c r="H237" s="1"/>
      <c r="I237" s="1"/>
      <c r="J237" s="2"/>
      <c r="K237" s="2"/>
      <c r="L237" s="53"/>
      <c r="M237" s="12"/>
      <c r="N237" s="2"/>
      <c r="O237" s="2"/>
    </row>
    <row r="238" ht="15.75" customHeight="1">
      <c r="A238" s="1" t="s">
        <v>342</v>
      </c>
      <c r="B238" s="63" t="s">
        <v>341</v>
      </c>
      <c r="C238" s="63" t="s">
        <v>307</v>
      </c>
      <c r="D238" s="24">
        <v>1.0E7</v>
      </c>
      <c r="E238" s="69">
        <v>0.9728145501</v>
      </c>
      <c r="F238" s="29">
        <v>9728145.5</v>
      </c>
      <c r="G238" s="23">
        <v>0.02</v>
      </c>
      <c r="H238" s="1"/>
      <c r="I238" s="1"/>
      <c r="J238" s="2"/>
      <c r="K238" s="2"/>
      <c r="L238" s="53"/>
      <c r="M238" s="12"/>
      <c r="N238" s="2"/>
      <c r="O238" s="2"/>
    </row>
    <row r="239" ht="15.75" customHeight="1">
      <c r="A239" s="1" t="s">
        <v>343</v>
      </c>
      <c r="B239" s="63" t="s">
        <v>167</v>
      </c>
      <c r="C239" s="63" t="s">
        <v>307</v>
      </c>
      <c r="D239" s="24">
        <v>1.0E7</v>
      </c>
      <c r="E239" s="69">
        <v>0.9720373117</v>
      </c>
      <c r="F239" s="23">
        <v>9720373.12</v>
      </c>
      <c r="G239" s="23">
        <v>0.02</v>
      </c>
      <c r="H239" s="1"/>
      <c r="I239" s="1"/>
      <c r="J239" s="2"/>
      <c r="K239" s="2"/>
      <c r="L239" s="53"/>
      <c r="M239" s="12"/>
      <c r="N239" s="2"/>
      <c r="O239" s="2"/>
    </row>
    <row r="240" ht="15.75" customHeight="1">
      <c r="A240" s="1" t="s">
        <v>344</v>
      </c>
      <c r="B240" s="63" t="s">
        <v>159</v>
      </c>
      <c r="C240" s="63" t="s">
        <v>307</v>
      </c>
      <c r="D240" s="24">
        <v>4000000.0</v>
      </c>
      <c r="E240" s="69">
        <v>0.9902333375</v>
      </c>
      <c r="F240" s="23">
        <v>3960933.35</v>
      </c>
      <c r="G240" s="23">
        <v>0.01</v>
      </c>
      <c r="H240" s="1"/>
      <c r="I240" s="1"/>
      <c r="J240" s="2"/>
      <c r="K240" s="2"/>
      <c r="L240" s="53"/>
      <c r="M240" s="12"/>
      <c r="N240" s="2"/>
      <c r="O240" s="2"/>
    </row>
    <row r="241" ht="15.75" customHeight="1">
      <c r="A241" s="1" t="s">
        <v>345</v>
      </c>
      <c r="B241" s="63" t="s">
        <v>132</v>
      </c>
      <c r="C241" s="63" t="s">
        <v>307</v>
      </c>
      <c r="D241" s="24">
        <v>1.0E7</v>
      </c>
      <c r="E241" s="70">
        <v>0.975153654</v>
      </c>
      <c r="F241" s="23">
        <v>9751536.54</v>
      </c>
      <c r="G241" s="23">
        <v>0.02</v>
      </c>
      <c r="H241" s="1"/>
      <c r="I241" s="1"/>
      <c r="J241" s="2"/>
      <c r="K241" s="2"/>
      <c r="L241" s="53"/>
      <c r="M241" s="12"/>
      <c r="N241" s="2"/>
      <c r="O241" s="2"/>
    </row>
    <row r="242" ht="15.75" customHeight="1">
      <c r="A242" s="1" t="s">
        <v>346</v>
      </c>
      <c r="B242" s="63" t="s">
        <v>204</v>
      </c>
      <c r="C242" s="63" t="s">
        <v>307</v>
      </c>
      <c r="D242" s="24">
        <v>1.0E7</v>
      </c>
      <c r="E242" s="69">
        <v>0.9522567407</v>
      </c>
      <c r="F242" s="23">
        <v>9522567.41</v>
      </c>
      <c r="G242" s="23">
        <v>0.02</v>
      </c>
      <c r="H242" s="1"/>
      <c r="I242" s="1"/>
      <c r="J242" s="2"/>
      <c r="K242" s="2"/>
      <c r="L242" s="53"/>
      <c r="M242" s="12"/>
      <c r="N242" s="2"/>
      <c r="O242" s="2"/>
    </row>
    <row r="243" ht="15.75" customHeight="1">
      <c r="A243" s="1" t="s">
        <v>347</v>
      </c>
      <c r="B243" s="63" t="s">
        <v>159</v>
      </c>
      <c r="C243" s="63" t="s">
        <v>307</v>
      </c>
      <c r="D243" s="24">
        <v>5000000.0</v>
      </c>
      <c r="E243" s="70">
        <v>0.990233342</v>
      </c>
      <c r="F243" s="23">
        <v>4951166.71</v>
      </c>
      <c r="G243" s="23">
        <v>0.01</v>
      </c>
      <c r="H243" s="1"/>
      <c r="I243" s="1"/>
      <c r="J243" s="2"/>
      <c r="K243" s="2"/>
      <c r="L243" s="53"/>
      <c r="M243" s="12"/>
      <c r="N243" s="2"/>
      <c r="O243" s="2"/>
    </row>
    <row r="244" ht="15.75" customHeight="1">
      <c r="A244" s="1" t="s">
        <v>348</v>
      </c>
      <c r="B244" s="63" t="s">
        <v>247</v>
      </c>
      <c r="C244" s="63" t="s">
        <v>307</v>
      </c>
      <c r="D244" s="24">
        <v>5000000.0</v>
      </c>
      <c r="E244" s="69">
        <v>0.9681698496</v>
      </c>
      <c r="F244" s="23">
        <v>4840849.25</v>
      </c>
      <c r="G244" s="23">
        <v>0.01</v>
      </c>
      <c r="H244" s="1"/>
      <c r="I244" s="1"/>
      <c r="J244" s="2"/>
      <c r="K244" s="2"/>
      <c r="L244" s="53"/>
      <c r="M244" s="12"/>
      <c r="N244" s="2"/>
      <c r="O244" s="2"/>
    </row>
    <row r="245" ht="15.75" customHeight="1">
      <c r="A245" s="1" t="s">
        <v>349</v>
      </c>
      <c r="B245" s="63" t="s">
        <v>161</v>
      </c>
      <c r="C245" s="63" t="s">
        <v>307</v>
      </c>
      <c r="D245" s="24">
        <v>5000000.0</v>
      </c>
      <c r="E245" s="69">
        <v>0.9635692021</v>
      </c>
      <c r="F245" s="23">
        <v>4817846.01</v>
      </c>
      <c r="G245" s="23">
        <v>0.01</v>
      </c>
      <c r="H245" s="1"/>
      <c r="I245" s="1"/>
      <c r="J245" s="2"/>
      <c r="K245" s="2"/>
      <c r="L245" s="53"/>
      <c r="M245" s="12"/>
      <c r="N245" s="2"/>
      <c r="O245" s="2"/>
    </row>
    <row r="246" ht="15.75" customHeight="1">
      <c r="A246" s="1" t="s">
        <v>350</v>
      </c>
      <c r="B246" s="63" t="s">
        <v>113</v>
      </c>
      <c r="C246" s="63" t="s">
        <v>307</v>
      </c>
      <c r="D246" s="24">
        <v>5000000.0</v>
      </c>
      <c r="E246" s="69">
        <v>0.9537497616</v>
      </c>
      <c r="F246" s="23">
        <v>4768748.81</v>
      </c>
      <c r="G246" s="23">
        <v>0.01</v>
      </c>
      <c r="H246" s="1"/>
      <c r="I246" s="1"/>
      <c r="J246" s="2"/>
      <c r="K246" s="2"/>
      <c r="L246" s="53"/>
      <c r="M246" s="12"/>
      <c r="N246" s="2"/>
      <c r="O246" s="2"/>
    </row>
    <row r="247" ht="15.75" customHeight="1">
      <c r="A247" s="1" t="s">
        <v>351</v>
      </c>
      <c r="B247" s="63" t="s">
        <v>352</v>
      </c>
      <c r="C247" s="63" t="s">
        <v>307</v>
      </c>
      <c r="D247" s="24">
        <v>7900000.0</v>
      </c>
      <c r="E247" s="69">
        <v>0.9039128868</v>
      </c>
      <c r="F247" s="23">
        <v>7140911.81</v>
      </c>
      <c r="G247" s="23">
        <v>0.01</v>
      </c>
      <c r="H247" s="1"/>
      <c r="I247" s="1"/>
      <c r="J247" s="2"/>
      <c r="K247" s="2"/>
      <c r="L247" s="53"/>
      <c r="M247" s="12"/>
      <c r="N247" s="2"/>
      <c r="O247" s="2"/>
    </row>
    <row r="248" ht="15.75" customHeight="1">
      <c r="A248" s="1" t="s">
        <v>353</v>
      </c>
      <c r="B248" s="63" t="s">
        <v>352</v>
      </c>
      <c r="C248" s="63" t="s">
        <v>307</v>
      </c>
      <c r="D248" s="24">
        <v>7203888.0</v>
      </c>
      <c r="E248" s="69">
        <v>0.9039128889</v>
      </c>
      <c r="F248" s="23">
        <v>6511687.21</v>
      </c>
      <c r="G248" s="23">
        <v>0.01</v>
      </c>
      <c r="H248" s="1"/>
      <c r="I248" s="1"/>
      <c r="J248" s="2"/>
      <c r="K248" s="2"/>
      <c r="L248" s="53"/>
      <c r="M248" s="12"/>
      <c r="N248" s="2"/>
      <c r="O248" s="2"/>
    </row>
    <row r="249" ht="15.75" customHeight="1">
      <c r="A249" s="1" t="s">
        <v>354</v>
      </c>
      <c r="B249" s="63" t="s">
        <v>355</v>
      </c>
      <c r="C249" s="63" t="s">
        <v>307</v>
      </c>
      <c r="D249" s="24">
        <v>7203888.0</v>
      </c>
      <c r="E249" s="69">
        <v>0.9066070817</v>
      </c>
      <c r="F249" s="23">
        <v>6531095.88</v>
      </c>
      <c r="G249" s="23">
        <v>0.01</v>
      </c>
      <c r="H249" s="1"/>
      <c r="I249" s="1"/>
      <c r="J249" s="2"/>
      <c r="K249" s="2"/>
      <c r="L249" s="53"/>
      <c r="M249" s="12"/>
      <c r="N249" s="2"/>
      <c r="O249" s="2"/>
    </row>
    <row r="250" ht="15.75" customHeight="1">
      <c r="A250" s="1" t="s">
        <v>356</v>
      </c>
      <c r="B250" s="63" t="s">
        <v>357</v>
      </c>
      <c r="C250" s="63" t="s">
        <v>307</v>
      </c>
      <c r="D250" s="24">
        <v>7203888.0</v>
      </c>
      <c r="E250" s="69">
        <v>0.9048092323</v>
      </c>
      <c r="F250" s="23">
        <v>6518144.37</v>
      </c>
      <c r="G250" s="23">
        <v>0.01</v>
      </c>
      <c r="H250" s="1"/>
      <c r="I250" s="1"/>
      <c r="J250" s="2"/>
      <c r="K250" s="2"/>
      <c r="L250" s="53"/>
      <c r="M250" s="12"/>
      <c r="N250" s="2"/>
      <c r="O250" s="2"/>
    </row>
    <row r="251" ht="15.75" customHeight="1">
      <c r="A251" s="1" t="s">
        <v>358</v>
      </c>
      <c r="B251" s="63" t="s">
        <v>357</v>
      </c>
      <c r="C251" s="63" t="s">
        <v>307</v>
      </c>
      <c r="D251" s="24">
        <v>7900000.0</v>
      </c>
      <c r="E251" s="69">
        <v>0.9048092323</v>
      </c>
      <c r="F251" s="23">
        <v>7147992.94</v>
      </c>
      <c r="G251" s="23">
        <v>0.01</v>
      </c>
      <c r="H251" s="1"/>
      <c r="I251" s="1"/>
      <c r="J251" s="2"/>
      <c r="K251" s="2"/>
      <c r="L251" s="53"/>
      <c r="M251" s="12"/>
      <c r="N251" s="2"/>
      <c r="O251" s="2"/>
      <c r="R251" s="31"/>
    </row>
    <row r="252" ht="15.75" customHeight="1">
      <c r="A252" s="1" t="s">
        <v>359</v>
      </c>
      <c r="B252" s="63" t="s">
        <v>209</v>
      </c>
      <c r="C252" s="63" t="s">
        <v>360</v>
      </c>
      <c r="D252" s="24">
        <v>2.0E7</v>
      </c>
      <c r="E252" s="69">
        <v>0.9967231115</v>
      </c>
      <c r="F252" s="23">
        <v>1.993446223E7</v>
      </c>
      <c r="G252" s="23">
        <v>0.04</v>
      </c>
      <c r="H252" s="1"/>
      <c r="I252" s="1"/>
      <c r="J252" s="2"/>
      <c r="K252" s="2"/>
      <c r="L252" s="53"/>
      <c r="M252" s="12"/>
      <c r="N252" s="2"/>
      <c r="O252" s="2"/>
    </row>
    <row r="253" ht="15.75" customHeight="1">
      <c r="A253" s="1" t="s">
        <v>361</v>
      </c>
      <c r="B253" s="63" t="s">
        <v>140</v>
      </c>
      <c r="C253" s="63" t="s">
        <v>360</v>
      </c>
      <c r="D253" s="24">
        <v>5000000.0</v>
      </c>
      <c r="E253" s="69">
        <v>0.9859003139</v>
      </c>
      <c r="F253" s="23">
        <v>4929501.57</v>
      </c>
      <c r="G253" s="23">
        <v>0.01</v>
      </c>
      <c r="H253" s="1"/>
      <c r="I253" s="1"/>
      <c r="J253" s="2"/>
      <c r="K253" s="2"/>
      <c r="L253" s="53"/>
      <c r="M253" s="12"/>
      <c r="N253" s="2"/>
      <c r="O253" s="2"/>
    </row>
    <row r="254" ht="15.75" customHeight="1">
      <c r="A254" s="1" t="s">
        <v>362</v>
      </c>
      <c r="B254" s="63" t="s">
        <v>159</v>
      </c>
      <c r="C254" s="63" t="s">
        <v>360</v>
      </c>
      <c r="D254" s="24">
        <v>5000000.0</v>
      </c>
      <c r="E254" s="69">
        <v>0.9905558139</v>
      </c>
      <c r="F254" s="23">
        <v>4952779.07</v>
      </c>
      <c r="G254" s="23">
        <v>0.01</v>
      </c>
      <c r="H254" s="1"/>
      <c r="I254" s="1"/>
      <c r="J254" s="2"/>
      <c r="K254" s="2"/>
      <c r="L254" s="53"/>
      <c r="M254" s="12"/>
      <c r="N254" s="2"/>
      <c r="O254" s="2"/>
    </row>
    <row r="255" ht="15.75" customHeight="1">
      <c r="A255" s="1" t="s">
        <v>363</v>
      </c>
      <c r="B255" s="63" t="s">
        <v>185</v>
      </c>
      <c r="C255" s="63" t="s">
        <v>360</v>
      </c>
      <c r="D255" s="24">
        <v>5000000.0</v>
      </c>
      <c r="E255" s="69">
        <v>0.9851286358</v>
      </c>
      <c r="F255" s="23">
        <v>4925643.18</v>
      </c>
      <c r="G255" s="23">
        <v>0.01</v>
      </c>
      <c r="H255" s="1"/>
      <c r="I255" s="1"/>
      <c r="J255" s="2"/>
      <c r="K255" s="2"/>
      <c r="L255" s="53"/>
      <c r="M255" s="12"/>
      <c r="N255" s="2"/>
      <c r="O255" s="2"/>
    </row>
    <row r="256" ht="15.75" customHeight="1">
      <c r="A256" s="1" t="s">
        <v>364</v>
      </c>
      <c r="B256" s="63" t="s">
        <v>182</v>
      </c>
      <c r="C256" s="63" t="s">
        <v>360</v>
      </c>
      <c r="D256" s="24">
        <v>5000000.0</v>
      </c>
      <c r="E256" s="69">
        <v>0.9812883239</v>
      </c>
      <c r="F256" s="23">
        <v>4906441.62</v>
      </c>
      <c r="G256" s="23">
        <v>0.01</v>
      </c>
      <c r="H256" s="1"/>
      <c r="I256" s="1"/>
      <c r="J256" s="2"/>
      <c r="K256" s="2"/>
      <c r="L256" s="53"/>
      <c r="M256" s="12"/>
      <c r="N256" s="2"/>
      <c r="O256" s="2"/>
    </row>
    <row r="257" ht="15.75" customHeight="1">
      <c r="A257" s="1" t="s">
        <v>365</v>
      </c>
      <c r="B257" s="63" t="s">
        <v>187</v>
      </c>
      <c r="C257" s="63" t="s">
        <v>360</v>
      </c>
      <c r="D257" s="24">
        <v>5000000.0</v>
      </c>
      <c r="E257" s="69">
        <v>0.9805239001</v>
      </c>
      <c r="F257" s="29">
        <v>4902619.5</v>
      </c>
      <c r="G257" s="23">
        <v>0.01</v>
      </c>
      <c r="H257" s="1"/>
      <c r="I257" s="1"/>
      <c r="J257" s="2"/>
      <c r="K257" s="2"/>
      <c r="L257" s="53"/>
      <c r="M257" s="12"/>
      <c r="N257" s="2"/>
      <c r="O257" s="2"/>
    </row>
    <row r="258" ht="15.75" customHeight="1">
      <c r="A258" s="1" t="s">
        <v>366</v>
      </c>
      <c r="B258" s="63" t="s">
        <v>175</v>
      </c>
      <c r="C258" s="63" t="s">
        <v>360</v>
      </c>
      <c r="D258" s="24">
        <v>5000000.0</v>
      </c>
      <c r="E258" s="69">
        <v>0.9797606098</v>
      </c>
      <c r="F258" s="23">
        <v>4898803.05</v>
      </c>
      <c r="G258" s="23">
        <v>0.01</v>
      </c>
      <c r="H258" s="1"/>
      <c r="I258" s="1"/>
      <c r="J258" s="2"/>
      <c r="K258" s="2"/>
      <c r="L258" s="53"/>
      <c r="M258" s="12"/>
      <c r="N258" s="2"/>
      <c r="O258" s="2"/>
    </row>
    <row r="259" ht="15.75" customHeight="1">
      <c r="A259" s="1" t="s">
        <v>367</v>
      </c>
      <c r="B259" s="63" t="s">
        <v>150</v>
      </c>
      <c r="C259" s="63" t="s">
        <v>360</v>
      </c>
      <c r="D259" s="24">
        <v>5000000.0</v>
      </c>
      <c r="E259" s="70">
        <v>0.978998496</v>
      </c>
      <c r="F259" s="23">
        <v>4894992.48</v>
      </c>
      <c r="G259" s="23">
        <v>0.01</v>
      </c>
      <c r="H259" s="1"/>
      <c r="I259" s="1"/>
      <c r="J259" s="2"/>
      <c r="K259" s="2"/>
      <c r="L259" s="53"/>
      <c r="M259" s="12"/>
      <c r="N259" s="2"/>
      <c r="O259" s="2"/>
    </row>
    <row r="260" ht="15.75" customHeight="1">
      <c r="A260" s="1" t="s">
        <v>368</v>
      </c>
      <c r="B260" s="63" t="s">
        <v>111</v>
      </c>
      <c r="C260" s="63" t="s">
        <v>360</v>
      </c>
      <c r="D260" s="24">
        <v>5000000.0</v>
      </c>
      <c r="E260" s="70">
        <v>0.978237568</v>
      </c>
      <c r="F260" s="23">
        <v>4891187.84</v>
      </c>
      <c r="G260" s="23">
        <v>0.01</v>
      </c>
      <c r="H260" s="1"/>
      <c r="I260" s="1"/>
      <c r="J260" s="2"/>
      <c r="K260" s="2"/>
      <c r="L260" s="53"/>
      <c r="M260" s="12"/>
      <c r="N260" s="2"/>
      <c r="O260" s="2"/>
    </row>
    <row r="261" ht="15.75" customHeight="1">
      <c r="A261" s="1" t="s">
        <v>369</v>
      </c>
      <c r="B261" s="63" t="s">
        <v>132</v>
      </c>
      <c r="C261" s="63" t="s">
        <v>360</v>
      </c>
      <c r="D261" s="24">
        <v>5000000.0</v>
      </c>
      <c r="E261" s="69">
        <v>0.9759619443</v>
      </c>
      <c r="F261" s="23">
        <v>4879809.72</v>
      </c>
      <c r="G261" s="23">
        <v>0.01</v>
      </c>
      <c r="H261" s="1"/>
      <c r="I261" s="1"/>
      <c r="J261" s="2"/>
      <c r="K261" s="2"/>
      <c r="L261" s="53"/>
      <c r="M261" s="12"/>
      <c r="N261" s="2"/>
      <c r="O261" s="2"/>
    </row>
    <row r="262" ht="15.75" customHeight="1">
      <c r="A262" s="1" t="s">
        <v>370</v>
      </c>
      <c r="B262" s="63" t="s">
        <v>148</v>
      </c>
      <c r="C262" s="63" t="s">
        <v>360</v>
      </c>
      <c r="D262" s="24">
        <v>5000000.0</v>
      </c>
      <c r="E262" s="68">
        <v>0.97520581</v>
      </c>
      <c r="F262" s="23">
        <v>4876029.05</v>
      </c>
      <c r="G262" s="23">
        <v>0.01</v>
      </c>
      <c r="H262" s="1"/>
      <c r="I262" s="1"/>
      <c r="J262" s="2"/>
      <c r="K262" s="2"/>
      <c r="L262" s="53"/>
      <c r="M262" s="12"/>
      <c r="N262" s="2"/>
      <c r="O262" s="2"/>
    </row>
    <row r="263" ht="15.75" customHeight="1">
      <c r="A263" s="1" t="s">
        <v>371</v>
      </c>
      <c r="B263" s="63" t="s">
        <v>289</v>
      </c>
      <c r="C263" s="63" t="s">
        <v>360</v>
      </c>
      <c r="D263" s="24">
        <v>4.2E7</v>
      </c>
      <c r="E263" s="69">
        <v>0.9444703782</v>
      </c>
      <c r="F263" s="23">
        <v>3.966775588E7</v>
      </c>
      <c r="G263" s="23">
        <v>0.08</v>
      </c>
      <c r="H263" s="1"/>
      <c r="I263" s="1"/>
      <c r="J263" s="2"/>
      <c r="K263" s="2"/>
      <c r="L263" s="53"/>
      <c r="M263" s="12"/>
      <c r="N263" s="2"/>
      <c r="O263" s="2"/>
    </row>
    <row r="264" ht="15.75" customHeight="1">
      <c r="A264" s="1" t="s">
        <v>372</v>
      </c>
      <c r="B264" s="63" t="s">
        <v>157</v>
      </c>
      <c r="C264" s="63" t="s">
        <v>360</v>
      </c>
      <c r="D264" s="24">
        <v>4.2E7</v>
      </c>
      <c r="E264" s="69">
        <v>0.9677077473</v>
      </c>
      <c r="F264" s="23">
        <v>4.064372539E7</v>
      </c>
      <c r="G264" s="23">
        <v>0.08</v>
      </c>
      <c r="H264" s="1"/>
      <c r="I264" s="1"/>
      <c r="J264" s="2"/>
      <c r="K264" s="2"/>
      <c r="L264" s="53"/>
      <c r="M264" s="12"/>
      <c r="N264" s="2"/>
      <c r="O264" s="2"/>
    </row>
    <row r="265" ht="15.75" customHeight="1">
      <c r="A265" s="1" t="s">
        <v>373</v>
      </c>
      <c r="B265" s="63" t="s">
        <v>247</v>
      </c>
      <c r="C265" s="63" t="s">
        <v>360</v>
      </c>
      <c r="D265" s="24">
        <v>8.0E7</v>
      </c>
      <c r="E265" s="69">
        <v>0.9691981612</v>
      </c>
      <c r="F265" s="29">
        <v>7.75358529E7</v>
      </c>
      <c r="G265" s="23">
        <v>0.16</v>
      </c>
      <c r="H265" s="1"/>
      <c r="I265" s="1"/>
      <c r="J265" s="2"/>
      <c r="K265" s="2"/>
      <c r="L265" s="53"/>
      <c r="M265" s="12"/>
      <c r="N265" s="2"/>
      <c r="O265" s="2"/>
    </row>
    <row r="266" ht="15.75" customHeight="1">
      <c r="A266" s="1" t="s">
        <v>374</v>
      </c>
      <c r="B266" s="63" t="s">
        <v>153</v>
      </c>
      <c r="C266" s="63" t="s">
        <v>360</v>
      </c>
      <c r="D266" s="24">
        <v>7.0E7</v>
      </c>
      <c r="E266" s="69">
        <v>0.9889991189</v>
      </c>
      <c r="F266" s="23">
        <v>6.922993832E7</v>
      </c>
      <c r="G266" s="23">
        <v>0.14</v>
      </c>
      <c r="H266" s="1"/>
      <c r="I266" s="1"/>
      <c r="J266" s="2"/>
      <c r="K266" s="2"/>
      <c r="L266" s="53"/>
      <c r="M266" s="12"/>
      <c r="N266" s="2"/>
      <c r="O266" s="2"/>
    </row>
    <row r="267" ht="15.75" customHeight="1">
      <c r="A267" s="1" t="s">
        <v>375</v>
      </c>
      <c r="B267" s="63" t="s">
        <v>132</v>
      </c>
      <c r="C267" s="63" t="s">
        <v>360</v>
      </c>
      <c r="D267" s="24">
        <v>8.0E7</v>
      </c>
      <c r="E267" s="69">
        <v>0.9759619427</v>
      </c>
      <c r="F267" s="23">
        <v>7.807695542E7</v>
      </c>
      <c r="G267" s="23">
        <v>0.16</v>
      </c>
      <c r="H267" s="1"/>
      <c r="I267" s="1"/>
      <c r="J267" s="2"/>
      <c r="K267" s="2"/>
      <c r="L267" s="53"/>
      <c r="M267" s="12"/>
      <c r="N267" s="2"/>
      <c r="O267" s="2"/>
    </row>
    <row r="268" ht="15.75" customHeight="1">
      <c r="A268" s="1" t="s">
        <v>376</v>
      </c>
      <c r="B268" s="63" t="s">
        <v>204</v>
      </c>
      <c r="C268" s="63" t="s">
        <v>360</v>
      </c>
      <c r="D268" s="24">
        <v>6000000.0</v>
      </c>
      <c r="E268" s="70">
        <v>0.952256718</v>
      </c>
      <c r="F268" s="23">
        <v>5713540.31</v>
      </c>
      <c r="G268" s="23">
        <v>0.01</v>
      </c>
      <c r="H268" s="1"/>
      <c r="I268" s="1"/>
      <c r="J268" s="2"/>
      <c r="K268" s="2"/>
      <c r="L268" s="53"/>
      <c r="M268" s="12"/>
      <c r="N268" s="2"/>
      <c r="O268" s="2"/>
    </row>
    <row r="269" ht="15.75" customHeight="1">
      <c r="A269" s="1" t="s">
        <v>377</v>
      </c>
      <c r="B269" s="63" t="s">
        <v>378</v>
      </c>
      <c r="C269" s="63" t="s">
        <v>360</v>
      </c>
      <c r="D269" s="24">
        <v>6000000.0</v>
      </c>
      <c r="E269" s="69">
        <v>0.9368583517</v>
      </c>
      <c r="F269" s="23">
        <v>5621150.11</v>
      </c>
      <c r="G269" s="23">
        <v>0.01</v>
      </c>
      <c r="H269" s="1"/>
      <c r="I269" s="1"/>
      <c r="J269" s="2"/>
      <c r="K269" s="2"/>
      <c r="L269" s="53"/>
      <c r="M269" s="12"/>
      <c r="N269" s="2"/>
      <c r="O269" s="2"/>
    </row>
    <row r="270" ht="15.75" customHeight="1">
      <c r="A270" s="1" t="s">
        <v>379</v>
      </c>
      <c r="B270" s="63" t="s">
        <v>146</v>
      </c>
      <c r="C270" s="63" t="s">
        <v>360</v>
      </c>
      <c r="D270" s="24">
        <v>2.139575E7</v>
      </c>
      <c r="E270" s="70">
        <v>0.948544737</v>
      </c>
      <c r="F270" s="23">
        <v>2.029482606E7</v>
      </c>
      <c r="G270" s="23">
        <v>0.04</v>
      </c>
      <c r="H270" s="1"/>
      <c r="I270" s="1"/>
      <c r="J270" s="2"/>
      <c r="K270" s="2"/>
      <c r="L270" s="53"/>
      <c r="M270" s="12"/>
      <c r="N270" s="2"/>
      <c r="O270" s="2"/>
    </row>
    <row r="271" ht="15.75" customHeight="1">
      <c r="A271" s="1" t="s">
        <v>380</v>
      </c>
      <c r="B271" s="63" t="s">
        <v>146</v>
      </c>
      <c r="C271" s="63" t="s">
        <v>360</v>
      </c>
      <c r="D271" s="24">
        <v>2.139575E7</v>
      </c>
      <c r="E271" s="70">
        <v>0.948544737</v>
      </c>
      <c r="F271" s="23">
        <v>2.029482606E7</v>
      </c>
      <c r="G271" s="23">
        <v>0.04</v>
      </c>
      <c r="H271" s="1"/>
      <c r="I271" s="1"/>
      <c r="J271" s="2"/>
      <c r="K271" s="2"/>
      <c r="L271" s="53"/>
      <c r="M271" s="12"/>
      <c r="N271" s="2"/>
      <c r="O271" s="10"/>
      <c r="P271" s="31"/>
      <c r="Q271" s="31"/>
      <c r="R271" s="31"/>
    </row>
    <row r="272" ht="15.75" customHeight="1">
      <c r="A272" s="1" t="s">
        <v>381</v>
      </c>
      <c r="B272" s="63" t="s">
        <v>382</v>
      </c>
      <c r="C272" s="63" t="s">
        <v>360</v>
      </c>
      <c r="D272" s="24">
        <v>2.13875E7</v>
      </c>
      <c r="E272" s="69">
        <v>0.9239805806</v>
      </c>
      <c r="F272" s="23">
        <v>1.976163467E7</v>
      </c>
      <c r="G272" s="23">
        <v>0.04</v>
      </c>
      <c r="H272" s="1"/>
      <c r="I272" s="1"/>
      <c r="J272" s="2"/>
      <c r="K272" s="2"/>
      <c r="L272" s="53"/>
      <c r="M272" s="12"/>
      <c r="N272" s="10"/>
      <c r="O272" s="2"/>
    </row>
    <row r="273" ht="15.75" customHeight="1">
      <c r="A273" s="1" t="s">
        <v>383</v>
      </c>
      <c r="B273" s="63" t="s">
        <v>132</v>
      </c>
      <c r="C273" s="63" t="s">
        <v>360</v>
      </c>
      <c r="D273" s="24">
        <v>2.139575E7</v>
      </c>
      <c r="E273" s="69">
        <v>0.9727367432</v>
      </c>
      <c r="F273" s="23">
        <v>2.081243217E7</v>
      </c>
      <c r="G273" s="23">
        <v>0.04</v>
      </c>
      <c r="H273" s="1"/>
      <c r="I273" s="1"/>
      <c r="J273" s="2"/>
      <c r="K273" s="2"/>
      <c r="L273" s="53"/>
      <c r="M273" s="12"/>
      <c r="N273" s="2"/>
      <c r="O273" s="2"/>
    </row>
    <row r="274" ht="15.75" customHeight="1">
      <c r="A274" s="1" t="s">
        <v>384</v>
      </c>
      <c r="B274" s="63" t="s">
        <v>132</v>
      </c>
      <c r="C274" s="63" t="s">
        <v>360</v>
      </c>
      <c r="D274" s="24">
        <v>2.139575E7</v>
      </c>
      <c r="E274" s="69">
        <v>0.9727367432</v>
      </c>
      <c r="F274" s="23">
        <v>2.081243217E7</v>
      </c>
      <c r="G274" s="23">
        <v>0.04</v>
      </c>
      <c r="H274" s="1"/>
      <c r="I274" s="1"/>
      <c r="J274" s="2"/>
      <c r="K274" s="2"/>
      <c r="L274" s="53"/>
      <c r="M274" s="12"/>
      <c r="N274" s="2"/>
      <c r="O274" s="2"/>
    </row>
    <row r="275" ht="15.75" customHeight="1">
      <c r="A275" s="1" t="s">
        <v>385</v>
      </c>
      <c r="B275" s="63" t="s">
        <v>159</v>
      </c>
      <c r="C275" s="63" t="s">
        <v>360</v>
      </c>
      <c r="D275" s="24">
        <v>1.1E7</v>
      </c>
      <c r="E275" s="69">
        <v>0.9886240735</v>
      </c>
      <c r="F275" s="23">
        <v>1.087486481E7</v>
      </c>
      <c r="G275" s="23">
        <v>0.02</v>
      </c>
      <c r="H275" s="1"/>
      <c r="I275" s="1"/>
      <c r="J275" s="2"/>
      <c r="K275" s="2"/>
      <c r="L275" s="53"/>
      <c r="M275" s="12"/>
      <c r="N275" s="2"/>
      <c r="O275" s="2"/>
    </row>
    <row r="276" ht="15.75" customHeight="1">
      <c r="A276" s="1" t="s">
        <v>386</v>
      </c>
      <c r="B276" s="63" t="s">
        <v>209</v>
      </c>
      <c r="C276" s="63" t="s">
        <v>360</v>
      </c>
      <c r="D276" s="24">
        <v>1.0E7</v>
      </c>
      <c r="E276" s="68">
        <v>0.99617905</v>
      </c>
      <c r="F276" s="29">
        <v>9961790.5</v>
      </c>
      <c r="G276" s="23">
        <v>0.02</v>
      </c>
      <c r="H276" s="1"/>
      <c r="I276" s="1"/>
      <c r="J276" s="2"/>
      <c r="K276" s="2"/>
      <c r="L276" s="53"/>
      <c r="M276" s="12"/>
      <c r="N276" s="2"/>
      <c r="O276" s="2"/>
    </row>
    <row r="277" ht="15.75" customHeight="1">
      <c r="A277" s="1" t="s">
        <v>387</v>
      </c>
      <c r="B277" s="63" t="s">
        <v>159</v>
      </c>
      <c r="C277" s="63" t="s">
        <v>360</v>
      </c>
      <c r="D277" s="24">
        <v>1.7129876E7</v>
      </c>
      <c r="E277" s="70">
        <v>0.990233332</v>
      </c>
      <c r="F277" s="23">
        <v>1.696257419E7</v>
      </c>
      <c r="G277" s="23">
        <v>0.03</v>
      </c>
      <c r="H277" s="1"/>
      <c r="I277" s="1"/>
      <c r="J277" s="2"/>
      <c r="K277" s="2"/>
      <c r="L277" s="53"/>
      <c r="M277" s="12"/>
      <c r="N277" s="2"/>
      <c r="O277" s="2"/>
    </row>
    <row r="278" ht="15.75" customHeight="1">
      <c r="A278" s="1" t="s">
        <v>388</v>
      </c>
      <c r="B278" s="63" t="s">
        <v>159</v>
      </c>
      <c r="C278" s="63" t="s">
        <v>360</v>
      </c>
      <c r="D278" s="24">
        <v>5.0E7</v>
      </c>
      <c r="E278" s="69">
        <v>0.9892671489</v>
      </c>
      <c r="F278" s="23">
        <v>4.946335745E7</v>
      </c>
      <c r="G278" s="29">
        <v>0.1</v>
      </c>
      <c r="H278" s="1"/>
      <c r="I278" s="1"/>
      <c r="J278" s="2"/>
      <c r="K278" s="2"/>
      <c r="L278" s="53"/>
      <c r="M278" s="12"/>
      <c r="N278" s="2"/>
      <c r="O278" s="2"/>
    </row>
    <row r="279" ht="15.75" customHeight="1">
      <c r="A279" s="1" t="s">
        <v>389</v>
      </c>
      <c r="B279" s="63" t="s">
        <v>140</v>
      </c>
      <c r="C279" s="63" t="s">
        <v>360</v>
      </c>
      <c r="D279" s="24">
        <v>1.0E7</v>
      </c>
      <c r="E279" s="69">
        <v>0.9830326421</v>
      </c>
      <c r="F279" s="23">
        <v>9830326.42</v>
      </c>
      <c r="G279" s="23">
        <v>0.02</v>
      </c>
      <c r="H279" s="1"/>
      <c r="I279" s="1"/>
      <c r="J279" s="2"/>
      <c r="K279" s="2"/>
      <c r="L279" s="53"/>
      <c r="M279" s="12"/>
      <c r="N279" s="10"/>
      <c r="O279" s="2"/>
    </row>
    <row r="280" ht="15.75" customHeight="1">
      <c r="A280" s="1" t="s">
        <v>390</v>
      </c>
      <c r="B280" s="63" t="s">
        <v>209</v>
      </c>
      <c r="C280" s="63" t="s">
        <v>360</v>
      </c>
      <c r="D280" s="24">
        <v>1.0E7</v>
      </c>
      <c r="E280" s="68">
        <v>0.99617905</v>
      </c>
      <c r="F280" s="29">
        <v>9961790.5</v>
      </c>
      <c r="G280" s="23">
        <v>0.02</v>
      </c>
      <c r="H280" s="1"/>
      <c r="I280" s="1"/>
      <c r="J280" s="71"/>
      <c r="K280" s="2"/>
      <c r="L280" s="53"/>
      <c r="M280" s="12"/>
      <c r="N280" s="2"/>
      <c r="O280" s="10"/>
      <c r="P280" s="31"/>
      <c r="Q280" s="31"/>
      <c r="R280" s="31"/>
    </row>
    <row r="281" ht="15.75" customHeight="1">
      <c r="A281" s="1" t="s">
        <v>391</v>
      </c>
      <c r="B281" s="63" t="s">
        <v>330</v>
      </c>
      <c r="C281" s="63" t="s">
        <v>360</v>
      </c>
      <c r="D281" s="24">
        <v>5450000.0</v>
      </c>
      <c r="E281" s="69">
        <v>0.9811828126</v>
      </c>
      <c r="F281" s="23">
        <v>5347446.33</v>
      </c>
      <c r="G281" s="23">
        <v>0.01</v>
      </c>
      <c r="H281" s="1"/>
      <c r="I281" s="1"/>
      <c r="J281" s="2"/>
      <c r="K281" s="2"/>
      <c r="L281" s="53"/>
      <c r="M281" s="12"/>
      <c r="N281" s="10"/>
      <c r="O281" s="2"/>
    </row>
    <row r="282" ht="15.75" customHeight="1">
      <c r="A282" s="1" t="s">
        <v>392</v>
      </c>
      <c r="B282" s="63" t="s">
        <v>175</v>
      </c>
      <c r="C282" s="63" t="s">
        <v>360</v>
      </c>
      <c r="D282" s="24">
        <v>5450000.0</v>
      </c>
      <c r="E282" s="69">
        <v>0.9756750075</v>
      </c>
      <c r="F282" s="23">
        <v>5317428.79</v>
      </c>
      <c r="G282" s="23">
        <v>0.01</v>
      </c>
      <c r="H282" s="1"/>
      <c r="I282" s="1"/>
      <c r="J282" s="2"/>
      <c r="K282" s="2"/>
      <c r="L282" s="53"/>
      <c r="M282" s="12"/>
      <c r="N282" s="2"/>
      <c r="O282" s="2"/>
    </row>
    <row r="283" ht="15.75" customHeight="1">
      <c r="A283" s="1" t="s">
        <v>393</v>
      </c>
      <c r="B283" s="63" t="s">
        <v>394</v>
      </c>
      <c r="C283" s="63" t="s">
        <v>360</v>
      </c>
      <c r="D283" s="24">
        <v>4250000.0</v>
      </c>
      <c r="E283" s="69">
        <v>0.9379417875</v>
      </c>
      <c r="F283" s="29">
        <v>3986252.6</v>
      </c>
      <c r="G283" s="23">
        <v>0.01</v>
      </c>
      <c r="H283" s="1"/>
      <c r="I283" s="1"/>
      <c r="J283" s="2"/>
      <c r="K283" s="2"/>
      <c r="L283" s="53"/>
      <c r="M283" s="12"/>
      <c r="N283" s="2"/>
      <c r="O283" s="2"/>
    </row>
    <row r="284" ht="15.75" customHeight="1">
      <c r="A284" s="1" t="s">
        <v>395</v>
      </c>
      <c r="B284" s="63" t="s">
        <v>182</v>
      </c>
      <c r="C284" s="63" t="s">
        <v>360</v>
      </c>
      <c r="D284" s="24">
        <v>5450000.0</v>
      </c>
      <c r="E284" s="69">
        <v>0.9775040272</v>
      </c>
      <c r="F284" s="23">
        <v>5327396.95</v>
      </c>
      <c r="G284" s="23">
        <v>0.01</v>
      </c>
      <c r="H284" s="1"/>
      <c r="I284" s="1"/>
      <c r="J284" s="2"/>
      <c r="K284" s="2"/>
      <c r="L284" s="53"/>
      <c r="M284" s="12"/>
      <c r="N284" s="2"/>
      <c r="O284" s="2"/>
    </row>
    <row r="285" ht="15.75" customHeight="1">
      <c r="A285" s="1" t="s">
        <v>396</v>
      </c>
      <c r="B285" s="63" t="s">
        <v>150</v>
      </c>
      <c r="C285" s="63" t="s">
        <v>360</v>
      </c>
      <c r="D285" s="24">
        <v>5450000.0</v>
      </c>
      <c r="E285" s="69">
        <v>0.9747630166</v>
      </c>
      <c r="F285" s="23">
        <v>5312458.44</v>
      </c>
      <c r="G285" s="23">
        <v>0.01</v>
      </c>
      <c r="H285" s="1"/>
      <c r="I285" s="1"/>
      <c r="J285" s="2"/>
      <c r="K285" s="2"/>
      <c r="L285" s="53"/>
      <c r="M285" s="12"/>
      <c r="N285" s="2"/>
      <c r="O285" s="2"/>
    </row>
    <row r="286" ht="15.75" customHeight="1">
      <c r="A286" s="1" t="s">
        <v>397</v>
      </c>
      <c r="B286" s="63" t="s">
        <v>204</v>
      </c>
      <c r="C286" s="63" t="s">
        <v>360</v>
      </c>
      <c r="D286" s="24">
        <v>1.9999999E7</v>
      </c>
      <c r="E286" s="69">
        <v>0.9447392276</v>
      </c>
      <c r="F286" s="23">
        <v>1.889478361E7</v>
      </c>
      <c r="G286" s="23">
        <v>0.04</v>
      </c>
      <c r="H286" s="1"/>
      <c r="I286" s="1"/>
      <c r="J286" s="2"/>
      <c r="K286" s="2"/>
      <c r="L286" s="53"/>
      <c r="M286" s="12"/>
      <c r="N286" s="2"/>
      <c r="O286" s="2"/>
    </row>
    <row r="287" ht="15.75" customHeight="1">
      <c r="A287" s="1" t="s">
        <v>398</v>
      </c>
      <c r="B287" s="63" t="s">
        <v>341</v>
      </c>
      <c r="C287" s="63" t="s">
        <v>360</v>
      </c>
      <c r="D287" s="24">
        <v>2.5E7</v>
      </c>
      <c r="E287" s="69">
        <v>0.9684266812</v>
      </c>
      <c r="F287" s="23">
        <v>2.421066703E7</v>
      </c>
      <c r="G287" s="23">
        <v>0.05</v>
      </c>
      <c r="H287" s="1"/>
      <c r="I287" s="1"/>
      <c r="J287" s="2"/>
      <c r="K287" s="2"/>
      <c r="L287" s="53"/>
      <c r="M287" s="12"/>
      <c r="N287" s="2"/>
      <c r="O287" s="2"/>
    </row>
    <row r="288" ht="15.75" customHeight="1">
      <c r="A288" s="1" t="s">
        <v>399</v>
      </c>
      <c r="B288" s="63" t="s">
        <v>400</v>
      </c>
      <c r="C288" s="63" t="s">
        <v>360</v>
      </c>
      <c r="D288" s="24">
        <v>2.5E7</v>
      </c>
      <c r="E288" s="69">
        <v>0.9621721937</v>
      </c>
      <c r="F288" s="23">
        <v>2.405430484E7</v>
      </c>
      <c r="G288" s="23">
        <v>0.05</v>
      </c>
      <c r="H288" s="1"/>
      <c r="I288" s="1"/>
      <c r="J288" s="2"/>
      <c r="K288" s="2"/>
      <c r="L288" s="53"/>
      <c r="M288" s="12"/>
      <c r="N288" s="2"/>
      <c r="O288" s="2"/>
    </row>
    <row r="289" ht="15.75" customHeight="1">
      <c r="A289" s="1" t="s">
        <v>401</v>
      </c>
      <c r="B289" s="63" t="s">
        <v>297</v>
      </c>
      <c r="C289" s="63" t="s">
        <v>360</v>
      </c>
      <c r="D289" s="24">
        <v>2.5E7</v>
      </c>
      <c r="E289" s="69">
        <v>0.9559979768</v>
      </c>
      <c r="F289" s="23">
        <v>2.389994942E7</v>
      </c>
      <c r="G289" s="23">
        <v>0.05</v>
      </c>
      <c r="H289" s="1"/>
      <c r="I289" s="1"/>
      <c r="J289" s="2"/>
      <c r="K289" s="2"/>
      <c r="L289" s="53"/>
      <c r="M289" s="12"/>
      <c r="N289" s="2"/>
      <c r="O289" s="2"/>
    </row>
    <row r="290" ht="15.75" customHeight="1">
      <c r="A290" s="1" t="s">
        <v>402</v>
      </c>
      <c r="B290" s="63" t="s">
        <v>150</v>
      </c>
      <c r="C290" s="63" t="s">
        <v>360</v>
      </c>
      <c r="D290" s="24">
        <v>2.5E7</v>
      </c>
      <c r="E290" s="69">
        <v>0.9747630152</v>
      </c>
      <c r="F290" s="23">
        <v>2.436907538E7</v>
      </c>
      <c r="G290" s="23">
        <v>0.05</v>
      </c>
      <c r="H290" s="1"/>
      <c r="I290" s="1"/>
      <c r="J290" s="2"/>
      <c r="K290" s="2"/>
      <c r="L290" s="53"/>
      <c r="M290" s="12"/>
      <c r="N290" s="2"/>
      <c r="O290" s="2"/>
    </row>
    <row r="291" ht="15.75" customHeight="1">
      <c r="A291" s="1" t="s">
        <v>403</v>
      </c>
      <c r="B291" s="63" t="s">
        <v>187</v>
      </c>
      <c r="C291" s="63" t="s">
        <v>404</v>
      </c>
      <c r="D291" s="24">
        <v>5000000.0</v>
      </c>
      <c r="E291" s="70">
        <v>0.980523852</v>
      </c>
      <c r="F291" s="23">
        <v>4902619.26</v>
      </c>
      <c r="G291" s="23">
        <v>0.01</v>
      </c>
      <c r="H291" s="1"/>
      <c r="I291" s="1"/>
      <c r="J291" s="2"/>
      <c r="K291" s="2"/>
      <c r="L291" s="53"/>
      <c r="M291" s="12"/>
      <c r="N291" s="2"/>
      <c r="O291" s="2"/>
    </row>
    <row r="292" ht="15.75" customHeight="1">
      <c r="A292" s="1" t="s">
        <v>405</v>
      </c>
      <c r="B292" s="63" t="s">
        <v>175</v>
      </c>
      <c r="C292" s="63" t="s">
        <v>404</v>
      </c>
      <c r="D292" s="24">
        <v>5000000.0</v>
      </c>
      <c r="E292" s="69">
        <v>0.9797606262</v>
      </c>
      <c r="F292" s="23">
        <v>4898803.13</v>
      </c>
      <c r="G292" s="23">
        <v>0.01</v>
      </c>
      <c r="H292" s="1"/>
      <c r="I292" s="1"/>
      <c r="J292" s="2"/>
      <c r="K292" s="2"/>
      <c r="L292" s="53"/>
      <c r="M292" s="12"/>
      <c r="N292" s="2"/>
      <c r="O292" s="2"/>
    </row>
    <row r="293" ht="15.75" customHeight="1">
      <c r="A293" s="1" t="s">
        <v>406</v>
      </c>
      <c r="B293" s="63" t="s">
        <v>150</v>
      </c>
      <c r="C293" s="63" t="s">
        <v>404</v>
      </c>
      <c r="D293" s="24">
        <v>5000000.0</v>
      </c>
      <c r="E293" s="69">
        <v>0.9789985179</v>
      </c>
      <c r="F293" s="23">
        <v>4894992.59</v>
      </c>
      <c r="G293" s="23">
        <v>0.01</v>
      </c>
      <c r="H293" s="1"/>
      <c r="I293" s="1"/>
      <c r="J293" s="2"/>
      <c r="K293" s="2"/>
      <c r="L293" s="53"/>
      <c r="M293" s="12"/>
      <c r="N293" s="2"/>
      <c r="O293" s="2"/>
    </row>
    <row r="294" ht="15.75" customHeight="1">
      <c r="A294" s="1" t="s">
        <v>407</v>
      </c>
      <c r="B294" s="63" t="s">
        <v>111</v>
      </c>
      <c r="C294" s="63" t="s">
        <v>404</v>
      </c>
      <c r="D294" s="24">
        <v>5000000.0</v>
      </c>
      <c r="E294" s="68">
        <v>0.97823759</v>
      </c>
      <c r="F294" s="23">
        <v>4891187.95</v>
      </c>
      <c r="G294" s="23">
        <v>0.01</v>
      </c>
      <c r="H294" s="1"/>
      <c r="I294" s="1"/>
      <c r="J294" s="2"/>
      <c r="K294" s="2"/>
      <c r="L294" s="53"/>
      <c r="M294" s="12"/>
      <c r="N294" s="2"/>
      <c r="O294" s="2"/>
    </row>
    <row r="295" ht="15.75" customHeight="1">
      <c r="A295" s="1" t="s">
        <v>408</v>
      </c>
      <c r="B295" s="63" t="s">
        <v>132</v>
      </c>
      <c r="C295" s="63" t="s">
        <v>404</v>
      </c>
      <c r="D295" s="24">
        <v>5000000.0</v>
      </c>
      <c r="E295" s="69">
        <v>0.9759619702</v>
      </c>
      <c r="F295" s="23">
        <v>4879809.85</v>
      </c>
      <c r="G295" s="23">
        <v>0.01</v>
      </c>
      <c r="H295" s="1"/>
      <c r="I295" s="1"/>
      <c r="J295" s="2"/>
      <c r="K295" s="2"/>
      <c r="L295" s="53"/>
      <c r="M295" s="12"/>
      <c r="N295" s="2"/>
      <c r="O295" s="2"/>
    </row>
    <row r="296" ht="15.75" customHeight="1">
      <c r="A296" s="1" t="s">
        <v>409</v>
      </c>
      <c r="B296" s="63" t="s">
        <v>148</v>
      </c>
      <c r="C296" s="63" t="s">
        <v>404</v>
      </c>
      <c r="D296" s="24">
        <v>5000000.0</v>
      </c>
      <c r="E296" s="69">
        <v>0.9752057483</v>
      </c>
      <c r="F296" s="23">
        <v>4876028.74</v>
      </c>
      <c r="G296" s="23">
        <v>0.01</v>
      </c>
      <c r="H296" s="1"/>
      <c r="I296" s="1"/>
      <c r="J296" s="2"/>
      <c r="K296" s="2"/>
      <c r="L296" s="53"/>
      <c r="M296" s="12"/>
      <c r="N296" s="2"/>
      <c r="O296" s="2"/>
    </row>
    <row r="297" ht="15.75" customHeight="1">
      <c r="A297" s="1" t="s">
        <v>410</v>
      </c>
      <c r="B297" s="63" t="s">
        <v>411</v>
      </c>
      <c r="C297" s="63" t="s">
        <v>404</v>
      </c>
      <c r="D297" s="24">
        <v>2.5E7</v>
      </c>
      <c r="E297" s="69">
        <v>0.9320736778</v>
      </c>
      <c r="F297" s="23">
        <v>2.330184195E7</v>
      </c>
      <c r="G297" s="23">
        <v>0.05</v>
      </c>
      <c r="H297" s="1"/>
      <c r="I297" s="1"/>
      <c r="J297" s="2"/>
      <c r="K297" s="2"/>
      <c r="L297" s="53"/>
      <c r="M297" s="12"/>
      <c r="N297" s="2"/>
      <c r="O297" s="2"/>
    </row>
    <row r="298" ht="15.75" customHeight="1">
      <c r="A298" s="1" t="s">
        <v>412</v>
      </c>
      <c r="B298" s="63" t="s">
        <v>315</v>
      </c>
      <c r="C298" s="63" t="s">
        <v>404</v>
      </c>
      <c r="D298" s="24">
        <v>1.0E7</v>
      </c>
      <c r="E298" s="69">
        <v>0.9511153584</v>
      </c>
      <c r="F298" s="23">
        <v>9511153.58</v>
      </c>
      <c r="G298" s="23">
        <v>0.02</v>
      </c>
      <c r="H298" s="1"/>
      <c r="I298" s="1"/>
      <c r="J298" s="2"/>
      <c r="K298" s="2"/>
      <c r="L298" s="53"/>
      <c r="M298" s="12"/>
      <c r="N298" s="2"/>
      <c r="O298" s="2"/>
    </row>
    <row r="299" ht="15.75" customHeight="1">
      <c r="A299" s="1" t="s">
        <v>413</v>
      </c>
      <c r="B299" s="63" t="s">
        <v>414</v>
      </c>
      <c r="C299" s="63" t="s">
        <v>404</v>
      </c>
      <c r="D299" s="24">
        <v>2.5E7</v>
      </c>
      <c r="E299" s="69">
        <v>0.9267724024</v>
      </c>
      <c r="F299" s="23">
        <v>2.316931006E7</v>
      </c>
      <c r="G299" s="23">
        <v>0.05</v>
      </c>
      <c r="H299" s="1"/>
      <c r="I299" s="1"/>
      <c r="J299" s="2"/>
      <c r="K299" s="2"/>
      <c r="L299" s="53"/>
      <c r="M299" s="12"/>
      <c r="N299" s="2"/>
      <c r="O299" s="2"/>
    </row>
    <row r="300" ht="15.75" customHeight="1">
      <c r="A300" s="1" t="s">
        <v>415</v>
      </c>
      <c r="B300" s="63" t="s">
        <v>416</v>
      </c>
      <c r="C300" s="63" t="s">
        <v>404</v>
      </c>
      <c r="D300" s="24">
        <v>1.0E7</v>
      </c>
      <c r="E300" s="70">
        <v>0.946969697</v>
      </c>
      <c r="F300" s="23">
        <v>9469696.97</v>
      </c>
      <c r="G300" s="23">
        <v>0.02</v>
      </c>
      <c r="H300" s="1"/>
      <c r="I300" s="1"/>
      <c r="J300" s="2"/>
      <c r="K300" s="2"/>
      <c r="L300" s="53"/>
      <c r="M300" s="12"/>
      <c r="N300" s="2"/>
      <c r="O300" s="2"/>
    </row>
    <row r="301" ht="15.75" customHeight="1">
      <c r="A301" s="1" t="s">
        <v>417</v>
      </c>
      <c r="B301" s="63" t="s">
        <v>282</v>
      </c>
      <c r="C301" s="63" t="s">
        <v>404</v>
      </c>
      <c r="D301" s="24">
        <v>1.0E7</v>
      </c>
      <c r="E301" s="69">
        <v>0.9455959119</v>
      </c>
      <c r="F301" s="23">
        <v>9455959.12</v>
      </c>
      <c r="G301" s="23">
        <v>0.02</v>
      </c>
      <c r="H301" s="1"/>
      <c r="I301" s="1"/>
      <c r="J301" s="2"/>
      <c r="K301" s="2"/>
      <c r="L301" s="53"/>
      <c r="M301" s="12"/>
      <c r="N301" s="2"/>
      <c r="O301" s="2"/>
    </row>
    <row r="302" ht="15.75" customHeight="1">
      <c r="A302" s="1" t="s">
        <v>418</v>
      </c>
      <c r="B302" s="63" t="s">
        <v>419</v>
      </c>
      <c r="C302" s="63" t="s">
        <v>404</v>
      </c>
      <c r="D302" s="24">
        <v>2.5E7</v>
      </c>
      <c r="E302" s="69">
        <v>0.9261139448</v>
      </c>
      <c r="F302" s="23">
        <v>2.315284862E7</v>
      </c>
      <c r="G302" s="23">
        <v>0.05</v>
      </c>
      <c r="H302" s="1"/>
      <c r="I302" s="1"/>
      <c r="J302" s="2"/>
      <c r="K302" s="2"/>
      <c r="L302" s="53"/>
      <c r="M302" s="12"/>
      <c r="N302" s="2"/>
      <c r="O302" s="2"/>
    </row>
    <row r="303" ht="15.75" customHeight="1">
      <c r="A303" s="1" t="s">
        <v>420</v>
      </c>
      <c r="B303" s="63" t="s">
        <v>421</v>
      </c>
      <c r="C303" s="63" t="s">
        <v>404</v>
      </c>
      <c r="D303" s="24">
        <v>1.0E7</v>
      </c>
      <c r="E303" s="69">
        <v>0.9442261081</v>
      </c>
      <c r="F303" s="23">
        <v>9442261.08</v>
      </c>
      <c r="G303" s="23">
        <v>0.02</v>
      </c>
      <c r="H303" s="1"/>
      <c r="I303" s="1"/>
      <c r="J303" s="2"/>
      <c r="K303" s="2"/>
      <c r="L303" s="53"/>
      <c r="M303" s="12"/>
      <c r="N303" s="2"/>
      <c r="O303" s="2"/>
    </row>
    <row r="304" ht="15.75" customHeight="1">
      <c r="A304" s="1" t="s">
        <v>422</v>
      </c>
      <c r="B304" s="63" t="s">
        <v>423</v>
      </c>
      <c r="C304" s="63" t="s">
        <v>404</v>
      </c>
      <c r="D304" s="24">
        <v>2.5E7</v>
      </c>
      <c r="E304" s="69">
        <v>0.9228357809</v>
      </c>
      <c r="F304" s="23">
        <v>2.307089452E7</v>
      </c>
      <c r="G304" s="23">
        <v>0.05</v>
      </c>
      <c r="H304" s="1"/>
      <c r="I304" s="1"/>
      <c r="J304" s="2"/>
      <c r="K304" s="2"/>
      <c r="L304" s="53"/>
      <c r="M304" s="12"/>
      <c r="N304" s="2"/>
      <c r="O304" s="2"/>
    </row>
    <row r="305" ht="15.75" customHeight="1">
      <c r="A305" s="1" t="s">
        <v>424</v>
      </c>
      <c r="B305" s="63" t="s">
        <v>425</v>
      </c>
      <c r="C305" s="63" t="s">
        <v>404</v>
      </c>
      <c r="D305" s="24">
        <v>2.5E7</v>
      </c>
      <c r="E305" s="69">
        <v>0.9221830437</v>
      </c>
      <c r="F305" s="23">
        <v>2.305457609E7</v>
      </c>
      <c r="G305" s="23">
        <v>0.05</v>
      </c>
      <c r="H305" s="1"/>
      <c r="I305" s="1"/>
      <c r="J305" s="2"/>
      <c r="K305" s="2"/>
      <c r="L305" s="53"/>
      <c r="M305" s="12"/>
      <c r="N305" s="2"/>
      <c r="O305" s="2"/>
    </row>
    <row r="306" ht="15.75" customHeight="1">
      <c r="A306" s="1" t="s">
        <v>426</v>
      </c>
      <c r="B306" s="63" t="s">
        <v>223</v>
      </c>
      <c r="C306" s="63" t="s">
        <v>404</v>
      </c>
      <c r="D306" s="24">
        <v>1.0E7</v>
      </c>
      <c r="E306" s="69">
        <v>0.9609309706</v>
      </c>
      <c r="F306" s="23">
        <v>9609309.71</v>
      </c>
      <c r="G306" s="23">
        <v>0.02</v>
      </c>
      <c r="H306" s="1"/>
      <c r="I306" s="1"/>
      <c r="J306" s="2"/>
      <c r="K306" s="2"/>
      <c r="L306" s="53"/>
      <c r="M306" s="12"/>
      <c r="N306" s="2"/>
      <c r="O306" s="2"/>
    </row>
    <row r="307" ht="15.75" customHeight="1">
      <c r="A307" s="1" t="s">
        <v>427</v>
      </c>
      <c r="B307" s="63" t="s">
        <v>378</v>
      </c>
      <c r="C307" s="63" t="s">
        <v>404</v>
      </c>
      <c r="D307" s="24">
        <v>1.0E7</v>
      </c>
      <c r="E307" s="69">
        <v>0.9408187107</v>
      </c>
      <c r="F307" s="23">
        <v>9408187.11</v>
      </c>
      <c r="G307" s="23">
        <v>0.02</v>
      </c>
      <c r="H307" s="1"/>
      <c r="I307" s="1"/>
      <c r="J307" s="2"/>
      <c r="K307" s="2"/>
      <c r="L307" s="53"/>
      <c r="M307" s="12"/>
      <c r="N307" s="2"/>
      <c r="O307" s="2"/>
    </row>
    <row r="308" ht="15.75" customHeight="1">
      <c r="A308" s="1" t="s">
        <v>428</v>
      </c>
      <c r="B308" s="63" t="s">
        <v>328</v>
      </c>
      <c r="C308" s="63" t="s">
        <v>404</v>
      </c>
      <c r="D308" s="24">
        <v>1.0E7</v>
      </c>
      <c r="E308" s="69">
        <v>0.9602231106</v>
      </c>
      <c r="F308" s="23">
        <v>9602231.11</v>
      </c>
      <c r="G308" s="23">
        <v>0.02</v>
      </c>
      <c r="H308" s="1"/>
      <c r="I308" s="1"/>
      <c r="J308" s="2"/>
      <c r="K308" s="2"/>
      <c r="L308" s="53"/>
      <c r="M308" s="12"/>
      <c r="N308" s="2"/>
      <c r="O308" s="2"/>
    </row>
    <row r="309" ht="15.75" customHeight="1">
      <c r="A309" s="1" t="s">
        <v>429</v>
      </c>
      <c r="B309" s="63" t="s">
        <v>430</v>
      </c>
      <c r="C309" s="63" t="s">
        <v>404</v>
      </c>
      <c r="D309" s="24">
        <v>1.0E7</v>
      </c>
      <c r="E309" s="68">
        <v>0.93676226</v>
      </c>
      <c r="F309" s="29">
        <v>9367622.6</v>
      </c>
      <c r="G309" s="23">
        <v>0.02</v>
      </c>
      <c r="H309" s="1"/>
      <c r="I309" s="1"/>
      <c r="J309" s="2"/>
      <c r="K309" s="2"/>
      <c r="L309" s="53"/>
      <c r="M309" s="12"/>
      <c r="N309" s="2"/>
      <c r="O309" s="2"/>
    </row>
    <row r="310" ht="15.75" customHeight="1">
      <c r="A310" s="1" t="s">
        <v>431</v>
      </c>
      <c r="B310" s="63" t="s">
        <v>108</v>
      </c>
      <c r="C310" s="63" t="s">
        <v>404</v>
      </c>
      <c r="D310" s="24">
        <v>1.0E7</v>
      </c>
      <c r="E310" s="69">
        <v>0.9588106229</v>
      </c>
      <c r="F310" s="23">
        <v>9588106.23</v>
      </c>
      <c r="G310" s="23">
        <v>0.02</v>
      </c>
      <c r="H310" s="1"/>
      <c r="I310" s="1"/>
      <c r="J310" s="2"/>
      <c r="K310" s="2"/>
      <c r="L310" s="53"/>
      <c r="M310" s="12"/>
      <c r="N310" s="2"/>
      <c r="O310" s="2"/>
    </row>
    <row r="311" ht="15.75" customHeight="1">
      <c r="A311" s="1" t="s">
        <v>432</v>
      </c>
      <c r="B311" s="63" t="s">
        <v>382</v>
      </c>
      <c r="C311" s="63" t="s">
        <v>404</v>
      </c>
      <c r="D311" s="24">
        <v>1.5E7</v>
      </c>
      <c r="E311" s="69">
        <v>0.9347469868</v>
      </c>
      <c r="F311" s="29">
        <v>1.40212048E7</v>
      </c>
      <c r="G311" s="23">
        <v>0.03</v>
      </c>
      <c r="H311" s="1"/>
      <c r="I311" s="1"/>
      <c r="J311" s="2"/>
      <c r="K311" s="2"/>
      <c r="L311" s="53"/>
      <c r="M311" s="12"/>
      <c r="N311" s="2"/>
      <c r="O311" s="2"/>
    </row>
    <row r="312" ht="15.75" customHeight="1">
      <c r="A312" s="1" t="s">
        <v>433</v>
      </c>
      <c r="B312" s="63" t="s">
        <v>204</v>
      </c>
      <c r="C312" s="63" t="s">
        <v>404</v>
      </c>
      <c r="D312" s="24">
        <v>1.0E7</v>
      </c>
      <c r="E312" s="69">
        <v>0.9552973535</v>
      </c>
      <c r="F312" s="23">
        <v>9552973.54</v>
      </c>
      <c r="G312" s="23">
        <v>0.02</v>
      </c>
      <c r="H312" s="1"/>
      <c r="I312" s="1"/>
      <c r="J312" s="2"/>
      <c r="K312" s="2"/>
      <c r="L312" s="53"/>
      <c r="M312" s="12"/>
      <c r="N312" s="2"/>
      <c r="O312" s="2"/>
    </row>
    <row r="313" ht="15.75" customHeight="1">
      <c r="A313" s="1" t="s">
        <v>434</v>
      </c>
      <c r="B313" s="63" t="s">
        <v>146</v>
      </c>
      <c r="C313" s="63" t="s">
        <v>404</v>
      </c>
      <c r="D313" s="24">
        <v>1.0E7</v>
      </c>
      <c r="E313" s="69">
        <v>0.9559979693</v>
      </c>
      <c r="F313" s="23">
        <v>9559979.69</v>
      </c>
      <c r="G313" s="23">
        <v>0.02</v>
      </c>
      <c r="H313" s="1"/>
      <c r="I313" s="1"/>
      <c r="J313" s="2"/>
      <c r="K313" s="2"/>
      <c r="L313" s="53"/>
      <c r="M313" s="12"/>
      <c r="N313" s="2"/>
      <c r="O313" s="2"/>
    </row>
    <row r="314" ht="15.75" customHeight="1">
      <c r="A314" s="1" t="s">
        <v>435</v>
      </c>
      <c r="B314" s="63" t="s">
        <v>185</v>
      </c>
      <c r="C314" s="63" t="s">
        <v>404</v>
      </c>
      <c r="D314" s="24">
        <v>1.5E7</v>
      </c>
      <c r="E314" s="69">
        <v>0.9846237329</v>
      </c>
      <c r="F314" s="23">
        <v>1.476935599E7</v>
      </c>
      <c r="G314" s="23">
        <v>0.03</v>
      </c>
      <c r="H314" s="1"/>
      <c r="I314" s="1"/>
      <c r="J314" s="2"/>
      <c r="K314" s="2"/>
      <c r="L314" s="53"/>
      <c r="M314" s="12"/>
      <c r="N314" s="2"/>
      <c r="O314" s="2"/>
    </row>
    <row r="315" ht="15.75" customHeight="1">
      <c r="A315" s="1" t="s">
        <v>436</v>
      </c>
      <c r="B315" s="63" t="s">
        <v>129</v>
      </c>
      <c r="C315" s="63" t="s">
        <v>404</v>
      </c>
      <c r="D315" s="24">
        <v>1.0E7</v>
      </c>
      <c r="E315" s="70">
        <v>0.997867572</v>
      </c>
      <c r="F315" s="23">
        <v>9978675.72</v>
      </c>
      <c r="G315" s="23">
        <v>0.02</v>
      </c>
      <c r="H315" s="1"/>
      <c r="I315" s="1"/>
      <c r="J315" s="2"/>
      <c r="K315" s="2"/>
      <c r="L315" s="53"/>
      <c r="M315" s="12"/>
      <c r="N315" s="2"/>
      <c r="O315" s="2"/>
    </row>
    <row r="316" ht="15.75" customHeight="1">
      <c r="A316" s="1" t="s">
        <v>437</v>
      </c>
      <c r="B316" s="63" t="s">
        <v>209</v>
      </c>
      <c r="C316" s="63" t="s">
        <v>404</v>
      </c>
      <c r="D316" s="24">
        <v>1.0E7</v>
      </c>
      <c r="E316" s="70">
        <v>0.997158794</v>
      </c>
      <c r="F316" s="23">
        <v>9971587.94</v>
      </c>
      <c r="G316" s="23">
        <v>0.02</v>
      </c>
      <c r="H316" s="1"/>
      <c r="I316" s="1"/>
      <c r="J316" s="2"/>
      <c r="K316" s="2"/>
      <c r="L316" s="53"/>
      <c r="M316" s="12"/>
      <c r="N316" s="2"/>
      <c r="O316" s="2"/>
    </row>
    <row r="317" ht="15.75" customHeight="1">
      <c r="A317" s="1" t="s">
        <v>438</v>
      </c>
      <c r="B317" s="63" t="s">
        <v>153</v>
      </c>
      <c r="C317" s="63" t="s">
        <v>404</v>
      </c>
      <c r="D317" s="24">
        <v>1.5E7</v>
      </c>
      <c r="E317" s="69">
        <v>0.9893743965</v>
      </c>
      <c r="F317" s="23">
        <v>1.484061595E7</v>
      </c>
      <c r="G317" s="23">
        <v>0.03</v>
      </c>
      <c r="H317" s="1"/>
      <c r="I317" s="1"/>
      <c r="J317" s="2"/>
      <c r="K317" s="2"/>
      <c r="L317" s="53"/>
      <c r="M317" s="12"/>
      <c r="N317" s="2"/>
      <c r="O317" s="2"/>
    </row>
    <row r="318" ht="15.75" customHeight="1">
      <c r="A318" s="1" t="s">
        <v>439</v>
      </c>
      <c r="B318" s="63" t="s">
        <v>173</v>
      </c>
      <c r="C318" s="63" t="s">
        <v>404</v>
      </c>
      <c r="D318" s="24">
        <v>1.5E7</v>
      </c>
      <c r="E318" s="69">
        <v>0.9841458304</v>
      </c>
      <c r="F318" s="23">
        <v>1.476218746E7</v>
      </c>
      <c r="G318" s="23">
        <v>0.03</v>
      </c>
      <c r="H318" s="1"/>
      <c r="I318" s="1"/>
      <c r="J318" s="2"/>
      <c r="K318" s="2"/>
      <c r="L318" s="53"/>
      <c r="M318" s="12"/>
      <c r="N318" s="2"/>
      <c r="O318" s="2"/>
    </row>
    <row r="319" ht="15.75" customHeight="1">
      <c r="A319" s="1" t="s">
        <v>440</v>
      </c>
      <c r="B319" s="63" t="s">
        <v>111</v>
      </c>
      <c r="C319" s="63" t="s">
        <v>404</v>
      </c>
      <c r="D319" s="24">
        <v>1.5E7</v>
      </c>
      <c r="E319" s="69">
        <v>0.9789722375</v>
      </c>
      <c r="F319" s="23">
        <v>1.468458356E7</v>
      </c>
      <c r="G319" s="23">
        <v>0.03</v>
      </c>
      <c r="H319" s="1"/>
      <c r="I319" s="1"/>
      <c r="J319" s="2"/>
      <c r="K319" s="2"/>
      <c r="L319" s="53"/>
      <c r="M319" s="12"/>
      <c r="N319" s="2"/>
      <c r="O319" s="2"/>
    </row>
    <row r="320" ht="15.75" customHeight="1">
      <c r="A320" s="1" t="s">
        <v>441</v>
      </c>
      <c r="B320" s="63" t="s">
        <v>211</v>
      </c>
      <c r="C320" s="63" t="s">
        <v>404</v>
      </c>
      <c r="D320" s="24">
        <v>1.5E7</v>
      </c>
      <c r="E320" s="68">
        <v>0.99163229</v>
      </c>
      <c r="F320" s="23">
        <v>1.487448435E7</v>
      </c>
      <c r="G320" s="23">
        <v>0.03</v>
      </c>
      <c r="H320" s="1"/>
      <c r="I320" s="1"/>
      <c r="J320" s="2"/>
      <c r="K320" s="2"/>
      <c r="L320" s="53"/>
      <c r="M320" s="12"/>
      <c r="N320" s="2"/>
      <c r="O320" s="2"/>
    </row>
    <row r="321" ht="15.75" customHeight="1">
      <c r="A321" s="1" t="s">
        <v>442</v>
      </c>
      <c r="B321" s="63" t="s">
        <v>182</v>
      </c>
      <c r="C321" s="63" t="s">
        <v>404</v>
      </c>
      <c r="D321" s="24">
        <v>1.5E8</v>
      </c>
      <c r="E321" s="69">
        <v>0.9822389945</v>
      </c>
      <c r="F321" s="23">
        <v>1.4733584918E8</v>
      </c>
      <c r="G321" s="29">
        <v>0.3</v>
      </c>
      <c r="H321" s="1"/>
      <c r="I321" s="1"/>
      <c r="J321" s="2"/>
      <c r="K321" s="2"/>
      <c r="L321" s="53"/>
      <c r="M321" s="12"/>
      <c r="N321" s="2"/>
      <c r="O321" s="2"/>
    </row>
    <row r="322" ht="15.75" customHeight="1">
      <c r="A322" s="1" t="s">
        <v>443</v>
      </c>
      <c r="B322" s="63" t="s">
        <v>187</v>
      </c>
      <c r="C322" s="63" t="s">
        <v>404</v>
      </c>
      <c r="D322" s="24">
        <v>1.5E8</v>
      </c>
      <c r="E322" s="69">
        <v>0.9815126149</v>
      </c>
      <c r="F322" s="23">
        <v>1.4722689224E8</v>
      </c>
      <c r="G322" s="29">
        <v>0.3</v>
      </c>
      <c r="H322" s="1"/>
      <c r="I322" s="1"/>
      <c r="J322" s="2"/>
      <c r="K322" s="2"/>
      <c r="L322" s="53"/>
      <c r="M322" s="12"/>
      <c r="N322" s="2"/>
      <c r="O322" s="2"/>
    </row>
    <row r="323" ht="15.75" customHeight="1">
      <c r="A323" s="1" t="s">
        <v>444</v>
      </c>
      <c r="B323" s="63" t="s">
        <v>445</v>
      </c>
      <c r="C323" s="63" t="s">
        <v>446</v>
      </c>
      <c r="D323" s="24">
        <v>8560000.0</v>
      </c>
      <c r="E323" s="70">
        <v>0.884805605</v>
      </c>
      <c r="F323" s="23">
        <v>7573935.98</v>
      </c>
      <c r="G323" s="23">
        <v>0.02</v>
      </c>
      <c r="H323" s="1"/>
      <c r="I323" s="1"/>
      <c r="J323" s="2"/>
      <c r="K323" s="2"/>
      <c r="L323" s="53"/>
      <c r="M323" s="12"/>
      <c r="N323" s="2"/>
      <c r="O323" s="2"/>
    </row>
    <row r="324" ht="15.75" customHeight="1">
      <c r="A324" s="1" t="s">
        <v>447</v>
      </c>
      <c r="B324" s="63" t="s">
        <v>448</v>
      </c>
      <c r="C324" s="63" t="s">
        <v>446</v>
      </c>
      <c r="D324" s="24">
        <v>9450000.0</v>
      </c>
      <c r="E324" s="69">
        <v>0.8809617125</v>
      </c>
      <c r="F324" s="23">
        <v>8325088.18</v>
      </c>
      <c r="G324" s="23">
        <v>0.02</v>
      </c>
      <c r="H324" s="1"/>
      <c r="I324" s="1"/>
      <c r="J324" s="2"/>
      <c r="K324" s="2"/>
      <c r="L324" s="53"/>
      <c r="M324" s="12"/>
      <c r="N324" s="2"/>
      <c r="O324" s="2"/>
    </row>
    <row r="325" ht="15.75" customHeight="1">
      <c r="A325" s="1" t="s">
        <v>449</v>
      </c>
      <c r="B325" s="63" t="s">
        <v>450</v>
      </c>
      <c r="C325" s="63" t="s">
        <v>446</v>
      </c>
      <c r="D325" s="24">
        <v>9450000.0</v>
      </c>
      <c r="E325" s="69">
        <v>0.8801968632</v>
      </c>
      <c r="F325" s="23">
        <v>8317860.36</v>
      </c>
      <c r="G325" s="23">
        <v>0.02</v>
      </c>
      <c r="H325" s="1"/>
      <c r="I325" s="1"/>
      <c r="J325" s="2"/>
      <c r="K325" s="2"/>
      <c r="L325" s="53"/>
      <c r="M325" s="12"/>
      <c r="N325" s="2"/>
      <c r="O325" s="2"/>
    </row>
    <row r="326" ht="15.75" customHeight="1">
      <c r="A326" s="1" t="s">
        <v>451</v>
      </c>
      <c r="B326" s="63" t="s">
        <v>452</v>
      </c>
      <c r="C326" s="63" t="s">
        <v>446</v>
      </c>
      <c r="D326" s="24">
        <v>9450000.0</v>
      </c>
      <c r="E326" s="69">
        <v>0.8748802537</v>
      </c>
      <c r="F326" s="29">
        <v>8267618.4</v>
      </c>
      <c r="G326" s="23">
        <v>0.02</v>
      </c>
      <c r="H326" s="1"/>
      <c r="I326" s="1"/>
      <c r="J326" s="2"/>
      <c r="K326" s="2"/>
      <c r="L326" s="53"/>
      <c r="M326" s="12"/>
      <c r="N326" s="2"/>
      <c r="O326" s="2"/>
    </row>
    <row r="327" ht="15.75" customHeight="1">
      <c r="A327" s="1" t="s">
        <v>453</v>
      </c>
      <c r="B327" s="63" t="s">
        <v>454</v>
      </c>
      <c r="C327" s="63" t="s">
        <v>446</v>
      </c>
      <c r="D327" s="24">
        <v>8560000.0</v>
      </c>
      <c r="E327" s="69">
        <v>0.8855784865</v>
      </c>
      <c r="F327" s="23">
        <v>7580551.84</v>
      </c>
      <c r="G327" s="23">
        <v>0.02</v>
      </c>
      <c r="H327" s="1"/>
      <c r="I327" s="1"/>
      <c r="J327" s="2"/>
      <c r="K327" s="2"/>
      <c r="L327" s="53"/>
      <c r="M327" s="12"/>
      <c r="N327" s="2"/>
      <c r="O327" s="2"/>
    </row>
    <row r="328" ht="15.75" customHeight="1">
      <c r="A328" s="1" t="s">
        <v>455</v>
      </c>
      <c r="B328" s="63" t="s">
        <v>297</v>
      </c>
      <c r="C328" s="63" t="s">
        <v>446</v>
      </c>
      <c r="D328" s="29">
        <v>6410198.8</v>
      </c>
      <c r="E328" s="69">
        <v>0.9632640245</v>
      </c>
      <c r="F328" s="23">
        <v>6174713.89</v>
      </c>
      <c r="G328" s="23">
        <v>0.01</v>
      </c>
      <c r="H328" s="1"/>
      <c r="I328" s="1"/>
      <c r="J328" s="2"/>
      <c r="K328" s="2"/>
      <c r="L328" s="53"/>
      <c r="M328" s="12"/>
      <c r="N328" s="2"/>
      <c r="O328" s="2"/>
    </row>
    <row r="329" ht="15.75" customHeight="1">
      <c r="A329" s="1" t="s">
        <v>456</v>
      </c>
      <c r="B329" s="63" t="s">
        <v>297</v>
      </c>
      <c r="C329" s="63" t="s">
        <v>446</v>
      </c>
      <c r="D329" s="23">
        <v>5184831.36</v>
      </c>
      <c r="E329" s="69">
        <v>0.9632640257</v>
      </c>
      <c r="F329" s="23">
        <v>4994361.53</v>
      </c>
      <c r="G329" s="23">
        <v>0.01</v>
      </c>
      <c r="H329" s="1"/>
      <c r="I329" s="1"/>
      <c r="J329" s="2"/>
      <c r="K329" s="2"/>
      <c r="L329" s="53"/>
      <c r="M329" s="12"/>
      <c r="N329" s="2"/>
      <c r="O329" s="2"/>
    </row>
    <row r="330" ht="15.75" customHeight="1">
      <c r="A330" s="1" t="s">
        <v>457</v>
      </c>
      <c r="B330" s="63" t="s">
        <v>159</v>
      </c>
      <c r="C330" s="63" t="s">
        <v>446</v>
      </c>
      <c r="D330" s="29">
        <v>788284.3</v>
      </c>
      <c r="E330" s="69">
        <v>0.9905558565</v>
      </c>
      <c r="F330" s="23">
        <v>780839.63</v>
      </c>
      <c r="G330" s="24">
        <v>0.0</v>
      </c>
      <c r="H330" s="1"/>
      <c r="I330" s="1"/>
      <c r="J330" s="2"/>
      <c r="K330" s="2"/>
      <c r="L330" s="53"/>
      <c r="M330" s="12"/>
      <c r="N330" s="2"/>
      <c r="O330" s="2"/>
    </row>
    <row r="331" ht="15.75" customHeight="1">
      <c r="A331" s="1" t="s">
        <v>458</v>
      </c>
      <c r="B331" s="63" t="s">
        <v>187</v>
      </c>
      <c r="C331" s="63" t="s">
        <v>446</v>
      </c>
      <c r="D331" s="24">
        <v>5000000.0</v>
      </c>
      <c r="E331" s="69">
        <v>0.9805238757</v>
      </c>
      <c r="F331" s="23">
        <v>4902619.38</v>
      </c>
      <c r="G331" s="23">
        <v>0.01</v>
      </c>
      <c r="H331" s="1"/>
      <c r="I331" s="1"/>
      <c r="J331" s="2"/>
      <c r="K331" s="2"/>
      <c r="L331" s="53"/>
      <c r="M331" s="12"/>
      <c r="N331" s="2"/>
      <c r="O331" s="2"/>
    </row>
    <row r="332" ht="15.75" customHeight="1">
      <c r="A332" s="1" t="s">
        <v>459</v>
      </c>
      <c r="B332" s="63" t="s">
        <v>400</v>
      </c>
      <c r="C332" s="63" t="s">
        <v>446</v>
      </c>
      <c r="D332" s="24">
        <v>5000000.0</v>
      </c>
      <c r="E332" s="70">
        <v>0.968452342</v>
      </c>
      <c r="F332" s="23">
        <v>4842261.71</v>
      </c>
      <c r="G332" s="23">
        <v>0.01</v>
      </c>
      <c r="H332" s="1"/>
      <c r="I332" s="1"/>
      <c r="J332" s="2"/>
      <c r="K332" s="2"/>
      <c r="L332" s="53"/>
      <c r="M332" s="12"/>
      <c r="N332" s="2"/>
      <c r="O332" s="2"/>
    </row>
    <row r="333" ht="15.75" customHeight="1">
      <c r="A333" s="1" t="s">
        <v>460</v>
      </c>
      <c r="B333" s="63" t="s">
        <v>143</v>
      </c>
      <c r="C333" s="63" t="s">
        <v>446</v>
      </c>
      <c r="D333" s="24">
        <v>5000000.0</v>
      </c>
      <c r="E333" s="69">
        <v>0.9640018378</v>
      </c>
      <c r="F333" s="23">
        <v>4820009.19</v>
      </c>
      <c r="G333" s="23">
        <v>0.01</v>
      </c>
      <c r="H333" s="1"/>
      <c r="I333" s="1"/>
      <c r="J333" s="2"/>
      <c r="K333" s="2"/>
      <c r="L333" s="53"/>
      <c r="M333" s="12"/>
      <c r="N333" s="2"/>
      <c r="O333" s="2"/>
    </row>
    <row r="334" ht="15.75" customHeight="1">
      <c r="A334" s="1" t="s">
        <v>461</v>
      </c>
      <c r="B334" s="63" t="s">
        <v>115</v>
      </c>
      <c r="C334" s="63" t="s">
        <v>446</v>
      </c>
      <c r="D334" s="24">
        <v>5.0E7</v>
      </c>
      <c r="E334" s="69">
        <v>0.9318357176</v>
      </c>
      <c r="F334" s="23">
        <v>4.659178588E7</v>
      </c>
      <c r="G334" s="29">
        <v>0.1</v>
      </c>
      <c r="H334" s="1"/>
      <c r="I334" s="1"/>
      <c r="J334" s="2"/>
      <c r="K334" s="2"/>
      <c r="L334" s="53"/>
      <c r="M334" s="12"/>
      <c r="N334" s="2"/>
      <c r="O334" s="2"/>
    </row>
    <row r="335" ht="15.75" customHeight="1">
      <c r="A335" s="1" t="s">
        <v>462</v>
      </c>
      <c r="B335" s="63" t="s">
        <v>411</v>
      </c>
      <c r="C335" s="63" t="s">
        <v>446</v>
      </c>
      <c r="D335" s="24">
        <v>2500000.0</v>
      </c>
      <c r="E335" s="69">
        <v>0.9320735829</v>
      </c>
      <c r="F335" s="23">
        <v>2330183.96</v>
      </c>
      <c r="G335" s="24">
        <v>0.0</v>
      </c>
      <c r="H335" s="1"/>
      <c r="I335" s="1"/>
      <c r="J335" s="2"/>
      <c r="K335" s="2"/>
      <c r="L335" s="53"/>
      <c r="M335" s="12"/>
      <c r="N335" s="2"/>
      <c r="O335" s="2"/>
    </row>
    <row r="336" ht="15.75" customHeight="1">
      <c r="A336" s="1" t="s">
        <v>463</v>
      </c>
      <c r="B336" s="63" t="s">
        <v>357</v>
      </c>
      <c r="C336" s="63" t="s">
        <v>446</v>
      </c>
      <c r="D336" s="24">
        <v>2500000.0</v>
      </c>
      <c r="E336" s="69">
        <v>0.9314077152</v>
      </c>
      <c r="F336" s="23">
        <v>2328519.29</v>
      </c>
      <c r="G336" s="24">
        <v>0.0</v>
      </c>
      <c r="H336" s="1"/>
      <c r="I336" s="1"/>
      <c r="J336" s="2"/>
      <c r="K336" s="2"/>
      <c r="L336" s="53"/>
      <c r="M336" s="12"/>
      <c r="N336" s="2"/>
      <c r="O336" s="2"/>
    </row>
    <row r="337" ht="15.75" customHeight="1">
      <c r="A337" s="1" t="s">
        <v>464</v>
      </c>
      <c r="B337" s="63" t="s">
        <v>465</v>
      </c>
      <c r="C337" s="63" t="s">
        <v>446</v>
      </c>
      <c r="D337" s="24">
        <v>2500000.0</v>
      </c>
      <c r="E337" s="69">
        <v>0.9300785484</v>
      </c>
      <c r="F337" s="23">
        <v>2325196.37</v>
      </c>
      <c r="G337" s="24">
        <v>0.0</v>
      </c>
      <c r="H337" s="1"/>
      <c r="I337" s="1"/>
      <c r="J337" s="2"/>
      <c r="K337" s="2"/>
      <c r="L337" s="53"/>
      <c r="M337" s="12"/>
      <c r="N337" s="2"/>
      <c r="O337" s="2"/>
    </row>
    <row r="338" ht="15.75" customHeight="1">
      <c r="A338" s="1" t="s">
        <v>466</v>
      </c>
      <c r="B338" s="63" t="s">
        <v>414</v>
      </c>
      <c r="C338" s="63" t="s">
        <v>446</v>
      </c>
      <c r="D338" s="24">
        <v>2500000.0</v>
      </c>
      <c r="E338" s="69">
        <v>0.9267722909</v>
      </c>
      <c r="F338" s="23">
        <v>2316930.73</v>
      </c>
      <c r="G338" s="24">
        <v>0.0</v>
      </c>
      <c r="H338" s="1"/>
      <c r="I338" s="1"/>
      <c r="J338" s="2"/>
      <c r="K338" s="2"/>
      <c r="L338" s="53"/>
      <c r="M338" s="12"/>
      <c r="N338" s="2"/>
      <c r="O338" s="2"/>
    </row>
    <row r="339" ht="15.75" customHeight="1">
      <c r="A339" s="1" t="s">
        <v>467</v>
      </c>
      <c r="B339" s="63" t="s">
        <v>419</v>
      </c>
      <c r="C339" s="63" t="s">
        <v>446</v>
      </c>
      <c r="D339" s="24">
        <v>2500000.0</v>
      </c>
      <c r="E339" s="69">
        <v>0.9261139766</v>
      </c>
      <c r="F339" s="23">
        <v>2315284.94</v>
      </c>
      <c r="G339" s="24">
        <v>0.0</v>
      </c>
      <c r="H339" s="1"/>
      <c r="I339" s="1"/>
      <c r="J339" s="2"/>
      <c r="K339" s="2"/>
      <c r="L339" s="53"/>
      <c r="M339" s="12"/>
      <c r="N339" s="2"/>
      <c r="O339" s="2"/>
    </row>
    <row r="340" ht="15.75" customHeight="1">
      <c r="A340" s="1" t="s">
        <v>468</v>
      </c>
      <c r="B340" s="63" t="s">
        <v>469</v>
      </c>
      <c r="C340" s="63" t="s">
        <v>446</v>
      </c>
      <c r="D340" s="24">
        <v>2500000.0</v>
      </c>
      <c r="E340" s="69">
        <v>0.9215311071</v>
      </c>
      <c r="F340" s="23">
        <v>2303827.77</v>
      </c>
      <c r="G340" s="24">
        <v>0.0</v>
      </c>
      <c r="H340" s="1"/>
      <c r="I340" s="1"/>
      <c r="J340" s="2"/>
      <c r="K340" s="2"/>
      <c r="L340" s="53"/>
      <c r="M340" s="12"/>
      <c r="N340" s="2"/>
      <c r="O340" s="2"/>
    </row>
    <row r="341" ht="15.75" customHeight="1">
      <c r="A341" s="1" t="s">
        <v>470</v>
      </c>
      <c r="B341" s="63" t="s">
        <v>471</v>
      </c>
      <c r="C341" s="63" t="s">
        <v>446</v>
      </c>
      <c r="D341" s="24">
        <v>2500000.0</v>
      </c>
      <c r="E341" s="69">
        <v>0.9208800835</v>
      </c>
      <c r="F341" s="23">
        <v>2302200.21</v>
      </c>
      <c r="G341" s="24">
        <v>0.0</v>
      </c>
      <c r="H341" s="1"/>
      <c r="I341" s="1"/>
      <c r="J341" s="2"/>
      <c r="K341" s="2"/>
      <c r="L341" s="53"/>
      <c r="M341" s="12"/>
      <c r="N341" s="2"/>
      <c r="O341" s="2"/>
    </row>
    <row r="342" ht="15.75" customHeight="1">
      <c r="A342" s="1" t="s">
        <v>472</v>
      </c>
      <c r="B342" s="63" t="s">
        <v>473</v>
      </c>
      <c r="C342" s="63" t="s">
        <v>446</v>
      </c>
      <c r="D342" s="24">
        <v>2500000.0</v>
      </c>
      <c r="E342" s="69">
        <v>0.9189326448</v>
      </c>
      <c r="F342" s="23">
        <v>2297331.61</v>
      </c>
      <c r="G342" s="24">
        <v>0.0</v>
      </c>
      <c r="H342" s="1"/>
      <c r="I342" s="1"/>
      <c r="J342" s="2"/>
      <c r="K342" s="2"/>
      <c r="L342" s="53"/>
      <c r="M342" s="12"/>
      <c r="N342" s="2"/>
      <c r="O342" s="2"/>
    </row>
    <row r="343" ht="15.75" customHeight="1">
      <c r="A343" s="1" t="s">
        <v>474</v>
      </c>
      <c r="B343" s="63" t="s">
        <v>475</v>
      </c>
      <c r="C343" s="63" t="s">
        <v>446</v>
      </c>
      <c r="D343" s="24">
        <v>2500000.0</v>
      </c>
      <c r="E343" s="69">
        <v>0.9176388149</v>
      </c>
      <c r="F343" s="23">
        <v>2294097.04</v>
      </c>
      <c r="G343" s="24">
        <v>0.0</v>
      </c>
      <c r="H343" s="1"/>
      <c r="I343" s="1"/>
      <c r="J343" s="2"/>
      <c r="K343" s="2"/>
      <c r="L343" s="53"/>
      <c r="M343" s="12"/>
      <c r="N343" s="2"/>
      <c r="O343" s="2"/>
    </row>
    <row r="344" ht="15.75" customHeight="1">
      <c r="A344" s="1" t="s">
        <v>476</v>
      </c>
      <c r="B344" s="63" t="s">
        <v>477</v>
      </c>
      <c r="C344" s="63" t="s">
        <v>446</v>
      </c>
      <c r="D344" s="24">
        <v>2500000.0</v>
      </c>
      <c r="E344" s="69">
        <v>0.9169934084</v>
      </c>
      <c r="F344" s="23">
        <v>2292483.52</v>
      </c>
      <c r="G344" s="24">
        <v>0.0</v>
      </c>
      <c r="H344" s="1"/>
      <c r="I344" s="1"/>
      <c r="J344" s="2"/>
      <c r="K344" s="2"/>
      <c r="L344" s="53"/>
      <c r="M344" s="12"/>
      <c r="N344" s="2"/>
      <c r="O344" s="2"/>
    </row>
    <row r="345" ht="15.75" customHeight="1">
      <c r="A345" s="1" t="s">
        <v>478</v>
      </c>
      <c r="B345" s="63" t="s">
        <v>479</v>
      </c>
      <c r="C345" s="63" t="s">
        <v>446</v>
      </c>
      <c r="D345" s="24">
        <v>2500000.0</v>
      </c>
      <c r="E345" s="69">
        <v>0.9144203972</v>
      </c>
      <c r="F345" s="23">
        <v>2286050.99</v>
      </c>
      <c r="G345" s="24">
        <v>0.0</v>
      </c>
      <c r="H345" s="1"/>
      <c r="I345" s="1"/>
      <c r="J345" s="2"/>
      <c r="K345" s="2"/>
      <c r="L345" s="53"/>
      <c r="M345" s="12"/>
      <c r="N345" s="2"/>
      <c r="O345" s="2"/>
    </row>
    <row r="346" ht="15.75" customHeight="1">
      <c r="A346" s="1" t="s">
        <v>480</v>
      </c>
      <c r="B346" s="63" t="s">
        <v>423</v>
      </c>
      <c r="C346" s="63" t="s">
        <v>446</v>
      </c>
      <c r="D346" s="24">
        <v>2500000.0</v>
      </c>
      <c r="E346" s="69">
        <v>0.9228358241</v>
      </c>
      <c r="F346" s="23">
        <v>2307089.56</v>
      </c>
      <c r="G346" s="24">
        <v>0.0</v>
      </c>
      <c r="H346" s="1"/>
      <c r="I346" s="1"/>
      <c r="J346" s="2"/>
      <c r="K346" s="2"/>
      <c r="L346" s="53"/>
      <c r="M346" s="12"/>
      <c r="N346" s="2"/>
      <c r="O346" s="2"/>
    </row>
    <row r="347" ht="15.75" customHeight="1">
      <c r="A347" s="1" t="s">
        <v>481</v>
      </c>
      <c r="B347" s="63" t="s">
        <v>482</v>
      </c>
      <c r="C347" s="63" t="s">
        <v>446</v>
      </c>
      <c r="D347" s="24">
        <v>2500000.0</v>
      </c>
      <c r="E347" s="69">
        <v>0.9182852718</v>
      </c>
      <c r="F347" s="23">
        <v>2295713.18</v>
      </c>
      <c r="G347" s="24">
        <v>0.0</v>
      </c>
      <c r="H347" s="1"/>
      <c r="I347" s="1"/>
      <c r="J347" s="2"/>
      <c r="K347" s="2"/>
      <c r="L347" s="53"/>
      <c r="M347" s="12"/>
      <c r="N347" s="2"/>
      <c r="O347" s="2"/>
    </row>
    <row r="348" ht="15.75" customHeight="1">
      <c r="A348" s="1" t="s">
        <v>483</v>
      </c>
      <c r="B348" s="63" t="s">
        <v>484</v>
      </c>
      <c r="C348" s="63" t="s">
        <v>446</v>
      </c>
      <c r="D348" s="24">
        <v>2500000.0</v>
      </c>
      <c r="E348" s="69">
        <v>0.9234896389</v>
      </c>
      <c r="F348" s="29">
        <v>2308724.1</v>
      </c>
      <c r="G348" s="24">
        <v>0.0</v>
      </c>
      <c r="H348" s="1"/>
      <c r="I348" s="1"/>
      <c r="J348" s="2"/>
      <c r="K348" s="2"/>
      <c r="L348" s="53"/>
      <c r="M348" s="12"/>
      <c r="N348" s="2"/>
      <c r="O348" s="2"/>
    </row>
    <row r="349" ht="15.75" customHeight="1">
      <c r="A349" s="1" t="s">
        <v>485</v>
      </c>
      <c r="B349" s="63" t="s">
        <v>187</v>
      </c>
      <c r="C349" s="63" t="s">
        <v>446</v>
      </c>
      <c r="D349" s="24">
        <v>1.0E7</v>
      </c>
      <c r="E349" s="69">
        <v>0.9798658027</v>
      </c>
      <c r="F349" s="23">
        <v>9798658.03</v>
      </c>
      <c r="G349" s="23">
        <v>0.02</v>
      </c>
      <c r="H349" s="1"/>
      <c r="I349" s="1"/>
      <c r="J349" s="2"/>
      <c r="K349" s="2"/>
      <c r="L349" s="53"/>
      <c r="M349" s="12"/>
      <c r="N349" s="2"/>
      <c r="O349" s="2"/>
    </row>
    <row r="350" ht="15.75" customHeight="1">
      <c r="A350" s="1" t="s">
        <v>486</v>
      </c>
      <c r="B350" s="63" t="s">
        <v>175</v>
      </c>
      <c r="C350" s="63" t="s">
        <v>446</v>
      </c>
      <c r="D350" s="24">
        <v>1.0E7</v>
      </c>
      <c r="E350" s="69">
        <v>0.9790772641</v>
      </c>
      <c r="F350" s="23">
        <v>9790772.64</v>
      </c>
      <c r="G350" s="23">
        <v>0.02</v>
      </c>
      <c r="H350" s="1"/>
      <c r="I350" s="1"/>
      <c r="J350" s="2"/>
      <c r="K350" s="2"/>
      <c r="L350" s="53"/>
      <c r="M350" s="12"/>
      <c r="N350" s="2"/>
      <c r="O350" s="2"/>
    </row>
    <row r="351" ht="15.75" customHeight="1">
      <c r="A351" s="1" t="s">
        <v>487</v>
      </c>
      <c r="B351" s="63" t="s">
        <v>111</v>
      </c>
      <c r="C351" s="63" t="s">
        <v>446</v>
      </c>
      <c r="D351" s="24">
        <v>1.0E7</v>
      </c>
      <c r="E351" s="69">
        <v>0.9775040663</v>
      </c>
      <c r="F351" s="23">
        <v>9775040.66</v>
      </c>
      <c r="G351" s="23">
        <v>0.02</v>
      </c>
      <c r="H351" s="1"/>
      <c r="I351" s="1"/>
      <c r="J351" s="2"/>
      <c r="K351" s="2"/>
      <c r="L351" s="53"/>
      <c r="M351" s="12"/>
      <c r="N351" s="2"/>
      <c r="O351" s="2"/>
    </row>
    <row r="352" ht="15.75" customHeight="1">
      <c r="A352" s="1" t="s">
        <v>488</v>
      </c>
      <c r="B352" s="63" t="s">
        <v>132</v>
      </c>
      <c r="C352" s="63" t="s">
        <v>446</v>
      </c>
      <c r="D352" s="24">
        <v>1.0E7</v>
      </c>
      <c r="E352" s="69">
        <v>0.9751536879</v>
      </c>
      <c r="F352" s="23">
        <v>9751536.88</v>
      </c>
      <c r="G352" s="23">
        <v>0.02</v>
      </c>
      <c r="H352" s="1"/>
      <c r="I352" s="1"/>
      <c r="J352" s="2"/>
      <c r="K352" s="2"/>
      <c r="L352" s="53"/>
      <c r="M352" s="12"/>
      <c r="N352" s="2"/>
      <c r="O352" s="2"/>
    </row>
    <row r="353" ht="15.75" customHeight="1">
      <c r="A353" s="1" t="s">
        <v>489</v>
      </c>
      <c r="B353" s="63" t="s">
        <v>153</v>
      </c>
      <c r="C353" s="63" t="s">
        <v>446</v>
      </c>
      <c r="D353" s="24">
        <v>1000000.0</v>
      </c>
      <c r="E353" s="68">
        <v>0.98937441</v>
      </c>
      <c r="F353" s="23">
        <v>989374.41</v>
      </c>
      <c r="G353" s="24">
        <v>0.0</v>
      </c>
      <c r="H353" s="1"/>
      <c r="I353" s="1"/>
      <c r="J353" s="2"/>
      <c r="K353" s="2"/>
      <c r="L353" s="53"/>
      <c r="M353" s="12"/>
      <c r="N353" s="2"/>
      <c r="O353" s="2"/>
    </row>
    <row r="354" ht="15.75" customHeight="1">
      <c r="A354" s="1" t="s">
        <v>490</v>
      </c>
      <c r="B354" s="63" t="s">
        <v>491</v>
      </c>
      <c r="C354" s="63" t="s">
        <v>446</v>
      </c>
      <c r="D354" s="24">
        <v>1000000.0</v>
      </c>
      <c r="E354" s="69">
        <v>0.9923871799</v>
      </c>
      <c r="F354" s="23">
        <v>992387.18</v>
      </c>
      <c r="G354" s="24">
        <v>0.0</v>
      </c>
      <c r="H354" s="1"/>
      <c r="I354" s="1"/>
      <c r="J354" s="2"/>
      <c r="K354" s="2"/>
      <c r="L354" s="53"/>
      <c r="M354" s="12"/>
      <c r="N354" s="2"/>
      <c r="O354" s="2"/>
    </row>
    <row r="355" ht="15.75" customHeight="1">
      <c r="A355" s="1" t="s">
        <v>492</v>
      </c>
      <c r="B355" s="63" t="s">
        <v>493</v>
      </c>
      <c r="C355" s="63" t="s">
        <v>446</v>
      </c>
      <c r="D355" s="24">
        <v>3000000.0</v>
      </c>
      <c r="E355" s="69">
        <v>0.9334083871</v>
      </c>
      <c r="F355" s="23">
        <v>2800225.16</v>
      </c>
      <c r="G355" s="23">
        <v>0.01</v>
      </c>
      <c r="H355" s="1"/>
      <c r="I355" s="1"/>
      <c r="J355" s="2"/>
      <c r="K355" s="2"/>
      <c r="L355" s="53"/>
      <c r="M355" s="12"/>
      <c r="N355" s="2"/>
      <c r="O355" s="2"/>
    </row>
    <row r="356" ht="15.75" customHeight="1">
      <c r="A356" s="1" t="s">
        <v>494</v>
      </c>
      <c r="B356" s="63" t="s">
        <v>421</v>
      </c>
      <c r="C356" s="63" t="s">
        <v>446</v>
      </c>
      <c r="D356" s="24">
        <v>3000000.0</v>
      </c>
      <c r="E356" s="69">
        <v>0.9386170427</v>
      </c>
      <c r="F356" s="23">
        <v>2815851.13</v>
      </c>
      <c r="G356" s="23">
        <v>0.01</v>
      </c>
      <c r="H356" s="1"/>
      <c r="I356" s="1"/>
      <c r="J356" s="2"/>
      <c r="K356" s="2"/>
      <c r="L356" s="53"/>
      <c r="M356" s="12"/>
      <c r="N356" s="2"/>
      <c r="O356" s="2"/>
    </row>
    <row r="357" ht="15.75" customHeight="1">
      <c r="A357" s="1" t="s">
        <v>495</v>
      </c>
      <c r="B357" s="63" t="s">
        <v>378</v>
      </c>
      <c r="C357" s="63" t="s">
        <v>446</v>
      </c>
      <c r="D357" s="24">
        <v>3000000.0</v>
      </c>
      <c r="E357" s="69">
        <v>0.9348907563</v>
      </c>
      <c r="F357" s="23">
        <v>2804672.27</v>
      </c>
      <c r="G357" s="23">
        <v>0.01</v>
      </c>
      <c r="H357" s="1"/>
      <c r="I357" s="1"/>
      <c r="J357" s="2"/>
      <c r="K357" s="2"/>
      <c r="L357" s="53"/>
      <c r="M357" s="12"/>
      <c r="N357" s="2"/>
      <c r="O357" s="2"/>
    </row>
    <row r="358" ht="15.75" customHeight="1">
      <c r="A358" s="1" t="s">
        <v>496</v>
      </c>
      <c r="B358" s="63" t="s">
        <v>170</v>
      </c>
      <c r="C358" s="63" t="s">
        <v>446</v>
      </c>
      <c r="D358" s="24">
        <v>2.0E7</v>
      </c>
      <c r="E358" s="69">
        <v>0.9875808637</v>
      </c>
      <c r="F358" s="23">
        <v>1.975161727E7</v>
      </c>
      <c r="G358" s="23">
        <v>0.04</v>
      </c>
      <c r="H358" s="1"/>
      <c r="I358" s="1"/>
      <c r="J358" s="2"/>
      <c r="K358" s="2"/>
      <c r="L358" s="53"/>
      <c r="M358" s="12"/>
      <c r="N358" s="2"/>
      <c r="O358" s="2"/>
    </row>
    <row r="359" ht="15.75" customHeight="1">
      <c r="A359" s="1" t="s">
        <v>497</v>
      </c>
      <c r="B359" s="63" t="s">
        <v>150</v>
      </c>
      <c r="C359" s="63" t="s">
        <v>446</v>
      </c>
      <c r="D359" s="24">
        <v>7.5E7</v>
      </c>
      <c r="E359" s="69">
        <v>0.9804185528</v>
      </c>
      <c r="F359" s="23">
        <v>7.353139146E7</v>
      </c>
      <c r="G359" s="23">
        <v>0.15</v>
      </c>
      <c r="H359" s="1"/>
      <c r="I359" s="1"/>
      <c r="J359" s="2"/>
      <c r="K359" s="2"/>
      <c r="L359" s="53"/>
      <c r="M359" s="12"/>
      <c r="N359" s="2"/>
      <c r="O359" s="2"/>
    </row>
    <row r="360" ht="15.75" customHeight="1">
      <c r="A360" s="1" t="s">
        <v>498</v>
      </c>
      <c r="B360" s="63" t="s">
        <v>157</v>
      </c>
      <c r="C360" s="63" t="s">
        <v>446</v>
      </c>
      <c r="D360" s="24">
        <v>7.5E7</v>
      </c>
      <c r="E360" s="69">
        <v>0.9698677443</v>
      </c>
      <c r="F360" s="23">
        <v>7.274008082E7</v>
      </c>
      <c r="G360" s="23">
        <v>0.15</v>
      </c>
      <c r="H360" s="1"/>
      <c r="I360" s="1"/>
      <c r="J360" s="2"/>
      <c r="K360" s="2"/>
      <c r="L360" s="53"/>
      <c r="M360" s="12"/>
      <c r="N360" s="2"/>
      <c r="O360" s="2"/>
    </row>
    <row r="361" ht="15.75" customHeight="1">
      <c r="A361" s="1" t="s">
        <v>499</v>
      </c>
      <c r="B361" s="63" t="s">
        <v>500</v>
      </c>
      <c r="C361" s="63" t="s">
        <v>446</v>
      </c>
      <c r="D361" s="24">
        <v>2.5E7</v>
      </c>
      <c r="E361" s="69">
        <v>0.9395351349</v>
      </c>
      <c r="F361" s="23">
        <v>2.348837837E7</v>
      </c>
      <c r="G361" s="23">
        <v>0.05</v>
      </c>
      <c r="H361" s="1"/>
      <c r="I361" s="1"/>
      <c r="J361" s="2"/>
      <c r="K361" s="2"/>
      <c r="L361" s="53"/>
      <c r="M361" s="12"/>
      <c r="N361" s="2"/>
      <c r="O361" s="2"/>
    </row>
    <row r="362" ht="15.75" customHeight="1">
      <c r="A362" s="1" t="s">
        <v>501</v>
      </c>
      <c r="B362" s="63" t="s">
        <v>330</v>
      </c>
      <c r="C362" s="63" t="s">
        <v>446</v>
      </c>
      <c r="D362" s="24">
        <v>2.5E7</v>
      </c>
      <c r="E362" s="69">
        <v>0.9848894154</v>
      </c>
      <c r="F362" s="23">
        <v>2.462223539E7</v>
      </c>
      <c r="G362" s="23">
        <v>0.05</v>
      </c>
      <c r="H362" s="1"/>
      <c r="I362" s="1"/>
      <c r="J362" s="2"/>
      <c r="K362" s="2"/>
      <c r="L362" s="53"/>
      <c r="M362" s="12"/>
      <c r="N362" s="2"/>
      <c r="O362" s="2"/>
    </row>
    <row r="363" ht="15.75" customHeight="1">
      <c r="A363" s="1" t="s">
        <v>502</v>
      </c>
      <c r="B363" s="63" t="s">
        <v>341</v>
      </c>
      <c r="C363" s="63" t="s">
        <v>446</v>
      </c>
      <c r="D363" s="24">
        <v>2.5E7</v>
      </c>
      <c r="E363" s="69">
        <v>0.9745808782</v>
      </c>
      <c r="F363" s="23">
        <v>2.436452196E7</v>
      </c>
      <c r="G363" s="23">
        <v>0.05</v>
      </c>
      <c r="H363" s="1"/>
      <c r="I363" s="1"/>
      <c r="J363" s="2"/>
      <c r="K363" s="2"/>
      <c r="L363" s="53"/>
      <c r="M363" s="12"/>
      <c r="N363" s="2"/>
      <c r="O363" s="2"/>
    </row>
    <row r="364" ht="15.75" customHeight="1">
      <c r="A364" s="1" t="s">
        <v>503</v>
      </c>
      <c r="B364" s="63" t="s">
        <v>301</v>
      </c>
      <c r="C364" s="63" t="s">
        <v>446</v>
      </c>
      <c r="D364" s="24">
        <v>1.0E7</v>
      </c>
      <c r="E364" s="69">
        <v>0.9603241449</v>
      </c>
      <c r="F364" s="23">
        <v>9603241.45</v>
      </c>
      <c r="G364" s="23">
        <v>0.02</v>
      </c>
      <c r="H364" s="1"/>
      <c r="I364" s="1"/>
      <c r="J364" s="2"/>
      <c r="K364" s="2"/>
      <c r="L364" s="53"/>
      <c r="M364" s="12"/>
      <c r="N364" s="2"/>
      <c r="O364" s="2"/>
    </row>
    <row r="365" ht="15.75" customHeight="1">
      <c r="A365" s="1" t="s">
        <v>504</v>
      </c>
      <c r="B365" s="63" t="s">
        <v>328</v>
      </c>
      <c r="C365" s="63" t="s">
        <v>446</v>
      </c>
      <c r="D365" s="24">
        <v>1.0E7</v>
      </c>
      <c r="E365" s="69">
        <v>0.9588609802</v>
      </c>
      <c r="F365" s="29">
        <v>9588609.8</v>
      </c>
      <c r="G365" s="23">
        <v>0.02</v>
      </c>
      <c r="H365" s="1"/>
      <c r="I365" s="1"/>
      <c r="J365" s="2"/>
      <c r="K365" s="2"/>
      <c r="L365" s="53"/>
      <c r="M365" s="12"/>
      <c r="N365" s="2"/>
      <c r="O365" s="2"/>
    </row>
    <row r="366" ht="15.75" customHeight="1">
      <c r="A366" s="1" t="s">
        <v>505</v>
      </c>
      <c r="B366" s="63" t="s">
        <v>506</v>
      </c>
      <c r="C366" s="63" t="s">
        <v>446</v>
      </c>
      <c r="D366" s="24">
        <v>1.0E7</v>
      </c>
      <c r="E366" s="69">
        <v>0.9581310118</v>
      </c>
      <c r="F366" s="23">
        <v>9581310.12</v>
      </c>
      <c r="G366" s="23">
        <v>0.02</v>
      </c>
      <c r="H366" s="1"/>
      <c r="I366" s="1"/>
      <c r="J366" s="2"/>
      <c r="K366" s="2"/>
      <c r="L366" s="53"/>
      <c r="M366" s="12"/>
      <c r="N366" s="2"/>
      <c r="O366" s="2"/>
    </row>
    <row r="367" ht="15.75" customHeight="1">
      <c r="A367" s="1" t="s">
        <v>507</v>
      </c>
      <c r="B367" s="63" t="s">
        <v>108</v>
      </c>
      <c r="C367" s="63" t="s">
        <v>446</v>
      </c>
      <c r="D367" s="24">
        <v>1.0E7</v>
      </c>
      <c r="E367" s="69">
        <v>0.9574022697</v>
      </c>
      <c r="F367" s="29">
        <v>9574022.7</v>
      </c>
      <c r="G367" s="23">
        <v>0.02</v>
      </c>
      <c r="H367" s="1"/>
      <c r="I367" s="1"/>
      <c r="J367" s="2"/>
      <c r="K367" s="2"/>
      <c r="L367" s="53"/>
      <c r="M367" s="12"/>
      <c r="N367" s="2"/>
      <c r="O367" s="2"/>
    </row>
    <row r="368" ht="15.75" customHeight="1">
      <c r="A368" s="1" t="s">
        <v>508</v>
      </c>
      <c r="B368" s="63" t="s">
        <v>113</v>
      </c>
      <c r="C368" s="63" t="s">
        <v>446</v>
      </c>
      <c r="D368" s="24">
        <v>1.0E7</v>
      </c>
      <c r="E368" s="69">
        <v>0.9552223315</v>
      </c>
      <c r="F368" s="23">
        <v>9552223.32</v>
      </c>
      <c r="G368" s="23">
        <v>0.02</v>
      </c>
      <c r="H368" s="1"/>
      <c r="I368" s="1"/>
      <c r="J368" s="2"/>
      <c r="K368" s="2"/>
      <c r="L368" s="53"/>
      <c r="M368" s="12"/>
      <c r="N368" s="2"/>
      <c r="O368" s="2"/>
    </row>
    <row r="369" ht="15.75" customHeight="1">
      <c r="A369" s="1" t="s">
        <v>509</v>
      </c>
      <c r="B369" s="63" t="s">
        <v>146</v>
      </c>
      <c r="C369" s="63" t="s">
        <v>446</v>
      </c>
      <c r="D369" s="24">
        <v>1.0E7</v>
      </c>
      <c r="E369" s="69">
        <v>0.9544980083</v>
      </c>
      <c r="F369" s="23">
        <v>9544980.08</v>
      </c>
      <c r="G369" s="23">
        <v>0.02</v>
      </c>
      <c r="H369" s="1"/>
      <c r="I369" s="1"/>
      <c r="J369" s="2"/>
      <c r="K369" s="2"/>
      <c r="L369" s="53"/>
      <c r="M369" s="12"/>
      <c r="N369" s="2"/>
      <c r="O369" s="2"/>
    </row>
    <row r="370" ht="15.75" customHeight="1">
      <c r="A370" s="1" t="s">
        <v>510</v>
      </c>
      <c r="B370" s="63" t="s">
        <v>223</v>
      </c>
      <c r="C370" s="63" t="s">
        <v>446</v>
      </c>
      <c r="D370" s="24">
        <v>1.0E7</v>
      </c>
      <c r="E370" s="69">
        <v>0.9595920618</v>
      </c>
      <c r="F370" s="23">
        <v>9595920.62</v>
      </c>
      <c r="G370" s="23">
        <v>0.02</v>
      </c>
      <c r="H370" s="1"/>
      <c r="I370" s="1"/>
      <c r="J370" s="2"/>
      <c r="K370" s="2"/>
      <c r="L370" s="53"/>
      <c r="M370" s="12"/>
      <c r="N370" s="2"/>
      <c r="O370" s="2"/>
    </row>
    <row r="371" ht="15.75" customHeight="1">
      <c r="A371" s="1" t="s">
        <v>511</v>
      </c>
      <c r="B371" s="63" t="s">
        <v>175</v>
      </c>
      <c r="C371" s="63" t="s">
        <v>446</v>
      </c>
      <c r="D371" s="23">
        <v>4599318.34</v>
      </c>
      <c r="E371" s="69">
        <v>0.9736449078</v>
      </c>
      <c r="F371" s="23">
        <v>4478102.88</v>
      </c>
      <c r="G371" s="23">
        <v>0.01</v>
      </c>
      <c r="H371" s="1"/>
      <c r="I371" s="1"/>
      <c r="J371" s="2"/>
      <c r="K371" s="2"/>
      <c r="L371" s="53"/>
      <c r="M371" s="12"/>
      <c r="N371" s="2"/>
      <c r="O371" s="2"/>
    </row>
    <row r="372" ht="15.75" customHeight="1">
      <c r="A372" s="1" t="s">
        <v>512</v>
      </c>
      <c r="B372" s="63" t="s">
        <v>146</v>
      </c>
      <c r="C372" s="63" t="s">
        <v>446</v>
      </c>
      <c r="D372" s="24">
        <v>4500000.0</v>
      </c>
      <c r="E372" s="69">
        <v>0.9412069372</v>
      </c>
      <c r="F372" s="23">
        <v>4235431.22</v>
      </c>
      <c r="G372" s="23">
        <v>0.01</v>
      </c>
      <c r="H372" s="1"/>
      <c r="I372" s="1"/>
      <c r="J372" s="2"/>
      <c r="K372" s="2"/>
      <c r="L372" s="53"/>
      <c r="M372" s="12"/>
      <c r="N372" s="2"/>
      <c r="O372" s="2"/>
    </row>
    <row r="373" ht="15.75" customHeight="1">
      <c r="A373" s="1" t="s">
        <v>513</v>
      </c>
      <c r="B373" s="63" t="s">
        <v>132</v>
      </c>
      <c r="C373" s="63" t="s">
        <v>446</v>
      </c>
      <c r="D373" s="23">
        <v>4599318.34</v>
      </c>
      <c r="E373" s="69">
        <v>0.9687351514</v>
      </c>
      <c r="F373" s="23">
        <v>4455521.35</v>
      </c>
      <c r="G373" s="23">
        <v>0.01</v>
      </c>
      <c r="H373" s="1"/>
      <c r="I373" s="1"/>
      <c r="J373" s="2"/>
      <c r="K373" s="2"/>
      <c r="L373" s="53"/>
      <c r="M373" s="12"/>
      <c r="N373" s="2"/>
      <c r="O373" s="2"/>
    </row>
    <row r="374" ht="15.75" customHeight="1">
      <c r="A374" s="1" t="s">
        <v>514</v>
      </c>
      <c r="B374" s="63" t="s">
        <v>335</v>
      </c>
      <c r="C374" s="63" t="s">
        <v>446</v>
      </c>
      <c r="D374" s="24">
        <v>4500000.0</v>
      </c>
      <c r="E374" s="69">
        <v>0.9667850001</v>
      </c>
      <c r="F374" s="29">
        <v>4350532.5</v>
      </c>
      <c r="G374" s="23">
        <v>0.01</v>
      </c>
      <c r="H374" s="1"/>
      <c r="I374" s="1"/>
      <c r="J374" s="2"/>
      <c r="K374" s="2"/>
      <c r="L374" s="53"/>
      <c r="M374" s="12"/>
      <c r="N374" s="2"/>
      <c r="O374" s="2"/>
    </row>
    <row r="375" ht="15.75" customHeight="1">
      <c r="A375" s="1" t="s">
        <v>515</v>
      </c>
      <c r="B375" s="63" t="s">
        <v>159</v>
      </c>
      <c r="C375" s="63" t="s">
        <v>446</v>
      </c>
      <c r="D375" s="23">
        <v>4599318.34</v>
      </c>
      <c r="E375" s="69">
        <v>0.9876610562</v>
      </c>
      <c r="F375" s="23">
        <v>4542567.61</v>
      </c>
      <c r="G375" s="23">
        <v>0.01</v>
      </c>
      <c r="H375" s="1"/>
      <c r="I375" s="1"/>
      <c r="J375" s="2"/>
      <c r="K375" s="2"/>
      <c r="L375" s="53"/>
      <c r="M375" s="12"/>
      <c r="N375" s="2"/>
      <c r="O375" s="2"/>
    </row>
    <row r="376" ht="15.75" customHeight="1">
      <c r="A376" s="1" t="s">
        <v>516</v>
      </c>
      <c r="B376" s="63" t="s">
        <v>337</v>
      </c>
      <c r="C376" s="63" t="s">
        <v>446</v>
      </c>
      <c r="D376" s="24">
        <v>4500000.0</v>
      </c>
      <c r="E376" s="69">
        <v>0.9231158937</v>
      </c>
      <c r="F376" s="23">
        <v>4154021.52</v>
      </c>
      <c r="G376" s="23">
        <v>0.01</v>
      </c>
      <c r="H376" s="1"/>
      <c r="I376" s="1"/>
      <c r="J376" s="2"/>
      <c r="K376" s="2"/>
      <c r="L376" s="53"/>
      <c r="M376" s="12"/>
      <c r="N376" s="2"/>
      <c r="O376" s="2"/>
    </row>
    <row r="377" ht="15.75" customHeight="1">
      <c r="A377" s="1" t="s">
        <v>517</v>
      </c>
      <c r="B377" s="63" t="s">
        <v>328</v>
      </c>
      <c r="C377" s="63" t="s">
        <v>446</v>
      </c>
      <c r="D377" s="24">
        <v>4500000.0</v>
      </c>
      <c r="E377" s="69">
        <v>0.9467732597</v>
      </c>
      <c r="F377" s="23">
        <v>4260479.67</v>
      </c>
      <c r="G377" s="23">
        <v>0.01</v>
      </c>
      <c r="H377" s="1"/>
      <c r="I377" s="1"/>
      <c r="J377" s="2"/>
      <c r="K377" s="2"/>
      <c r="L377" s="53"/>
      <c r="M377" s="12"/>
      <c r="N377" s="2"/>
      <c r="O377" s="2"/>
    </row>
    <row r="378" ht="15.75" customHeight="1">
      <c r="A378" s="1" t="s">
        <v>518</v>
      </c>
      <c r="B378" s="63" t="s">
        <v>209</v>
      </c>
      <c r="C378" s="63" t="s">
        <v>446</v>
      </c>
      <c r="D378" s="23">
        <v>7162509.15</v>
      </c>
      <c r="E378" s="69">
        <v>0.9958528904</v>
      </c>
      <c r="F378" s="23">
        <v>7132805.44</v>
      </c>
      <c r="G378" s="23">
        <v>0.01</v>
      </c>
      <c r="H378" s="1"/>
      <c r="I378" s="1"/>
      <c r="J378" s="2"/>
      <c r="K378" s="2"/>
      <c r="L378" s="53"/>
      <c r="M378" s="12"/>
      <c r="N378" s="2"/>
      <c r="O378" s="2"/>
    </row>
    <row r="379" ht="15.75" customHeight="1">
      <c r="A379" s="1" t="s">
        <v>519</v>
      </c>
      <c r="B379" s="63" t="s">
        <v>315</v>
      </c>
      <c r="C379" s="63" t="s">
        <v>446</v>
      </c>
      <c r="D379" s="23">
        <v>7162509.15</v>
      </c>
      <c r="E379" s="69">
        <v>0.9347950049</v>
      </c>
      <c r="F379" s="23">
        <v>6695477.78</v>
      </c>
      <c r="G379" s="23">
        <v>0.01</v>
      </c>
      <c r="H379" s="1"/>
      <c r="I379" s="1"/>
      <c r="J379" s="2"/>
      <c r="K379" s="2"/>
      <c r="L379" s="53"/>
      <c r="M379" s="12"/>
      <c r="N379" s="2"/>
      <c r="O379" s="2"/>
    </row>
    <row r="380" ht="15.75" customHeight="1">
      <c r="A380" s="1" t="s">
        <v>520</v>
      </c>
      <c r="B380" s="63" t="s">
        <v>423</v>
      </c>
      <c r="C380" s="63" t="s">
        <v>446</v>
      </c>
      <c r="D380" s="23">
        <v>6899161.77</v>
      </c>
      <c r="E380" s="69">
        <v>0.8980858012</v>
      </c>
      <c r="F380" s="23">
        <v>6196039.23</v>
      </c>
      <c r="G380" s="23">
        <v>0.01</v>
      </c>
      <c r="H380" s="1"/>
      <c r="I380" s="1"/>
      <c r="J380" s="2"/>
      <c r="K380" s="2"/>
      <c r="L380" s="53"/>
      <c r="M380" s="12"/>
      <c r="N380" s="2"/>
      <c r="O380" s="2"/>
    </row>
    <row r="381" ht="15.75" customHeight="1">
      <c r="A381" s="1" t="s">
        <v>521</v>
      </c>
      <c r="B381" s="63" t="s">
        <v>430</v>
      </c>
      <c r="C381" s="63" t="s">
        <v>446</v>
      </c>
      <c r="D381" s="23">
        <v>6899161.77</v>
      </c>
      <c r="E381" s="69">
        <v>0.9160727118</v>
      </c>
      <c r="F381" s="23">
        <v>6320133.83</v>
      </c>
      <c r="G381" s="23">
        <v>0.01</v>
      </c>
      <c r="H381" s="1"/>
      <c r="I381" s="1"/>
      <c r="J381" s="2"/>
      <c r="K381" s="2"/>
      <c r="L381" s="53"/>
      <c r="M381" s="12"/>
      <c r="N381" s="2"/>
      <c r="O381" s="2"/>
    </row>
    <row r="382" ht="15.75" customHeight="1">
      <c r="A382" s="1" t="s">
        <v>522</v>
      </c>
      <c r="B382" s="63" t="s">
        <v>523</v>
      </c>
      <c r="C382" s="63" t="s">
        <v>446</v>
      </c>
      <c r="D382" s="23">
        <v>7133529.14</v>
      </c>
      <c r="E382" s="69">
        <v>0.9338860931</v>
      </c>
      <c r="F382" s="23">
        <v>6661903.66</v>
      </c>
      <c r="G382" s="23">
        <v>0.01</v>
      </c>
      <c r="H382" s="1"/>
      <c r="I382" s="1"/>
      <c r="J382" s="2"/>
      <c r="K382" s="2"/>
      <c r="L382" s="53"/>
      <c r="M382" s="12"/>
      <c r="N382" s="2"/>
      <c r="O382" s="2"/>
    </row>
    <row r="383" ht="15.75" customHeight="1">
      <c r="A383" s="1" t="s">
        <v>524</v>
      </c>
      <c r="B383" s="63" t="s">
        <v>425</v>
      </c>
      <c r="C383" s="63" t="s">
        <v>446</v>
      </c>
      <c r="D383" s="23">
        <v>7133529.14</v>
      </c>
      <c r="E383" s="70">
        <v>0.897246831</v>
      </c>
      <c r="F383" s="23">
        <v>6400536.41</v>
      </c>
      <c r="G383" s="23">
        <v>0.01</v>
      </c>
      <c r="H383" s="1"/>
      <c r="I383" s="1"/>
      <c r="J383" s="2"/>
      <c r="K383" s="2"/>
      <c r="L383" s="53"/>
      <c r="M383" s="12"/>
      <c r="N383" s="2"/>
      <c r="O383" s="2"/>
    </row>
    <row r="384" ht="15.75" customHeight="1">
      <c r="A384" s="1" t="s">
        <v>525</v>
      </c>
      <c r="B384" s="63" t="s">
        <v>115</v>
      </c>
      <c r="C384" s="63" t="s">
        <v>446</v>
      </c>
      <c r="D384" s="23">
        <v>4500591.28</v>
      </c>
      <c r="E384" s="69">
        <v>0.9151999988</v>
      </c>
      <c r="F384" s="23">
        <v>4118941.13</v>
      </c>
      <c r="G384" s="23">
        <v>0.01</v>
      </c>
      <c r="H384" s="1"/>
      <c r="I384" s="1"/>
      <c r="J384" s="2"/>
      <c r="K384" s="2"/>
      <c r="L384" s="53"/>
      <c r="M384" s="12"/>
      <c r="N384" s="2"/>
      <c r="O384" s="2"/>
    </row>
    <row r="385" ht="15.75" customHeight="1">
      <c r="A385" s="1" t="s">
        <v>526</v>
      </c>
      <c r="B385" s="63" t="s">
        <v>301</v>
      </c>
      <c r="C385" s="63" t="s">
        <v>446</v>
      </c>
      <c r="D385" s="23">
        <v>7865231.25</v>
      </c>
      <c r="E385" s="70">
        <v>0.948643314</v>
      </c>
      <c r="F385" s="23">
        <v>7461299.04</v>
      </c>
      <c r="G385" s="23">
        <v>0.02</v>
      </c>
      <c r="H385" s="1"/>
      <c r="I385" s="1"/>
      <c r="J385" s="2"/>
      <c r="K385" s="2"/>
      <c r="L385" s="53"/>
      <c r="M385" s="12"/>
      <c r="N385" s="2"/>
      <c r="O385" s="2"/>
    </row>
    <row r="386" ht="15.75" customHeight="1">
      <c r="A386" s="1" t="s">
        <v>527</v>
      </c>
      <c r="B386" s="63" t="s">
        <v>153</v>
      </c>
      <c r="C386" s="63" t="s">
        <v>446</v>
      </c>
      <c r="D386" s="24">
        <v>3500000.0</v>
      </c>
      <c r="E386" s="69">
        <v>0.9889991001</v>
      </c>
      <c r="F386" s="23">
        <v>3461496.85</v>
      </c>
      <c r="G386" s="23">
        <v>0.01</v>
      </c>
      <c r="H386" s="1"/>
      <c r="I386" s="1"/>
      <c r="J386" s="2"/>
      <c r="K386" s="2"/>
      <c r="L386" s="53"/>
      <c r="M386" s="12"/>
      <c r="N386" s="2"/>
      <c r="O386" s="2"/>
    </row>
    <row r="387" ht="15.75" customHeight="1">
      <c r="A387" s="1" t="s">
        <v>528</v>
      </c>
      <c r="B387" s="63" t="s">
        <v>185</v>
      </c>
      <c r="C387" s="63" t="s">
        <v>446</v>
      </c>
      <c r="D387" s="24">
        <v>3500000.0</v>
      </c>
      <c r="E387" s="69">
        <v>0.9851286085</v>
      </c>
      <c r="F387" s="23">
        <v>3447950.13</v>
      </c>
      <c r="G387" s="23">
        <v>0.01</v>
      </c>
      <c r="H387" s="1"/>
      <c r="I387" s="1"/>
      <c r="J387" s="2"/>
      <c r="K387" s="2"/>
      <c r="L387" s="53"/>
      <c r="M387" s="12"/>
      <c r="N387" s="2"/>
      <c r="O387" s="2"/>
    </row>
    <row r="388" ht="15.75" customHeight="1">
      <c r="A388" s="1" t="s">
        <v>529</v>
      </c>
      <c r="B388" s="63" t="s">
        <v>175</v>
      </c>
      <c r="C388" s="63" t="s">
        <v>446</v>
      </c>
      <c r="D388" s="24">
        <v>3500000.0</v>
      </c>
      <c r="E388" s="70">
        <v>0.979760577</v>
      </c>
      <c r="F388" s="23">
        <v>3429162.02</v>
      </c>
      <c r="G388" s="23">
        <v>0.01</v>
      </c>
      <c r="H388" s="1"/>
      <c r="I388" s="1"/>
      <c r="J388" s="2"/>
      <c r="K388" s="2"/>
      <c r="L388" s="53"/>
      <c r="M388" s="12"/>
      <c r="N388" s="2"/>
      <c r="O388" s="2"/>
    </row>
    <row r="389" ht="15.75" customHeight="1">
      <c r="A389" s="1" t="s">
        <v>530</v>
      </c>
      <c r="B389" s="63" t="s">
        <v>132</v>
      </c>
      <c r="C389" s="63" t="s">
        <v>446</v>
      </c>
      <c r="D389" s="24">
        <v>3500000.0</v>
      </c>
      <c r="E389" s="69">
        <v>0.9759619913</v>
      </c>
      <c r="F389" s="23">
        <v>3415866.97</v>
      </c>
      <c r="G389" s="23">
        <v>0.01</v>
      </c>
      <c r="H389" s="1"/>
      <c r="I389" s="1"/>
      <c r="J389" s="2"/>
      <c r="K389" s="2"/>
      <c r="L389" s="53"/>
      <c r="M389" s="12"/>
      <c r="N389" s="2"/>
      <c r="O389" s="2"/>
    </row>
    <row r="390" ht="15.75" customHeight="1">
      <c r="A390" s="1" t="s">
        <v>531</v>
      </c>
      <c r="B390" s="63" t="s">
        <v>148</v>
      </c>
      <c r="C390" s="63" t="s">
        <v>532</v>
      </c>
      <c r="D390" s="24">
        <v>4.0E7</v>
      </c>
      <c r="E390" s="69">
        <v>0.9743727333</v>
      </c>
      <c r="F390" s="23">
        <v>3.897490933E7</v>
      </c>
      <c r="G390" s="23">
        <v>0.08</v>
      </c>
      <c r="H390" s="1"/>
      <c r="I390" s="1"/>
      <c r="J390" s="2"/>
      <c r="K390" s="2"/>
      <c r="L390" s="53"/>
      <c r="M390" s="12"/>
      <c r="N390" s="2"/>
      <c r="O390" s="2"/>
    </row>
    <row r="391" ht="15.75" customHeight="1">
      <c r="A391" s="1" t="s">
        <v>533</v>
      </c>
      <c r="B391" s="63" t="s">
        <v>153</v>
      </c>
      <c r="C391" s="63" t="s">
        <v>532</v>
      </c>
      <c r="D391" s="24">
        <v>1500000.0</v>
      </c>
      <c r="E391" s="69">
        <v>0.9867532135</v>
      </c>
      <c r="F391" s="23">
        <v>1480129.82</v>
      </c>
      <c r="G391" s="24">
        <v>0.0</v>
      </c>
      <c r="H391" s="1"/>
      <c r="I391" s="1"/>
      <c r="J391" s="2"/>
      <c r="K391" s="2"/>
      <c r="L391" s="53"/>
      <c r="M391" s="12"/>
      <c r="N391" s="2"/>
      <c r="O391" s="2"/>
    </row>
    <row r="392" ht="15.75" customHeight="1">
      <c r="A392" s="1" t="s">
        <v>534</v>
      </c>
      <c r="B392" s="63" t="s">
        <v>297</v>
      </c>
      <c r="C392" s="63" t="s">
        <v>532</v>
      </c>
      <c r="D392" s="24">
        <v>1500000.0</v>
      </c>
      <c r="E392" s="69">
        <v>0.9559979467</v>
      </c>
      <c r="F392" s="23">
        <v>1433996.92</v>
      </c>
      <c r="G392" s="24">
        <v>0.0</v>
      </c>
      <c r="H392" s="1"/>
      <c r="I392" s="1"/>
      <c r="J392" s="2"/>
      <c r="K392" s="2"/>
      <c r="L392" s="53"/>
      <c r="M392" s="12"/>
      <c r="N392" s="2"/>
      <c r="O392" s="2"/>
    </row>
    <row r="393" ht="15.75" customHeight="1">
      <c r="A393" s="1" t="s">
        <v>535</v>
      </c>
      <c r="B393" s="63" t="s">
        <v>484</v>
      </c>
      <c r="C393" s="63" t="s">
        <v>532</v>
      </c>
      <c r="D393" s="24">
        <v>1500000.0</v>
      </c>
      <c r="E393" s="69">
        <v>0.9061570742</v>
      </c>
      <c r="F393" s="23">
        <v>1359235.61</v>
      </c>
      <c r="G393" s="24">
        <v>0.0</v>
      </c>
      <c r="H393" s="1"/>
      <c r="I393" s="1"/>
      <c r="J393" s="2"/>
      <c r="K393" s="2"/>
      <c r="L393" s="53"/>
      <c r="M393" s="12"/>
      <c r="N393" s="2"/>
      <c r="O393" s="2"/>
    </row>
    <row r="394" ht="15.75" customHeight="1">
      <c r="A394" s="1" t="s">
        <v>536</v>
      </c>
      <c r="B394" s="63" t="s">
        <v>450</v>
      </c>
      <c r="C394" s="63" t="s">
        <v>532</v>
      </c>
      <c r="D394" s="24">
        <v>1500000.0</v>
      </c>
      <c r="E394" s="69">
        <v>0.8831358606</v>
      </c>
      <c r="F394" s="23">
        <v>1324703.79</v>
      </c>
      <c r="G394" s="24">
        <v>0.0</v>
      </c>
      <c r="H394" s="1"/>
      <c r="I394" s="1"/>
      <c r="J394" s="2"/>
      <c r="K394" s="2"/>
      <c r="L394" s="53"/>
      <c r="M394" s="12"/>
      <c r="N394" s="2"/>
      <c r="O394" s="2"/>
    </row>
    <row r="395" ht="15.75" customHeight="1">
      <c r="A395" s="1" t="s">
        <v>537</v>
      </c>
      <c r="B395" s="63" t="s">
        <v>287</v>
      </c>
      <c r="C395" s="63" t="s">
        <v>532</v>
      </c>
      <c r="D395" s="24">
        <v>1500000.0</v>
      </c>
      <c r="E395" s="70">
        <v>0.932073653</v>
      </c>
      <c r="F395" s="23">
        <v>1398110.48</v>
      </c>
      <c r="G395" s="24">
        <v>0.0</v>
      </c>
      <c r="H395" s="1"/>
      <c r="I395" s="1"/>
      <c r="J395" s="2"/>
      <c r="K395" s="2"/>
      <c r="L395" s="53"/>
      <c r="M395" s="12"/>
      <c r="N395" s="2"/>
      <c r="O395" s="2"/>
    </row>
    <row r="396" ht="15.75" customHeight="1">
      <c r="A396" s="1" t="s">
        <v>538</v>
      </c>
      <c r="B396" s="63" t="s">
        <v>185</v>
      </c>
      <c r="C396" s="63" t="s">
        <v>532</v>
      </c>
      <c r="D396" s="24">
        <v>1.0E8</v>
      </c>
      <c r="E396" s="67">
        <v>0.9811037</v>
      </c>
      <c r="F396" s="24">
        <v>9.811037E7</v>
      </c>
      <c r="G396" s="29">
        <v>0.2</v>
      </c>
      <c r="H396" s="1"/>
      <c r="I396" s="1"/>
      <c r="J396" s="2"/>
      <c r="K396" s="2"/>
      <c r="L396" s="53"/>
      <c r="M396" s="12"/>
      <c r="N396" s="2"/>
      <c r="O396" s="2"/>
    </row>
    <row r="397" ht="15.75" customHeight="1">
      <c r="A397" s="1" t="s">
        <v>539</v>
      </c>
      <c r="B397" s="63" t="s">
        <v>175</v>
      </c>
      <c r="C397" s="63" t="s">
        <v>532</v>
      </c>
      <c r="D397" s="24">
        <v>2.0E7</v>
      </c>
      <c r="E397" s="69">
        <v>0.9811300763</v>
      </c>
      <c r="F397" s="23">
        <v>1.962260153E7</v>
      </c>
      <c r="G397" s="23">
        <v>0.04</v>
      </c>
      <c r="H397" s="1"/>
      <c r="I397" s="1"/>
      <c r="J397" s="2"/>
      <c r="K397" s="2"/>
      <c r="L397" s="53"/>
      <c r="M397" s="12"/>
      <c r="N397" s="2"/>
      <c r="O397" s="2"/>
    </row>
    <row r="398" ht="15.75" customHeight="1">
      <c r="A398" s="1" t="s">
        <v>540</v>
      </c>
      <c r="B398" s="63" t="s">
        <v>204</v>
      </c>
      <c r="C398" s="63" t="s">
        <v>532</v>
      </c>
      <c r="D398" s="24">
        <v>1.0E7</v>
      </c>
      <c r="E398" s="69">
        <v>0.9447393469</v>
      </c>
      <c r="F398" s="23">
        <v>9447393.47</v>
      </c>
      <c r="G398" s="23">
        <v>0.02</v>
      </c>
      <c r="H398" s="1"/>
      <c r="I398" s="1"/>
      <c r="J398" s="2"/>
      <c r="K398" s="2"/>
      <c r="L398" s="53"/>
      <c r="M398" s="12"/>
      <c r="N398" s="2"/>
      <c r="O398" s="2"/>
    </row>
    <row r="399" ht="15.75" customHeight="1">
      <c r="A399" s="1" t="s">
        <v>541</v>
      </c>
      <c r="B399" s="63" t="s">
        <v>223</v>
      </c>
      <c r="C399" s="63" t="s">
        <v>532</v>
      </c>
      <c r="D399" s="24">
        <v>1.0E7</v>
      </c>
      <c r="E399" s="69">
        <v>0.9516360358</v>
      </c>
      <c r="F399" s="23">
        <v>9516360.36</v>
      </c>
      <c r="G399" s="23">
        <v>0.02</v>
      </c>
      <c r="H399" s="1"/>
      <c r="I399" s="1"/>
      <c r="J399" s="2"/>
      <c r="K399" s="2"/>
      <c r="L399" s="53"/>
      <c r="M399" s="12"/>
      <c r="N399" s="2"/>
      <c r="O399" s="2"/>
    </row>
    <row r="400" ht="15.75" customHeight="1">
      <c r="A400" s="1" t="s">
        <v>542</v>
      </c>
      <c r="B400" s="63" t="s">
        <v>228</v>
      </c>
      <c r="C400" s="63" t="s">
        <v>543</v>
      </c>
      <c r="D400" s="24">
        <v>1.65E7</v>
      </c>
      <c r="E400" s="69">
        <v>0.9950927048</v>
      </c>
      <c r="F400" s="23">
        <v>1.641902963E7</v>
      </c>
      <c r="G400" s="23">
        <v>0.03</v>
      </c>
      <c r="H400" s="1"/>
      <c r="I400" s="1"/>
      <c r="J400" s="10"/>
      <c r="K400" s="2"/>
      <c r="L400" s="53"/>
      <c r="M400" s="12"/>
      <c r="N400" s="2"/>
      <c r="O400" s="2"/>
    </row>
    <row r="401" ht="15.75" customHeight="1">
      <c r="A401" s="1" t="s">
        <v>544</v>
      </c>
      <c r="B401" s="63" t="s">
        <v>335</v>
      </c>
      <c r="C401" s="63" t="s">
        <v>543</v>
      </c>
      <c r="D401" s="24">
        <v>1.25E7</v>
      </c>
      <c r="E401" s="69">
        <v>0.9744507722</v>
      </c>
      <c r="F401" s="23">
        <v>1.218063465E7</v>
      </c>
      <c r="G401" s="23">
        <v>0.02</v>
      </c>
      <c r="H401" s="1"/>
      <c r="I401" s="1"/>
      <c r="J401" s="2"/>
      <c r="K401" s="2"/>
      <c r="L401" s="53"/>
      <c r="M401" s="12"/>
      <c r="N401" s="2"/>
      <c r="O401" s="2"/>
    </row>
    <row r="402" ht="15.75" customHeight="1">
      <c r="A402" s="1" t="s">
        <v>545</v>
      </c>
      <c r="B402" s="63" t="s">
        <v>159</v>
      </c>
      <c r="C402" s="63" t="s">
        <v>543</v>
      </c>
      <c r="D402" s="24">
        <v>1.25E7</v>
      </c>
      <c r="E402" s="69">
        <v>0.9905558194</v>
      </c>
      <c r="F402" s="23">
        <v>1.238194774E7</v>
      </c>
      <c r="G402" s="23">
        <v>0.03</v>
      </c>
      <c r="H402" s="1"/>
      <c r="I402" s="1"/>
      <c r="J402" s="2"/>
      <c r="K402" s="2"/>
      <c r="L402" s="53"/>
      <c r="M402" s="12"/>
      <c r="N402" s="2"/>
      <c r="O402" s="2"/>
    </row>
    <row r="403" ht="15.75" customHeight="1">
      <c r="A403" s="1" t="s">
        <v>546</v>
      </c>
      <c r="B403" s="63" t="s">
        <v>223</v>
      </c>
      <c r="C403" s="63" t="s">
        <v>543</v>
      </c>
      <c r="D403" s="24">
        <v>1.25E7</v>
      </c>
      <c r="E403" s="70">
        <v>0.959592011</v>
      </c>
      <c r="F403" s="23">
        <v>1.199490014E7</v>
      </c>
      <c r="G403" s="23">
        <v>0.02</v>
      </c>
      <c r="H403" s="1"/>
      <c r="I403" s="1"/>
      <c r="J403" s="2"/>
      <c r="K403" s="2"/>
      <c r="L403" s="53"/>
      <c r="M403" s="12"/>
      <c r="N403" s="2"/>
      <c r="O403" s="2"/>
    </row>
    <row r="404" ht="15.75" customHeight="1">
      <c r="A404" s="1" t="s">
        <v>547</v>
      </c>
      <c r="B404" s="63" t="s">
        <v>173</v>
      </c>
      <c r="C404" s="63" t="s">
        <v>543</v>
      </c>
      <c r="D404" s="24">
        <v>1.25E7</v>
      </c>
      <c r="E404" s="69">
        <v>0.9835888929</v>
      </c>
      <c r="F404" s="23">
        <v>1.229486116E7</v>
      </c>
      <c r="G404" s="23">
        <v>0.03</v>
      </c>
      <c r="H404" s="1"/>
      <c r="I404" s="1"/>
      <c r="J404" s="2"/>
      <c r="K404" s="2"/>
      <c r="L404" s="53"/>
      <c r="M404" s="12"/>
      <c r="N404" s="2"/>
      <c r="O404" s="2"/>
    </row>
    <row r="405" ht="15.75" customHeight="1">
      <c r="A405" s="1" t="s">
        <v>548</v>
      </c>
      <c r="B405" s="63" t="s">
        <v>549</v>
      </c>
      <c r="C405" s="63" t="s">
        <v>543</v>
      </c>
      <c r="D405" s="24">
        <v>5600000.0</v>
      </c>
      <c r="E405" s="69">
        <v>0.9667850192</v>
      </c>
      <c r="F405" s="23">
        <v>5413996.11</v>
      </c>
      <c r="G405" s="23">
        <v>0.01</v>
      </c>
      <c r="H405" s="1"/>
      <c r="I405" s="1"/>
      <c r="J405" s="2"/>
      <c r="K405" s="2"/>
      <c r="L405" s="53"/>
      <c r="M405" s="12"/>
      <c r="N405" s="2"/>
      <c r="O405" s="2"/>
    </row>
    <row r="406" ht="15.75" customHeight="1">
      <c r="A406" s="1" t="s">
        <v>550</v>
      </c>
      <c r="B406" s="63" t="s">
        <v>113</v>
      </c>
      <c r="C406" s="63" t="s">
        <v>543</v>
      </c>
      <c r="D406" s="24">
        <v>5600000.0</v>
      </c>
      <c r="E406" s="69">
        <v>0.9493589465</v>
      </c>
      <c r="F406" s="29">
        <v>5316410.1</v>
      </c>
      <c r="G406" s="23">
        <v>0.01</v>
      </c>
      <c r="H406" s="1"/>
      <c r="I406" s="1"/>
      <c r="J406" s="2"/>
      <c r="K406" s="2"/>
      <c r="L406" s="53"/>
      <c r="M406" s="12"/>
      <c r="N406" s="2"/>
      <c r="O406" s="2"/>
    </row>
    <row r="407" ht="15.75" customHeight="1">
      <c r="A407" s="1" t="s">
        <v>551</v>
      </c>
      <c r="B407" s="63" t="s">
        <v>159</v>
      </c>
      <c r="C407" s="63" t="s">
        <v>543</v>
      </c>
      <c r="D407" s="24">
        <v>5600000.0</v>
      </c>
      <c r="E407" s="69">
        <v>0.9892671553</v>
      </c>
      <c r="F407" s="23">
        <v>5539896.07</v>
      </c>
      <c r="G407" s="23">
        <v>0.01</v>
      </c>
      <c r="H407" s="1"/>
      <c r="I407" s="1"/>
      <c r="J407" s="2"/>
      <c r="K407" s="2"/>
      <c r="L407" s="53"/>
      <c r="M407" s="12"/>
      <c r="N407" s="2"/>
      <c r="O407" s="2"/>
    </row>
    <row r="408" ht="15.75" customHeight="1">
      <c r="A408" s="1" t="s">
        <v>552</v>
      </c>
      <c r="B408" s="63" t="s">
        <v>161</v>
      </c>
      <c r="C408" s="63" t="s">
        <v>543</v>
      </c>
      <c r="D408" s="24">
        <v>5600000.0</v>
      </c>
      <c r="E408" s="69">
        <v>0.9600715683</v>
      </c>
      <c r="F408" s="23">
        <v>5376400.78</v>
      </c>
      <c r="G408" s="23">
        <v>0.01</v>
      </c>
      <c r="H408" s="1"/>
      <c r="I408" s="1"/>
      <c r="J408" s="2"/>
      <c r="K408" s="2"/>
      <c r="L408" s="53"/>
      <c r="M408" s="12"/>
      <c r="N408" s="2"/>
      <c r="O408" s="2"/>
    </row>
    <row r="409" ht="15.75" customHeight="1">
      <c r="A409" s="1" t="s">
        <v>553</v>
      </c>
      <c r="B409" s="63" t="s">
        <v>301</v>
      </c>
      <c r="C409" s="63" t="s">
        <v>543</v>
      </c>
      <c r="D409" s="24">
        <v>5600000.0</v>
      </c>
      <c r="E409" s="69">
        <v>0.9550974155</v>
      </c>
      <c r="F409" s="23">
        <v>5348545.53</v>
      </c>
      <c r="G409" s="23">
        <v>0.01</v>
      </c>
      <c r="H409" s="1"/>
      <c r="I409" s="1"/>
      <c r="J409" s="2"/>
      <c r="K409" s="2"/>
      <c r="L409" s="53"/>
      <c r="M409" s="12"/>
      <c r="N409" s="2"/>
      <c r="O409" s="2"/>
    </row>
    <row r="410" ht="15.75" customHeight="1">
      <c r="A410" s="1" t="s">
        <v>554</v>
      </c>
      <c r="B410" s="63" t="s">
        <v>355</v>
      </c>
      <c r="C410" s="63" t="s">
        <v>543</v>
      </c>
      <c r="D410" s="23">
        <v>6500236.57</v>
      </c>
      <c r="E410" s="70">
        <v>0.910860464</v>
      </c>
      <c r="F410" s="29">
        <v>5920808.5</v>
      </c>
      <c r="G410" s="23">
        <v>0.01</v>
      </c>
      <c r="H410" s="1"/>
      <c r="I410" s="1"/>
      <c r="J410" s="2"/>
      <c r="K410" s="2"/>
      <c r="L410" s="53"/>
      <c r="M410" s="12"/>
      <c r="N410" s="2"/>
      <c r="O410" s="2"/>
    </row>
    <row r="411" ht="15.75" customHeight="1">
      <c r="A411" s="1" t="s">
        <v>555</v>
      </c>
      <c r="B411" s="63" t="s">
        <v>219</v>
      </c>
      <c r="C411" s="63" t="s">
        <v>543</v>
      </c>
      <c r="D411" s="23">
        <v>5211510.27</v>
      </c>
      <c r="E411" s="69">
        <v>0.9609815314</v>
      </c>
      <c r="F411" s="23">
        <v>5008165.12</v>
      </c>
      <c r="G411" s="23">
        <v>0.01</v>
      </c>
      <c r="H411" s="1"/>
      <c r="I411" s="1"/>
      <c r="J411" s="10"/>
      <c r="K411" s="2"/>
      <c r="L411" s="53"/>
      <c r="M411" s="12"/>
      <c r="N411" s="2"/>
      <c r="O411" s="2"/>
    </row>
    <row r="412" ht="15.75" customHeight="1">
      <c r="A412" s="1" t="s">
        <v>556</v>
      </c>
      <c r="B412" s="63" t="s">
        <v>328</v>
      </c>
      <c r="C412" s="63" t="s">
        <v>543</v>
      </c>
      <c r="D412" s="29">
        <v>2398145.2</v>
      </c>
      <c r="E412" s="69">
        <v>0.9467732014</v>
      </c>
      <c r="F412" s="23">
        <v>2270499.61</v>
      </c>
      <c r="G412" s="24">
        <v>0.0</v>
      </c>
      <c r="H412" s="1"/>
      <c r="I412" s="1"/>
      <c r="J412" s="2"/>
      <c r="K412" s="2"/>
      <c r="L412" s="53"/>
      <c r="M412" s="12"/>
      <c r="N412" s="2"/>
      <c r="O412" s="2"/>
    </row>
    <row r="413" ht="15.75" customHeight="1">
      <c r="A413" s="1" t="s">
        <v>557</v>
      </c>
      <c r="B413" s="63" t="s">
        <v>335</v>
      </c>
      <c r="C413" s="63" t="s">
        <v>543</v>
      </c>
      <c r="D413" s="29">
        <v>2398145.2</v>
      </c>
      <c r="E413" s="69">
        <v>0.9667850635</v>
      </c>
      <c r="F413" s="23">
        <v>2318490.96</v>
      </c>
      <c r="G413" s="24">
        <v>0.0</v>
      </c>
      <c r="H413" s="1"/>
      <c r="I413" s="1"/>
      <c r="J413" s="2"/>
      <c r="K413" s="2"/>
      <c r="L413" s="53"/>
      <c r="M413" s="12"/>
      <c r="N413" s="2"/>
      <c r="O413" s="2"/>
    </row>
    <row r="414" ht="15.75" customHeight="1">
      <c r="A414" s="1" t="s">
        <v>558</v>
      </c>
      <c r="B414" s="63" t="s">
        <v>475</v>
      </c>
      <c r="C414" s="63" t="s">
        <v>543</v>
      </c>
      <c r="D414" s="23">
        <v>3511491.25</v>
      </c>
      <c r="E414" s="69">
        <v>0.8914181078</v>
      </c>
      <c r="F414" s="23">
        <v>3130206.89</v>
      </c>
      <c r="G414" s="23">
        <v>0.01</v>
      </c>
      <c r="H414" s="1"/>
      <c r="I414" s="1"/>
      <c r="J414" s="2"/>
      <c r="K414" s="2"/>
      <c r="L414" s="53"/>
      <c r="M414" s="12"/>
      <c r="N414" s="2"/>
      <c r="O414" s="2"/>
    </row>
    <row r="415" ht="15.75" customHeight="1">
      <c r="A415" s="1" t="s">
        <v>559</v>
      </c>
      <c r="B415" s="63" t="s">
        <v>560</v>
      </c>
      <c r="C415" s="63" t="s">
        <v>543</v>
      </c>
      <c r="D415" s="23">
        <v>4957711.81</v>
      </c>
      <c r="E415" s="69">
        <v>0.9357056135</v>
      </c>
      <c r="F415" s="23">
        <v>4638958.77</v>
      </c>
      <c r="G415" s="23">
        <v>0.01</v>
      </c>
      <c r="H415" s="1"/>
      <c r="I415" s="1"/>
      <c r="J415" s="2"/>
      <c r="K415" s="2"/>
      <c r="L415" s="53"/>
      <c r="M415" s="12"/>
      <c r="N415" s="2"/>
      <c r="O415" s="2"/>
    </row>
    <row r="416" ht="15.75" customHeight="1">
      <c r="A416" s="1" t="s">
        <v>561</v>
      </c>
      <c r="B416" s="63" t="s">
        <v>247</v>
      </c>
      <c r="C416" s="63" t="s">
        <v>543</v>
      </c>
      <c r="D416" s="23">
        <v>4957711.81</v>
      </c>
      <c r="E416" s="69">
        <v>0.9600211496</v>
      </c>
      <c r="F416" s="23">
        <v>4759508.19</v>
      </c>
      <c r="G416" s="23">
        <v>0.01</v>
      </c>
      <c r="H416" s="1"/>
      <c r="I416" s="1"/>
      <c r="J416" s="2"/>
      <c r="K416" s="2"/>
      <c r="L416" s="53"/>
      <c r="M416" s="12"/>
      <c r="N416" s="2"/>
      <c r="O416" s="2"/>
    </row>
    <row r="417" ht="15.75" customHeight="1">
      <c r="A417" s="1" t="s">
        <v>562</v>
      </c>
      <c r="B417" s="63" t="s">
        <v>563</v>
      </c>
      <c r="C417" s="63" t="s">
        <v>543</v>
      </c>
      <c r="D417" s="23">
        <v>4957711.81</v>
      </c>
      <c r="E417" s="69">
        <v>0.9320736494</v>
      </c>
      <c r="F417" s="23">
        <v>4620952.54</v>
      </c>
      <c r="G417" s="23">
        <v>0.01</v>
      </c>
      <c r="H417" s="1"/>
      <c r="I417" s="1"/>
      <c r="J417" s="2"/>
      <c r="K417" s="2"/>
      <c r="L417" s="53"/>
      <c r="M417" s="12"/>
      <c r="N417" s="2"/>
      <c r="O417" s="2"/>
    </row>
    <row r="418" ht="15.75" customHeight="1">
      <c r="A418" s="1" t="s">
        <v>564</v>
      </c>
      <c r="B418" s="63" t="s">
        <v>157</v>
      </c>
      <c r="C418" s="63" t="s">
        <v>543</v>
      </c>
      <c r="D418" s="23">
        <v>4957711.81</v>
      </c>
      <c r="E418" s="70">
        <v>0.958105877</v>
      </c>
      <c r="F418" s="23">
        <v>4750012.82</v>
      </c>
      <c r="G418" s="23">
        <v>0.01</v>
      </c>
      <c r="H418" s="1"/>
      <c r="I418" s="1"/>
      <c r="J418" s="2"/>
      <c r="K418" s="2"/>
      <c r="L418" s="53"/>
      <c r="M418" s="12"/>
      <c r="N418" s="2"/>
      <c r="O418" s="2"/>
    </row>
    <row r="419" ht="15.75" customHeight="1">
      <c r="A419" s="1" t="s">
        <v>565</v>
      </c>
      <c r="B419" s="63" t="s">
        <v>563</v>
      </c>
      <c r="C419" s="63" t="s">
        <v>543</v>
      </c>
      <c r="D419" s="29">
        <v>1.000467046E8</v>
      </c>
      <c r="E419" s="69">
        <v>0.9525052958</v>
      </c>
      <c r="F419" s="23">
        <v>9.529501596E7</v>
      </c>
      <c r="G419" s="23">
        <v>0.19</v>
      </c>
      <c r="H419" s="1"/>
      <c r="I419" s="1"/>
      <c r="J419" s="2"/>
      <c r="K419" s="2"/>
      <c r="L419" s="53"/>
      <c r="M419" s="12"/>
      <c r="N419" s="2"/>
      <c r="O419" s="2"/>
    </row>
    <row r="420" ht="15.75" customHeight="1">
      <c r="A420" s="1" t="s">
        <v>566</v>
      </c>
      <c r="B420" s="63" t="s">
        <v>421</v>
      </c>
      <c r="C420" s="63" t="s">
        <v>543</v>
      </c>
      <c r="D420" s="29">
        <v>2.150072074E8</v>
      </c>
      <c r="E420" s="69">
        <v>0.9480027903</v>
      </c>
      <c r="F420" s="23">
        <v>2.0382743255E8</v>
      </c>
      <c r="G420" s="23">
        <v>0.42</v>
      </c>
      <c r="H420" s="1"/>
      <c r="I420" s="1"/>
      <c r="J420" s="2"/>
      <c r="K420" s="2"/>
      <c r="L420" s="53"/>
      <c r="M420" s="12"/>
      <c r="N420" s="2"/>
      <c r="O420" s="2"/>
    </row>
    <row r="421" ht="15.75" customHeight="1">
      <c r="A421" s="1" t="s">
        <v>567</v>
      </c>
      <c r="B421" s="63" t="s">
        <v>421</v>
      </c>
      <c r="C421" s="63" t="s">
        <v>543</v>
      </c>
      <c r="D421" s="23">
        <v>2.985732909E7</v>
      </c>
      <c r="E421" s="69">
        <v>0.9480027903</v>
      </c>
      <c r="F421" s="23">
        <v>2.830483129E7</v>
      </c>
      <c r="G421" s="23">
        <v>0.06</v>
      </c>
      <c r="H421" s="1"/>
      <c r="I421" s="1"/>
      <c r="J421" s="2"/>
      <c r="K421" s="2"/>
      <c r="L421" s="53"/>
      <c r="M421" s="12"/>
      <c r="N421" s="2"/>
      <c r="O421" s="2"/>
    </row>
    <row r="422" ht="15.75" customHeight="1">
      <c r="A422" s="1" t="s">
        <v>568</v>
      </c>
      <c r="B422" s="63" t="s">
        <v>421</v>
      </c>
      <c r="C422" s="63" t="s">
        <v>543</v>
      </c>
      <c r="D422" s="23">
        <v>9.280688926E7</v>
      </c>
      <c r="E422" s="69">
        <v>0.9480027903</v>
      </c>
      <c r="F422" s="23">
        <v>8.798118998E7</v>
      </c>
      <c r="G422" s="23">
        <v>0.18</v>
      </c>
      <c r="H422" s="1"/>
      <c r="I422" s="1"/>
      <c r="J422" s="2"/>
      <c r="K422" s="2"/>
      <c r="L422" s="53"/>
      <c r="M422" s="12"/>
      <c r="N422" s="2"/>
      <c r="O422" s="2"/>
    </row>
    <row r="423" ht="15.75" customHeight="1">
      <c r="A423" s="1" t="s">
        <v>569</v>
      </c>
      <c r="B423" s="63" t="s">
        <v>421</v>
      </c>
      <c r="C423" s="63" t="s">
        <v>543</v>
      </c>
      <c r="D423" s="23">
        <v>2.041114744E7</v>
      </c>
      <c r="E423" s="69">
        <v>0.9480027903</v>
      </c>
      <c r="F423" s="23">
        <v>1.934982473E7</v>
      </c>
      <c r="G423" s="23">
        <v>0.04</v>
      </c>
      <c r="H423" s="1"/>
      <c r="I423" s="1"/>
      <c r="J423" s="2"/>
      <c r="K423" s="2"/>
      <c r="L423" s="53"/>
      <c r="M423" s="12"/>
      <c r="N423" s="2"/>
      <c r="O423" s="2"/>
    </row>
    <row r="424" ht="15.75" customHeight="1">
      <c r="A424" s="1" t="s">
        <v>570</v>
      </c>
      <c r="B424" s="63" t="s">
        <v>297</v>
      </c>
      <c r="C424" s="63" t="s">
        <v>543</v>
      </c>
      <c r="D424" s="23">
        <v>2.871235731E7</v>
      </c>
      <c r="E424" s="69">
        <v>0.9669387122</v>
      </c>
      <c r="F424" s="29">
        <v>2.77630898E7</v>
      </c>
      <c r="G424" s="23">
        <v>0.06</v>
      </c>
      <c r="H424" s="1"/>
      <c r="I424" s="1"/>
      <c r="J424" s="2"/>
      <c r="K424" s="2"/>
      <c r="L424" s="53"/>
      <c r="M424" s="12"/>
      <c r="N424" s="2"/>
      <c r="O424" s="2"/>
    </row>
    <row r="425" ht="15.75" customHeight="1">
      <c r="A425" s="1" t="s">
        <v>571</v>
      </c>
      <c r="B425" s="63" t="s">
        <v>297</v>
      </c>
      <c r="C425" s="63" t="s">
        <v>543</v>
      </c>
      <c r="D425" s="23">
        <v>5.039910895E7</v>
      </c>
      <c r="E425" s="69">
        <v>0.9669387122</v>
      </c>
      <c r="F425" s="29">
        <v>4.87328495E7</v>
      </c>
      <c r="G425" s="29">
        <v>0.1</v>
      </c>
      <c r="H425" s="1"/>
      <c r="I425" s="1"/>
      <c r="J425" s="2"/>
      <c r="K425" s="2"/>
      <c r="L425" s="53"/>
      <c r="M425" s="12"/>
      <c r="N425" s="2"/>
      <c r="O425" s="2"/>
    </row>
    <row r="426" ht="15.75" customHeight="1">
      <c r="A426" s="1" t="s">
        <v>572</v>
      </c>
      <c r="B426" s="63" t="s">
        <v>297</v>
      </c>
      <c r="C426" s="63" t="s">
        <v>543</v>
      </c>
      <c r="D426" s="23">
        <v>4643215.31</v>
      </c>
      <c r="E426" s="69">
        <v>0.9669387072</v>
      </c>
      <c r="F426" s="23">
        <v>4489704.61</v>
      </c>
      <c r="G426" s="23">
        <v>0.01</v>
      </c>
      <c r="H426" s="1"/>
      <c r="I426" s="1"/>
      <c r="J426" s="2"/>
      <c r="K426" s="2"/>
      <c r="L426" s="53"/>
      <c r="M426" s="12"/>
      <c r="N426" s="2"/>
      <c r="O426" s="2"/>
    </row>
    <row r="427" ht="15.75" customHeight="1">
      <c r="A427" s="1" t="s">
        <v>573</v>
      </c>
      <c r="B427" s="63" t="s">
        <v>297</v>
      </c>
      <c r="C427" s="63" t="s">
        <v>543</v>
      </c>
      <c r="D427" s="23">
        <v>2120477.86</v>
      </c>
      <c r="E427" s="69">
        <v>0.9669387122</v>
      </c>
      <c r="F427" s="23">
        <v>2050372.13</v>
      </c>
      <c r="G427" s="24">
        <v>0.0</v>
      </c>
      <c r="H427" s="1"/>
      <c r="I427" s="1"/>
      <c r="J427" s="2"/>
      <c r="K427" s="2"/>
      <c r="L427" s="53"/>
      <c r="M427" s="12"/>
      <c r="N427" s="2"/>
      <c r="O427" s="2"/>
    </row>
    <row r="428" ht="15.75" customHeight="1">
      <c r="A428" s="1" t="s">
        <v>574</v>
      </c>
      <c r="B428" s="63" t="s">
        <v>421</v>
      </c>
      <c r="C428" s="63" t="s">
        <v>543</v>
      </c>
      <c r="D428" s="23">
        <v>6.872860828E7</v>
      </c>
      <c r="E428" s="69">
        <v>0.9480027903</v>
      </c>
      <c r="F428" s="23">
        <v>6.515491242E7</v>
      </c>
      <c r="G428" s="23">
        <v>0.13</v>
      </c>
      <c r="H428" s="1"/>
      <c r="I428" s="1"/>
      <c r="J428" s="2"/>
      <c r="K428" s="2"/>
      <c r="L428" s="53"/>
      <c r="M428" s="12"/>
      <c r="N428" s="2"/>
      <c r="O428" s="2"/>
    </row>
    <row r="429" ht="15.75" customHeight="1">
      <c r="A429" s="1" t="s">
        <v>575</v>
      </c>
      <c r="B429" s="63" t="s">
        <v>421</v>
      </c>
      <c r="C429" s="63" t="s">
        <v>543</v>
      </c>
      <c r="D429" s="23">
        <v>6875275.09</v>
      </c>
      <c r="E429" s="69">
        <v>0.9480027903</v>
      </c>
      <c r="F429" s="23">
        <v>6517779.97</v>
      </c>
      <c r="G429" s="23">
        <v>0.01</v>
      </c>
      <c r="H429" s="1"/>
      <c r="I429" s="1"/>
      <c r="J429" s="2"/>
      <c r="K429" s="2"/>
      <c r="L429" s="53"/>
      <c r="M429" s="12"/>
      <c r="N429" s="2"/>
      <c r="O429" s="2"/>
    </row>
    <row r="430" ht="15.75" customHeight="1">
      <c r="A430" s="1" t="s">
        <v>576</v>
      </c>
      <c r="B430" s="63" t="s">
        <v>421</v>
      </c>
      <c r="C430" s="63" t="s">
        <v>543</v>
      </c>
      <c r="D430" s="23">
        <v>6937722.32</v>
      </c>
      <c r="E430" s="69">
        <v>0.9480027903</v>
      </c>
      <c r="F430" s="23">
        <v>6576980.12</v>
      </c>
      <c r="G430" s="23">
        <v>0.01</v>
      </c>
      <c r="H430" s="1"/>
      <c r="I430" s="1"/>
      <c r="J430" s="2"/>
      <c r="K430" s="2"/>
      <c r="L430" s="53"/>
      <c r="M430" s="12"/>
      <c r="N430" s="2"/>
      <c r="O430" s="2"/>
    </row>
    <row r="431" ht="15.75" customHeight="1">
      <c r="A431" s="1" t="s">
        <v>577</v>
      </c>
      <c r="B431" s="63" t="s">
        <v>421</v>
      </c>
      <c r="C431" s="63" t="s">
        <v>543</v>
      </c>
      <c r="D431" s="23">
        <v>3090146.07</v>
      </c>
      <c r="E431" s="69">
        <v>0.9480027922</v>
      </c>
      <c r="F431" s="29">
        <v>2929467.1</v>
      </c>
      <c r="G431" s="23">
        <v>0.01</v>
      </c>
      <c r="H431" s="1"/>
      <c r="I431" s="1"/>
      <c r="J431" s="2"/>
      <c r="K431" s="2"/>
      <c r="L431" s="53"/>
      <c r="M431" s="12"/>
      <c r="N431" s="2"/>
      <c r="O431" s="2"/>
    </row>
    <row r="432" ht="15.75" customHeight="1">
      <c r="A432" s="1" t="s">
        <v>578</v>
      </c>
      <c r="B432" s="63" t="s">
        <v>297</v>
      </c>
      <c r="C432" s="63" t="s">
        <v>543</v>
      </c>
      <c r="D432" s="23">
        <v>3412014.84</v>
      </c>
      <c r="E432" s="69">
        <v>0.9669387048</v>
      </c>
      <c r="F432" s="23">
        <v>3299209.21</v>
      </c>
      <c r="G432" s="23">
        <v>0.01</v>
      </c>
      <c r="H432" s="1"/>
      <c r="I432" s="1"/>
      <c r="J432" s="2"/>
      <c r="K432" s="2"/>
      <c r="L432" s="53"/>
      <c r="M432" s="12"/>
      <c r="N432" s="2"/>
      <c r="O432" s="2"/>
    </row>
    <row r="433" ht="15.75" customHeight="1">
      <c r="A433" s="1" t="s">
        <v>579</v>
      </c>
      <c r="B433" s="63" t="s">
        <v>297</v>
      </c>
      <c r="C433" s="63" t="s">
        <v>543</v>
      </c>
      <c r="D433" s="23">
        <v>2502217.07</v>
      </c>
      <c r="E433" s="69">
        <v>0.9669387072</v>
      </c>
      <c r="F433" s="23">
        <v>2419490.54</v>
      </c>
      <c r="G433" s="24">
        <v>0.0</v>
      </c>
      <c r="H433" s="1"/>
      <c r="I433" s="1"/>
      <c r="J433" s="2"/>
      <c r="K433" s="2"/>
      <c r="L433" s="53"/>
      <c r="M433" s="12"/>
      <c r="N433" s="2"/>
      <c r="O433" s="2"/>
    </row>
    <row r="434" ht="15.75" customHeight="1">
      <c r="A434" s="1" t="s">
        <v>580</v>
      </c>
      <c r="B434" s="63" t="s">
        <v>297</v>
      </c>
      <c r="C434" s="63" t="s">
        <v>543</v>
      </c>
      <c r="D434" s="29">
        <v>6395453.2</v>
      </c>
      <c r="E434" s="69">
        <v>0.9669387109</v>
      </c>
      <c r="F434" s="23">
        <v>6184011.27</v>
      </c>
      <c r="G434" s="23">
        <v>0.01</v>
      </c>
      <c r="H434" s="1"/>
      <c r="I434" s="1"/>
      <c r="J434" s="2"/>
      <c r="K434" s="2"/>
      <c r="L434" s="53"/>
      <c r="M434" s="12"/>
      <c r="N434" s="2"/>
      <c r="O434" s="2"/>
    </row>
    <row r="435" ht="15.75" customHeight="1">
      <c r="A435" s="1" t="s">
        <v>581</v>
      </c>
      <c r="B435" s="63" t="s">
        <v>297</v>
      </c>
      <c r="C435" s="63" t="s">
        <v>543</v>
      </c>
      <c r="D435" s="29">
        <v>1860181.4</v>
      </c>
      <c r="E435" s="69">
        <v>0.9669387134</v>
      </c>
      <c r="F435" s="23">
        <v>1798681.41</v>
      </c>
      <c r="G435" s="24">
        <v>0.0</v>
      </c>
      <c r="H435" s="1"/>
      <c r="I435" s="1"/>
      <c r="J435" s="2"/>
      <c r="K435" s="2"/>
      <c r="L435" s="53"/>
      <c r="M435" s="12"/>
      <c r="N435" s="2"/>
      <c r="O435" s="2"/>
    </row>
    <row r="436" ht="15.75" customHeight="1">
      <c r="A436" s="1" t="s">
        <v>582</v>
      </c>
      <c r="B436" s="63" t="s">
        <v>297</v>
      </c>
      <c r="C436" s="63" t="s">
        <v>543</v>
      </c>
      <c r="D436" s="23">
        <v>3621557.13</v>
      </c>
      <c r="E436" s="69">
        <v>0.9669387097</v>
      </c>
      <c r="F436" s="23">
        <v>3501823.78</v>
      </c>
      <c r="G436" s="23">
        <v>0.01</v>
      </c>
      <c r="H436" s="1"/>
      <c r="I436" s="1"/>
      <c r="J436" s="2"/>
      <c r="K436" s="2"/>
      <c r="L436" s="53"/>
      <c r="M436" s="12"/>
      <c r="N436" s="2"/>
      <c r="O436" s="2"/>
    </row>
    <row r="437" ht="15.75" customHeight="1">
      <c r="A437" s="1" t="s">
        <v>583</v>
      </c>
      <c r="B437" s="63" t="s">
        <v>297</v>
      </c>
      <c r="C437" s="63" t="s">
        <v>543</v>
      </c>
      <c r="D437" s="23">
        <v>1.494732566E7</v>
      </c>
      <c r="E437" s="69">
        <v>0.9669387122</v>
      </c>
      <c r="F437" s="23">
        <v>1.445314782E7</v>
      </c>
      <c r="G437" s="23">
        <v>0.03</v>
      </c>
      <c r="H437" s="1"/>
      <c r="I437" s="1"/>
      <c r="J437" s="2"/>
      <c r="K437" s="2"/>
      <c r="L437" s="53"/>
      <c r="M437" s="12"/>
      <c r="N437" s="2"/>
      <c r="O437" s="2"/>
    </row>
    <row r="438" ht="15.75" customHeight="1">
      <c r="A438" s="1" t="s">
        <v>584</v>
      </c>
      <c r="B438" s="63" t="s">
        <v>297</v>
      </c>
      <c r="C438" s="63" t="s">
        <v>543</v>
      </c>
      <c r="D438" s="23">
        <v>1.060411444E7</v>
      </c>
      <c r="E438" s="69">
        <v>0.9669387122</v>
      </c>
      <c r="F438" s="23">
        <v>1.025352876E7</v>
      </c>
      <c r="G438" s="23">
        <v>0.02</v>
      </c>
      <c r="H438" s="1"/>
      <c r="I438" s="1"/>
      <c r="J438" s="2"/>
      <c r="K438" s="2"/>
      <c r="L438" s="53"/>
      <c r="M438" s="12"/>
      <c r="N438" s="2"/>
      <c r="O438" s="2"/>
    </row>
    <row r="439" ht="15.75" customHeight="1">
      <c r="A439" s="1" t="s">
        <v>585</v>
      </c>
      <c r="B439" s="63" t="s">
        <v>421</v>
      </c>
      <c r="C439" s="63" t="s">
        <v>543</v>
      </c>
      <c r="D439" s="23">
        <v>7075968.32</v>
      </c>
      <c r="E439" s="69">
        <v>0.9480027903</v>
      </c>
      <c r="F439" s="23">
        <v>6708037.71</v>
      </c>
      <c r="G439" s="23">
        <v>0.01</v>
      </c>
      <c r="H439" s="1"/>
      <c r="I439" s="1"/>
      <c r="J439" s="2"/>
      <c r="K439" s="2"/>
      <c r="L439" s="53"/>
      <c r="M439" s="12"/>
      <c r="N439" s="2"/>
      <c r="O439" s="2"/>
    </row>
    <row r="440" ht="15.75" customHeight="1">
      <c r="A440" s="1" t="s">
        <v>586</v>
      </c>
      <c r="B440" s="63" t="s">
        <v>421</v>
      </c>
      <c r="C440" s="63" t="s">
        <v>543</v>
      </c>
      <c r="D440" s="23">
        <v>1.180913297E7</v>
      </c>
      <c r="E440" s="69">
        <v>0.9480027903</v>
      </c>
      <c r="F440" s="23">
        <v>1.119509101E7</v>
      </c>
      <c r="G440" s="23">
        <v>0.02</v>
      </c>
      <c r="H440" s="1"/>
      <c r="I440" s="1"/>
      <c r="J440" s="2"/>
      <c r="K440" s="2"/>
      <c r="L440" s="53"/>
      <c r="M440" s="12"/>
      <c r="N440" s="2"/>
      <c r="O440" s="2"/>
    </row>
    <row r="441" ht="15.75" customHeight="1">
      <c r="A441" s="1" t="s">
        <v>587</v>
      </c>
      <c r="B441" s="63" t="s">
        <v>421</v>
      </c>
      <c r="C441" s="63" t="s">
        <v>543</v>
      </c>
      <c r="D441" s="23">
        <v>3.169471328E7</v>
      </c>
      <c r="E441" s="69">
        <v>0.9480027903</v>
      </c>
      <c r="F441" s="23">
        <v>3.004667663E7</v>
      </c>
      <c r="G441" s="23">
        <v>0.06</v>
      </c>
      <c r="H441" s="1"/>
      <c r="I441" s="1"/>
      <c r="J441" s="2"/>
      <c r="K441" s="2"/>
      <c r="L441" s="53"/>
      <c r="M441" s="12"/>
      <c r="N441" s="2"/>
      <c r="O441" s="2"/>
    </row>
    <row r="442" ht="15.75" customHeight="1">
      <c r="A442" s="1" t="s">
        <v>588</v>
      </c>
      <c r="B442" s="63" t="s">
        <v>421</v>
      </c>
      <c r="C442" s="63" t="s">
        <v>543</v>
      </c>
      <c r="D442" s="23">
        <v>2.001162016E7</v>
      </c>
      <c r="E442" s="69">
        <v>0.9480027903</v>
      </c>
      <c r="F442" s="23">
        <v>1.897107175E7</v>
      </c>
      <c r="G442" s="23">
        <v>0.04</v>
      </c>
      <c r="H442" s="1"/>
      <c r="I442" s="1"/>
      <c r="J442" s="2"/>
      <c r="K442" s="2"/>
      <c r="L442" s="53"/>
      <c r="M442" s="12"/>
      <c r="N442" s="2"/>
      <c r="O442" s="2"/>
    </row>
    <row r="443" ht="15.75" customHeight="1">
      <c r="A443" s="1" t="s">
        <v>589</v>
      </c>
      <c r="B443" s="63" t="s">
        <v>421</v>
      </c>
      <c r="C443" s="63" t="s">
        <v>543</v>
      </c>
      <c r="D443" s="24">
        <v>3.4118781E7</v>
      </c>
      <c r="E443" s="69">
        <v>0.9480027903</v>
      </c>
      <c r="F443" s="23">
        <v>3.234469959E7</v>
      </c>
      <c r="G443" s="23">
        <v>0.07</v>
      </c>
      <c r="H443" s="1"/>
      <c r="I443" s="1"/>
      <c r="J443" s="2"/>
      <c r="K443" s="2"/>
      <c r="L443" s="53"/>
      <c r="M443" s="12"/>
      <c r="N443" s="2"/>
      <c r="O443" s="2"/>
    </row>
    <row r="444" ht="15.75" customHeight="1">
      <c r="A444" s="1" t="s">
        <v>590</v>
      </c>
      <c r="B444" s="63" t="s">
        <v>287</v>
      </c>
      <c r="C444" s="63" t="s">
        <v>591</v>
      </c>
      <c r="D444" s="24">
        <v>1.65E7</v>
      </c>
      <c r="E444" s="69">
        <v>0.9393659831</v>
      </c>
      <c r="F444" s="23">
        <v>1.549953872E7</v>
      </c>
      <c r="G444" s="23">
        <v>0.03</v>
      </c>
      <c r="H444" s="1"/>
      <c r="I444" s="1"/>
      <c r="J444" s="2"/>
      <c r="K444" s="2"/>
      <c r="L444" s="53"/>
      <c r="M444" s="12"/>
      <c r="N444" s="2"/>
      <c r="O444" s="2"/>
    </row>
    <row r="445" ht="15.75" customHeight="1">
      <c r="A445" s="1" t="s">
        <v>592</v>
      </c>
      <c r="B445" s="63" t="s">
        <v>382</v>
      </c>
      <c r="C445" s="63" t="s">
        <v>591</v>
      </c>
      <c r="D445" s="24">
        <v>1.65E7</v>
      </c>
      <c r="E445" s="69">
        <v>0.9282572749</v>
      </c>
      <c r="F445" s="23">
        <v>1.531624504E7</v>
      </c>
      <c r="G445" s="23">
        <v>0.03</v>
      </c>
      <c r="H445" s="1"/>
      <c r="I445" s="1"/>
      <c r="J445" s="2"/>
      <c r="K445" s="2"/>
      <c r="L445" s="53"/>
      <c r="M445" s="12"/>
      <c r="N445" s="2"/>
      <c r="O445" s="2"/>
    </row>
    <row r="446" ht="15.75" customHeight="1">
      <c r="A446" s="1" t="s">
        <v>593</v>
      </c>
      <c r="B446" s="63" t="s">
        <v>484</v>
      </c>
      <c r="C446" s="63" t="s">
        <v>591</v>
      </c>
      <c r="D446" s="24">
        <v>1.65E7</v>
      </c>
      <c r="E446" s="69">
        <v>0.9159807367</v>
      </c>
      <c r="F446" s="23">
        <v>1.511368216E7</v>
      </c>
      <c r="G446" s="23">
        <v>0.03</v>
      </c>
      <c r="H446" s="1"/>
      <c r="I446" s="1"/>
      <c r="J446" s="2"/>
      <c r="K446" s="2"/>
      <c r="L446" s="53"/>
      <c r="M446" s="12"/>
      <c r="N446" s="2"/>
      <c r="O446" s="2"/>
    </row>
    <row r="447" ht="15.75" customHeight="1">
      <c r="A447" s="1" t="s">
        <v>594</v>
      </c>
      <c r="B447" s="63" t="s">
        <v>274</v>
      </c>
      <c r="C447" s="63" t="s">
        <v>591</v>
      </c>
      <c r="D447" s="24">
        <v>1.0E7</v>
      </c>
      <c r="E447" s="69">
        <v>0.9625273844</v>
      </c>
      <c r="F447" s="23">
        <v>9625273.84</v>
      </c>
      <c r="G447" s="23">
        <v>0.02</v>
      </c>
      <c r="H447" s="1"/>
      <c r="I447" s="1"/>
      <c r="J447" s="2"/>
      <c r="K447" s="2"/>
      <c r="L447" s="53"/>
      <c r="M447" s="12"/>
      <c r="N447" s="2"/>
      <c r="O447" s="2"/>
    </row>
    <row r="448" ht="15.75" customHeight="1">
      <c r="A448" s="1" t="s">
        <v>595</v>
      </c>
      <c r="B448" s="63" t="s">
        <v>297</v>
      </c>
      <c r="C448" s="63" t="s">
        <v>591</v>
      </c>
      <c r="D448" s="24">
        <v>1.0E7</v>
      </c>
      <c r="E448" s="69">
        <v>0.9632640696</v>
      </c>
      <c r="F448" s="29">
        <v>9632640.7</v>
      </c>
      <c r="G448" s="23">
        <v>0.02</v>
      </c>
      <c r="H448" s="1"/>
      <c r="I448" s="1"/>
      <c r="J448" s="2"/>
      <c r="K448" s="2"/>
      <c r="L448" s="53"/>
      <c r="M448" s="12"/>
      <c r="N448" s="2"/>
      <c r="O448" s="2"/>
    </row>
    <row r="449" ht="15.75" customHeight="1">
      <c r="A449" s="1" t="s">
        <v>596</v>
      </c>
      <c r="B449" s="63" t="s">
        <v>146</v>
      </c>
      <c r="C449" s="63" t="s">
        <v>591</v>
      </c>
      <c r="D449" s="24">
        <v>1.0E7</v>
      </c>
      <c r="E449" s="69">
        <v>0.9544979334</v>
      </c>
      <c r="F449" s="23">
        <v>9544979.33</v>
      </c>
      <c r="G449" s="23">
        <v>0.02</v>
      </c>
      <c r="H449" s="1"/>
      <c r="I449" s="1"/>
      <c r="J449" s="2"/>
      <c r="K449" s="2"/>
      <c r="L449" s="53"/>
      <c r="M449" s="12"/>
      <c r="N449" s="2"/>
      <c r="O449" s="2"/>
    </row>
    <row r="450" ht="15.75" customHeight="1">
      <c r="A450" s="1" t="s">
        <v>597</v>
      </c>
      <c r="B450" s="63" t="s">
        <v>113</v>
      </c>
      <c r="C450" s="63" t="s">
        <v>591</v>
      </c>
      <c r="D450" s="24">
        <v>1.0E7</v>
      </c>
      <c r="E450" s="69">
        <v>0.9552223772</v>
      </c>
      <c r="F450" s="23">
        <v>9552223.77</v>
      </c>
      <c r="G450" s="23">
        <v>0.02</v>
      </c>
      <c r="H450" s="1"/>
      <c r="I450" s="1"/>
      <c r="J450" s="2"/>
      <c r="K450" s="2"/>
      <c r="L450" s="53"/>
      <c r="M450" s="12"/>
      <c r="N450" s="2"/>
      <c r="O450" s="2"/>
    </row>
    <row r="451" ht="15.75" customHeight="1">
      <c r="A451" s="1" t="s">
        <v>598</v>
      </c>
      <c r="B451" s="63" t="s">
        <v>223</v>
      </c>
      <c r="C451" s="63" t="s">
        <v>591</v>
      </c>
      <c r="D451" s="24">
        <v>1.0E7</v>
      </c>
      <c r="E451" s="69">
        <v>0.9595919909</v>
      </c>
      <c r="F451" s="23">
        <v>9595919.91</v>
      </c>
      <c r="G451" s="23">
        <v>0.02</v>
      </c>
      <c r="H451" s="1"/>
      <c r="I451" s="1"/>
      <c r="J451" s="2"/>
      <c r="K451" s="2"/>
      <c r="L451" s="53"/>
      <c r="M451" s="12"/>
      <c r="N451" s="2"/>
      <c r="O451" s="2"/>
    </row>
    <row r="452" ht="15.75" customHeight="1">
      <c r="A452" s="1" t="s">
        <v>599</v>
      </c>
      <c r="B452" s="63" t="s">
        <v>506</v>
      </c>
      <c r="C452" s="63" t="s">
        <v>591</v>
      </c>
      <c r="D452" s="24">
        <v>1.0E7</v>
      </c>
      <c r="E452" s="69">
        <v>0.9581310575</v>
      </c>
      <c r="F452" s="23">
        <v>9581310.58</v>
      </c>
      <c r="G452" s="23">
        <v>0.02</v>
      </c>
      <c r="H452" s="1"/>
      <c r="I452" s="1"/>
      <c r="J452" s="2"/>
      <c r="K452" s="2"/>
      <c r="L452" s="53"/>
      <c r="M452" s="12"/>
      <c r="N452" s="2"/>
      <c r="O452" s="2"/>
    </row>
    <row r="453" ht="15.75" customHeight="1">
      <c r="A453" s="1" t="s">
        <v>600</v>
      </c>
      <c r="B453" s="63" t="s">
        <v>301</v>
      </c>
      <c r="C453" s="63" t="s">
        <v>591</v>
      </c>
      <c r="D453" s="24">
        <v>1.0E7</v>
      </c>
      <c r="E453" s="69">
        <v>0.9603241883</v>
      </c>
      <c r="F453" s="23">
        <v>9603241.88</v>
      </c>
      <c r="G453" s="23">
        <v>0.02</v>
      </c>
      <c r="H453" s="1"/>
      <c r="I453" s="1"/>
      <c r="J453" s="2"/>
      <c r="K453" s="2"/>
      <c r="L453" s="53"/>
      <c r="M453" s="12"/>
      <c r="N453" s="2"/>
      <c r="O453" s="2"/>
    </row>
    <row r="454" ht="15.75" customHeight="1">
      <c r="A454" s="1" t="s">
        <v>601</v>
      </c>
      <c r="B454" s="63" t="s">
        <v>328</v>
      </c>
      <c r="C454" s="63" t="s">
        <v>591</v>
      </c>
      <c r="D454" s="24">
        <v>1.0E7</v>
      </c>
      <c r="E454" s="69">
        <v>0.9588610264</v>
      </c>
      <c r="F454" s="23">
        <v>9588610.26</v>
      </c>
      <c r="G454" s="23">
        <v>0.02</v>
      </c>
      <c r="H454" s="1"/>
      <c r="I454" s="1"/>
      <c r="J454" s="2"/>
      <c r="K454" s="2"/>
      <c r="L454" s="53"/>
      <c r="M454" s="12"/>
      <c r="N454" s="2"/>
      <c r="O454" s="2"/>
    </row>
    <row r="455" ht="15.75" customHeight="1">
      <c r="A455" s="1" t="s">
        <v>602</v>
      </c>
      <c r="B455" s="63" t="s">
        <v>108</v>
      </c>
      <c r="C455" s="63" t="s">
        <v>591</v>
      </c>
      <c r="D455" s="24">
        <v>1.0E7</v>
      </c>
      <c r="E455" s="69">
        <v>0.9574021979</v>
      </c>
      <c r="F455" s="23">
        <v>9574021.98</v>
      </c>
      <c r="G455" s="23">
        <v>0.02</v>
      </c>
      <c r="H455" s="1"/>
      <c r="I455" s="1"/>
      <c r="J455" s="2"/>
      <c r="K455" s="2"/>
      <c r="L455" s="53"/>
      <c r="M455" s="12"/>
      <c r="N455" s="2"/>
      <c r="O455" s="2"/>
    </row>
    <row r="456" ht="15.75" customHeight="1">
      <c r="A456" s="1" t="s">
        <v>603</v>
      </c>
      <c r="B456" s="63" t="s">
        <v>297</v>
      </c>
      <c r="C456" s="63" t="s">
        <v>591</v>
      </c>
      <c r="D456" s="24">
        <v>1.0E7</v>
      </c>
      <c r="E456" s="69">
        <v>0.9632640696</v>
      </c>
      <c r="F456" s="29">
        <v>9632640.7</v>
      </c>
      <c r="G456" s="23">
        <v>0.02</v>
      </c>
      <c r="H456" s="1"/>
      <c r="I456" s="1"/>
      <c r="J456" s="2"/>
      <c r="K456" s="2"/>
      <c r="L456" s="53"/>
      <c r="M456" s="12"/>
      <c r="N456" s="2"/>
      <c r="O456" s="2"/>
    </row>
    <row r="457" ht="15.75" customHeight="1">
      <c r="A457" s="1" t="s">
        <v>604</v>
      </c>
      <c r="B457" s="63" t="s">
        <v>491</v>
      </c>
      <c r="C457" s="63" t="s">
        <v>591</v>
      </c>
      <c r="D457" s="24">
        <v>1.0E7</v>
      </c>
      <c r="E457" s="70">
        <v>0.992657089</v>
      </c>
      <c r="F457" s="23">
        <v>9926570.89</v>
      </c>
      <c r="G457" s="23">
        <v>0.02</v>
      </c>
      <c r="H457" s="1"/>
      <c r="I457" s="1"/>
      <c r="J457" s="2"/>
      <c r="K457" s="2"/>
      <c r="L457" s="53"/>
      <c r="M457" s="12"/>
      <c r="N457" s="2"/>
      <c r="O457" s="2"/>
    </row>
    <row r="458" ht="15.75" customHeight="1">
      <c r="A458" s="1" t="s">
        <v>605</v>
      </c>
      <c r="B458" s="63" t="s">
        <v>209</v>
      </c>
      <c r="C458" s="63" t="s">
        <v>591</v>
      </c>
      <c r="D458" s="24">
        <v>1.0E7</v>
      </c>
      <c r="E458" s="70">
        <v>0.997049834</v>
      </c>
      <c r="F458" s="23">
        <v>9970498.34</v>
      </c>
      <c r="G458" s="23">
        <v>0.02</v>
      </c>
      <c r="H458" s="1"/>
      <c r="I458" s="1"/>
      <c r="J458" s="2"/>
      <c r="K458" s="2"/>
      <c r="L458" s="53"/>
      <c r="M458" s="12"/>
      <c r="N458" s="2"/>
      <c r="O458" s="2"/>
    </row>
    <row r="459" ht="15.75" customHeight="1">
      <c r="A459" s="1" t="s">
        <v>606</v>
      </c>
      <c r="B459" s="63" t="s">
        <v>159</v>
      </c>
      <c r="C459" s="63" t="s">
        <v>591</v>
      </c>
      <c r="D459" s="24">
        <v>1.68E7</v>
      </c>
      <c r="E459" s="69">
        <v>0.9883028451</v>
      </c>
      <c r="F459" s="29">
        <v>1.66034878E7</v>
      </c>
      <c r="G459" s="23">
        <v>0.03</v>
      </c>
      <c r="H459" s="1"/>
      <c r="I459" s="1"/>
      <c r="J459" s="2"/>
      <c r="K459" s="2"/>
      <c r="L459" s="53"/>
      <c r="M459" s="12"/>
      <c r="N459" s="2"/>
      <c r="O459" s="2"/>
    </row>
    <row r="460" ht="15.75" customHeight="1">
      <c r="A460" s="1" t="s">
        <v>607</v>
      </c>
      <c r="B460" s="63" t="s">
        <v>394</v>
      </c>
      <c r="C460" s="63" t="s">
        <v>608</v>
      </c>
      <c r="D460" s="24">
        <v>5500000.0</v>
      </c>
      <c r="E460" s="69">
        <v>0.9480273257</v>
      </c>
      <c r="F460" s="23">
        <v>5214150.29</v>
      </c>
      <c r="G460" s="23">
        <v>0.01</v>
      </c>
      <c r="H460" s="1"/>
      <c r="I460" s="1"/>
      <c r="J460" s="2"/>
      <c r="K460" s="2"/>
      <c r="L460" s="53"/>
      <c r="M460" s="12"/>
      <c r="N460" s="2"/>
      <c r="O460" s="2"/>
    </row>
    <row r="461" ht="15.75" customHeight="1">
      <c r="A461" s="1" t="s">
        <v>609</v>
      </c>
      <c r="B461" s="63" t="s">
        <v>143</v>
      </c>
      <c r="C461" s="63" t="s">
        <v>608</v>
      </c>
      <c r="D461" s="24">
        <v>5500000.0</v>
      </c>
      <c r="E461" s="69">
        <v>0.9640017983</v>
      </c>
      <c r="F461" s="23">
        <v>5302009.89</v>
      </c>
      <c r="G461" s="23">
        <v>0.01</v>
      </c>
      <c r="H461" s="1"/>
      <c r="I461" s="1"/>
      <c r="J461" s="2"/>
      <c r="K461" s="2"/>
      <c r="L461" s="53"/>
      <c r="M461" s="12"/>
      <c r="N461" s="2"/>
      <c r="O461" s="2"/>
    </row>
    <row r="462" ht="15.75" customHeight="1">
      <c r="A462" s="1" t="s">
        <v>610</v>
      </c>
      <c r="B462" s="63" t="s">
        <v>223</v>
      </c>
      <c r="C462" s="63" t="s">
        <v>608</v>
      </c>
      <c r="D462" s="24">
        <v>5500000.0</v>
      </c>
      <c r="E462" s="69">
        <v>0.9595920204</v>
      </c>
      <c r="F462" s="23">
        <v>5277756.11</v>
      </c>
      <c r="G462" s="23">
        <v>0.01</v>
      </c>
      <c r="H462" s="1"/>
      <c r="I462" s="1"/>
      <c r="J462" s="2"/>
      <c r="K462" s="2"/>
      <c r="L462" s="53"/>
      <c r="M462" s="12"/>
      <c r="N462" s="2"/>
      <c r="O462" s="2"/>
    </row>
    <row r="463" ht="15.75" customHeight="1">
      <c r="A463" s="1" t="s">
        <v>611</v>
      </c>
      <c r="B463" s="63" t="s">
        <v>185</v>
      </c>
      <c r="C463" s="63" t="s">
        <v>608</v>
      </c>
      <c r="D463" s="24">
        <v>4.0E7</v>
      </c>
      <c r="E463" s="69">
        <v>0.9851286515</v>
      </c>
      <c r="F463" s="23">
        <v>3.940514606E7</v>
      </c>
      <c r="G463" s="23">
        <v>0.08</v>
      </c>
      <c r="H463" s="1"/>
      <c r="I463" s="1"/>
      <c r="J463" s="2"/>
      <c r="K463" s="2"/>
      <c r="L463" s="53"/>
      <c r="M463" s="12"/>
      <c r="N463" s="2"/>
      <c r="O463" s="2"/>
    </row>
    <row r="464" ht="15.75" customHeight="1">
      <c r="A464" s="1" t="s">
        <v>612</v>
      </c>
      <c r="B464" s="63" t="s">
        <v>173</v>
      </c>
      <c r="C464" s="63" t="s">
        <v>608</v>
      </c>
      <c r="D464" s="24">
        <v>4.0E7</v>
      </c>
      <c r="E464" s="69">
        <v>0.9835888979</v>
      </c>
      <c r="F464" s="23">
        <v>3.934355592E7</v>
      </c>
      <c r="G464" s="23">
        <v>0.08</v>
      </c>
      <c r="H464" s="1"/>
      <c r="I464" s="1"/>
      <c r="J464" s="2"/>
      <c r="K464" s="2"/>
      <c r="L464" s="53"/>
      <c r="M464" s="12"/>
      <c r="N464" s="2"/>
      <c r="O464" s="2"/>
    </row>
    <row r="465" ht="15.75" customHeight="1">
      <c r="A465" s="1" t="s">
        <v>613</v>
      </c>
      <c r="B465" s="63" t="s">
        <v>187</v>
      </c>
      <c r="C465" s="63" t="s">
        <v>608</v>
      </c>
      <c r="D465" s="24">
        <v>3.0E7</v>
      </c>
      <c r="E465" s="69">
        <v>0.9805238468</v>
      </c>
      <c r="F465" s="29">
        <v>2.94157154E7</v>
      </c>
      <c r="G465" s="23">
        <v>0.06</v>
      </c>
      <c r="H465" s="1"/>
      <c r="I465" s="1"/>
      <c r="J465" s="2"/>
      <c r="K465" s="2"/>
      <c r="L465" s="53"/>
      <c r="M465" s="12"/>
      <c r="N465" s="2"/>
      <c r="O465" s="2"/>
    </row>
    <row r="466" ht="15.75" customHeight="1">
      <c r="A466" s="1" t="s">
        <v>614</v>
      </c>
      <c r="B466" s="63" t="s">
        <v>163</v>
      </c>
      <c r="C466" s="63" t="s">
        <v>608</v>
      </c>
      <c r="D466" s="24">
        <v>1200000.0</v>
      </c>
      <c r="E466" s="69">
        <v>0.9897768417</v>
      </c>
      <c r="F466" s="23">
        <v>1187732.21</v>
      </c>
      <c r="G466" s="24">
        <v>0.0</v>
      </c>
      <c r="H466" s="1"/>
      <c r="I466" s="1"/>
      <c r="J466" s="2"/>
      <c r="K466" s="2"/>
      <c r="L466" s="53"/>
      <c r="M466" s="12"/>
      <c r="N466" s="2"/>
      <c r="O466" s="2"/>
    </row>
    <row r="467" ht="15.75" customHeight="1">
      <c r="A467" s="1" t="s">
        <v>615</v>
      </c>
      <c r="B467" s="63" t="s">
        <v>228</v>
      </c>
      <c r="C467" s="63" t="s">
        <v>608</v>
      </c>
      <c r="D467" s="24">
        <v>1200000.0</v>
      </c>
      <c r="E467" s="69">
        <v>0.9960431249</v>
      </c>
      <c r="F467" s="23">
        <v>1195251.75</v>
      </c>
      <c r="G467" s="24">
        <v>0.0</v>
      </c>
      <c r="H467" s="1"/>
      <c r="I467" s="1"/>
      <c r="J467" s="2"/>
      <c r="K467" s="2"/>
      <c r="L467" s="53"/>
      <c r="M467" s="12"/>
      <c r="N467" s="2"/>
      <c r="O467" s="2"/>
    </row>
    <row r="468" ht="15.75" customHeight="1">
      <c r="A468" s="1" t="s">
        <v>616</v>
      </c>
      <c r="B468" s="63" t="s">
        <v>175</v>
      </c>
      <c r="C468" s="63" t="s">
        <v>608</v>
      </c>
      <c r="D468" s="24">
        <v>1300000.0</v>
      </c>
      <c r="E468" s="70">
        <v>0.979760631</v>
      </c>
      <c r="F468" s="23">
        <v>1273688.82</v>
      </c>
      <c r="G468" s="24">
        <v>0.0</v>
      </c>
      <c r="H468" s="1"/>
      <c r="I468" s="1"/>
      <c r="J468" s="2"/>
      <c r="K468" s="2"/>
      <c r="L468" s="53"/>
      <c r="M468" s="12"/>
      <c r="N468" s="2"/>
      <c r="O468" s="2"/>
    </row>
    <row r="469" ht="15.75" customHeight="1">
      <c r="A469" s="1" t="s">
        <v>617</v>
      </c>
      <c r="B469" s="63" t="s">
        <v>228</v>
      </c>
      <c r="C469" s="63" t="s">
        <v>608</v>
      </c>
      <c r="D469" s="24">
        <v>1.25E7</v>
      </c>
      <c r="E469" s="69">
        <v>0.9960431281</v>
      </c>
      <c r="F469" s="29">
        <v>1.24505391E7</v>
      </c>
      <c r="G469" s="23">
        <v>0.03</v>
      </c>
      <c r="H469" s="1"/>
      <c r="I469" s="1"/>
      <c r="J469" s="2"/>
      <c r="K469" s="2"/>
      <c r="L469" s="53"/>
      <c r="M469" s="12"/>
      <c r="N469" s="2"/>
      <c r="O469" s="2"/>
    </row>
    <row r="470" ht="15.75" customHeight="1">
      <c r="A470" s="1" t="s">
        <v>618</v>
      </c>
      <c r="B470" s="63" t="s">
        <v>159</v>
      </c>
      <c r="C470" s="63" t="s">
        <v>608</v>
      </c>
      <c r="D470" s="24">
        <v>1.25E7</v>
      </c>
      <c r="E470" s="69">
        <v>0.9905558239</v>
      </c>
      <c r="F470" s="29">
        <v>1.23819478E7</v>
      </c>
      <c r="G470" s="23">
        <v>0.03</v>
      </c>
      <c r="H470" s="1"/>
      <c r="I470" s="1"/>
      <c r="J470" s="2"/>
      <c r="K470" s="2"/>
      <c r="L470" s="53"/>
      <c r="M470" s="12"/>
      <c r="N470" s="2"/>
      <c r="O470" s="2"/>
    </row>
    <row r="471" ht="15.75" customHeight="1">
      <c r="A471" s="1" t="s">
        <v>619</v>
      </c>
      <c r="B471" s="63" t="s">
        <v>185</v>
      </c>
      <c r="C471" s="63" t="s">
        <v>608</v>
      </c>
      <c r="D471" s="24">
        <v>1.25E7</v>
      </c>
      <c r="E471" s="70">
        <v>0.985128651</v>
      </c>
      <c r="F471" s="23">
        <v>1.231410814E7</v>
      </c>
      <c r="G471" s="23">
        <v>0.03</v>
      </c>
      <c r="H471" s="1"/>
      <c r="I471" s="1"/>
      <c r="J471" s="2"/>
      <c r="K471" s="2"/>
      <c r="L471" s="53"/>
      <c r="M471" s="12"/>
      <c r="N471" s="2"/>
      <c r="O471" s="2"/>
    </row>
    <row r="472" ht="15.75" customHeight="1">
      <c r="A472" s="1" t="s">
        <v>620</v>
      </c>
      <c r="B472" s="63" t="s">
        <v>175</v>
      </c>
      <c r="C472" s="63" t="s">
        <v>608</v>
      </c>
      <c r="D472" s="24">
        <v>1.25E7</v>
      </c>
      <c r="E472" s="69">
        <v>0.9797606262</v>
      </c>
      <c r="F472" s="23">
        <v>1.224700783E7</v>
      </c>
      <c r="G472" s="23">
        <v>0.03</v>
      </c>
      <c r="H472" s="1"/>
      <c r="I472" s="1"/>
      <c r="J472" s="2"/>
      <c r="K472" s="2"/>
      <c r="L472" s="53"/>
      <c r="M472" s="12"/>
      <c r="N472" s="2"/>
      <c r="O472" s="2"/>
    </row>
    <row r="473" ht="15.75" customHeight="1">
      <c r="A473" s="1" t="s">
        <v>621</v>
      </c>
      <c r="B473" s="63" t="s">
        <v>150</v>
      </c>
      <c r="C473" s="63" t="s">
        <v>608</v>
      </c>
      <c r="D473" s="24">
        <v>2.0E7</v>
      </c>
      <c r="E473" s="69">
        <v>0.9712613664</v>
      </c>
      <c r="F473" s="23">
        <v>1.942522733E7</v>
      </c>
      <c r="G473" s="23">
        <v>0.04</v>
      </c>
      <c r="H473" s="1"/>
      <c r="I473" s="1"/>
      <c r="J473" s="2"/>
      <c r="K473" s="2"/>
      <c r="L473" s="53"/>
      <c r="M473" s="12"/>
      <c r="N473" s="2"/>
      <c r="O473" s="2"/>
    </row>
    <row r="474" ht="15.75" customHeight="1">
      <c r="A474" s="1" t="s">
        <v>622</v>
      </c>
      <c r="B474" s="63" t="s">
        <v>187</v>
      </c>
      <c r="C474" s="63" t="s">
        <v>608</v>
      </c>
      <c r="D474" s="24">
        <v>2.0E7</v>
      </c>
      <c r="E474" s="69">
        <v>0.9733333405</v>
      </c>
      <c r="F474" s="23">
        <v>1.946666681E7</v>
      </c>
      <c r="G474" s="23">
        <v>0.04</v>
      </c>
      <c r="H474" s="1"/>
      <c r="I474" s="1"/>
      <c r="J474" s="2"/>
      <c r="K474" s="2"/>
      <c r="L474" s="53"/>
      <c r="M474" s="12"/>
      <c r="N474" s="2"/>
      <c r="O474" s="2"/>
    </row>
    <row r="475" ht="15.75" customHeight="1">
      <c r="A475" s="1" t="s">
        <v>623</v>
      </c>
      <c r="B475" s="63" t="s">
        <v>163</v>
      </c>
      <c r="C475" s="63" t="s">
        <v>624</v>
      </c>
      <c r="D475" s="24">
        <v>1.47E7</v>
      </c>
      <c r="E475" s="69">
        <v>0.9894280614</v>
      </c>
      <c r="F475" s="29">
        <v>1.45445925E7</v>
      </c>
      <c r="G475" s="23">
        <v>0.03</v>
      </c>
      <c r="H475" s="1"/>
      <c r="I475" s="1"/>
      <c r="J475" s="2"/>
      <c r="K475" s="2"/>
      <c r="L475" s="53"/>
      <c r="M475" s="12"/>
      <c r="N475" s="2"/>
      <c r="O475" s="2"/>
    </row>
    <row r="476" ht="15.75" customHeight="1">
      <c r="A476" s="1" t="s">
        <v>625</v>
      </c>
      <c r="B476" s="63" t="s">
        <v>111</v>
      </c>
      <c r="C476" s="63" t="s">
        <v>624</v>
      </c>
      <c r="D476" s="24">
        <v>5000000.0</v>
      </c>
      <c r="E476" s="69">
        <v>0.9745808463</v>
      </c>
      <c r="F476" s="23">
        <v>4872904.23</v>
      </c>
      <c r="G476" s="23">
        <v>0.01</v>
      </c>
      <c r="H476" s="1"/>
      <c r="I476" s="1"/>
      <c r="J476" s="2"/>
      <c r="K476" s="2"/>
      <c r="L476" s="53"/>
      <c r="M476" s="12"/>
      <c r="N476" s="2"/>
      <c r="O476" s="2"/>
    </row>
    <row r="477" ht="15.75" customHeight="1">
      <c r="A477" s="1" t="s">
        <v>626</v>
      </c>
      <c r="B477" s="63" t="s">
        <v>335</v>
      </c>
      <c r="C477" s="63" t="s">
        <v>624</v>
      </c>
      <c r="D477" s="24">
        <v>1.68E7</v>
      </c>
      <c r="E477" s="69">
        <v>0.9684780471</v>
      </c>
      <c r="F477" s="23">
        <v>1.627043119E7</v>
      </c>
      <c r="G477" s="23">
        <v>0.03</v>
      </c>
      <c r="H477" s="1"/>
      <c r="I477" s="1"/>
      <c r="J477" s="2"/>
      <c r="K477" s="2"/>
      <c r="L477" s="53"/>
      <c r="M477" s="12"/>
      <c r="N477" s="2"/>
      <c r="O477" s="2"/>
    </row>
    <row r="478" ht="15.75" customHeight="1">
      <c r="A478" s="1" t="s">
        <v>627</v>
      </c>
      <c r="B478" s="63" t="s">
        <v>445</v>
      </c>
      <c r="C478" s="63" t="s">
        <v>628</v>
      </c>
      <c r="D478" s="24">
        <v>1.7118303E7</v>
      </c>
      <c r="E478" s="69">
        <v>0.9050784049</v>
      </c>
      <c r="F478" s="23">
        <v>1.549340637E7</v>
      </c>
      <c r="G478" s="23">
        <v>0.03</v>
      </c>
      <c r="H478" s="1"/>
      <c r="I478" s="1"/>
      <c r="J478" s="2"/>
      <c r="K478" s="2"/>
      <c r="L478" s="53"/>
      <c r="M478" s="12"/>
      <c r="N478" s="2"/>
      <c r="O478" s="2"/>
    </row>
    <row r="479" ht="15.75" customHeight="1">
      <c r="A479" s="1" t="s">
        <v>629</v>
      </c>
      <c r="B479" s="63" t="s">
        <v>157</v>
      </c>
      <c r="C479" s="63" t="s">
        <v>628</v>
      </c>
      <c r="D479" s="24">
        <v>1040000.0</v>
      </c>
      <c r="E479" s="69">
        <v>0.9666314516</v>
      </c>
      <c r="F479" s="23">
        <v>1005296.71</v>
      </c>
      <c r="G479" s="24">
        <v>0.0</v>
      </c>
      <c r="H479" s="1"/>
      <c r="I479" s="1"/>
      <c r="J479" s="2"/>
      <c r="K479" s="2"/>
      <c r="L479" s="53"/>
      <c r="M479" s="12"/>
      <c r="N479" s="2"/>
      <c r="O479" s="2"/>
    </row>
    <row r="480" ht="15.75" customHeight="1">
      <c r="A480" s="1" t="s">
        <v>630</v>
      </c>
      <c r="B480" s="63" t="s">
        <v>328</v>
      </c>
      <c r="C480" s="63" t="s">
        <v>628</v>
      </c>
      <c r="D480" s="24">
        <v>1040000.0</v>
      </c>
      <c r="E480" s="70">
        <v>0.957502702</v>
      </c>
      <c r="F480" s="23">
        <v>995802.81</v>
      </c>
      <c r="G480" s="24">
        <v>0.0</v>
      </c>
      <c r="H480" s="1"/>
      <c r="I480" s="1"/>
      <c r="J480" s="2"/>
      <c r="K480" s="2"/>
      <c r="L480" s="53"/>
      <c r="M480" s="12"/>
      <c r="N480" s="2"/>
      <c r="O480" s="2"/>
    </row>
    <row r="481" ht="15.75" customHeight="1">
      <c r="A481" s="1" t="s">
        <v>631</v>
      </c>
      <c r="B481" s="63" t="s">
        <v>297</v>
      </c>
      <c r="C481" s="63" t="s">
        <v>628</v>
      </c>
      <c r="D481" s="24">
        <v>1040000.0</v>
      </c>
      <c r="E481" s="69">
        <v>0.9620453749</v>
      </c>
      <c r="F481" s="23">
        <v>1000527.19</v>
      </c>
      <c r="G481" s="24">
        <v>0.0</v>
      </c>
      <c r="H481" s="1"/>
      <c r="I481" s="1"/>
      <c r="J481" s="2"/>
      <c r="K481" s="2"/>
      <c r="L481" s="53"/>
      <c r="M481" s="12"/>
      <c r="N481" s="2"/>
      <c r="O481" s="2"/>
    </row>
    <row r="482" ht="15.75" customHeight="1">
      <c r="A482" s="1" t="s">
        <v>632</v>
      </c>
      <c r="B482" s="63" t="s">
        <v>175</v>
      </c>
      <c r="C482" s="63" t="s">
        <v>628</v>
      </c>
      <c r="D482" s="24">
        <v>1040000.0</v>
      </c>
      <c r="E482" s="69">
        <v>0.9790772785</v>
      </c>
      <c r="F482" s="23">
        <v>1018240.37</v>
      </c>
      <c r="G482" s="24">
        <v>0.0</v>
      </c>
      <c r="H482" s="1"/>
      <c r="I482" s="1"/>
      <c r="J482" s="2"/>
      <c r="K482" s="2"/>
      <c r="L482" s="53"/>
      <c r="M482" s="12"/>
      <c r="N482" s="2"/>
      <c r="O482" s="2"/>
    </row>
    <row r="483" ht="15.75" customHeight="1">
      <c r="A483" s="1" t="s">
        <v>633</v>
      </c>
      <c r="B483" s="63" t="s">
        <v>173</v>
      </c>
      <c r="C483" s="63" t="s">
        <v>628</v>
      </c>
      <c r="D483" s="24">
        <v>1040000.0</v>
      </c>
      <c r="E483" s="69">
        <v>0.9830326249</v>
      </c>
      <c r="F483" s="23">
        <v>1022353.93</v>
      </c>
      <c r="G483" s="24">
        <v>0.0</v>
      </c>
      <c r="H483" s="1"/>
      <c r="I483" s="1"/>
      <c r="J483" s="2"/>
      <c r="K483" s="2"/>
      <c r="L483" s="53"/>
      <c r="M483" s="12"/>
      <c r="N483" s="2"/>
      <c r="O483" s="2"/>
    </row>
    <row r="484" ht="15.75" customHeight="1">
      <c r="A484" s="1" t="s">
        <v>634</v>
      </c>
      <c r="B484" s="63" t="s">
        <v>549</v>
      </c>
      <c r="C484" s="63" t="s">
        <v>628</v>
      </c>
      <c r="D484" s="24">
        <v>1040000.0</v>
      </c>
      <c r="E484" s="69">
        <v>0.9697130673</v>
      </c>
      <c r="F484" s="23">
        <v>1008501.59</v>
      </c>
      <c r="G484" s="24">
        <v>0.0</v>
      </c>
      <c r="H484" s="1"/>
      <c r="I484" s="1"/>
      <c r="J484" s="2"/>
      <c r="K484" s="2"/>
      <c r="L484" s="53"/>
      <c r="M484" s="12"/>
      <c r="N484" s="2"/>
      <c r="O484" s="2"/>
    </row>
    <row r="485" ht="15.75" customHeight="1">
      <c r="A485" s="1" t="s">
        <v>635</v>
      </c>
      <c r="B485" s="63" t="s">
        <v>187</v>
      </c>
      <c r="C485" s="63" t="s">
        <v>628</v>
      </c>
      <c r="D485" s="24">
        <v>1040000.0</v>
      </c>
      <c r="E485" s="69">
        <v>0.9798658172</v>
      </c>
      <c r="F485" s="23">
        <v>1019060.45</v>
      </c>
      <c r="G485" s="24">
        <v>0.0</v>
      </c>
      <c r="H485" s="1"/>
      <c r="I485" s="1"/>
      <c r="J485" s="2"/>
      <c r="K485" s="2"/>
      <c r="L485" s="53"/>
      <c r="M485" s="12"/>
      <c r="N485" s="2"/>
      <c r="O485" s="2"/>
    </row>
    <row r="486" ht="15.75" customHeight="1">
      <c r="A486" s="1" t="s">
        <v>636</v>
      </c>
      <c r="B486" s="63" t="s">
        <v>111</v>
      </c>
      <c r="C486" s="63" t="s">
        <v>628</v>
      </c>
      <c r="D486" s="24">
        <v>1040000.0</v>
      </c>
      <c r="E486" s="69">
        <v>0.9775040765</v>
      </c>
      <c r="F486" s="23">
        <v>1016604.24</v>
      </c>
      <c r="G486" s="24">
        <v>0.0</v>
      </c>
      <c r="H486" s="1"/>
      <c r="I486" s="1"/>
      <c r="J486" s="2"/>
      <c r="K486" s="2"/>
      <c r="L486" s="53"/>
      <c r="M486" s="12"/>
      <c r="N486" s="2"/>
      <c r="O486" s="2"/>
    </row>
    <row r="487" ht="15.75" customHeight="1">
      <c r="A487" s="1" t="s">
        <v>637</v>
      </c>
      <c r="B487" s="63" t="s">
        <v>297</v>
      </c>
      <c r="C487" s="63" t="s">
        <v>628</v>
      </c>
      <c r="D487" s="24">
        <v>1040000.0</v>
      </c>
      <c r="E487" s="69">
        <v>0.9620453749</v>
      </c>
      <c r="F487" s="23">
        <v>1000527.19</v>
      </c>
      <c r="G487" s="24">
        <v>0.0</v>
      </c>
      <c r="H487" s="1"/>
      <c r="I487" s="1"/>
      <c r="J487" s="2"/>
      <c r="K487" s="2"/>
      <c r="L487" s="53"/>
      <c r="M487" s="12"/>
      <c r="N487" s="2"/>
      <c r="O487" s="2"/>
    </row>
    <row r="488" ht="15.75" customHeight="1">
      <c r="A488" s="1" t="s">
        <v>638</v>
      </c>
      <c r="B488" s="63" t="s">
        <v>111</v>
      </c>
      <c r="C488" s="63" t="s">
        <v>628</v>
      </c>
      <c r="D488" s="24">
        <v>5000000.0</v>
      </c>
      <c r="E488" s="69">
        <v>0.9782376282</v>
      </c>
      <c r="F488" s="23">
        <v>4891188.14</v>
      </c>
      <c r="G488" s="23">
        <v>0.01</v>
      </c>
      <c r="H488" s="1"/>
      <c r="I488" s="1"/>
      <c r="J488" s="2"/>
      <c r="K488" s="2"/>
      <c r="L488" s="53"/>
      <c r="M488" s="12"/>
      <c r="N488" s="2"/>
      <c r="O488" s="2"/>
    </row>
    <row r="489" ht="15.75" customHeight="1">
      <c r="A489" s="1" t="s">
        <v>639</v>
      </c>
      <c r="B489" s="63" t="s">
        <v>150</v>
      </c>
      <c r="C489" s="63" t="s">
        <v>628</v>
      </c>
      <c r="D489" s="24">
        <v>5000000.0</v>
      </c>
      <c r="E489" s="69">
        <v>0.9789984782</v>
      </c>
      <c r="F489" s="23">
        <v>4894992.39</v>
      </c>
      <c r="G489" s="23">
        <v>0.01</v>
      </c>
      <c r="H489" s="1"/>
      <c r="I489" s="1"/>
      <c r="J489" s="2"/>
      <c r="K489" s="2"/>
      <c r="L489" s="53"/>
      <c r="M489" s="12"/>
      <c r="N489" s="2"/>
      <c r="O489" s="2"/>
    </row>
    <row r="490" ht="15.75" customHeight="1">
      <c r="A490" s="1" t="s">
        <v>640</v>
      </c>
      <c r="B490" s="63" t="s">
        <v>175</v>
      </c>
      <c r="C490" s="63" t="s">
        <v>628</v>
      </c>
      <c r="D490" s="24">
        <v>5000000.0</v>
      </c>
      <c r="E490" s="69">
        <v>0.9797605859</v>
      </c>
      <c r="F490" s="23">
        <v>4898802.93</v>
      </c>
      <c r="G490" s="23">
        <v>0.01</v>
      </c>
      <c r="H490" s="1"/>
      <c r="I490" s="1"/>
      <c r="J490" s="2"/>
      <c r="K490" s="2"/>
      <c r="L490" s="53"/>
      <c r="M490" s="12"/>
      <c r="N490" s="2"/>
      <c r="O490" s="2"/>
    </row>
    <row r="491" ht="15.75" customHeight="1">
      <c r="A491" s="1" t="s">
        <v>641</v>
      </c>
      <c r="B491" s="63" t="s">
        <v>173</v>
      </c>
      <c r="C491" s="63" t="s">
        <v>628</v>
      </c>
      <c r="D491" s="24">
        <v>5000000.0</v>
      </c>
      <c r="E491" s="69">
        <v>0.9835889358</v>
      </c>
      <c r="F491" s="23">
        <v>4917944.68</v>
      </c>
      <c r="G491" s="23">
        <v>0.01</v>
      </c>
      <c r="H491" s="1"/>
      <c r="I491" s="1"/>
      <c r="J491" s="2"/>
      <c r="K491" s="2"/>
      <c r="L491" s="53"/>
      <c r="M491" s="12"/>
      <c r="N491" s="2"/>
      <c r="O491" s="2"/>
    </row>
    <row r="492" ht="15.75" customHeight="1">
      <c r="A492" s="1" t="s">
        <v>642</v>
      </c>
      <c r="B492" s="63" t="s">
        <v>330</v>
      </c>
      <c r="C492" s="63" t="s">
        <v>628</v>
      </c>
      <c r="D492" s="24">
        <v>5000000.0</v>
      </c>
      <c r="E492" s="69">
        <v>0.9843582077</v>
      </c>
      <c r="F492" s="23">
        <v>4921791.04</v>
      </c>
      <c r="G492" s="23">
        <v>0.01</v>
      </c>
      <c r="H492" s="1"/>
      <c r="I492" s="1"/>
      <c r="J492" s="2"/>
      <c r="K492" s="2"/>
      <c r="L492" s="53"/>
      <c r="M492" s="12"/>
      <c r="N492" s="2"/>
      <c r="O492" s="2"/>
    </row>
    <row r="493" ht="15.75" customHeight="1">
      <c r="A493" s="1" t="s">
        <v>643</v>
      </c>
      <c r="B493" s="63" t="s">
        <v>170</v>
      </c>
      <c r="C493" s="63" t="s">
        <v>628</v>
      </c>
      <c r="D493" s="24">
        <v>5000000.0</v>
      </c>
      <c r="E493" s="70">
        <v>0.986673202</v>
      </c>
      <c r="F493" s="23">
        <v>4933366.01</v>
      </c>
      <c r="G493" s="23">
        <v>0.01</v>
      </c>
      <c r="H493" s="1"/>
      <c r="I493" s="1"/>
      <c r="J493" s="2"/>
      <c r="K493" s="2"/>
      <c r="L493" s="53"/>
      <c r="M493" s="12"/>
      <c r="N493" s="2"/>
      <c r="O493" s="2"/>
    </row>
    <row r="494" ht="15.75" customHeight="1">
      <c r="A494" s="1" t="s">
        <v>644</v>
      </c>
      <c r="B494" s="63" t="s">
        <v>159</v>
      </c>
      <c r="C494" s="63" t="s">
        <v>628</v>
      </c>
      <c r="D494" s="24">
        <v>5000000.0</v>
      </c>
      <c r="E494" s="69">
        <v>0.9905558039</v>
      </c>
      <c r="F494" s="23">
        <v>4952779.02</v>
      </c>
      <c r="G494" s="23">
        <v>0.01</v>
      </c>
      <c r="H494" s="1"/>
      <c r="I494" s="1"/>
      <c r="J494" s="2"/>
      <c r="K494" s="2"/>
      <c r="L494" s="53"/>
      <c r="M494" s="12"/>
      <c r="N494" s="2"/>
      <c r="O494" s="2"/>
    </row>
    <row r="495" ht="15.75" customHeight="1">
      <c r="A495" s="1" t="s">
        <v>645</v>
      </c>
      <c r="B495" s="63" t="s">
        <v>228</v>
      </c>
      <c r="C495" s="63" t="s">
        <v>628</v>
      </c>
      <c r="D495" s="24">
        <v>5000000.0</v>
      </c>
      <c r="E495" s="70">
        <v>0.996043118</v>
      </c>
      <c r="F495" s="23">
        <v>4980215.59</v>
      </c>
      <c r="G495" s="23">
        <v>0.01</v>
      </c>
      <c r="H495" s="1"/>
      <c r="I495" s="1"/>
      <c r="J495" s="2"/>
      <c r="K495" s="2"/>
      <c r="L495" s="53"/>
      <c r="M495" s="12"/>
      <c r="N495" s="2"/>
      <c r="O495" s="2"/>
    </row>
    <row r="496" ht="15.75" customHeight="1">
      <c r="A496" s="1" t="s">
        <v>646</v>
      </c>
      <c r="B496" s="63" t="s">
        <v>209</v>
      </c>
      <c r="C496" s="63" t="s">
        <v>628</v>
      </c>
      <c r="D496" s="24">
        <v>5000000.0</v>
      </c>
      <c r="E496" s="70">
        <v>0.996831992</v>
      </c>
      <c r="F496" s="23">
        <v>4984159.96</v>
      </c>
      <c r="G496" s="23">
        <v>0.01</v>
      </c>
      <c r="H496" s="1"/>
      <c r="I496" s="1"/>
      <c r="J496" s="2"/>
      <c r="K496" s="2"/>
      <c r="L496" s="53"/>
      <c r="M496" s="12"/>
      <c r="N496" s="2"/>
      <c r="O496" s="2"/>
    </row>
    <row r="497" ht="15.75" customHeight="1">
      <c r="A497" s="1" t="s">
        <v>647</v>
      </c>
      <c r="B497" s="63" t="s">
        <v>271</v>
      </c>
      <c r="C497" s="63" t="s">
        <v>628</v>
      </c>
      <c r="D497" s="24">
        <v>5000000.0</v>
      </c>
      <c r="E497" s="69">
        <v>0.9507684574</v>
      </c>
      <c r="F497" s="23">
        <v>4753842.29</v>
      </c>
      <c r="G497" s="23">
        <v>0.01</v>
      </c>
      <c r="H497" s="1"/>
      <c r="I497" s="1"/>
      <c r="J497" s="2"/>
      <c r="K497" s="2"/>
      <c r="L497" s="53"/>
      <c r="M497" s="12"/>
      <c r="N497" s="2"/>
      <c r="O497" s="2"/>
    </row>
    <row r="498" ht="15.75" customHeight="1">
      <c r="A498" s="1" t="s">
        <v>648</v>
      </c>
      <c r="B498" s="63" t="s">
        <v>108</v>
      </c>
      <c r="C498" s="63" t="s">
        <v>628</v>
      </c>
      <c r="D498" s="24">
        <v>4.0E7</v>
      </c>
      <c r="E498" s="69">
        <v>0.9574021768</v>
      </c>
      <c r="F498" s="23">
        <v>3.829608707E7</v>
      </c>
      <c r="G498" s="23">
        <v>0.08</v>
      </c>
      <c r="H498" s="1"/>
      <c r="I498" s="1"/>
      <c r="J498" s="2"/>
      <c r="K498" s="2"/>
      <c r="L498" s="53"/>
      <c r="M498" s="12"/>
      <c r="N498" s="2"/>
      <c r="O498" s="2"/>
    </row>
    <row r="499" ht="15.75" customHeight="1">
      <c r="A499" s="1" t="s">
        <v>649</v>
      </c>
      <c r="B499" s="63" t="s">
        <v>506</v>
      </c>
      <c r="C499" s="63" t="s">
        <v>628</v>
      </c>
      <c r="D499" s="24">
        <v>4.0E7</v>
      </c>
      <c r="E499" s="69">
        <v>0.9581310367</v>
      </c>
      <c r="F499" s="23">
        <v>3.832524147E7</v>
      </c>
      <c r="G499" s="23">
        <v>0.08</v>
      </c>
      <c r="H499" s="1"/>
      <c r="I499" s="1"/>
      <c r="J499" s="2"/>
      <c r="K499" s="2"/>
      <c r="L499" s="53"/>
      <c r="M499" s="12"/>
      <c r="N499" s="2"/>
      <c r="O499" s="2"/>
    </row>
    <row r="500" ht="15.75" customHeight="1">
      <c r="A500" s="1" t="s">
        <v>650</v>
      </c>
      <c r="B500" s="63" t="s">
        <v>301</v>
      </c>
      <c r="C500" s="63" t="s">
        <v>628</v>
      </c>
      <c r="D500" s="23">
        <v>1.192307692E7</v>
      </c>
      <c r="E500" s="69">
        <v>0.9603241686</v>
      </c>
      <c r="F500" s="23">
        <v>1.145001893E7</v>
      </c>
      <c r="G500" s="23">
        <v>0.02</v>
      </c>
      <c r="H500" s="1"/>
      <c r="I500" s="1"/>
      <c r="J500" s="2"/>
      <c r="K500" s="2"/>
      <c r="L500" s="53"/>
      <c r="M500" s="12"/>
      <c r="N500" s="2"/>
      <c r="O500" s="2"/>
    </row>
    <row r="501" ht="15.75" customHeight="1">
      <c r="A501" s="1" t="s">
        <v>651</v>
      </c>
      <c r="B501" s="63" t="s">
        <v>315</v>
      </c>
      <c r="C501" s="63" t="s">
        <v>628</v>
      </c>
      <c r="D501" s="23">
        <v>1.192307692E7</v>
      </c>
      <c r="E501" s="69">
        <v>0.9494576535</v>
      </c>
      <c r="F501" s="23">
        <v>1.132045663E7</v>
      </c>
      <c r="G501" s="23">
        <v>0.02</v>
      </c>
      <c r="H501" s="1"/>
      <c r="I501" s="1"/>
      <c r="J501" s="2"/>
      <c r="K501" s="2"/>
      <c r="L501" s="53"/>
      <c r="M501" s="12"/>
      <c r="N501" s="2"/>
      <c r="O501" s="2"/>
    </row>
    <row r="502" ht="15.75" customHeight="1">
      <c r="A502" s="1" t="s">
        <v>652</v>
      </c>
      <c r="B502" s="63" t="s">
        <v>223</v>
      </c>
      <c r="C502" s="63" t="s">
        <v>628</v>
      </c>
      <c r="D502" s="24">
        <v>4.0E7</v>
      </c>
      <c r="E502" s="69">
        <v>0.9595920912</v>
      </c>
      <c r="F502" s="23">
        <v>3.838368365E7</v>
      </c>
      <c r="G502" s="23">
        <v>0.08</v>
      </c>
      <c r="H502" s="1"/>
      <c r="I502" s="1"/>
      <c r="J502" s="2"/>
      <c r="K502" s="2"/>
      <c r="L502" s="53"/>
      <c r="M502" s="12"/>
      <c r="N502" s="2"/>
      <c r="O502" s="2"/>
    </row>
    <row r="503" ht="15.75" customHeight="1">
      <c r="A503" s="1" t="s">
        <v>653</v>
      </c>
      <c r="B503" s="63" t="s">
        <v>173</v>
      </c>
      <c r="C503" s="63" t="s">
        <v>628</v>
      </c>
      <c r="D503" s="29">
        <v>6013017.5</v>
      </c>
      <c r="E503" s="69">
        <v>0.9830326388</v>
      </c>
      <c r="F503" s="23">
        <v>5910992.46</v>
      </c>
      <c r="G503" s="23">
        <v>0.01</v>
      </c>
      <c r="H503" s="1"/>
      <c r="I503" s="1"/>
      <c r="J503" s="2"/>
      <c r="K503" s="2"/>
      <c r="L503" s="53"/>
      <c r="M503" s="12"/>
      <c r="N503" s="2"/>
      <c r="O503" s="2"/>
    </row>
    <row r="504" ht="15.75" customHeight="1">
      <c r="A504" s="1" t="s">
        <v>654</v>
      </c>
      <c r="B504" s="63" t="s">
        <v>173</v>
      </c>
      <c r="C504" s="63" t="s">
        <v>628</v>
      </c>
      <c r="D504" s="29">
        <v>6013017.5</v>
      </c>
      <c r="E504" s="69">
        <v>0.9830326388</v>
      </c>
      <c r="F504" s="23">
        <v>5910992.46</v>
      </c>
      <c r="G504" s="23">
        <v>0.01</v>
      </c>
      <c r="H504" s="1"/>
      <c r="I504" s="1"/>
      <c r="J504" s="2"/>
      <c r="K504" s="2"/>
      <c r="L504" s="53"/>
      <c r="M504" s="12"/>
      <c r="N504" s="2"/>
      <c r="O504" s="2"/>
    </row>
    <row r="505" ht="15.75" customHeight="1">
      <c r="A505" s="1" t="s">
        <v>655</v>
      </c>
      <c r="B505" s="63" t="s">
        <v>173</v>
      </c>
      <c r="C505" s="63" t="s">
        <v>628</v>
      </c>
      <c r="D505" s="29">
        <v>6013017.5</v>
      </c>
      <c r="E505" s="69">
        <v>0.9830326388</v>
      </c>
      <c r="F505" s="23">
        <v>5910992.46</v>
      </c>
      <c r="G505" s="23">
        <v>0.01</v>
      </c>
      <c r="H505" s="1"/>
      <c r="I505" s="1"/>
      <c r="J505" s="2"/>
      <c r="K505" s="2"/>
      <c r="L505" s="53"/>
      <c r="M505" s="12"/>
      <c r="N505" s="2"/>
      <c r="O505" s="2"/>
    </row>
    <row r="506" ht="15.75" customHeight="1">
      <c r="A506" s="1" t="s">
        <v>656</v>
      </c>
      <c r="B506" s="63" t="s">
        <v>113</v>
      </c>
      <c r="C506" s="63" t="s">
        <v>628</v>
      </c>
      <c r="D506" s="24">
        <v>3.5E7</v>
      </c>
      <c r="E506" s="69">
        <v>0.9566995547</v>
      </c>
      <c r="F506" s="23">
        <v>3.348448441E7</v>
      </c>
      <c r="G506" s="23">
        <v>0.07</v>
      </c>
      <c r="H506" s="1"/>
      <c r="I506" s="1"/>
      <c r="J506" s="2"/>
      <c r="K506" s="2"/>
      <c r="L506" s="53"/>
      <c r="M506" s="12"/>
      <c r="N506" s="2"/>
      <c r="O506" s="2"/>
    </row>
    <row r="507" ht="15.75" customHeight="1">
      <c r="A507" s="1" t="s">
        <v>657</v>
      </c>
      <c r="B507" s="63" t="s">
        <v>115</v>
      </c>
      <c r="C507" s="63" t="s">
        <v>628</v>
      </c>
      <c r="D507" s="24">
        <v>3.5E7</v>
      </c>
      <c r="E507" s="69">
        <v>0.9360894649</v>
      </c>
      <c r="F507" s="23">
        <v>3.276313127E7</v>
      </c>
      <c r="G507" s="23">
        <v>0.07</v>
      </c>
      <c r="H507" s="1"/>
      <c r="I507" s="1"/>
      <c r="J507" s="2"/>
      <c r="K507" s="2"/>
      <c r="L507" s="53"/>
      <c r="M507" s="12"/>
      <c r="N507" s="2"/>
      <c r="O507" s="2"/>
    </row>
    <row r="508" ht="15.75" customHeight="1">
      <c r="A508" s="1" t="s">
        <v>658</v>
      </c>
      <c r="B508" s="63" t="s">
        <v>475</v>
      </c>
      <c r="C508" s="63" t="s">
        <v>628</v>
      </c>
      <c r="D508" s="24">
        <v>3.0E7</v>
      </c>
      <c r="E508" s="69">
        <v>0.9176388392</v>
      </c>
      <c r="F508" s="23">
        <v>2.752916518E7</v>
      </c>
      <c r="G508" s="23">
        <v>0.06</v>
      </c>
      <c r="H508" s="1"/>
      <c r="I508" s="1"/>
      <c r="J508" s="2"/>
      <c r="K508" s="2"/>
      <c r="L508" s="53"/>
      <c r="M508" s="12"/>
      <c r="N508" s="2"/>
      <c r="O508" s="2"/>
    </row>
    <row r="509" ht="15.75" customHeight="1">
      <c r="A509" s="1" t="s">
        <v>659</v>
      </c>
      <c r="B509" s="63" t="s">
        <v>228</v>
      </c>
      <c r="C509" s="63" t="s">
        <v>628</v>
      </c>
      <c r="D509" s="24">
        <v>7000000.0</v>
      </c>
      <c r="E509" s="69">
        <v>0.9960431199</v>
      </c>
      <c r="F509" s="23">
        <v>6972301.84</v>
      </c>
      <c r="G509" s="23">
        <v>0.01</v>
      </c>
      <c r="H509" s="1"/>
      <c r="I509" s="1"/>
      <c r="J509" s="2"/>
      <c r="K509" s="2"/>
      <c r="L509" s="53"/>
      <c r="M509" s="12"/>
      <c r="N509" s="2"/>
      <c r="O509" s="2"/>
    </row>
    <row r="510" ht="15.75" customHeight="1">
      <c r="A510" s="1" t="s">
        <v>660</v>
      </c>
      <c r="B510" s="63" t="s">
        <v>159</v>
      </c>
      <c r="C510" s="63" t="s">
        <v>628</v>
      </c>
      <c r="D510" s="24">
        <v>2.5E7</v>
      </c>
      <c r="E510" s="69">
        <v>0.9905558049</v>
      </c>
      <c r="F510" s="23">
        <v>2.476389512E7</v>
      </c>
      <c r="G510" s="23">
        <v>0.05</v>
      </c>
      <c r="H510" s="1"/>
      <c r="I510" s="1"/>
      <c r="J510" s="2"/>
      <c r="K510" s="2"/>
      <c r="L510" s="53"/>
      <c r="M510" s="12"/>
      <c r="N510" s="2"/>
      <c r="O510" s="2"/>
    </row>
    <row r="511" ht="15.75" customHeight="1">
      <c r="A511" s="1" t="s">
        <v>661</v>
      </c>
      <c r="B511" s="63" t="s">
        <v>330</v>
      </c>
      <c r="C511" s="63" t="s">
        <v>628</v>
      </c>
      <c r="D511" s="24">
        <v>2.5E7</v>
      </c>
      <c r="E511" s="69">
        <v>0.9843582104</v>
      </c>
      <c r="F511" s="23">
        <v>2.460895526E7</v>
      </c>
      <c r="G511" s="23">
        <v>0.05</v>
      </c>
      <c r="H511" s="1"/>
      <c r="I511" s="1"/>
      <c r="J511" s="2"/>
      <c r="K511" s="2"/>
      <c r="L511" s="53"/>
      <c r="M511" s="12"/>
      <c r="N511" s="2"/>
      <c r="O511" s="2"/>
    </row>
    <row r="512" ht="15.75" customHeight="1">
      <c r="A512" s="1" t="s">
        <v>662</v>
      </c>
      <c r="B512" s="63" t="s">
        <v>491</v>
      </c>
      <c r="C512" s="63" t="s">
        <v>628</v>
      </c>
      <c r="D512" s="24">
        <v>2.0E7</v>
      </c>
      <c r="E512" s="69">
        <v>0.9921174521</v>
      </c>
      <c r="F512" s="23">
        <v>1.984234904E7</v>
      </c>
      <c r="G512" s="23">
        <v>0.04</v>
      </c>
      <c r="H512" s="1"/>
      <c r="I512" s="1"/>
      <c r="J512" s="2"/>
      <c r="K512" s="2"/>
      <c r="L512" s="53"/>
      <c r="M512" s="12"/>
      <c r="N512" s="2"/>
      <c r="O512" s="2"/>
    </row>
    <row r="513" ht="15.75" customHeight="1">
      <c r="A513" s="1" t="s">
        <v>663</v>
      </c>
      <c r="B513" s="63" t="s">
        <v>211</v>
      </c>
      <c r="C513" s="63" t="s">
        <v>628</v>
      </c>
      <c r="D513" s="24">
        <v>2.0E7</v>
      </c>
      <c r="E513" s="69">
        <v>0.9913360145</v>
      </c>
      <c r="F513" s="23">
        <v>1.982672029E7</v>
      </c>
      <c r="G513" s="23">
        <v>0.04</v>
      </c>
      <c r="H513" s="1"/>
      <c r="I513" s="1"/>
      <c r="J513" s="2"/>
      <c r="K513" s="2"/>
      <c r="L513" s="53"/>
      <c r="M513" s="12"/>
      <c r="N513" s="2"/>
      <c r="O513" s="2"/>
    </row>
    <row r="514" ht="15.75" customHeight="1">
      <c r="A514" s="1" t="s">
        <v>664</v>
      </c>
      <c r="B514" s="63" t="s">
        <v>335</v>
      </c>
      <c r="C514" s="63" t="s">
        <v>628</v>
      </c>
      <c r="D514" s="23">
        <v>4166666.66</v>
      </c>
      <c r="E514" s="69">
        <v>0.9744507378</v>
      </c>
      <c r="F514" s="29">
        <v>4060211.4</v>
      </c>
      <c r="G514" s="23">
        <v>0.01</v>
      </c>
      <c r="H514" s="1"/>
      <c r="I514" s="1"/>
      <c r="J514" s="2"/>
      <c r="K514" s="2"/>
      <c r="L514" s="53"/>
      <c r="M514" s="12"/>
      <c r="N514" s="2"/>
      <c r="O514" s="2"/>
    </row>
    <row r="515" ht="15.75" customHeight="1">
      <c r="A515" s="1" t="s">
        <v>665</v>
      </c>
      <c r="B515" s="63" t="s">
        <v>185</v>
      </c>
      <c r="C515" s="63" t="s">
        <v>628</v>
      </c>
      <c r="D515" s="29">
        <v>4166666.7</v>
      </c>
      <c r="E515" s="69">
        <v>0.9851286232</v>
      </c>
      <c r="F515" s="23">
        <v>4104702.63</v>
      </c>
      <c r="G515" s="23">
        <v>0.01</v>
      </c>
      <c r="H515" s="1"/>
      <c r="I515" s="1"/>
      <c r="J515" s="2"/>
      <c r="K515" s="2"/>
      <c r="L515" s="53"/>
      <c r="M515" s="12"/>
      <c r="N515" s="2"/>
      <c r="O515" s="2"/>
    </row>
    <row r="516" ht="15.75" customHeight="1">
      <c r="A516" s="1" t="s">
        <v>666</v>
      </c>
      <c r="B516" s="63" t="s">
        <v>185</v>
      </c>
      <c r="C516" s="63" t="s">
        <v>628</v>
      </c>
      <c r="D516" s="24">
        <v>1.0E7</v>
      </c>
      <c r="E516" s="69">
        <v>0.9851286242</v>
      </c>
      <c r="F516" s="23">
        <v>9851286.24</v>
      </c>
      <c r="G516" s="23">
        <v>0.02</v>
      </c>
      <c r="H516" s="1"/>
      <c r="I516" s="1"/>
      <c r="J516" s="2"/>
      <c r="K516" s="2"/>
      <c r="L516" s="53"/>
      <c r="M516" s="12"/>
      <c r="N516" s="2"/>
      <c r="O516" s="2"/>
    </row>
    <row r="517" ht="15.75" customHeight="1">
      <c r="A517" s="1" t="s">
        <v>667</v>
      </c>
      <c r="B517" s="63" t="s">
        <v>330</v>
      </c>
      <c r="C517" s="63" t="s">
        <v>628</v>
      </c>
      <c r="D517" s="24">
        <v>1.0E7</v>
      </c>
      <c r="E517" s="69">
        <v>0.9843582088</v>
      </c>
      <c r="F517" s="23">
        <v>9843582.09</v>
      </c>
      <c r="G517" s="23">
        <v>0.02</v>
      </c>
      <c r="H517" s="1"/>
      <c r="I517" s="1"/>
      <c r="J517" s="2"/>
      <c r="K517" s="2"/>
      <c r="L517" s="53"/>
      <c r="M517" s="12"/>
      <c r="N517" s="2"/>
      <c r="O517" s="2"/>
    </row>
    <row r="518" ht="15.75" customHeight="1">
      <c r="A518" s="1" t="s">
        <v>668</v>
      </c>
      <c r="B518" s="63" t="s">
        <v>271</v>
      </c>
      <c r="C518" s="63" t="s">
        <v>628</v>
      </c>
      <c r="D518" s="24">
        <v>1.0E7</v>
      </c>
      <c r="E518" s="69">
        <v>0.9523312813</v>
      </c>
      <c r="F518" s="23">
        <v>9523312.81</v>
      </c>
      <c r="G518" s="23">
        <v>0.02</v>
      </c>
      <c r="H518" s="1"/>
      <c r="I518" s="1"/>
      <c r="J518" s="2"/>
      <c r="K518" s="2"/>
      <c r="L518" s="53"/>
      <c r="M518" s="12"/>
      <c r="N518" s="2"/>
      <c r="O518" s="2"/>
    </row>
    <row r="519" ht="15.75" customHeight="1">
      <c r="A519" s="1" t="s">
        <v>669</v>
      </c>
      <c r="B519" s="63" t="s">
        <v>315</v>
      </c>
      <c r="C519" s="63" t="s">
        <v>628</v>
      </c>
      <c r="D519" s="24">
        <v>1.0E7</v>
      </c>
      <c r="E519" s="69">
        <v>0.9494576535</v>
      </c>
      <c r="F519" s="23">
        <v>9494576.54</v>
      </c>
      <c r="G519" s="23">
        <v>0.02</v>
      </c>
      <c r="H519" s="1"/>
      <c r="I519" s="1"/>
      <c r="J519" s="2"/>
      <c r="K519" s="2"/>
      <c r="L519" s="53"/>
      <c r="M519" s="12"/>
      <c r="N519" s="2"/>
      <c r="O519" s="2"/>
    </row>
    <row r="520" ht="15.75" customHeight="1">
      <c r="A520" s="1" t="s">
        <v>670</v>
      </c>
      <c r="B520" s="63" t="s">
        <v>523</v>
      </c>
      <c r="C520" s="63" t="s">
        <v>628</v>
      </c>
      <c r="D520" s="24">
        <v>1.0E7</v>
      </c>
      <c r="E520" s="69">
        <v>0.9487420545</v>
      </c>
      <c r="F520" s="23">
        <v>9487420.55</v>
      </c>
      <c r="G520" s="23">
        <v>0.02</v>
      </c>
      <c r="H520" s="1"/>
      <c r="I520" s="1"/>
      <c r="J520" s="2"/>
      <c r="K520" s="2"/>
      <c r="L520" s="53"/>
      <c r="M520" s="12"/>
      <c r="N520" s="2"/>
      <c r="O520" s="2"/>
    </row>
    <row r="521" ht="15.75" customHeight="1">
      <c r="A521" s="1" t="s">
        <v>671</v>
      </c>
      <c r="B521" s="63" t="s">
        <v>491</v>
      </c>
      <c r="C521" s="63" t="s">
        <v>628</v>
      </c>
      <c r="D521" s="24">
        <v>6500000.0</v>
      </c>
      <c r="E521" s="69">
        <v>0.9921174507</v>
      </c>
      <c r="F521" s="23">
        <v>6448763.43</v>
      </c>
      <c r="G521" s="23">
        <v>0.01</v>
      </c>
      <c r="H521" s="1"/>
      <c r="I521" s="1"/>
      <c r="J521" s="2"/>
      <c r="K521" s="2"/>
      <c r="L521" s="53"/>
      <c r="M521" s="12"/>
      <c r="N521" s="2"/>
      <c r="O521" s="2"/>
    </row>
    <row r="522" ht="15.75" customHeight="1">
      <c r="A522" s="1" t="s">
        <v>672</v>
      </c>
      <c r="B522" s="63" t="s">
        <v>400</v>
      </c>
      <c r="C522" s="63" t="s">
        <v>628</v>
      </c>
      <c r="D522" s="24">
        <v>1.0E7</v>
      </c>
      <c r="E522" s="69">
        <v>0.9621721667</v>
      </c>
      <c r="F522" s="23">
        <v>9621721.67</v>
      </c>
      <c r="G522" s="23">
        <v>0.02</v>
      </c>
      <c r="H522" s="1"/>
      <c r="I522" s="1"/>
      <c r="J522" s="2"/>
      <c r="K522" s="2"/>
      <c r="L522" s="53"/>
      <c r="M522" s="12"/>
      <c r="N522" s="2"/>
      <c r="O522" s="2"/>
    </row>
    <row r="523" ht="15.75" customHeight="1">
      <c r="A523" s="1" t="s">
        <v>673</v>
      </c>
      <c r="B523" s="63" t="s">
        <v>113</v>
      </c>
      <c r="C523" s="63" t="s">
        <v>628</v>
      </c>
      <c r="D523" s="24">
        <v>1.0E7</v>
      </c>
      <c r="E523" s="69">
        <v>0.9464540835</v>
      </c>
      <c r="F523" s="23">
        <v>9464540.84</v>
      </c>
      <c r="G523" s="23">
        <v>0.02</v>
      </c>
      <c r="H523" s="1"/>
      <c r="I523" s="1"/>
      <c r="J523" s="2"/>
      <c r="K523" s="2"/>
      <c r="L523" s="53"/>
      <c r="M523" s="12"/>
      <c r="N523" s="2"/>
      <c r="O523" s="2"/>
    </row>
    <row r="524" ht="15.75" customHeight="1">
      <c r="A524" s="1" t="s">
        <v>674</v>
      </c>
      <c r="B524" s="63" t="s">
        <v>185</v>
      </c>
      <c r="C524" s="63" t="s">
        <v>628</v>
      </c>
      <c r="D524" s="24">
        <v>1809446.0</v>
      </c>
      <c r="E524" s="69">
        <v>0.9836154105</v>
      </c>
      <c r="F524" s="23">
        <v>1779798.97</v>
      </c>
      <c r="G524" s="24">
        <v>0.0</v>
      </c>
      <c r="H524" s="1"/>
      <c r="I524" s="1"/>
      <c r="J524" s="2"/>
      <c r="K524" s="2"/>
      <c r="L524" s="53"/>
      <c r="M524" s="12"/>
      <c r="N524" s="2"/>
      <c r="O524" s="2"/>
    </row>
    <row r="525" ht="15.75" customHeight="1">
      <c r="A525" s="1" t="s">
        <v>675</v>
      </c>
      <c r="B525" s="63" t="s">
        <v>475</v>
      </c>
      <c r="C525" s="63" t="s">
        <v>676</v>
      </c>
      <c r="D525" s="24">
        <v>1.0E8</v>
      </c>
      <c r="E525" s="69">
        <v>0.9176388554</v>
      </c>
      <c r="F525" s="23">
        <v>9.176388554E7</v>
      </c>
      <c r="G525" s="23">
        <v>0.19</v>
      </c>
      <c r="H525" s="1"/>
      <c r="I525" s="1"/>
      <c r="J525" s="2"/>
      <c r="K525" s="2"/>
      <c r="L525" s="53"/>
      <c r="M525" s="12"/>
      <c r="N525" s="2"/>
      <c r="O525" s="2"/>
    </row>
    <row r="526" ht="15.75" customHeight="1">
      <c r="A526" s="1" t="s">
        <v>677</v>
      </c>
      <c r="B526" s="63" t="s">
        <v>341</v>
      </c>
      <c r="C526" s="63" t="s">
        <v>676</v>
      </c>
      <c r="D526" s="24">
        <v>6500000.0</v>
      </c>
      <c r="E526" s="69">
        <v>0.9745808233</v>
      </c>
      <c r="F526" s="23">
        <v>6334775.35</v>
      </c>
      <c r="G526" s="23">
        <v>0.01</v>
      </c>
      <c r="H526" s="1"/>
      <c r="I526" s="1"/>
      <c r="J526" s="2"/>
      <c r="K526" s="2"/>
      <c r="L526" s="53"/>
      <c r="M526" s="12"/>
      <c r="N526" s="2"/>
      <c r="O526" s="2"/>
    </row>
    <row r="527" ht="15.75" customHeight="1">
      <c r="A527" s="1" t="s">
        <v>678</v>
      </c>
      <c r="B527" s="63" t="s">
        <v>228</v>
      </c>
      <c r="C527" s="63" t="s">
        <v>676</v>
      </c>
      <c r="D527" s="24">
        <v>6500000.0</v>
      </c>
      <c r="E527" s="69">
        <v>0.9961790431</v>
      </c>
      <c r="F527" s="23">
        <v>6475163.78</v>
      </c>
      <c r="G527" s="23">
        <v>0.01</v>
      </c>
      <c r="H527" s="1"/>
      <c r="I527" s="1"/>
      <c r="J527" s="2"/>
      <c r="K527" s="2"/>
      <c r="L527" s="53"/>
      <c r="M527" s="12"/>
      <c r="N527" s="2"/>
      <c r="O527" s="2"/>
    </row>
    <row r="528" ht="15.75" customHeight="1">
      <c r="A528" s="1" t="s">
        <v>679</v>
      </c>
      <c r="B528" s="63" t="s">
        <v>491</v>
      </c>
      <c r="C528" s="63" t="s">
        <v>676</v>
      </c>
      <c r="D528" s="24">
        <v>6500000.0</v>
      </c>
      <c r="E528" s="69">
        <v>0.9923871985</v>
      </c>
      <c r="F528" s="23">
        <v>6450516.79</v>
      </c>
      <c r="G528" s="23">
        <v>0.01</v>
      </c>
      <c r="H528" s="1"/>
      <c r="I528" s="1"/>
      <c r="J528" s="2"/>
      <c r="K528" s="2"/>
      <c r="L528" s="53"/>
      <c r="M528" s="12"/>
      <c r="N528" s="2"/>
      <c r="O528" s="2"/>
    </row>
    <row r="529" ht="15.75" customHeight="1">
      <c r="A529" s="1" t="s">
        <v>680</v>
      </c>
      <c r="B529" s="63" t="s">
        <v>247</v>
      </c>
      <c r="C529" s="63" t="s">
        <v>676</v>
      </c>
      <c r="D529" s="24">
        <v>7000000.0</v>
      </c>
      <c r="E529" s="69">
        <v>0.9702286627</v>
      </c>
      <c r="F529" s="23">
        <v>6791600.64</v>
      </c>
      <c r="G529" s="23">
        <v>0.01</v>
      </c>
      <c r="H529" s="1"/>
      <c r="I529" s="1"/>
      <c r="J529" s="2"/>
      <c r="K529" s="2"/>
      <c r="L529" s="53"/>
      <c r="M529" s="12"/>
      <c r="N529" s="2"/>
      <c r="O529" s="2"/>
    </row>
    <row r="530" ht="15.75" customHeight="1">
      <c r="A530" s="1" t="s">
        <v>681</v>
      </c>
      <c r="B530" s="63" t="s">
        <v>400</v>
      </c>
      <c r="C530" s="63" t="s">
        <v>676</v>
      </c>
      <c r="D530" s="24">
        <v>7000000.0</v>
      </c>
      <c r="E530" s="69">
        <v>0.9695070461</v>
      </c>
      <c r="F530" s="23">
        <v>6786549.32</v>
      </c>
      <c r="G530" s="23">
        <v>0.01</v>
      </c>
      <c r="H530" s="1"/>
      <c r="I530" s="1"/>
      <c r="J530" s="2"/>
      <c r="K530" s="2"/>
      <c r="L530" s="53"/>
      <c r="M530" s="12"/>
      <c r="N530" s="2"/>
      <c r="O530" s="2"/>
    </row>
    <row r="531" ht="15.75" customHeight="1">
      <c r="A531" s="1" t="s">
        <v>682</v>
      </c>
      <c r="B531" s="63" t="s">
        <v>159</v>
      </c>
      <c r="C531" s="63" t="s">
        <v>676</v>
      </c>
      <c r="D531" s="24">
        <v>6500000.0</v>
      </c>
      <c r="E531" s="69">
        <v>0.9908785017</v>
      </c>
      <c r="F531" s="23">
        <v>6440710.26</v>
      </c>
      <c r="G531" s="23">
        <v>0.01</v>
      </c>
      <c r="H531" s="1"/>
      <c r="I531" s="1"/>
      <c r="J531" s="2"/>
      <c r="K531" s="2"/>
      <c r="L531" s="53"/>
      <c r="M531" s="12"/>
      <c r="N531" s="2"/>
      <c r="O531" s="2"/>
    </row>
    <row r="532" ht="15.75" customHeight="1">
      <c r="A532" s="1" t="s">
        <v>683</v>
      </c>
      <c r="B532" s="63" t="s">
        <v>163</v>
      </c>
      <c r="C532" s="63" t="s">
        <v>676</v>
      </c>
      <c r="D532" s="24">
        <v>6500000.0</v>
      </c>
      <c r="E532" s="69">
        <v>0.9901258708</v>
      </c>
      <c r="F532" s="23">
        <v>6435818.16</v>
      </c>
      <c r="G532" s="23">
        <v>0.01</v>
      </c>
      <c r="H532" s="1"/>
      <c r="I532" s="1"/>
      <c r="J532" s="2"/>
      <c r="K532" s="2"/>
      <c r="L532" s="53"/>
      <c r="M532" s="12"/>
      <c r="N532" s="2"/>
      <c r="O532" s="2"/>
    </row>
    <row r="533" ht="15.75" customHeight="1">
      <c r="A533" s="1" t="s">
        <v>684</v>
      </c>
      <c r="B533" s="63" t="s">
        <v>297</v>
      </c>
      <c r="C533" s="63" t="s">
        <v>676</v>
      </c>
      <c r="D533" s="24">
        <v>5000000.0</v>
      </c>
      <c r="E533" s="69">
        <v>0.9644858302</v>
      </c>
      <c r="F533" s="23">
        <v>4822429.15</v>
      </c>
      <c r="G533" s="23">
        <v>0.01</v>
      </c>
      <c r="H533" s="1"/>
      <c r="I533" s="1"/>
      <c r="J533" s="2"/>
      <c r="K533" s="2"/>
      <c r="L533" s="53"/>
      <c r="M533" s="12"/>
      <c r="N533" s="2"/>
      <c r="O533" s="2"/>
    </row>
    <row r="534" ht="15.75" customHeight="1">
      <c r="A534" s="1" t="s">
        <v>685</v>
      </c>
      <c r="B534" s="63" t="s">
        <v>335</v>
      </c>
      <c r="C534" s="63" t="s">
        <v>676</v>
      </c>
      <c r="D534" s="24">
        <v>6500000.0</v>
      </c>
      <c r="E534" s="69">
        <v>0.9753100105</v>
      </c>
      <c r="F534" s="23">
        <v>6339515.07</v>
      </c>
      <c r="G534" s="23">
        <v>0.01</v>
      </c>
      <c r="H534" s="1"/>
      <c r="I534" s="1"/>
      <c r="J534" s="2"/>
      <c r="K534" s="2"/>
      <c r="L534" s="53"/>
      <c r="M534" s="12"/>
      <c r="N534" s="2"/>
      <c r="O534" s="2"/>
    </row>
    <row r="535" ht="15.75" customHeight="1">
      <c r="A535" s="1" t="s">
        <v>686</v>
      </c>
      <c r="B535" s="63" t="s">
        <v>185</v>
      </c>
      <c r="C535" s="63" t="s">
        <v>676</v>
      </c>
      <c r="D535" s="24">
        <v>6500000.0</v>
      </c>
      <c r="E535" s="70">
        <v>0.985634071</v>
      </c>
      <c r="F535" s="23">
        <v>6406621.46</v>
      </c>
      <c r="G535" s="23">
        <v>0.01</v>
      </c>
      <c r="H535" s="1"/>
      <c r="I535" s="1"/>
      <c r="J535" s="2"/>
      <c r="K535" s="2"/>
      <c r="L535" s="53"/>
      <c r="M535" s="12"/>
      <c r="N535" s="2"/>
      <c r="O535" s="2"/>
    </row>
    <row r="536" ht="15.75" customHeight="1">
      <c r="A536" s="1" t="s">
        <v>687</v>
      </c>
      <c r="B536" s="63" t="s">
        <v>330</v>
      </c>
      <c r="C536" s="63" t="s">
        <v>676</v>
      </c>
      <c r="D536" s="24">
        <v>6500000.0</v>
      </c>
      <c r="E536" s="69">
        <v>0.9848893723</v>
      </c>
      <c r="F536" s="23">
        <v>6401780.92</v>
      </c>
      <c r="G536" s="23">
        <v>0.01</v>
      </c>
      <c r="H536" s="1"/>
      <c r="I536" s="1"/>
      <c r="J536" s="2"/>
      <c r="K536" s="2"/>
      <c r="L536" s="53"/>
      <c r="M536" s="12"/>
      <c r="N536" s="2"/>
      <c r="O536" s="2"/>
    </row>
    <row r="537" ht="15.75" customHeight="1">
      <c r="A537" s="1" t="s">
        <v>688</v>
      </c>
      <c r="B537" s="63" t="s">
        <v>328</v>
      </c>
      <c r="C537" s="63" t="s">
        <v>676</v>
      </c>
      <c r="D537" s="24">
        <v>5000000.0</v>
      </c>
      <c r="E537" s="69">
        <v>0.9602231816</v>
      </c>
      <c r="F537" s="23">
        <v>4801115.91</v>
      </c>
      <c r="G537" s="23">
        <v>0.01</v>
      </c>
      <c r="H537" s="1"/>
      <c r="I537" s="1"/>
      <c r="J537" s="2"/>
      <c r="K537" s="2"/>
      <c r="L537" s="53"/>
      <c r="M537" s="12"/>
      <c r="N537" s="2"/>
      <c r="O537" s="2"/>
    </row>
    <row r="538" ht="15.75" customHeight="1">
      <c r="A538" s="1" t="s">
        <v>689</v>
      </c>
      <c r="B538" s="63" t="s">
        <v>506</v>
      </c>
      <c r="C538" s="63" t="s">
        <v>676</v>
      </c>
      <c r="D538" s="24">
        <v>5000000.0</v>
      </c>
      <c r="E538" s="69">
        <v>0.9595163583</v>
      </c>
      <c r="F538" s="23">
        <v>4797581.79</v>
      </c>
      <c r="G538" s="23">
        <v>0.01</v>
      </c>
      <c r="H538" s="1"/>
      <c r="I538" s="1"/>
      <c r="J538" s="2"/>
      <c r="K538" s="2"/>
      <c r="L538" s="53"/>
      <c r="M538" s="12"/>
      <c r="N538" s="2"/>
      <c r="O538" s="2"/>
    </row>
    <row r="539" ht="15.75" customHeight="1">
      <c r="A539" s="1" t="s">
        <v>690</v>
      </c>
      <c r="B539" s="63" t="s">
        <v>175</v>
      </c>
      <c r="C539" s="63" t="s">
        <v>676</v>
      </c>
      <c r="D539" s="24">
        <v>6500000.0</v>
      </c>
      <c r="E539" s="69">
        <v>0.9804448628</v>
      </c>
      <c r="F539" s="23">
        <v>6372891.61</v>
      </c>
      <c r="G539" s="23">
        <v>0.01</v>
      </c>
      <c r="H539" s="1"/>
      <c r="I539" s="1"/>
      <c r="J539" s="2"/>
      <c r="K539" s="2"/>
      <c r="L539" s="53"/>
      <c r="M539" s="12"/>
      <c r="N539" s="2"/>
      <c r="O539" s="2"/>
    </row>
    <row r="540" ht="15.75" customHeight="1">
      <c r="A540" s="1" t="s">
        <v>691</v>
      </c>
      <c r="B540" s="63" t="s">
        <v>150</v>
      </c>
      <c r="C540" s="63" t="s">
        <v>676</v>
      </c>
      <c r="D540" s="24">
        <v>6500000.0</v>
      </c>
      <c r="E540" s="68">
        <v>0.97970798</v>
      </c>
      <c r="F540" s="23">
        <v>6368101.87</v>
      </c>
      <c r="G540" s="23">
        <v>0.01</v>
      </c>
      <c r="H540" s="1"/>
      <c r="I540" s="1"/>
      <c r="J540" s="2"/>
      <c r="K540" s="2"/>
      <c r="L540" s="53"/>
      <c r="M540" s="12"/>
      <c r="N540" s="2"/>
      <c r="O540" s="2"/>
    </row>
    <row r="541" ht="15.75" customHeight="1">
      <c r="A541" s="1" t="s">
        <v>692</v>
      </c>
      <c r="B541" s="63" t="s">
        <v>297</v>
      </c>
      <c r="C541" s="63" t="s">
        <v>676</v>
      </c>
      <c r="D541" s="24">
        <v>5000000.0</v>
      </c>
      <c r="E541" s="69">
        <v>0.9644858302</v>
      </c>
      <c r="F541" s="23">
        <v>4822429.15</v>
      </c>
      <c r="G541" s="23">
        <v>0.01</v>
      </c>
      <c r="H541" s="1"/>
      <c r="I541" s="1"/>
      <c r="J541" s="2"/>
      <c r="K541" s="2"/>
      <c r="L541" s="53"/>
      <c r="M541" s="12"/>
      <c r="N541" s="2"/>
      <c r="O541" s="2"/>
    </row>
    <row r="542" ht="15.75" customHeight="1">
      <c r="A542" s="1" t="s">
        <v>693</v>
      </c>
      <c r="B542" s="63" t="s">
        <v>167</v>
      </c>
      <c r="C542" s="63" t="s">
        <v>676</v>
      </c>
      <c r="D542" s="24">
        <v>8000000.0</v>
      </c>
      <c r="E542" s="69">
        <v>0.9720373842</v>
      </c>
      <c r="F542" s="23">
        <v>7776299.07</v>
      </c>
      <c r="G542" s="23">
        <v>0.02</v>
      </c>
      <c r="H542" s="1"/>
      <c r="I542" s="1"/>
      <c r="J542" s="2"/>
      <c r="K542" s="2"/>
      <c r="L542" s="53"/>
      <c r="M542" s="12"/>
      <c r="N542" s="2"/>
      <c r="O542" s="2"/>
    </row>
    <row r="543" ht="15.75" customHeight="1">
      <c r="A543" s="1" t="s">
        <v>694</v>
      </c>
      <c r="B543" s="63" t="s">
        <v>209</v>
      </c>
      <c r="C543" s="63" t="s">
        <v>676</v>
      </c>
      <c r="D543" s="24">
        <v>1.2E7</v>
      </c>
      <c r="E543" s="69">
        <v>0.9968319933</v>
      </c>
      <c r="F543" s="23">
        <v>1.196198392E7</v>
      </c>
      <c r="G543" s="23">
        <v>0.02</v>
      </c>
      <c r="H543" s="1"/>
      <c r="I543" s="1"/>
      <c r="J543" s="2"/>
      <c r="K543" s="2"/>
      <c r="L543" s="53"/>
      <c r="M543" s="12"/>
      <c r="N543" s="2"/>
      <c r="O543" s="2"/>
    </row>
    <row r="544" ht="15.75" customHeight="1">
      <c r="A544" s="1" t="s">
        <v>695</v>
      </c>
      <c r="B544" s="63" t="s">
        <v>163</v>
      </c>
      <c r="C544" s="63" t="s">
        <v>676</v>
      </c>
      <c r="D544" s="29">
        <v>9.69599488E7</v>
      </c>
      <c r="E544" s="69">
        <v>0.9908246919</v>
      </c>
      <c r="F544" s="29">
        <v>9.60703114E7</v>
      </c>
      <c r="G544" s="29">
        <v>0.2</v>
      </c>
      <c r="H544" s="1"/>
      <c r="I544" s="1"/>
      <c r="J544" s="2"/>
      <c r="K544" s="2"/>
      <c r="L544" s="53"/>
      <c r="M544" s="12"/>
      <c r="N544" s="2"/>
      <c r="O544" s="2"/>
    </row>
    <row r="545" ht="15.75" customHeight="1">
      <c r="A545" s="1" t="s">
        <v>696</v>
      </c>
      <c r="B545" s="63" t="s">
        <v>148</v>
      </c>
      <c r="C545" s="63" t="s">
        <v>676</v>
      </c>
      <c r="D545" s="29">
        <v>2.77890802E7</v>
      </c>
      <c r="E545" s="69">
        <v>0.9768762086</v>
      </c>
      <c r="F545" s="23">
        <v>2.714649131E7</v>
      </c>
      <c r="G545" s="23">
        <v>0.06</v>
      </c>
      <c r="H545" s="1"/>
      <c r="I545" s="1"/>
      <c r="J545" s="2"/>
      <c r="K545" s="2"/>
      <c r="L545" s="53"/>
      <c r="M545" s="12"/>
      <c r="N545" s="2"/>
      <c r="O545" s="2"/>
    </row>
    <row r="546" ht="15.75" customHeight="1">
      <c r="A546" s="1" t="s">
        <v>697</v>
      </c>
      <c r="B546" s="63" t="s">
        <v>247</v>
      </c>
      <c r="C546" s="63" t="s">
        <v>676</v>
      </c>
      <c r="D546" s="24">
        <v>1.68E7</v>
      </c>
      <c r="E546" s="69">
        <v>0.9681698291</v>
      </c>
      <c r="F546" s="23">
        <v>1.626525313E7</v>
      </c>
      <c r="G546" s="23">
        <v>0.03</v>
      </c>
      <c r="H546" s="1"/>
      <c r="I546" s="1"/>
      <c r="J546" s="2"/>
      <c r="K546" s="2"/>
      <c r="L546" s="53"/>
      <c r="M546" s="12"/>
      <c r="N546" s="2"/>
      <c r="O546" s="2"/>
    </row>
    <row r="547" ht="15.75" customHeight="1">
      <c r="A547" s="1" t="s">
        <v>698</v>
      </c>
      <c r="B547" s="63" t="s">
        <v>159</v>
      </c>
      <c r="C547" s="63" t="s">
        <v>676</v>
      </c>
      <c r="D547" s="24">
        <v>1.025E7</v>
      </c>
      <c r="E547" s="69">
        <v>0.9902333288</v>
      </c>
      <c r="F547" s="23">
        <v>1.014989162E7</v>
      </c>
      <c r="G547" s="23">
        <v>0.02</v>
      </c>
      <c r="H547" s="1"/>
      <c r="I547" s="1"/>
      <c r="J547" s="2"/>
      <c r="K547" s="2"/>
      <c r="L547" s="53"/>
      <c r="M547" s="12"/>
      <c r="N547" s="2"/>
      <c r="O547" s="2"/>
    </row>
    <row r="548" ht="15.75" customHeight="1">
      <c r="A548" s="1" t="s">
        <v>699</v>
      </c>
      <c r="B548" s="63" t="s">
        <v>140</v>
      </c>
      <c r="C548" s="63" t="s">
        <v>676</v>
      </c>
      <c r="D548" s="24">
        <v>1.025E7</v>
      </c>
      <c r="E548" s="69">
        <v>0.9854212099</v>
      </c>
      <c r="F548" s="29">
        <v>1.01005674E7</v>
      </c>
      <c r="G548" s="23">
        <v>0.02</v>
      </c>
      <c r="H548" s="1"/>
      <c r="I548" s="1"/>
      <c r="J548" s="2"/>
      <c r="K548" s="2"/>
      <c r="L548" s="53"/>
      <c r="M548" s="12"/>
      <c r="N548" s="2"/>
      <c r="O548" s="2"/>
    </row>
    <row r="549" ht="15.75" customHeight="1">
      <c r="A549" s="1" t="s">
        <v>700</v>
      </c>
      <c r="B549" s="63" t="s">
        <v>163</v>
      </c>
      <c r="C549" s="63" t="s">
        <v>676</v>
      </c>
      <c r="D549" s="24">
        <v>3214300.0</v>
      </c>
      <c r="E549" s="69">
        <v>0.9873404008</v>
      </c>
      <c r="F549" s="23">
        <v>3173608.25</v>
      </c>
      <c r="G549" s="23">
        <v>0.01</v>
      </c>
      <c r="H549" s="1"/>
      <c r="I549" s="1"/>
      <c r="J549" s="2"/>
      <c r="K549" s="2"/>
      <c r="L549" s="53"/>
      <c r="M549" s="12"/>
      <c r="N549" s="2"/>
      <c r="O549" s="2"/>
    </row>
    <row r="550" ht="15.75" customHeight="1">
      <c r="A550" s="1" t="s">
        <v>701</v>
      </c>
      <c r="B550" s="63" t="s">
        <v>204</v>
      </c>
      <c r="C550" s="63" t="s">
        <v>676</v>
      </c>
      <c r="D550" s="24">
        <v>5.0E7</v>
      </c>
      <c r="E550" s="69">
        <v>0.9522568347</v>
      </c>
      <c r="F550" s="23">
        <v>4.761284174E7</v>
      </c>
      <c r="G550" s="29">
        <v>0.1</v>
      </c>
      <c r="H550" s="1"/>
      <c r="I550" s="1"/>
      <c r="J550" s="2"/>
      <c r="K550" s="2"/>
      <c r="L550" s="53"/>
      <c r="M550" s="12"/>
      <c r="N550" s="2"/>
      <c r="O550" s="2"/>
    </row>
    <row r="551" ht="15.75" customHeight="1">
      <c r="A551" s="1" t="s">
        <v>702</v>
      </c>
      <c r="B551" s="63" t="s">
        <v>204</v>
      </c>
      <c r="C551" s="63" t="s">
        <v>676</v>
      </c>
      <c r="D551" s="24">
        <v>5.0E7</v>
      </c>
      <c r="E551" s="69">
        <v>0.9522568347</v>
      </c>
      <c r="F551" s="23">
        <v>4.761284174E7</v>
      </c>
      <c r="G551" s="29">
        <v>0.1</v>
      </c>
      <c r="H551" s="1"/>
      <c r="I551" s="1"/>
      <c r="J551" s="2"/>
      <c r="K551" s="2"/>
      <c r="L551" s="53"/>
      <c r="M551" s="12"/>
      <c r="N551" s="2"/>
      <c r="O551" s="2"/>
    </row>
    <row r="552" ht="15.75" customHeight="1">
      <c r="A552" s="1" t="s">
        <v>703</v>
      </c>
      <c r="B552" s="63" t="s">
        <v>549</v>
      </c>
      <c r="C552" s="63" t="s">
        <v>704</v>
      </c>
      <c r="D552" s="24">
        <v>1.0E7</v>
      </c>
      <c r="E552" s="69">
        <v>0.9697131192</v>
      </c>
      <c r="F552" s="23">
        <v>9697131.19</v>
      </c>
      <c r="G552" s="23">
        <v>0.02</v>
      </c>
      <c r="H552" s="1"/>
      <c r="I552" s="1"/>
      <c r="J552" s="2"/>
      <c r="K552" s="2"/>
      <c r="L552" s="53"/>
      <c r="M552" s="12"/>
      <c r="N552" s="2"/>
      <c r="O552" s="2"/>
    </row>
    <row r="553" ht="15.75" customHeight="1">
      <c r="A553" s="1" t="s">
        <v>705</v>
      </c>
      <c r="B553" s="63" t="s">
        <v>282</v>
      </c>
      <c r="C553" s="63" t="s">
        <v>704</v>
      </c>
      <c r="D553" s="24">
        <v>1.0E7</v>
      </c>
      <c r="E553" s="69">
        <v>0.9455958953</v>
      </c>
      <c r="F553" s="23">
        <v>9455958.95</v>
      </c>
      <c r="G553" s="23">
        <v>0.02</v>
      </c>
      <c r="H553" s="1"/>
      <c r="I553" s="1"/>
      <c r="J553" s="2"/>
      <c r="K553" s="2"/>
      <c r="L553" s="53"/>
      <c r="M553" s="12"/>
      <c r="N553" s="2"/>
      <c r="O553" s="2"/>
    </row>
    <row r="554" ht="15.75" customHeight="1">
      <c r="A554" s="1" t="s">
        <v>706</v>
      </c>
      <c r="B554" s="63" t="s">
        <v>378</v>
      </c>
      <c r="C554" s="63" t="s">
        <v>704</v>
      </c>
      <c r="D554" s="24">
        <v>1.0E7</v>
      </c>
      <c r="E554" s="69">
        <v>0.9408186948</v>
      </c>
      <c r="F554" s="23">
        <v>9408186.95</v>
      </c>
      <c r="G554" s="23">
        <v>0.02</v>
      </c>
      <c r="H554" s="1"/>
      <c r="I554" s="1"/>
      <c r="J554" s="2"/>
      <c r="K554" s="2"/>
      <c r="L554" s="53"/>
      <c r="M554" s="12"/>
      <c r="N554" s="2"/>
      <c r="O554" s="2"/>
    </row>
    <row r="555" ht="15.75" customHeight="1">
      <c r="A555" s="1" t="s">
        <v>707</v>
      </c>
      <c r="B555" s="63" t="s">
        <v>115</v>
      </c>
      <c r="C555" s="63" t="s">
        <v>704</v>
      </c>
      <c r="D555" s="24">
        <v>1.0E7</v>
      </c>
      <c r="E555" s="69">
        <v>0.9339577457</v>
      </c>
      <c r="F555" s="23">
        <v>9339577.46</v>
      </c>
      <c r="G555" s="23">
        <v>0.02</v>
      </c>
      <c r="H555" s="1"/>
      <c r="I555" s="1"/>
      <c r="J555" s="2"/>
      <c r="K555" s="2"/>
      <c r="L555" s="53"/>
      <c r="M555" s="12"/>
      <c r="N555" s="2"/>
      <c r="O555" s="2"/>
    </row>
    <row r="556" ht="15.75" customHeight="1">
      <c r="A556" s="1" t="s">
        <v>708</v>
      </c>
      <c r="B556" s="63" t="s">
        <v>382</v>
      </c>
      <c r="C556" s="63" t="s">
        <v>704</v>
      </c>
      <c r="D556" s="24">
        <v>1.0E7</v>
      </c>
      <c r="E556" s="69">
        <v>0.9325737865</v>
      </c>
      <c r="F556" s="23">
        <v>9325737.87</v>
      </c>
      <c r="G556" s="23">
        <v>0.02</v>
      </c>
      <c r="H556" s="1"/>
      <c r="I556" s="1"/>
      <c r="J556" s="2"/>
      <c r="K556" s="2"/>
      <c r="L556" s="53"/>
      <c r="M556" s="12"/>
      <c r="N556" s="2"/>
      <c r="O556" s="2"/>
    </row>
    <row r="557" ht="15.75" customHeight="1">
      <c r="A557" s="1" t="s">
        <v>709</v>
      </c>
      <c r="B557" s="63" t="s">
        <v>140</v>
      </c>
      <c r="C557" s="63" t="s">
        <v>704</v>
      </c>
      <c r="D557" s="24">
        <v>5000000.0</v>
      </c>
      <c r="E557" s="69">
        <v>0.9820804741</v>
      </c>
      <c r="F557" s="23">
        <v>4910402.37</v>
      </c>
      <c r="G557" s="23">
        <v>0.01</v>
      </c>
      <c r="H557" s="1"/>
      <c r="I557" s="1"/>
      <c r="J557" s="2"/>
      <c r="K557" s="2"/>
      <c r="L557" s="53"/>
      <c r="M557" s="12"/>
      <c r="N557" s="2"/>
      <c r="O557" s="2"/>
    </row>
    <row r="558" ht="15.75" customHeight="1">
      <c r="A558" s="1" t="s">
        <v>710</v>
      </c>
      <c r="B558" s="63" t="s">
        <v>159</v>
      </c>
      <c r="C558" s="63" t="s">
        <v>704</v>
      </c>
      <c r="D558" s="24">
        <v>5000000.0</v>
      </c>
      <c r="E558" s="69">
        <v>0.9879818402</v>
      </c>
      <c r="F558" s="29">
        <v>4939909.2</v>
      </c>
      <c r="G558" s="23">
        <v>0.01</v>
      </c>
      <c r="H558" s="1"/>
      <c r="I558" s="1"/>
      <c r="J558" s="2"/>
      <c r="K558" s="2"/>
      <c r="L558" s="53"/>
      <c r="M558" s="12"/>
      <c r="N558" s="2"/>
      <c r="O558" s="2"/>
    </row>
    <row r="559" ht="15.75" customHeight="1">
      <c r="A559" s="1" t="s">
        <v>711</v>
      </c>
      <c r="B559" s="63" t="s">
        <v>153</v>
      </c>
      <c r="C559" s="63" t="s">
        <v>704</v>
      </c>
      <c r="D559" s="24">
        <v>5000000.0</v>
      </c>
      <c r="E559" s="69">
        <v>0.9860068041</v>
      </c>
      <c r="F559" s="23">
        <v>4930034.02</v>
      </c>
      <c r="G559" s="23">
        <v>0.01</v>
      </c>
      <c r="H559" s="1"/>
      <c r="I559" s="1"/>
      <c r="J559" s="2"/>
      <c r="K559" s="2"/>
      <c r="L559" s="53"/>
      <c r="M559" s="12"/>
      <c r="N559" s="2"/>
      <c r="O559" s="2"/>
    </row>
    <row r="560" ht="15.75" customHeight="1">
      <c r="A560" s="1" t="s">
        <v>712</v>
      </c>
      <c r="B560" s="63" t="s">
        <v>335</v>
      </c>
      <c r="C560" s="63" t="s">
        <v>704</v>
      </c>
      <c r="D560" s="24">
        <v>1.5E7</v>
      </c>
      <c r="E560" s="69">
        <v>0.9735930387</v>
      </c>
      <c r="F560" s="23">
        <v>1.460389558E7</v>
      </c>
      <c r="G560" s="23">
        <v>0.03</v>
      </c>
      <c r="H560" s="1"/>
      <c r="I560" s="1"/>
      <c r="J560" s="2"/>
      <c r="K560" s="2"/>
      <c r="L560" s="53"/>
      <c r="M560" s="12"/>
      <c r="N560" s="2"/>
      <c r="O560" s="2"/>
    </row>
    <row r="561" ht="15.75" customHeight="1">
      <c r="A561" s="1" t="s">
        <v>713</v>
      </c>
      <c r="B561" s="63" t="s">
        <v>129</v>
      </c>
      <c r="C561" s="63" t="s">
        <v>704</v>
      </c>
      <c r="D561" s="24">
        <v>4.2E7</v>
      </c>
      <c r="E561" s="69">
        <v>0.9974585305</v>
      </c>
      <c r="F561" s="23">
        <v>4.189325828E7</v>
      </c>
      <c r="G561" s="23">
        <v>0.09</v>
      </c>
      <c r="H561" s="1"/>
      <c r="I561" s="1"/>
      <c r="J561" s="2"/>
      <c r="K561" s="2"/>
      <c r="L561" s="53"/>
      <c r="M561" s="12"/>
      <c r="N561" s="2"/>
      <c r="O561" s="2"/>
    </row>
    <row r="562" ht="15.75" customHeight="1">
      <c r="A562" s="1" t="s">
        <v>714</v>
      </c>
      <c r="B562" s="63" t="s">
        <v>315</v>
      </c>
      <c r="C562" s="63" t="s">
        <v>704</v>
      </c>
      <c r="D562" s="24">
        <v>6.0E7</v>
      </c>
      <c r="E562" s="70">
        <v>0.947805834</v>
      </c>
      <c r="F562" s="23">
        <v>5.686835004E7</v>
      </c>
      <c r="G562" s="23">
        <v>0.12</v>
      </c>
      <c r="H562" s="1"/>
      <c r="I562" s="1"/>
      <c r="J562" s="2"/>
      <c r="K562" s="2"/>
      <c r="L562" s="53"/>
      <c r="M562" s="12"/>
      <c r="N562" s="2"/>
      <c r="O562" s="2"/>
    </row>
    <row r="563" ht="15.75" customHeight="1">
      <c r="A563" s="1" t="s">
        <v>715</v>
      </c>
      <c r="B563" s="63" t="s">
        <v>159</v>
      </c>
      <c r="C563" s="63" t="s">
        <v>704</v>
      </c>
      <c r="D563" s="24">
        <v>6.0E7</v>
      </c>
      <c r="E563" s="69">
        <v>0.9902333426</v>
      </c>
      <c r="F563" s="23">
        <v>5.941400056E7</v>
      </c>
      <c r="G563" s="23">
        <v>0.12</v>
      </c>
      <c r="H563" s="1"/>
      <c r="I563" s="1"/>
      <c r="J563" s="2"/>
      <c r="K563" s="2"/>
      <c r="L563" s="53"/>
      <c r="M563" s="12"/>
      <c r="N563" s="2"/>
      <c r="O563" s="2"/>
    </row>
    <row r="564" ht="15.75" customHeight="1">
      <c r="A564" s="1" t="s">
        <v>716</v>
      </c>
      <c r="B564" s="63" t="s">
        <v>143</v>
      </c>
      <c r="C564" s="63" t="s">
        <v>704</v>
      </c>
      <c r="D564" s="24">
        <v>6.0E7</v>
      </c>
      <c r="E564" s="69">
        <v>0.9628067655</v>
      </c>
      <c r="F564" s="23">
        <v>5.776840593E7</v>
      </c>
      <c r="G564" s="23">
        <v>0.12</v>
      </c>
      <c r="H564" s="1"/>
      <c r="I564" s="1"/>
      <c r="J564" s="2"/>
      <c r="K564" s="2"/>
      <c r="L564" s="53"/>
      <c r="M564" s="12"/>
      <c r="N564" s="2"/>
      <c r="O564" s="2"/>
    </row>
    <row r="565" ht="15.75" customHeight="1">
      <c r="A565" s="1" t="s">
        <v>717</v>
      </c>
      <c r="B565" s="63" t="s">
        <v>167</v>
      </c>
      <c r="C565" s="63" t="s">
        <v>704</v>
      </c>
      <c r="D565" s="24">
        <v>1.0E7</v>
      </c>
      <c r="E565" s="69">
        <v>0.9720373099</v>
      </c>
      <c r="F565" s="29">
        <v>9720373.1</v>
      </c>
      <c r="G565" s="23">
        <v>0.02</v>
      </c>
      <c r="H565" s="1"/>
      <c r="I565" s="1"/>
      <c r="J565" s="2"/>
      <c r="K565" s="2"/>
      <c r="L565" s="53"/>
      <c r="M565" s="12"/>
      <c r="N565" s="2"/>
      <c r="O565" s="2"/>
    </row>
    <row r="566" ht="15.75" customHeight="1">
      <c r="A566" s="1" t="s">
        <v>718</v>
      </c>
      <c r="B566" s="63" t="s">
        <v>330</v>
      </c>
      <c r="C566" s="63" t="s">
        <v>704</v>
      </c>
      <c r="D566" s="24">
        <v>5.0E7</v>
      </c>
      <c r="E566" s="70">
        <v>0.984889393</v>
      </c>
      <c r="F566" s="23">
        <v>4.924446965E7</v>
      </c>
      <c r="G566" s="29">
        <v>0.1</v>
      </c>
      <c r="H566" s="1"/>
      <c r="I566" s="1"/>
      <c r="J566" s="2"/>
      <c r="K566" s="2"/>
      <c r="L566" s="53"/>
      <c r="M566" s="12"/>
      <c r="N566" s="2"/>
      <c r="O566" s="2"/>
    </row>
    <row r="567" ht="15.75" customHeight="1">
      <c r="A567" s="1" t="s">
        <v>719</v>
      </c>
      <c r="B567" s="63" t="s">
        <v>148</v>
      </c>
      <c r="C567" s="63" t="s">
        <v>704</v>
      </c>
      <c r="D567" s="24">
        <v>5.0E7</v>
      </c>
      <c r="E567" s="69">
        <v>0.9760402249</v>
      </c>
      <c r="F567" s="23">
        <v>4.880201125E7</v>
      </c>
      <c r="G567" s="29">
        <v>0.1</v>
      </c>
      <c r="H567" s="1"/>
      <c r="I567" s="1"/>
      <c r="J567" s="2"/>
      <c r="K567" s="2"/>
      <c r="L567" s="53"/>
      <c r="M567" s="12"/>
      <c r="N567" s="2"/>
      <c r="O567" s="2"/>
    </row>
    <row r="568" ht="15.75" customHeight="1">
      <c r="A568" s="1" t="s">
        <v>720</v>
      </c>
      <c r="B568" s="63" t="s">
        <v>549</v>
      </c>
      <c r="C568" s="63" t="s">
        <v>704</v>
      </c>
      <c r="D568" s="24">
        <v>5.0E7</v>
      </c>
      <c r="E568" s="70">
        <v>0.967759091</v>
      </c>
      <c r="F568" s="23">
        <v>4.838795455E7</v>
      </c>
      <c r="G568" s="29">
        <v>0.1</v>
      </c>
      <c r="H568" s="1"/>
      <c r="I568" s="1"/>
      <c r="J568" s="2"/>
      <c r="K568" s="2"/>
      <c r="L568" s="53"/>
      <c r="M568" s="12"/>
      <c r="N568" s="2"/>
      <c r="O568" s="2"/>
    </row>
    <row r="569" ht="15.75" customHeight="1">
      <c r="A569" s="1" t="s">
        <v>721</v>
      </c>
      <c r="B569" s="63" t="s">
        <v>209</v>
      </c>
      <c r="C569" s="63" t="s">
        <v>704</v>
      </c>
      <c r="D569" s="23">
        <v>1862351.88</v>
      </c>
      <c r="E569" s="69">
        <v>0.9963966047</v>
      </c>
      <c r="F569" s="23">
        <v>1855641.09</v>
      </c>
      <c r="G569" s="24">
        <v>0.0</v>
      </c>
      <c r="H569" s="1"/>
      <c r="I569" s="1"/>
      <c r="J569" s="2"/>
      <c r="K569" s="2"/>
      <c r="L569" s="53"/>
      <c r="M569" s="12"/>
      <c r="N569" s="2"/>
      <c r="O569" s="2"/>
    </row>
    <row r="570" ht="15.75" customHeight="1">
      <c r="A570" s="1" t="s">
        <v>722</v>
      </c>
      <c r="B570" s="63" t="s">
        <v>491</v>
      </c>
      <c r="C570" s="63" t="s">
        <v>704</v>
      </c>
      <c r="D570" s="24">
        <v>1100000.0</v>
      </c>
      <c r="E570" s="69">
        <v>0.9910399182</v>
      </c>
      <c r="F570" s="23">
        <v>1090143.91</v>
      </c>
      <c r="G570" s="24">
        <v>0.0</v>
      </c>
      <c r="H570" s="1"/>
      <c r="I570" s="1"/>
      <c r="J570" s="2"/>
      <c r="K570" s="2"/>
      <c r="L570" s="53"/>
      <c r="M570" s="12"/>
      <c r="N570" s="2"/>
      <c r="O570" s="2"/>
    </row>
    <row r="571" ht="15.75" customHeight="1">
      <c r="A571" s="1" t="s">
        <v>723</v>
      </c>
      <c r="B571" s="63" t="s">
        <v>297</v>
      </c>
      <c r="C571" s="63" t="s">
        <v>724</v>
      </c>
      <c r="D571" s="23">
        <v>1.796954275E7</v>
      </c>
      <c r="E571" s="69">
        <v>0.9620454552</v>
      </c>
      <c r="F571" s="23">
        <v>1.728751693E7</v>
      </c>
      <c r="G571" s="23">
        <v>0.04</v>
      </c>
      <c r="H571" s="1"/>
      <c r="I571" s="1"/>
      <c r="J571" s="2"/>
      <c r="K571" s="2"/>
      <c r="L571" s="53"/>
      <c r="M571" s="12"/>
      <c r="N571" s="2"/>
      <c r="O571" s="2"/>
    </row>
    <row r="572" ht="15.75" customHeight="1">
      <c r="A572" s="1" t="s">
        <v>725</v>
      </c>
      <c r="B572" s="63" t="s">
        <v>335</v>
      </c>
      <c r="C572" s="63" t="s">
        <v>724</v>
      </c>
      <c r="D572" s="23">
        <v>6060681.79</v>
      </c>
      <c r="E572" s="69">
        <v>0.9761707423</v>
      </c>
      <c r="F572" s="23">
        <v>5916260.24</v>
      </c>
      <c r="G572" s="23">
        <v>0.01</v>
      </c>
      <c r="H572" s="1"/>
      <c r="I572" s="1"/>
      <c r="J572" s="2"/>
      <c r="K572" s="2"/>
      <c r="L572" s="53"/>
      <c r="M572" s="12"/>
      <c r="N572" s="2"/>
      <c r="O572" s="2"/>
    </row>
    <row r="573" ht="15.75" customHeight="1">
      <c r="A573" s="1" t="s">
        <v>726</v>
      </c>
      <c r="B573" s="63" t="s">
        <v>491</v>
      </c>
      <c r="C573" s="63" t="s">
        <v>727</v>
      </c>
      <c r="D573" s="24">
        <v>4.2E7</v>
      </c>
      <c r="E573" s="69">
        <v>0.9915784048</v>
      </c>
      <c r="F573" s="24">
        <v>4.1646293E7</v>
      </c>
      <c r="G573" s="23">
        <v>0.09</v>
      </c>
      <c r="H573" s="1"/>
      <c r="I573" s="1"/>
      <c r="J573" s="2"/>
      <c r="K573" s="2"/>
      <c r="L573" s="53"/>
      <c r="M573" s="12"/>
      <c r="N573" s="2"/>
      <c r="O573" s="2"/>
    </row>
    <row r="574" ht="15.75" customHeight="1">
      <c r="A574" s="1" t="s">
        <v>728</v>
      </c>
      <c r="B574" s="63" t="s">
        <v>228</v>
      </c>
      <c r="C574" s="63" t="s">
        <v>727</v>
      </c>
      <c r="D574" s="24">
        <v>2.5E7</v>
      </c>
      <c r="E574" s="69">
        <v>0.9957713821</v>
      </c>
      <c r="F574" s="23">
        <v>2.489428455E7</v>
      </c>
      <c r="G574" s="23">
        <v>0.05</v>
      </c>
      <c r="H574" s="1"/>
      <c r="I574" s="1"/>
      <c r="J574" s="2"/>
      <c r="K574" s="2"/>
      <c r="L574" s="53"/>
      <c r="M574" s="12"/>
      <c r="N574" s="2"/>
      <c r="O574" s="2"/>
    </row>
    <row r="575" ht="15.75" customHeight="1">
      <c r="A575" s="1" t="s">
        <v>729</v>
      </c>
      <c r="B575" s="63" t="s">
        <v>491</v>
      </c>
      <c r="C575" s="63" t="s">
        <v>727</v>
      </c>
      <c r="D575" s="24">
        <v>2.5E7</v>
      </c>
      <c r="E575" s="69">
        <v>0.9915784048</v>
      </c>
      <c r="F575" s="23">
        <v>2.478946012E7</v>
      </c>
      <c r="G575" s="23">
        <v>0.05</v>
      </c>
      <c r="H575" s="1"/>
      <c r="I575" s="1"/>
      <c r="J575" s="2"/>
      <c r="K575" s="2"/>
      <c r="L575" s="53"/>
      <c r="M575" s="12"/>
      <c r="N575" s="2"/>
      <c r="O575" s="2"/>
    </row>
    <row r="576" ht="15.75" customHeight="1">
      <c r="A576" s="1" t="s">
        <v>730</v>
      </c>
      <c r="B576" s="63" t="s">
        <v>211</v>
      </c>
      <c r="C576" s="63" t="s">
        <v>727</v>
      </c>
      <c r="D576" s="24">
        <v>3.0E7</v>
      </c>
      <c r="E576" s="69">
        <v>0.9907440264</v>
      </c>
      <c r="F576" s="23">
        <v>2.972232079E7</v>
      </c>
      <c r="G576" s="23">
        <v>0.06</v>
      </c>
      <c r="H576" s="1"/>
      <c r="I576" s="1"/>
      <c r="J576" s="2"/>
      <c r="K576" s="2"/>
      <c r="L576" s="53"/>
      <c r="M576" s="12"/>
      <c r="N576" s="2"/>
      <c r="O576" s="2"/>
    </row>
    <row r="577" ht="15.75" customHeight="1">
      <c r="A577" s="1" t="s">
        <v>731</v>
      </c>
      <c r="B577" s="63" t="s">
        <v>297</v>
      </c>
      <c r="C577" s="63" t="s">
        <v>727</v>
      </c>
      <c r="D577" s="24">
        <v>1.35E7</v>
      </c>
      <c r="E577" s="70">
        <v>0.962045364</v>
      </c>
      <c r="F577" s="23">
        <v>1.298761241E7</v>
      </c>
      <c r="G577" s="23">
        <v>0.03</v>
      </c>
      <c r="H577" s="1"/>
      <c r="I577" s="1"/>
      <c r="J577" s="2"/>
      <c r="K577" s="2"/>
      <c r="L577" s="53"/>
      <c r="M577" s="12"/>
      <c r="N577" s="2"/>
      <c r="O577" s="2"/>
    </row>
    <row r="578" ht="15.75" customHeight="1">
      <c r="A578" s="1" t="s">
        <v>732</v>
      </c>
      <c r="B578" s="63" t="s">
        <v>523</v>
      </c>
      <c r="C578" s="63" t="s">
        <v>733</v>
      </c>
      <c r="D578" s="24">
        <v>2.5E7</v>
      </c>
      <c r="E578" s="69">
        <v>0.9437377235</v>
      </c>
      <c r="F578" s="23">
        <v>2.359344309E7</v>
      </c>
      <c r="G578" s="23">
        <v>0.05</v>
      </c>
      <c r="H578" s="1"/>
      <c r="I578" s="1"/>
      <c r="J578" s="2"/>
      <c r="K578" s="2"/>
      <c r="L578" s="53"/>
      <c r="M578" s="12"/>
      <c r="N578" s="2"/>
      <c r="O578" s="2"/>
    </row>
    <row r="579" ht="15.75" customHeight="1">
      <c r="A579" s="1" t="s">
        <v>734</v>
      </c>
      <c r="B579" s="63" t="s">
        <v>129</v>
      </c>
      <c r="C579" s="63" t="s">
        <v>733</v>
      </c>
      <c r="D579" s="24">
        <v>2000000.0</v>
      </c>
      <c r="E579" s="70">
        <v>0.997131555</v>
      </c>
      <c r="F579" s="23">
        <v>1994263.11</v>
      </c>
      <c r="G579" s="24">
        <v>0.0</v>
      </c>
      <c r="H579" s="1"/>
      <c r="I579" s="1"/>
      <c r="J579" s="2"/>
      <c r="K579" s="2"/>
      <c r="L579" s="53"/>
      <c r="M579" s="12"/>
      <c r="N579" s="2"/>
      <c r="O579" s="2"/>
    </row>
    <row r="580" ht="15.75" customHeight="1">
      <c r="A580" s="1" t="s">
        <v>735</v>
      </c>
      <c r="B580" s="63" t="s">
        <v>209</v>
      </c>
      <c r="C580" s="63" t="s">
        <v>733</v>
      </c>
      <c r="D580" s="24">
        <v>2000000.0</v>
      </c>
      <c r="E580" s="70">
        <v>0.996179055</v>
      </c>
      <c r="F580" s="23">
        <v>1992358.11</v>
      </c>
      <c r="G580" s="24">
        <v>0.0</v>
      </c>
      <c r="H580" s="1"/>
      <c r="I580" s="1"/>
      <c r="J580" s="2"/>
      <c r="K580" s="2"/>
      <c r="L580" s="53"/>
      <c r="M580" s="12"/>
      <c r="N580" s="2"/>
      <c r="O580" s="2"/>
    </row>
    <row r="581" ht="15.75" customHeight="1">
      <c r="A581" s="1" t="s">
        <v>736</v>
      </c>
      <c r="B581" s="63" t="s">
        <v>491</v>
      </c>
      <c r="C581" s="63" t="s">
        <v>733</v>
      </c>
      <c r="D581" s="24">
        <v>2000000.0</v>
      </c>
      <c r="E581" s="70">
        <v>0.990502085</v>
      </c>
      <c r="F581" s="23">
        <v>1981004.17</v>
      </c>
      <c r="G581" s="24">
        <v>0.0</v>
      </c>
      <c r="H581" s="1"/>
      <c r="I581" s="1"/>
      <c r="J581" s="2"/>
      <c r="K581" s="2"/>
      <c r="L581" s="53"/>
      <c r="M581" s="12"/>
      <c r="N581" s="2"/>
      <c r="O581" s="2"/>
    </row>
    <row r="582" ht="15.75" customHeight="1">
      <c r="A582" s="1" t="s">
        <v>737</v>
      </c>
      <c r="B582" s="63" t="s">
        <v>738</v>
      </c>
      <c r="C582" s="63" t="s">
        <v>739</v>
      </c>
      <c r="D582" s="23">
        <v>1.192307692E7</v>
      </c>
      <c r="E582" s="69">
        <v>0.9068323376</v>
      </c>
      <c r="F582" s="23">
        <v>1.081223171E7</v>
      </c>
      <c r="G582" s="23">
        <v>0.02</v>
      </c>
      <c r="H582" s="1"/>
      <c r="I582" s="1"/>
      <c r="J582" s="2"/>
      <c r="K582" s="2"/>
      <c r="L582" s="53"/>
      <c r="M582" s="12"/>
      <c r="N582" s="2"/>
      <c r="O582" s="2"/>
    </row>
    <row r="583" ht="15.75" customHeight="1">
      <c r="A583" s="1" t="s">
        <v>740</v>
      </c>
      <c r="B583" s="63" t="s">
        <v>425</v>
      </c>
      <c r="C583" s="63" t="s">
        <v>739</v>
      </c>
      <c r="D583" s="23">
        <v>1.192307692E7</v>
      </c>
      <c r="E583" s="69">
        <v>0.9170854854</v>
      </c>
      <c r="F583" s="23">
        <v>1.093448078E7</v>
      </c>
      <c r="G583" s="23">
        <v>0.02</v>
      </c>
      <c r="H583" s="1"/>
      <c r="I583" s="1"/>
      <c r="J583" s="2"/>
      <c r="K583" s="2"/>
      <c r="L583" s="53"/>
      <c r="M583" s="12"/>
      <c r="N583" s="2"/>
      <c r="O583" s="2"/>
    </row>
    <row r="584" ht="15.75" customHeight="1">
      <c r="A584" s="1" t="s">
        <v>741</v>
      </c>
      <c r="B584" s="63" t="s">
        <v>247</v>
      </c>
      <c r="C584" s="63" t="s">
        <v>739</v>
      </c>
      <c r="D584" s="24">
        <v>1.0E7</v>
      </c>
      <c r="E584" s="69">
        <v>0.9681698239</v>
      </c>
      <c r="F584" s="23">
        <v>9681698.24</v>
      </c>
      <c r="G584" s="23">
        <v>0.02</v>
      </c>
      <c r="H584" s="1"/>
      <c r="I584" s="1"/>
      <c r="J584" s="2"/>
      <c r="K584" s="2"/>
      <c r="L584" s="53"/>
      <c r="M584" s="12"/>
      <c r="N584" s="2"/>
      <c r="O584" s="2"/>
    </row>
    <row r="585" ht="15.75" customHeight="1">
      <c r="A585" s="1" t="s">
        <v>742</v>
      </c>
      <c r="B585" s="63" t="s">
        <v>394</v>
      </c>
      <c r="C585" s="63" t="s">
        <v>739</v>
      </c>
      <c r="D585" s="24">
        <v>1.0E7</v>
      </c>
      <c r="E585" s="69">
        <v>0.9463314319</v>
      </c>
      <c r="F585" s="23">
        <v>9463314.32</v>
      </c>
      <c r="G585" s="23">
        <v>0.02</v>
      </c>
      <c r="H585" s="1"/>
      <c r="I585" s="1"/>
      <c r="J585" s="2"/>
      <c r="K585" s="2"/>
      <c r="L585" s="53"/>
      <c r="M585" s="12"/>
      <c r="N585" s="2"/>
      <c r="O585" s="2"/>
    </row>
    <row r="586" ht="15.75" customHeight="1">
      <c r="A586" s="1" t="s">
        <v>743</v>
      </c>
      <c r="B586" s="63" t="s">
        <v>491</v>
      </c>
      <c r="C586" s="63" t="s">
        <v>739</v>
      </c>
      <c r="D586" s="24">
        <v>2.5E7</v>
      </c>
      <c r="E586" s="69">
        <v>0.9915784115</v>
      </c>
      <c r="F586" s="23">
        <v>2.478946029E7</v>
      </c>
      <c r="G586" s="23">
        <v>0.05</v>
      </c>
      <c r="H586" s="1"/>
      <c r="I586" s="1"/>
      <c r="J586" s="2"/>
      <c r="K586" s="2"/>
      <c r="L586" s="53"/>
      <c r="M586" s="12"/>
      <c r="N586" s="2"/>
      <c r="O586" s="2"/>
    </row>
    <row r="587" ht="15.75" customHeight="1">
      <c r="A587" s="1" t="s">
        <v>744</v>
      </c>
      <c r="B587" s="63" t="s">
        <v>211</v>
      </c>
      <c r="C587" s="63" t="s">
        <v>739</v>
      </c>
      <c r="D587" s="24">
        <v>3200000.0</v>
      </c>
      <c r="E587" s="69">
        <v>0.9907440311</v>
      </c>
      <c r="F587" s="29">
        <v>3170380.9</v>
      </c>
      <c r="G587" s="23">
        <v>0.01</v>
      </c>
      <c r="H587" s="1"/>
      <c r="I587" s="1"/>
      <c r="J587" s="2"/>
      <c r="K587" s="2"/>
      <c r="L587" s="53"/>
      <c r="M587" s="12"/>
      <c r="N587" s="2"/>
      <c r="O587" s="2"/>
    </row>
    <row r="588" ht="15.75" customHeight="1">
      <c r="A588" s="1" t="s">
        <v>745</v>
      </c>
      <c r="B588" s="63" t="s">
        <v>211</v>
      </c>
      <c r="C588" s="63" t="s">
        <v>739</v>
      </c>
      <c r="D588" s="24">
        <v>2.5E7</v>
      </c>
      <c r="E588" s="69">
        <v>0.9907440329</v>
      </c>
      <c r="F588" s="23">
        <v>2.476860082E7</v>
      </c>
      <c r="G588" s="23">
        <v>0.05</v>
      </c>
      <c r="H588" s="1"/>
      <c r="I588" s="1"/>
      <c r="J588" s="2"/>
      <c r="K588" s="2"/>
      <c r="L588" s="53"/>
      <c r="M588" s="12"/>
      <c r="N588" s="2"/>
      <c r="O588" s="2"/>
    </row>
    <row r="589" ht="15.75" customHeight="1">
      <c r="A589" s="1" t="s">
        <v>746</v>
      </c>
      <c r="B589" s="63" t="s">
        <v>170</v>
      </c>
      <c r="C589" s="63" t="s">
        <v>739</v>
      </c>
      <c r="D589" s="24">
        <v>1.5E7</v>
      </c>
      <c r="E589" s="69">
        <v>0.9857672031</v>
      </c>
      <c r="F589" s="23">
        <v>1.478650805E7</v>
      </c>
      <c r="G589" s="23">
        <v>0.03</v>
      </c>
      <c r="H589" s="1"/>
      <c r="I589" s="1"/>
      <c r="J589" s="2"/>
      <c r="K589" s="2"/>
      <c r="L589" s="53"/>
      <c r="M589" s="12"/>
      <c r="N589" s="2"/>
      <c r="O589" s="2"/>
    </row>
    <row r="590" ht="15.75" customHeight="1">
      <c r="A590" s="1" t="s">
        <v>747</v>
      </c>
      <c r="B590" s="63" t="s">
        <v>289</v>
      </c>
      <c r="C590" s="63" t="s">
        <v>748</v>
      </c>
      <c r="D590" s="24">
        <v>1.5E8</v>
      </c>
      <c r="E590" s="69">
        <v>0.9481012675</v>
      </c>
      <c r="F590" s="23">
        <v>1.4221519013E8</v>
      </c>
      <c r="G590" s="23">
        <v>0.29</v>
      </c>
      <c r="H590" s="1"/>
      <c r="I590" s="1"/>
      <c r="J590" s="2"/>
      <c r="K590" s="2"/>
      <c r="L590" s="53"/>
      <c r="M590" s="12"/>
      <c r="N590" s="2"/>
      <c r="O590" s="2"/>
    </row>
    <row r="591" ht="15.75" customHeight="1">
      <c r="A591" s="1" t="s">
        <v>749</v>
      </c>
      <c r="B591" s="63" t="s">
        <v>159</v>
      </c>
      <c r="C591" s="63" t="s">
        <v>748</v>
      </c>
      <c r="D591" s="24">
        <v>5.0E7</v>
      </c>
      <c r="E591" s="69">
        <v>0.9912014137</v>
      </c>
      <c r="F591" s="23">
        <v>4.956007069E7</v>
      </c>
      <c r="G591" s="29">
        <v>0.1</v>
      </c>
      <c r="H591" s="1"/>
      <c r="I591" s="1"/>
      <c r="J591" s="2"/>
      <c r="K591" s="2"/>
      <c r="L591" s="53"/>
      <c r="M591" s="12"/>
      <c r="N591" s="2"/>
      <c r="O591" s="2"/>
    </row>
    <row r="592" ht="15.75" customHeight="1">
      <c r="A592" s="1" t="s">
        <v>750</v>
      </c>
      <c r="B592" s="63" t="s">
        <v>400</v>
      </c>
      <c r="C592" s="63" t="s">
        <v>748</v>
      </c>
      <c r="D592" s="24">
        <v>1.5E8</v>
      </c>
      <c r="E592" s="69">
        <v>0.9705640489</v>
      </c>
      <c r="F592" s="23">
        <v>1.4558460734E8</v>
      </c>
      <c r="G592" s="29">
        <v>0.3</v>
      </c>
      <c r="H592" s="1"/>
      <c r="I592" s="1"/>
      <c r="J592" s="2"/>
      <c r="K592" s="2"/>
      <c r="L592" s="53"/>
      <c r="M592" s="12"/>
      <c r="N592" s="2"/>
      <c r="O592" s="2"/>
    </row>
    <row r="593" ht="15.75" customHeight="1">
      <c r="A593" s="1" t="s">
        <v>751</v>
      </c>
      <c r="B593" s="63" t="s">
        <v>315</v>
      </c>
      <c r="C593" s="63" t="s">
        <v>748</v>
      </c>
      <c r="D593" s="24">
        <v>1.2166667E7</v>
      </c>
      <c r="E593" s="70">
        <v>0.931597832</v>
      </c>
      <c r="F593" s="29">
        <v>1.13344406E7</v>
      </c>
      <c r="G593" s="23">
        <v>0.02</v>
      </c>
      <c r="H593" s="1"/>
      <c r="I593" s="1"/>
      <c r="J593" s="2"/>
      <c r="K593" s="2"/>
      <c r="L593" s="53"/>
      <c r="M593" s="12"/>
      <c r="N593" s="2"/>
      <c r="O593" s="2"/>
    </row>
    <row r="594" ht="15.75" customHeight="1">
      <c r="A594" s="1" t="s">
        <v>752</v>
      </c>
      <c r="B594" s="63" t="s">
        <v>523</v>
      </c>
      <c r="C594" s="63" t="s">
        <v>748</v>
      </c>
      <c r="D594" s="24">
        <v>1.5166667E7</v>
      </c>
      <c r="E594" s="70">
        <v>0.930647653</v>
      </c>
      <c r="F594" s="23">
        <v>1.411482305E7</v>
      </c>
      <c r="G594" s="23">
        <v>0.03</v>
      </c>
      <c r="H594" s="1"/>
      <c r="I594" s="1"/>
      <c r="J594" s="2"/>
      <c r="K594" s="2"/>
      <c r="L594" s="53"/>
      <c r="M594" s="12"/>
      <c r="N594" s="2"/>
      <c r="O594" s="2"/>
    </row>
    <row r="595" ht="15.75" customHeight="1">
      <c r="A595" s="1" t="s">
        <v>753</v>
      </c>
      <c r="B595" s="63" t="s">
        <v>285</v>
      </c>
      <c r="C595" s="63" t="s">
        <v>748</v>
      </c>
      <c r="D595" s="24">
        <v>1.2166667E7</v>
      </c>
      <c r="E595" s="69">
        <v>0.9363777755</v>
      </c>
      <c r="F595" s="23">
        <v>1.139259658E7</v>
      </c>
      <c r="G595" s="23">
        <v>0.02</v>
      </c>
      <c r="H595" s="1"/>
      <c r="I595" s="1"/>
      <c r="J595" s="2"/>
      <c r="K595" s="2"/>
      <c r="L595" s="53"/>
      <c r="M595" s="12"/>
      <c r="N595" s="2"/>
      <c r="O595" s="2"/>
    </row>
    <row r="596" ht="15.75" customHeight="1">
      <c r="A596" s="1" t="s">
        <v>754</v>
      </c>
      <c r="B596" s="63" t="s">
        <v>271</v>
      </c>
      <c r="C596" s="63" t="s">
        <v>748</v>
      </c>
      <c r="D596" s="24">
        <v>1.5166667E7</v>
      </c>
      <c r="E596" s="69">
        <v>0.9354178296</v>
      </c>
      <c r="F596" s="23">
        <v>1.418717073E7</v>
      </c>
      <c r="G596" s="23">
        <v>0.03</v>
      </c>
      <c r="H596" s="1"/>
      <c r="I596" s="1"/>
      <c r="J596" s="2"/>
      <c r="K596" s="2"/>
      <c r="L596" s="53"/>
      <c r="M596" s="12"/>
      <c r="N596" s="2"/>
      <c r="O596" s="2"/>
    </row>
    <row r="597" ht="15.75" customHeight="1">
      <c r="A597" s="1" t="s">
        <v>755</v>
      </c>
      <c r="B597" s="63" t="s">
        <v>159</v>
      </c>
      <c r="C597" s="63" t="s">
        <v>748</v>
      </c>
      <c r="D597" s="24">
        <v>1.0E7</v>
      </c>
      <c r="E597" s="70">
        <v>0.990233341</v>
      </c>
      <c r="F597" s="23">
        <v>9902333.41</v>
      </c>
      <c r="G597" s="23">
        <v>0.02</v>
      </c>
      <c r="H597" s="1"/>
      <c r="I597" s="1"/>
      <c r="J597" s="2"/>
      <c r="K597" s="2"/>
      <c r="L597" s="53"/>
      <c r="M597" s="12"/>
      <c r="N597" s="2"/>
      <c r="O597" s="2"/>
    </row>
    <row r="598" ht="15.75" customHeight="1">
      <c r="A598" s="1" t="s">
        <v>756</v>
      </c>
      <c r="B598" s="63" t="s">
        <v>328</v>
      </c>
      <c r="C598" s="63" t="s">
        <v>748</v>
      </c>
      <c r="D598" s="24">
        <v>1.0E7</v>
      </c>
      <c r="E598" s="69">
        <v>0.9575027576</v>
      </c>
      <c r="F598" s="23">
        <v>9575027.58</v>
      </c>
      <c r="G598" s="23">
        <v>0.02</v>
      </c>
      <c r="H598" s="1"/>
      <c r="I598" s="1"/>
      <c r="J598" s="2"/>
      <c r="K598" s="2"/>
      <c r="L598" s="53"/>
      <c r="M598" s="12"/>
      <c r="N598" s="2"/>
      <c r="O598" s="2"/>
    </row>
    <row r="599" ht="15.75" customHeight="1">
      <c r="A599" s="1" t="s">
        <v>757</v>
      </c>
      <c r="B599" s="63" t="s">
        <v>182</v>
      </c>
      <c r="C599" s="63" t="s">
        <v>748</v>
      </c>
      <c r="D599" s="24">
        <v>1.0E7</v>
      </c>
      <c r="E599" s="70">
        <v>0.980655578</v>
      </c>
      <c r="F599" s="23">
        <v>9806555.78</v>
      </c>
      <c r="G599" s="23">
        <v>0.02</v>
      </c>
      <c r="H599" s="1"/>
      <c r="I599" s="1"/>
      <c r="J599" s="2"/>
      <c r="K599" s="2"/>
      <c r="L599" s="53"/>
      <c r="M599" s="12"/>
      <c r="N599" s="2"/>
      <c r="O599" s="2"/>
    </row>
    <row r="600" ht="15.75" customHeight="1">
      <c r="A600" s="1" t="s">
        <v>758</v>
      </c>
      <c r="B600" s="63" t="s">
        <v>297</v>
      </c>
      <c r="C600" s="63" t="s">
        <v>748</v>
      </c>
      <c r="D600" s="24">
        <v>1.0E7</v>
      </c>
      <c r="E600" s="69">
        <v>0.9620454151</v>
      </c>
      <c r="F600" s="23">
        <v>9620454.15</v>
      </c>
      <c r="G600" s="23">
        <v>0.02</v>
      </c>
      <c r="H600" s="1"/>
      <c r="I600" s="1"/>
      <c r="J600" s="2"/>
      <c r="K600" s="2"/>
      <c r="L600" s="53"/>
      <c r="M600" s="12"/>
      <c r="N600" s="2"/>
      <c r="O600" s="2"/>
    </row>
    <row r="601" ht="15.75" customHeight="1">
      <c r="A601" s="1" t="s">
        <v>759</v>
      </c>
      <c r="B601" s="63" t="s">
        <v>173</v>
      </c>
      <c r="C601" s="63" t="s">
        <v>748</v>
      </c>
      <c r="D601" s="24">
        <v>5.0E7</v>
      </c>
      <c r="E601" s="69">
        <v>0.9841458154</v>
      </c>
      <c r="F601" s="23">
        <v>4.920729077E7</v>
      </c>
      <c r="G601" s="29">
        <v>0.1</v>
      </c>
      <c r="H601" s="1"/>
      <c r="I601" s="1"/>
      <c r="J601" s="2"/>
      <c r="K601" s="2"/>
      <c r="L601" s="53"/>
      <c r="M601" s="12"/>
      <c r="N601" s="2"/>
      <c r="O601" s="2"/>
    </row>
    <row r="602" ht="15.75" customHeight="1">
      <c r="A602" s="1" t="s">
        <v>760</v>
      </c>
      <c r="B602" s="63" t="s">
        <v>219</v>
      </c>
      <c r="C602" s="63" t="s">
        <v>748</v>
      </c>
      <c r="D602" s="24">
        <v>5.0E7</v>
      </c>
      <c r="E602" s="69">
        <v>0.9669386547</v>
      </c>
      <c r="F602" s="23">
        <v>4.834693274E7</v>
      </c>
      <c r="G602" s="29">
        <v>0.1</v>
      </c>
      <c r="H602" s="1"/>
      <c r="I602" s="1"/>
      <c r="J602" s="2"/>
      <c r="K602" s="2"/>
      <c r="L602" s="53"/>
      <c r="M602" s="12"/>
      <c r="N602" s="2"/>
      <c r="O602" s="2"/>
    </row>
    <row r="603" ht="15.75" customHeight="1">
      <c r="A603" s="1" t="s">
        <v>761</v>
      </c>
      <c r="B603" s="63" t="s">
        <v>400</v>
      </c>
      <c r="C603" s="63" t="s">
        <v>748</v>
      </c>
      <c r="D603" s="24">
        <v>5.0E7</v>
      </c>
      <c r="E603" s="69">
        <v>0.9653020886</v>
      </c>
      <c r="F603" s="23">
        <v>4.826510443E7</v>
      </c>
      <c r="G603" s="29">
        <v>0.1</v>
      </c>
      <c r="H603" s="1"/>
      <c r="I603" s="1"/>
      <c r="J603" s="2"/>
      <c r="K603" s="2"/>
      <c r="L603" s="53"/>
      <c r="M603" s="12"/>
      <c r="N603" s="2"/>
      <c r="O603" s="2"/>
    </row>
    <row r="604" ht="15.75" customHeight="1">
      <c r="A604" s="1" t="s">
        <v>762</v>
      </c>
      <c r="B604" s="63" t="s">
        <v>209</v>
      </c>
      <c r="C604" s="63" t="s">
        <v>748</v>
      </c>
      <c r="D604" s="24">
        <v>2.675E8</v>
      </c>
      <c r="E604" s="69">
        <v>0.9956355887</v>
      </c>
      <c r="F604" s="23">
        <v>2.6633251998E8</v>
      </c>
      <c r="G604" s="23">
        <v>0.54</v>
      </c>
      <c r="H604" s="1"/>
      <c r="I604" s="1"/>
      <c r="J604" s="2"/>
      <c r="K604" s="2"/>
      <c r="L604" s="53"/>
      <c r="M604" s="12"/>
      <c r="N604" s="2"/>
      <c r="O604" s="2"/>
    </row>
    <row r="605" ht="15.75" customHeight="1">
      <c r="A605" s="1" t="s">
        <v>763</v>
      </c>
      <c r="B605" s="63" t="s">
        <v>228</v>
      </c>
      <c r="C605" s="63" t="s">
        <v>748</v>
      </c>
      <c r="D605" s="23">
        <v>3.813677455E7</v>
      </c>
      <c r="E605" s="69">
        <v>0.9954998064</v>
      </c>
      <c r="F605" s="23">
        <v>3.796515168E7</v>
      </c>
      <c r="G605" s="23">
        <v>0.08</v>
      </c>
      <c r="H605" s="1"/>
      <c r="I605" s="1"/>
      <c r="J605" s="2"/>
      <c r="K605" s="2"/>
      <c r="L605" s="53"/>
      <c r="M605" s="12"/>
      <c r="N605" s="2"/>
      <c r="O605" s="2"/>
    </row>
    <row r="606" ht="15.75" customHeight="1">
      <c r="A606" s="1" t="s">
        <v>764</v>
      </c>
      <c r="B606" s="63" t="s">
        <v>148</v>
      </c>
      <c r="C606" s="63" t="s">
        <v>765</v>
      </c>
      <c r="D606" s="24">
        <v>1.0E7</v>
      </c>
      <c r="E606" s="69">
        <v>0.9743726933</v>
      </c>
      <c r="F606" s="23">
        <v>9743726.93</v>
      </c>
      <c r="G606" s="23">
        <v>0.02</v>
      </c>
      <c r="H606" s="1"/>
      <c r="I606" s="1"/>
      <c r="J606" s="2"/>
      <c r="K606" s="2"/>
      <c r="L606" s="53"/>
      <c r="M606" s="12"/>
      <c r="N606" s="2"/>
      <c r="O606" s="2"/>
    </row>
    <row r="607" ht="15.75" customHeight="1">
      <c r="A607" s="1" t="s">
        <v>766</v>
      </c>
      <c r="B607" s="63" t="s">
        <v>204</v>
      </c>
      <c r="C607" s="63" t="s">
        <v>765</v>
      </c>
      <c r="D607" s="24">
        <v>1.0E7</v>
      </c>
      <c r="E607" s="70">
        <v>0.952256765</v>
      </c>
      <c r="F607" s="23">
        <v>9522567.65</v>
      </c>
      <c r="G607" s="23">
        <v>0.02</v>
      </c>
      <c r="H607" s="1"/>
      <c r="I607" s="1"/>
      <c r="J607" s="2"/>
      <c r="K607" s="2"/>
      <c r="L607" s="53"/>
      <c r="M607" s="12"/>
      <c r="N607" s="2"/>
      <c r="O607" s="2"/>
    </row>
    <row r="608" ht="15.75" customHeight="1">
      <c r="A608" s="1" t="s">
        <v>767</v>
      </c>
      <c r="B608" s="63" t="s">
        <v>352</v>
      </c>
      <c r="C608" s="63" t="s">
        <v>765</v>
      </c>
      <c r="D608" s="24">
        <v>3750000.0</v>
      </c>
      <c r="E608" s="69">
        <v>0.9060895112</v>
      </c>
      <c r="F608" s="23">
        <v>3397835.67</v>
      </c>
      <c r="G608" s="23">
        <v>0.01</v>
      </c>
      <c r="H608" s="1"/>
      <c r="I608" s="1"/>
      <c r="J608" s="2"/>
      <c r="K608" s="2"/>
      <c r="L608" s="53"/>
      <c r="M608" s="12"/>
      <c r="N608" s="2"/>
      <c r="O608" s="2"/>
    </row>
    <row r="609" ht="15.75" customHeight="1">
      <c r="A609" s="1" t="s">
        <v>768</v>
      </c>
      <c r="B609" s="63" t="s">
        <v>769</v>
      </c>
      <c r="C609" s="63" t="s">
        <v>765</v>
      </c>
      <c r="D609" s="24">
        <v>3750000.0</v>
      </c>
      <c r="E609" s="69">
        <v>0.9017244139</v>
      </c>
      <c r="F609" s="23">
        <v>3381466.55</v>
      </c>
      <c r="G609" s="23">
        <v>0.01</v>
      </c>
      <c r="H609" s="1"/>
      <c r="I609" s="1"/>
      <c r="J609" s="2"/>
      <c r="K609" s="2"/>
      <c r="L609" s="53"/>
      <c r="M609" s="12"/>
      <c r="N609" s="2"/>
      <c r="O609" s="2"/>
    </row>
    <row r="610" ht="15.75" customHeight="1">
      <c r="A610" s="1" t="s">
        <v>770</v>
      </c>
      <c r="B610" s="63" t="s">
        <v>771</v>
      </c>
      <c r="C610" s="63" t="s">
        <v>765</v>
      </c>
      <c r="D610" s="24">
        <v>3750000.0</v>
      </c>
      <c r="E610" s="69">
        <v>0.8991255616</v>
      </c>
      <c r="F610" s="23">
        <v>3371720.86</v>
      </c>
      <c r="G610" s="23">
        <v>0.01</v>
      </c>
      <c r="H610" s="1"/>
      <c r="I610" s="1"/>
      <c r="J610" s="2"/>
      <c r="K610" s="2"/>
      <c r="L610" s="53"/>
      <c r="M610" s="12"/>
      <c r="N610" s="2"/>
      <c r="O610" s="2"/>
    </row>
    <row r="611" ht="15.75" customHeight="1">
      <c r="A611" s="1" t="s">
        <v>772</v>
      </c>
      <c r="B611" s="63" t="s">
        <v>773</v>
      </c>
      <c r="C611" s="63" t="s">
        <v>765</v>
      </c>
      <c r="D611" s="24">
        <v>3750000.0</v>
      </c>
      <c r="E611" s="69">
        <v>0.8706855417</v>
      </c>
      <c r="F611" s="23">
        <v>3265070.78</v>
      </c>
      <c r="G611" s="23">
        <v>0.01</v>
      </c>
      <c r="H611" s="1"/>
      <c r="I611" s="1"/>
      <c r="J611" s="2"/>
      <c r="K611" s="2"/>
      <c r="L611" s="53"/>
      <c r="M611" s="12"/>
      <c r="N611" s="2"/>
      <c r="O611" s="2"/>
    </row>
    <row r="612" ht="15.75" customHeight="1">
      <c r="A612" s="1" t="s">
        <v>774</v>
      </c>
      <c r="B612" s="63" t="s">
        <v>484</v>
      </c>
      <c r="C612" s="63" t="s">
        <v>765</v>
      </c>
      <c r="D612" s="24">
        <v>3750000.0</v>
      </c>
      <c r="E612" s="70">
        <v>0.896541653</v>
      </c>
      <c r="F612" s="29">
        <v>3362031.2</v>
      </c>
      <c r="G612" s="23">
        <v>0.01</v>
      </c>
      <c r="H612" s="1"/>
      <c r="I612" s="1"/>
      <c r="J612" s="2"/>
      <c r="K612" s="2"/>
      <c r="L612" s="53"/>
      <c r="M612" s="12"/>
      <c r="N612" s="2"/>
      <c r="O612" s="2"/>
    </row>
    <row r="613" ht="15.75" customHeight="1">
      <c r="A613" s="1" t="s">
        <v>775</v>
      </c>
      <c r="B613" s="63" t="s">
        <v>445</v>
      </c>
      <c r="C613" s="63" t="s">
        <v>765</v>
      </c>
      <c r="D613" s="24">
        <v>3750000.0</v>
      </c>
      <c r="E613" s="68">
        <v>0.87639281</v>
      </c>
      <c r="F613" s="23">
        <v>3286473.04</v>
      </c>
      <c r="G613" s="23">
        <v>0.01</v>
      </c>
      <c r="H613" s="1"/>
      <c r="I613" s="1"/>
      <c r="J613" s="2"/>
      <c r="K613" s="2"/>
      <c r="L613" s="53"/>
      <c r="M613" s="12"/>
      <c r="N613" s="2"/>
      <c r="O613" s="2"/>
    </row>
    <row r="614" ht="15.75" customHeight="1">
      <c r="A614" s="1" t="s">
        <v>776</v>
      </c>
      <c r="B614" s="63" t="s">
        <v>777</v>
      </c>
      <c r="C614" s="63" t="s">
        <v>765</v>
      </c>
      <c r="D614" s="24">
        <v>3750000.0</v>
      </c>
      <c r="E614" s="69">
        <v>0.8731223569</v>
      </c>
      <c r="F614" s="23">
        <v>3274208.84</v>
      </c>
      <c r="G614" s="23">
        <v>0.01</v>
      </c>
      <c r="H614" s="1"/>
      <c r="I614" s="1"/>
      <c r="J614" s="2"/>
      <c r="K614" s="2"/>
      <c r="L614" s="53"/>
      <c r="M614" s="12"/>
      <c r="N614" s="2"/>
      <c r="O614" s="2"/>
    </row>
    <row r="615" ht="15.75" customHeight="1">
      <c r="A615" s="1" t="s">
        <v>778</v>
      </c>
      <c r="B615" s="63" t="s">
        <v>469</v>
      </c>
      <c r="C615" s="63" t="s">
        <v>765</v>
      </c>
      <c r="D615" s="24">
        <v>3750000.0</v>
      </c>
      <c r="E615" s="69">
        <v>0.8939725528</v>
      </c>
      <c r="F615" s="23">
        <v>3352397.07</v>
      </c>
      <c r="G615" s="23">
        <v>0.01</v>
      </c>
      <c r="H615" s="1"/>
      <c r="I615" s="1"/>
      <c r="J615" s="2"/>
      <c r="K615" s="2"/>
      <c r="L615" s="53"/>
      <c r="M615" s="12"/>
      <c r="N615" s="2"/>
      <c r="O615" s="2"/>
    </row>
    <row r="616" ht="15.75" customHeight="1">
      <c r="A616" s="1" t="s">
        <v>779</v>
      </c>
      <c r="B616" s="63" t="s">
        <v>473</v>
      </c>
      <c r="C616" s="63" t="s">
        <v>765</v>
      </c>
      <c r="D616" s="24">
        <v>3750000.0</v>
      </c>
      <c r="E616" s="69">
        <v>0.8905698331</v>
      </c>
      <c r="F616" s="23">
        <v>3339636.87</v>
      </c>
      <c r="G616" s="23">
        <v>0.01</v>
      </c>
      <c r="H616" s="1"/>
      <c r="I616" s="1"/>
      <c r="J616" s="2"/>
      <c r="K616" s="2"/>
      <c r="L616" s="53"/>
      <c r="M616" s="12"/>
      <c r="N616" s="2"/>
      <c r="O616" s="2"/>
    </row>
    <row r="617" ht="15.75" customHeight="1">
      <c r="A617" s="1" t="s">
        <v>780</v>
      </c>
      <c r="B617" s="63" t="s">
        <v>479</v>
      </c>
      <c r="C617" s="63" t="s">
        <v>765</v>
      </c>
      <c r="D617" s="24">
        <v>3750000.0</v>
      </c>
      <c r="E617" s="69">
        <v>0.8846770419</v>
      </c>
      <c r="F617" s="23">
        <v>3317538.91</v>
      </c>
      <c r="G617" s="23">
        <v>0.01</v>
      </c>
      <c r="H617" s="1"/>
      <c r="I617" s="1"/>
      <c r="J617" s="2"/>
      <c r="K617" s="2"/>
      <c r="L617" s="53"/>
      <c r="M617" s="12"/>
      <c r="N617" s="2"/>
      <c r="O617" s="2"/>
    </row>
    <row r="618" ht="15.75" customHeight="1">
      <c r="A618" s="1" t="s">
        <v>781</v>
      </c>
      <c r="B618" s="63" t="s">
        <v>738</v>
      </c>
      <c r="C618" s="63" t="s">
        <v>765</v>
      </c>
      <c r="D618" s="24">
        <v>3750000.0</v>
      </c>
      <c r="E618" s="69">
        <v>0.8821753945</v>
      </c>
      <c r="F618" s="23">
        <v>3308157.73</v>
      </c>
      <c r="G618" s="23">
        <v>0.01</v>
      </c>
      <c r="H618" s="1"/>
      <c r="I618" s="1"/>
      <c r="J618" s="2"/>
      <c r="K618" s="2"/>
      <c r="L618" s="53"/>
      <c r="M618" s="12"/>
      <c r="N618" s="2"/>
      <c r="O618" s="2"/>
    </row>
    <row r="619" ht="15.75" customHeight="1">
      <c r="A619" s="1" t="s">
        <v>782</v>
      </c>
      <c r="B619" s="63" t="s">
        <v>783</v>
      </c>
      <c r="C619" s="63" t="s">
        <v>765</v>
      </c>
      <c r="D619" s="24">
        <v>3750000.0</v>
      </c>
      <c r="E619" s="69">
        <v>0.8780371338</v>
      </c>
      <c r="F619" s="23">
        <v>3292639.25</v>
      </c>
      <c r="G619" s="23">
        <v>0.01</v>
      </c>
      <c r="H619" s="1"/>
      <c r="I619" s="1"/>
      <c r="J619" s="2"/>
      <c r="K619" s="2"/>
      <c r="L619" s="53"/>
      <c r="M619" s="12"/>
      <c r="N619" s="2"/>
      <c r="O619" s="2"/>
    </row>
    <row r="620" ht="15.75" customHeight="1">
      <c r="A620" s="1" t="s">
        <v>784</v>
      </c>
      <c r="B620" s="63" t="s">
        <v>477</v>
      </c>
      <c r="C620" s="63" t="s">
        <v>765</v>
      </c>
      <c r="D620" s="24">
        <v>3750000.0</v>
      </c>
      <c r="E620" s="69">
        <v>0.8880347959</v>
      </c>
      <c r="F620" s="23">
        <v>3330130.48</v>
      </c>
      <c r="G620" s="23">
        <v>0.01</v>
      </c>
      <c r="H620" s="1"/>
      <c r="I620" s="1"/>
      <c r="J620" s="2"/>
      <c r="K620" s="2"/>
      <c r="L620" s="53"/>
      <c r="M620" s="12"/>
      <c r="N620" s="2"/>
      <c r="O620" s="2"/>
    </row>
    <row r="621" ht="15.75" customHeight="1">
      <c r="A621" s="1" t="s">
        <v>785</v>
      </c>
      <c r="B621" s="63" t="s">
        <v>175</v>
      </c>
      <c r="C621" s="63" t="s">
        <v>765</v>
      </c>
      <c r="D621" s="24">
        <v>5.0E7</v>
      </c>
      <c r="E621" s="69">
        <v>0.9770331276</v>
      </c>
      <c r="F621" s="23">
        <v>4.885165638E7</v>
      </c>
      <c r="G621" s="29">
        <v>0.1</v>
      </c>
      <c r="H621" s="1"/>
      <c r="I621" s="1"/>
      <c r="J621" s="2"/>
      <c r="K621" s="2"/>
      <c r="L621" s="53"/>
      <c r="M621" s="12"/>
      <c r="N621" s="2"/>
      <c r="O621" s="2"/>
    </row>
    <row r="622" ht="15.75" customHeight="1">
      <c r="A622" s="1" t="s">
        <v>786</v>
      </c>
      <c r="B622" s="63" t="s">
        <v>335</v>
      </c>
      <c r="C622" s="63" t="s">
        <v>765</v>
      </c>
      <c r="D622" s="24">
        <v>5.0E7</v>
      </c>
      <c r="E622" s="69">
        <v>0.9710288786</v>
      </c>
      <c r="F622" s="23">
        <v>4.855144393E7</v>
      </c>
      <c r="G622" s="29">
        <v>0.1</v>
      </c>
      <c r="H622" s="1"/>
      <c r="I622" s="1"/>
      <c r="J622" s="2"/>
      <c r="K622" s="2"/>
      <c r="L622" s="53"/>
      <c r="M622" s="12"/>
      <c r="N622" s="2"/>
      <c r="O622" s="2"/>
    </row>
    <row r="623" ht="15.75" customHeight="1">
      <c r="A623" s="1" t="s">
        <v>787</v>
      </c>
      <c r="B623" s="63" t="s">
        <v>159</v>
      </c>
      <c r="C623" s="63" t="s">
        <v>765</v>
      </c>
      <c r="D623" s="24">
        <v>5.0E7</v>
      </c>
      <c r="E623" s="69">
        <v>0.9892671746</v>
      </c>
      <c r="F623" s="23">
        <v>4.946335873E7</v>
      </c>
      <c r="G623" s="29">
        <v>0.1</v>
      </c>
      <c r="H623" s="1"/>
      <c r="I623" s="1"/>
      <c r="J623" s="2"/>
      <c r="K623" s="2"/>
      <c r="L623" s="53"/>
      <c r="M623" s="12"/>
      <c r="N623" s="2"/>
      <c r="O623" s="2"/>
    </row>
    <row r="624" ht="15.75" customHeight="1">
      <c r="A624" s="1" t="s">
        <v>788</v>
      </c>
      <c r="B624" s="63" t="s">
        <v>185</v>
      </c>
      <c r="C624" s="63" t="s">
        <v>765</v>
      </c>
      <c r="D624" s="24">
        <v>5.0E7</v>
      </c>
      <c r="E624" s="69">
        <v>0.9831120918</v>
      </c>
      <c r="F624" s="23">
        <v>4.915560459E7</v>
      </c>
      <c r="G624" s="29">
        <v>0.1</v>
      </c>
      <c r="H624" s="1"/>
      <c r="I624" s="1"/>
      <c r="J624" s="2"/>
      <c r="K624" s="2"/>
      <c r="L624" s="53"/>
      <c r="M624" s="12"/>
      <c r="N624" s="2"/>
      <c r="O624" s="2"/>
    </row>
    <row r="625" ht="15.75" customHeight="1">
      <c r="A625" s="1" t="s">
        <v>789</v>
      </c>
      <c r="B625" s="63" t="s">
        <v>140</v>
      </c>
      <c r="C625" s="63" t="s">
        <v>765</v>
      </c>
      <c r="D625" s="24">
        <v>5000000.0</v>
      </c>
      <c r="E625" s="70">
        <v>0.982080408</v>
      </c>
      <c r="F625" s="23">
        <v>4910402.04</v>
      </c>
      <c r="G625" s="23">
        <v>0.01</v>
      </c>
      <c r="H625" s="1"/>
      <c r="I625" s="1"/>
      <c r="J625" s="2"/>
      <c r="K625" s="2"/>
      <c r="L625" s="53"/>
      <c r="M625" s="12"/>
      <c r="N625" s="2"/>
      <c r="O625" s="2"/>
    </row>
    <row r="626" ht="15.75" customHeight="1">
      <c r="A626" s="1" t="s">
        <v>790</v>
      </c>
      <c r="B626" s="63" t="s">
        <v>185</v>
      </c>
      <c r="C626" s="63" t="s">
        <v>765</v>
      </c>
      <c r="D626" s="23">
        <v>5454223.66</v>
      </c>
      <c r="E626" s="69">
        <v>0.9811037546</v>
      </c>
      <c r="F626" s="23">
        <v>5351159.31</v>
      </c>
      <c r="G626" s="23">
        <v>0.01</v>
      </c>
      <c r="H626" s="1"/>
      <c r="I626" s="1"/>
      <c r="J626" s="2"/>
      <c r="K626" s="2"/>
      <c r="L626" s="53"/>
      <c r="M626" s="12"/>
      <c r="N626" s="2"/>
      <c r="O626" s="2"/>
    </row>
    <row r="627" ht="15.75" customHeight="1">
      <c r="A627" s="1" t="s">
        <v>791</v>
      </c>
      <c r="B627" s="63" t="s">
        <v>228</v>
      </c>
      <c r="C627" s="63" t="s">
        <v>765</v>
      </c>
      <c r="D627" s="24">
        <v>5.0E7</v>
      </c>
      <c r="E627" s="69">
        <v>0.9949570885</v>
      </c>
      <c r="F627" s="23">
        <v>4.974785443E7</v>
      </c>
      <c r="G627" s="29">
        <v>0.1</v>
      </c>
      <c r="H627" s="1"/>
      <c r="I627" s="1"/>
      <c r="J627" s="2"/>
      <c r="K627" s="2"/>
      <c r="L627" s="53"/>
      <c r="M627" s="12"/>
      <c r="N627" s="2"/>
      <c r="O627" s="2"/>
    </row>
    <row r="628" ht="15.75" customHeight="1">
      <c r="A628" s="1" t="s">
        <v>792</v>
      </c>
      <c r="B628" s="63" t="s">
        <v>159</v>
      </c>
      <c r="C628" s="63" t="s">
        <v>765</v>
      </c>
      <c r="D628" s="24">
        <v>5.0E7</v>
      </c>
      <c r="E628" s="69">
        <v>0.9879818613</v>
      </c>
      <c r="F628" s="23">
        <v>4.939909307E7</v>
      </c>
      <c r="G628" s="29">
        <v>0.1</v>
      </c>
      <c r="H628" s="1"/>
      <c r="I628" s="1"/>
      <c r="J628" s="2"/>
      <c r="K628" s="2"/>
      <c r="L628" s="53"/>
      <c r="M628" s="12"/>
      <c r="N628" s="2"/>
      <c r="O628" s="2"/>
    </row>
    <row r="629" ht="15.75" customHeight="1">
      <c r="A629" s="1" t="s">
        <v>793</v>
      </c>
      <c r="B629" s="63" t="s">
        <v>209</v>
      </c>
      <c r="C629" s="63" t="s">
        <v>765</v>
      </c>
      <c r="D629" s="24">
        <v>9500000.0</v>
      </c>
      <c r="E629" s="69">
        <v>0.9959616063</v>
      </c>
      <c r="F629" s="23">
        <v>9461635.26</v>
      </c>
      <c r="G629" s="23">
        <v>0.02</v>
      </c>
      <c r="H629" s="1"/>
      <c r="I629" s="1"/>
      <c r="J629" s="2"/>
      <c r="K629" s="2"/>
      <c r="L629" s="53"/>
      <c r="M629" s="12"/>
      <c r="N629" s="2"/>
      <c r="O629" s="2"/>
    </row>
    <row r="630" ht="15.75" customHeight="1">
      <c r="A630" s="1" t="s">
        <v>794</v>
      </c>
      <c r="B630" s="63" t="s">
        <v>159</v>
      </c>
      <c r="C630" s="63" t="s">
        <v>765</v>
      </c>
      <c r="D630" s="24">
        <v>9500000.0</v>
      </c>
      <c r="E630" s="70">
        <v>0.987981861</v>
      </c>
      <c r="F630" s="23">
        <v>9385827.68</v>
      </c>
      <c r="G630" s="23">
        <v>0.02</v>
      </c>
      <c r="H630" s="1"/>
      <c r="I630" s="1"/>
      <c r="J630" s="2"/>
      <c r="K630" s="2"/>
      <c r="L630" s="53"/>
      <c r="M630" s="12"/>
      <c r="N630" s="2"/>
      <c r="O630" s="2"/>
    </row>
    <row r="631" ht="15.75" customHeight="1">
      <c r="A631" s="1" t="s">
        <v>795</v>
      </c>
      <c r="B631" s="63" t="s">
        <v>228</v>
      </c>
      <c r="C631" s="63" t="s">
        <v>765</v>
      </c>
      <c r="D631" s="29">
        <v>2.82703207E7</v>
      </c>
      <c r="E631" s="69">
        <v>0.9949570883</v>
      </c>
      <c r="F631" s="23">
        <v>2.812775597E7</v>
      </c>
      <c r="G631" s="23">
        <v>0.06</v>
      </c>
      <c r="H631" s="1"/>
      <c r="I631" s="1"/>
      <c r="J631" s="2"/>
      <c r="K631" s="2"/>
      <c r="L631" s="53"/>
      <c r="M631" s="12"/>
      <c r="N631" s="2"/>
      <c r="O631" s="2"/>
    </row>
    <row r="632" ht="15.75" customHeight="1">
      <c r="A632" s="1" t="s">
        <v>796</v>
      </c>
      <c r="B632" s="63" t="s">
        <v>148</v>
      </c>
      <c r="C632" s="63" t="s">
        <v>765</v>
      </c>
      <c r="D632" s="23">
        <v>6598885.38</v>
      </c>
      <c r="E632" s="69">
        <v>0.9685808663</v>
      </c>
      <c r="F632" s="23">
        <v>6391554.12</v>
      </c>
      <c r="G632" s="23">
        <v>0.01</v>
      </c>
      <c r="H632" s="1"/>
      <c r="I632" s="1"/>
      <c r="J632" s="2"/>
      <c r="K632" s="2"/>
      <c r="L632" s="53"/>
      <c r="M632" s="12"/>
      <c r="N632" s="2"/>
      <c r="O632" s="2"/>
    </row>
    <row r="633" ht="15.75" customHeight="1">
      <c r="A633" s="1" t="s">
        <v>797</v>
      </c>
      <c r="B633" s="63" t="s">
        <v>563</v>
      </c>
      <c r="C633" s="63" t="s">
        <v>798</v>
      </c>
      <c r="D633" s="24">
        <v>1.0E7</v>
      </c>
      <c r="E633" s="69">
        <v>0.9455958738</v>
      </c>
      <c r="F633" s="23">
        <v>9455958.74</v>
      </c>
      <c r="G633" s="23">
        <v>0.02</v>
      </c>
      <c r="H633" s="1"/>
      <c r="I633" s="1"/>
      <c r="J633" s="2"/>
      <c r="K633" s="2"/>
      <c r="L633" s="53"/>
      <c r="M633" s="12"/>
      <c r="N633" s="2"/>
      <c r="O633" s="2"/>
    </row>
    <row r="634" ht="15.75" customHeight="1">
      <c r="A634" s="1" t="s">
        <v>799</v>
      </c>
      <c r="B634" s="63" t="s">
        <v>297</v>
      </c>
      <c r="C634" s="63" t="s">
        <v>798</v>
      </c>
      <c r="D634" s="24">
        <v>1.0E7</v>
      </c>
      <c r="E634" s="69">
        <v>0.9620453554</v>
      </c>
      <c r="F634" s="23">
        <v>9620453.55</v>
      </c>
      <c r="G634" s="23">
        <v>0.02</v>
      </c>
      <c r="H634" s="1"/>
      <c r="I634" s="1"/>
      <c r="J634" s="2"/>
      <c r="K634" s="2"/>
      <c r="L634" s="53"/>
      <c r="M634" s="12"/>
      <c r="N634" s="2"/>
      <c r="O634" s="2"/>
    </row>
    <row r="635" ht="15.75" customHeight="1">
      <c r="A635" s="1" t="s">
        <v>800</v>
      </c>
      <c r="B635" s="63" t="s">
        <v>204</v>
      </c>
      <c r="C635" s="63" t="s">
        <v>798</v>
      </c>
      <c r="D635" s="24">
        <v>1.0E7</v>
      </c>
      <c r="E635" s="69">
        <v>0.9522568059</v>
      </c>
      <c r="F635" s="23">
        <v>9522568.06</v>
      </c>
      <c r="G635" s="23">
        <v>0.02</v>
      </c>
      <c r="H635" s="1"/>
      <c r="I635" s="1"/>
      <c r="J635" s="2"/>
      <c r="K635" s="2"/>
      <c r="L635" s="53"/>
      <c r="M635" s="12"/>
      <c r="N635" s="2"/>
      <c r="O635" s="2"/>
    </row>
    <row r="636" ht="15.75" customHeight="1">
      <c r="A636" s="1" t="s">
        <v>801</v>
      </c>
      <c r="B636" s="63" t="s">
        <v>247</v>
      </c>
      <c r="C636" s="63" t="s">
        <v>798</v>
      </c>
      <c r="D636" s="24">
        <v>1.0E7</v>
      </c>
      <c r="E636" s="69">
        <v>0.9681698044</v>
      </c>
      <c r="F636" s="23">
        <v>9681698.04</v>
      </c>
      <c r="G636" s="23">
        <v>0.02</v>
      </c>
      <c r="H636" s="1"/>
      <c r="I636" s="1"/>
      <c r="J636" s="2"/>
      <c r="K636" s="2"/>
      <c r="L636" s="53"/>
      <c r="M636" s="12"/>
      <c r="N636" s="2"/>
      <c r="O636" s="2"/>
    </row>
    <row r="637" ht="15.75" customHeight="1">
      <c r="A637" s="1" t="s">
        <v>802</v>
      </c>
      <c r="B637" s="63" t="s">
        <v>328</v>
      </c>
      <c r="C637" s="63" t="s">
        <v>798</v>
      </c>
      <c r="D637" s="24">
        <v>1.0E7</v>
      </c>
      <c r="E637" s="69">
        <v>0.9575026952</v>
      </c>
      <c r="F637" s="23">
        <v>9575026.95</v>
      </c>
      <c r="G637" s="23">
        <v>0.02</v>
      </c>
      <c r="H637" s="1"/>
      <c r="I637" s="1"/>
      <c r="J637" s="2"/>
      <c r="K637" s="2"/>
      <c r="L637" s="53"/>
      <c r="M637" s="12"/>
      <c r="N637" s="2"/>
      <c r="O637" s="2"/>
    </row>
    <row r="638" ht="15.75" customHeight="1">
      <c r="A638" s="1" t="s">
        <v>803</v>
      </c>
      <c r="B638" s="63" t="s">
        <v>111</v>
      </c>
      <c r="C638" s="63" t="s">
        <v>798</v>
      </c>
      <c r="D638" s="24">
        <v>1.0E7</v>
      </c>
      <c r="E638" s="69">
        <v>0.9775040816</v>
      </c>
      <c r="F638" s="23">
        <v>9775040.82</v>
      </c>
      <c r="G638" s="23">
        <v>0.02</v>
      </c>
      <c r="H638" s="1"/>
      <c r="I638" s="1"/>
      <c r="J638" s="2"/>
      <c r="K638" s="2"/>
      <c r="L638" s="53"/>
      <c r="M638" s="12"/>
      <c r="N638" s="2"/>
      <c r="O638" s="2"/>
    </row>
    <row r="639" ht="15.75" customHeight="1">
      <c r="A639" s="1" t="s">
        <v>804</v>
      </c>
      <c r="B639" s="63" t="s">
        <v>394</v>
      </c>
      <c r="C639" s="63" t="s">
        <v>798</v>
      </c>
      <c r="D639" s="24">
        <v>1.0E7</v>
      </c>
      <c r="E639" s="69">
        <v>0.9412796915</v>
      </c>
      <c r="F639" s="23">
        <v>9412796.92</v>
      </c>
      <c r="G639" s="23">
        <v>0.02</v>
      </c>
      <c r="H639" s="1"/>
      <c r="I639" s="1"/>
      <c r="J639" s="2"/>
      <c r="K639" s="2"/>
      <c r="L639" s="53"/>
      <c r="M639" s="12"/>
      <c r="N639" s="2"/>
      <c r="O639" s="2"/>
    </row>
    <row r="640" ht="15.75" customHeight="1">
      <c r="A640" s="1" t="s">
        <v>805</v>
      </c>
      <c r="B640" s="63" t="s">
        <v>287</v>
      </c>
      <c r="C640" s="63" t="s">
        <v>798</v>
      </c>
      <c r="D640" s="24">
        <v>1.0E7</v>
      </c>
      <c r="E640" s="69">
        <v>0.9357055802</v>
      </c>
      <c r="F640" s="29">
        <v>9357055.8</v>
      </c>
      <c r="G640" s="23">
        <v>0.02</v>
      </c>
      <c r="H640" s="1"/>
      <c r="I640" s="1"/>
      <c r="J640" s="2"/>
      <c r="K640" s="2"/>
      <c r="L640" s="53"/>
      <c r="M640" s="12"/>
      <c r="N640" s="2"/>
      <c r="O640" s="2"/>
    </row>
    <row r="641" ht="15.75" customHeight="1">
      <c r="A641" s="1" t="s">
        <v>806</v>
      </c>
      <c r="B641" s="63" t="s">
        <v>282</v>
      </c>
      <c r="C641" s="63" t="s">
        <v>807</v>
      </c>
      <c r="D641" s="23">
        <v>1.282550939E7</v>
      </c>
      <c r="E641" s="69">
        <v>0.9258085024</v>
      </c>
      <c r="F641" s="23">
        <v>1.187396564E7</v>
      </c>
      <c r="G641" s="23">
        <v>0.02</v>
      </c>
      <c r="H641" s="1"/>
      <c r="I641" s="1"/>
      <c r="J641" s="2"/>
      <c r="K641" s="2"/>
      <c r="L641" s="53"/>
      <c r="M641" s="12"/>
      <c r="N641" s="2"/>
      <c r="O641" s="2"/>
    </row>
    <row r="642" ht="15.75" customHeight="1">
      <c r="A642" s="1" t="s">
        <v>808</v>
      </c>
      <c r="B642" s="63" t="s">
        <v>287</v>
      </c>
      <c r="C642" s="63" t="s">
        <v>807</v>
      </c>
      <c r="D642" s="23">
        <v>1.282550939E7</v>
      </c>
      <c r="E642" s="69">
        <v>0.9248937271</v>
      </c>
      <c r="F642" s="23">
        <v>1.186223318E7</v>
      </c>
      <c r="G642" s="23">
        <v>0.02</v>
      </c>
      <c r="H642" s="1"/>
      <c r="I642" s="1"/>
      <c r="J642" s="2"/>
      <c r="K642" s="2"/>
      <c r="L642" s="53"/>
      <c r="M642" s="12"/>
      <c r="N642" s="2"/>
      <c r="O642" s="2"/>
    </row>
    <row r="643" ht="15.75" customHeight="1">
      <c r="A643" s="1" t="s">
        <v>809</v>
      </c>
      <c r="B643" s="63" t="s">
        <v>328</v>
      </c>
      <c r="C643" s="63" t="s">
        <v>807</v>
      </c>
      <c r="D643" s="23">
        <v>1.080042897E7</v>
      </c>
      <c r="E643" s="69">
        <v>0.9454490368</v>
      </c>
      <c r="F643" s="23">
        <v>1.021125517E7</v>
      </c>
      <c r="G643" s="23">
        <v>0.02</v>
      </c>
      <c r="H643" s="1"/>
      <c r="I643" s="1"/>
      <c r="J643" s="2"/>
      <c r="K643" s="2"/>
      <c r="L643" s="53"/>
      <c r="M643" s="12"/>
      <c r="N643" s="2"/>
      <c r="O643" s="2"/>
    </row>
    <row r="644" ht="15.75" customHeight="1">
      <c r="A644" s="1" t="s">
        <v>810</v>
      </c>
      <c r="B644" s="63" t="s">
        <v>287</v>
      </c>
      <c r="C644" s="63" t="s">
        <v>807</v>
      </c>
      <c r="D644" s="24">
        <v>2.5E7</v>
      </c>
      <c r="E644" s="69">
        <v>0.9375322354</v>
      </c>
      <c r="F644" s="23">
        <v>2.343830589E7</v>
      </c>
      <c r="G644" s="23">
        <v>0.05</v>
      </c>
      <c r="H644" s="1"/>
      <c r="I644" s="1"/>
      <c r="J644" s="2"/>
      <c r="K644" s="2"/>
      <c r="L644" s="53"/>
      <c r="M644" s="12"/>
      <c r="N644" s="2"/>
      <c r="O644" s="2"/>
    </row>
    <row r="645" ht="15.75" customHeight="1">
      <c r="A645" s="1" t="s">
        <v>811</v>
      </c>
      <c r="B645" s="63" t="s">
        <v>153</v>
      </c>
      <c r="C645" s="63" t="s">
        <v>807</v>
      </c>
      <c r="D645" s="24">
        <v>1250000.0</v>
      </c>
      <c r="E645" s="70">
        <v>0.986379896</v>
      </c>
      <c r="F645" s="23">
        <v>1232974.87</v>
      </c>
      <c r="G645" s="24">
        <v>0.0</v>
      </c>
      <c r="H645" s="1"/>
      <c r="I645" s="1"/>
      <c r="J645" s="2"/>
      <c r="K645" s="2"/>
      <c r="L645" s="53"/>
      <c r="M645" s="12"/>
      <c r="N645" s="2"/>
      <c r="O645" s="2"/>
    </row>
    <row r="646" ht="15.75" customHeight="1">
      <c r="A646" s="1" t="s">
        <v>812</v>
      </c>
      <c r="B646" s="63" t="s">
        <v>330</v>
      </c>
      <c r="C646" s="63" t="s">
        <v>807</v>
      </c>
      <c r="D646" s="24">
        <v>1250000.0</v>
      </c>
      <c r="E646" s="70">
        <v>0.980655552</v>
      </c>
      <c r="F646" s="23">
        <v>1225819.44</v>
      </c>
      <c r="G646" s="24">
        <v>0.0</v>
      </c>
      <c r="H646" s="1"/>
      <c r="I646" s="1"/>
      <c r="J646" s="2"/>
      <c r="K646" s="2"/>
      <c r="L646" s="53"/>
      <c r="M646" s="12"/>
      <c r="N646" s="2"/>
      <c r="O646" s="2"/>
    </row>
    <row r="647" ht="15.75" customHeight="1">
      <c r="A647" s="1" t="s">
        <v>813</v>
      </c>
      <c r="B647" s="63" t="s">
        <v>182</v>
      </c>
      <c r="C647" s="63" t="s">
        <v>807</v>
      </c>
      <c r="D647" s="24">
        <v>1250000.0</v>
      </c>
      <c r="E647" s="69">
        <v>0.9768761437</v>
      </c>
      <c r="F647" s="23">
        <v>1221095.18</v>
      </c>
      <c r="G647" s="24">
        <v>0.0</v>
      </c>
      <c r="H647" s="1"/>
      <c r="I647" s="1"/>
      <c r="J647" s="2"/>
      <c r="K647" s="2"/>
      <c r="L647" s="53"/>
      <c r="M647" s="12"/>
      <c r="N647" s="2"/>
      <c r="O647" s="2"/>
    </row>
    <row r="648" ht="15.75" customHeight="1">
      <c r="A648" s="1" t="s">
        <v>814</v>
      </c>
      <c r="B648" s="63" t="s">
        <v>159</v>
      </c>
      <c r="C648" s="63" t="s">
        <v>815</v>
      </c>
      <c r="D648" s="24">
        <v>2040817.0</v>
      </c>
      <c r="E648" s="69">
        <v>0.9883028365</v>
      </c>
      <c r="F648" s="23">
        <v>2016945.23</v>
      </c>
      <c r="G648" s="24">
        <v>0.0</v>
      </c>
      <c r="H648" s="1"/>
      <c r="I648" s="1"/>
      <c r="J648" s="2"/>
      <c r="K648" s="2"/>
      <c r="L648" s="53"/>
      <c r="M648" s="12"/>
      <c r="N648" s="2"/>
      <c r="O648" s="2"/>
    </row>
    <row r="649" ht="15.75" customHeight="1">
      <c r="A649" s="1" t="s">
        <v>816</v>
      </c>
      <c r="B649" s="63" t="s">
        <v>159</v>
      </c>
      <c r="C649" s="63" t="s">
        <v>815</v>
      </c>
      <c r="D649" s="24">
        <v>2040817.0</v>
      </c>
      <c r="E649" s="69">
        <v>0.9883028365</v>
      </c>
      <c r="F649" s="23">
        <v>2016945.23</v>
      </c>
      <c r="G649" s="24">
        <v>0.0</v>
      </c>
      <c r="H649" s="1"/>
      <c r="I649" s="1"/>
      <c r="J649" s="2"/>
      <c r="K649" s="2"/>
      <c r="L649" s="53"/>
      <c r="M649" s="12"/>
      <c r="N649" s="2"/>
      <c r="O649" s="2"/>
    </row>
    <row r="650" ht="15.75" customHeight="1">
      <c r="A650" s="1" t="s">
        <v>817</v>
      </c>
      <c r="B650" s="63" t="s">
        <v>159</v>
      </c>
      <c r="C650" s="63" t="s">
        <v>815</v>
      </c>
      <c r="D650" s="24">
        <v>2040817.0</v>
      </c>
      <c r="E650" s="69">
        <v>0.9883028365</v>
      </c>
      <c r="F650" s="23">
        <v>2016945.23</v>
      </c>
      <c r="G650" s="24">
        <v>0.0</v>
      </c>
      <c r="H650" s="1"/>
      <c r="I650" s="1"/>
      <c r="J650" s="2"/>
      <c r="K650" s="2"/>
      <c r="L650" s="53"/>
      <c r="M650" s="12"/>
      <c r="N650" s="2"/>
      <c r="O650" s="2"/>
    </row>
    <row r="651" ht="15.75" customHeight="1">
      <c r="A651" s="1" t="s">
        <v>818</v>
      </c>
      <c r="B651" s="63" t="s">
        <v>287</v>
      </c>
      <c r="C651" s="63" t="s">
        <v>815</v>
      </c>
      <c r="D651" s="24">
        <v>1.0E8</v>
      </c>
      <c r="E651" s="69">
        <v>0.9412069035</v>
      </c>
      <c r="F651" s="23">
        <v>9.412069035E7</v>
      </c>
      <c r="G651" s="23">
        <v>0.19</v>
      </c>
      <c r="H651" s="1"/>
      <c r="I651" s="1"/>
      <c r="J651" s="2"/>
      <c r="K651" s="2"/>
      <c r="L651" s="53"/>
      <c r="M651" s="12"/>
      <c r="N651" s="2"/>
      <c r="O651" s="2"/>
    </row>
    <row r="652" ht="15.75" customHeight="1">
      <c r="A652" s="1" t="s">
        <v>819</v>
      </c>
      <c r="B652" s="63" t="s">
        <v>157</v>
      </c>
      <c r="C652" s="63" t="s">
        <v>815</v>
      </c>
      <c r="D652" s="24">
        <v>1.0E8</v>
      </c>
      <c r="E652" s="69">
        <v>0.9612853623</v>
      </c>
      <c r="F652" s="23">
        <v>9.612853623E7</v>
      </c>
      <c r="G652" s="29">
        <v>0.2</v>
      </c>
      <c r="H652" s="1"/>
      <c r="I652" s="1"/>
      <c r="J652" s="2"/>
      <c r="K652" s="2"/>
      <c r="L652" s="53"/>
      <c r="M652" s="12"/>
      <c r="N652" s="2"/>
      <c r="O652" s="2"/>
    </row>
    <row r="653" ht="15.75" customHeight="1">
      <c r="A653" s="1" t="s">
        <v>820</v>
      </c>
      <c r="B653" s="63" t="s">
        <v>282</v>
      </c>
      <c r="C653" s="63" t="s">
        <v>815</v>
      </c>
      <c r="D653" s="24">
        <v>7500000.0</v>
      </c>
      <c r="E653" s="69">
        <v>0.9419356242</v>
      </c>
      <c r="F653" s="23">
        <v>7064517.18</v>
      </c>
      <c r="G653" s="23">
        <v>0.01</v>
      </c>
      <c r="H653" s="1"/>
      <c r="I653" s="1"/>
      <c r="J653" s="2"/>
      <c r="K653" s="2"/>
      <c r="L653" s="53"/>
      <c r="M653" s="12"/>
      <c r="N653" s="2"/>
      <c r="O653" s="2"/>
    </row>
    <row r="654" ht="15.75" customHeight="1">
      <c r="A654" s="1" t="s">
        <v>821</v>
      </c>
      <c r="B654" s="63" t="s">
        <v>378</v>
      </c>
      <c r="C654" s="63" t="s">
        <v>815</v>
      </c>
      <c r="D654" s="24">
        <v>7500000.0</v>
      </c>
      <c r="E654" s="70">
        <v>0.936858472</v>
      </c>
      <c r="F654" s="23">
        <v>7026438.54</v>
      </c>
      <c r="G654" s="23">
        <v>0.01</v>
      </c>
      <c r="H654" s="1"/>
      <c r="I654" s="1"/>
      <c r="J654" s="2"/>
      <c r="K654" s="2"/>
      <c r="L654" s="53"/>
      <c r="M654" s="12"/>
      <c r="N654" s="2"/>
      <c r="O654" s="2"/>
    </row>
    <row r="655" ht="15.75" customHeight="1">
      <c r="A655" s="1" t="s">
        <v>822</v>
      </c>
      <c r="B655" s="63" t="s">
        <v>301</v>
      </c>
      <c r="C655" s="63" t="s">
        <v>815</v>
      </c>
      <c r="D655" s="24">
        <v>7500000.0</v>
      </c>
      <c r="E655" s="69">
        <v>0.9590121085</v>
      </c>
      <c r="F655" s="23">
        <v>7192590.81</v>
      </c>
      <c r="G655" s="23">
        <v>0.01</v>
      </c>
      <c r="H655" s="1"/>
      <c r="I655" s="1"/>
      <c r="J655" s="2"/>
      <c r="K655" s="2"/>
      <c r="L655" s="53"/>
      <c r="M655" s="12"/>
      <c r="N655" s="2"/>
      <c r="O655" s="2"/>
    </row>
    <row r="656" ht="15.75" customHeight="1">
      <c r="A656" s="1" t="s">
        <v>823</v>
      </c>
      <c r="B656" s="63" t="s">
        <v>115</v>
      </c>
      <c r="C656" s="63" t="s">
        <v>815</v>
      </c>
      <c r="D656" s="24">
        <v>1.0E7</v>
      </c>
      <c r="E656" s="69">
        <v>0.9318355906</v>
      </c>
      <c r="F656" s="23">
        <v>9318355.91</v>
      </c>
      <c r="G656" s="23">
        <v>0.02</v>
      </c>
      <c r="H656" s="1"/>
      <c r="I656" s="1"/>
      <c r="J656" s="2"/>
      <c r="K656" s="2"/>
      <c r="L656" s="53"/>
      <c r="M656" s="12"/>
      <c r="N656" s="2"/>
      <c r="O656" s="2"/>
    </row>
    <row r="657" ht="15.75" customHeight="1">
      <c r="A657" s="1" t="s">
        <v>824</v>
      </c>
      <c r="B657" s="63" t="s">
        <v>113</v>
      </c>
      <c r="C657" s="63" t="s">
        <v>815</v>
      </c>
      <c r="D657" s="24">
        <v>7500000.0</v>
      </c>
      <c r="E657" s="69">
        <v>0.9537497087</v>
      </c>
      <c r="F657" s="23">
        <v>7153122.82</v>
      </c>
      <c r="G657" s="23">
        <v>0.01</v>
      </c>
      <c r="H657" s="1"/>
      <c r="I657" s="1"/>
      <c r="J657" s="2"/>
      <c r="K657" s="2"/>
      <c r="L657" s="53"/>
      <c r="M657" s="12"/>
      <c r="N657" s="2"/>
      <c r="O657" s="2"/>
    </row>
    <row r="658" ht="15.75" customHeight="1">
      <c r="A658" s="1" t="s">
        <v>825</v>
      </c>
      <c r="B658" s="63" t="s">
        <v>400</v>
      </c>
      <c r="C658" s="63" t="s">
        <v>815</v>
      </c>
      <c r="D658" s="24">
        <v>1.5E7</v>
      </c>
      <c r="E658" s="69">
        <v>0.9621721615</v>
      </c>
      <c r="F658" s="23">
        <v>1.443258242E7</v>
      </c>
      <c r="G658" s="23">
        <v>0.03</v>
      </c>
      <c r="H658" s="1"/>
      <c r="I658" s="1"/>
      <c r="J658" s="2"/>
      <c r="K658" s="2"/>
      <c r="L658" s="53"/>
      <c r="M658" s="12"/>
      <c r="N658" s="2"/>
      <c r="O658" s="2"/>
    </row>
    <row r="659" ht="15.75" customHeight="1">
      <c r="A659" s="1" t="s">
        <v>826</v>
      </c>
      <c r="B659" s="63" t="s">
        <v>159</v>
      </c>
      <c r="C659" s="63" t="s">
        <v>827</v>
      </c>
      <c r="D659" s="24">
        <v>2.145E8</v>
      </c>
      <c r="E659" s="69">
        <v>0.9870200422</v>
      </c>
      <c r="F659" s="23">
        <v>2.1171579905E8</v>
      </c>
      <c r="G659" s="23">
        <v>0.43</v>
      </c>
      <c r="H659" s="1"/>
      <c r="I659" s="1"/>
      <c r="J659" s="2"/>
      <c r="K659" s="2"/>
      <c r="L659" s="53"/>
      <c r="M659" s="12"/>
      <c r="N659" s="2"/>
      <c r="O659" s="2"/>
    </row>
    <row r="660" ht="15.75" customHeight="1">
      <c r="A660" s="1" t="s">
        <v>828</v>
      </c>
      <c r="B660" s="63" t="s">
        <v>111</v>
      </c>
      <c r="C660" s="63" t="s">
        <v>827</v>
      </c>
      <c r="D660" s="24">
        <v>3000000.0</v>
      </c>
      <c r="E660" s="69">
        <v>0.9723998266</v>
      </c>
      <c r="F660" s="23">
        <v>2917199.48</v>
      </c>
      <c r="G660" s="23">
        <v>0.01</v>
      </c>
      <c r="H660" s="1"/>
      <c r="I660" s="1"/>
      <c r="J660" s="2"/>
      <c r="K660" s="2"/>
      <c r="L660" s="53"/>
      <c r="M660" s="12"/>
      <c r="N660" s="2"/>
      <c r="O660" s="2"/>
    </row>
    <row r="661" ht="15.75" customHeight="1">
      <c r="A661" s="1" t="s">
        <v>829</v>
      </c>
      <c r="B661" s="63" t="s">
        <v>132</v>
      </c>
      <c r="C661" s="63" t="s">
        <v>827</v>
      </c>
      <c r="D661" s="24">
        <v>3000000.0</v>
      </c>
      <c r="E661" s="69">
        <v>0.9695327896</v>
      </c>
      <c r="F661" s="23">
        <v>2908598.37</v>
      </c>
      <c r="G661" s="23">
        <v>0.01</v>
      </c>
      <c r="H661" s="1"/>
      <c r="I661" s="1"/>
      <c r="J661" s="2"/>
      <c r="K661" s="2"/>
      <c r="L661" s="53"/>
      <c r="M661" s="12"/>
      <c r="N661" s="2"/>
      <c r="O661" s="2"/>
    </row>
    <row r="662" ht="15.75" customHeight="1">
      <c r="A662" s="1" t="s">
        <v>830</v>
      </c>
      <c r="B662" s="63" t="s">
        <v>148</v>
      </c>
      <c r="C662" s="63" t="s">
        <v>827</v>
      </c>
      <c r="D662" s="24">
        <v>3000000.0</v>
      </c>
      <c r="E662" s="69">
        <v>0.9685809567</v>
      </c>
      <c r="F662" s="23">
        <v>2905742.87</v>
      </c>
      <c r="G662" s="23">
        <v>0.01</v>
      </c>
      <c r="H662" s="1"/>
      <c r="I662" s="1"/>
      <c r="J662" s="2"/>
      <c r="K662" s="2"/>
      <c r="L662" s="53"/>
      <c r="M662" s="12"/>
      <c r="N662" s="2"/>
      <c r="O662" s="2"/>
    </row>
    <row r="663" ht="15.75" customHeight="1">
      <c r="A663" s="1" t="s">
        <v>831</v>
      </c>
      <c r="B663" s="63" t="s">
        <v>148</v>
      </c>
      <c r="C663" s="63" t="s">
        <v>827</v>
      </c>
      <c r="D663" s="24">
        <v>6000000.0</v>
      </c>
      <c r="E663" s="69">
        <v>0.9685809633</v>
      </c>
      <c r="F663" s="23">
        <v>5811485.78</v>
      </c>
      <c r="G663" s="23">
        <v>0.01</v>
      </c>
      <c r="H663" s="1"/>
      <c r="I663" s="1"/>
      <c r="J663" s="2"/>
      <c r="K663" s="2"/>
      <c r="L663" s="53"/>
      <c r="M663" s="12"/>
      <c r="N663" s="2"/>
      <c r="O663" s="2"/>
    </row>
    <row r="664" ht="15.75" customHeight="1">
      <c r="A664" s="1" t="s">
        <v>832</v>
      </c>
      <c r="B664" s="63" t="s">
        <v>148</v>
      </c>
      <c r="C664" s="63" t="s">
        <v>827</v>
      </c>
      <c r="D664" s="24">
        <v>3000000.0</v>
      </c>
      <c r="E664" s="69">
        <v>0.9685809567</v>
      </c>
      <c r="F664" s="23">
        <v>2905742.87</v>
      </c>
      <c r="G664" s="23">
        <v>0.01</v>
      </c>
      <c r="H664" s="1"/>
      <c r="I664" s="1"/>
      <c r="J664" s="2"/>
      <c r="K664" s="2"/>
      <c r="L664" s="53"/>
      <c r="M664" s="12"/>
      <c r="N664" s="2"/>
      <c r="O664" s="2"/>
    </row>
    <row r="665" ht="15.75" customHeight="1">
      <c r="A665" s="1" t="s">
        <v>833</v>
      </c>
      <c r="B665" s="63" t="s">
        <v>143</v>
      </c>
      <c r="C665" s="63" t="s">
        <v>827</v>
      </c>
      <c r="D665" s="24">
        <v>2.0E7</v>
      </c>
      <c r="E665" s="69">
        <v>0.9568752116</v>
      </c>
      <c r="F665" s="23">
        <v>1.913750423E7</v>
      </c>
      <c r="G665" s="23">
        <v>0.04</v>
      </c>
      <c r="H665" s="1"/>
      <c r="I665" s="1"/>
      <c r="J665" s="2"/>
      <c r="K665" s="2"/>
      <c r="L665" s="53"/>
      <c r="M665" s="12"/>
      <c r="N665" s="2"/>
      <c r="O665" s="2"/>
    </row>
    <row r="666" ht="15.75" customHeight="1">
      <c r="A666" s="1" t="s">
        <v>834</v>
      </c>
      <c r="B666" s="63" t="s">
        <v>159</v>
      </c>
      <c r="C666" s="63" t="s">
        <v>827</v>
      </c>
      <c r="D666" s="24">
        <v>1.0E7</v>
      </c>
      <c r="E666" s="69">
        <v>0.9892671559</v>
      </c>
      <c r="F666" s="23">
        <v>9892671.56</v>
      </c>
      <c r="G666" s="23">
        <v>0.02</v>
      </c>
      <c r="H666" s="1"/>
      <c r="I666" s="1"/>
      <c r="J666" s="2"/>
      <c r="K666" s="2"/>
      <c r="L666" s="53"/>
      <c r="M666" s="12"/>
      <c r="N666" s="2"/>
      <c r="O666" s="2"/>
    </row>
    <row r="667" ht="15.75" customHeight="1">
      <c r="A667" s="1" t="s">
        <v>835</v>
      </c>
      <c r="B667" s="63" t="s">
        <v>219</v>
      </c>
      <c r="C667" s="63" t="s">
        <v>827</v>
      </c>
      <c r="D667" s="24">
        <v>1.0E7</v>
      </c>
      <c r="E667" s="70">
        <v>0.965940809</v>
      </c>
      <c r="F667" s="23">
        <v>9659408.09</v>
      </c>
      <c r="G667" s="23">
        <v>0.02</v>
      </c>
      <c r="H667" s="1"/>
      <c r="I667" s="1"/>
      <c r="J667" s="2"/>
      <c r="K667" s="2"/>
      <c r="L667" s="53"/>
      <c r="M667" s="12"/>
      <c r="N667" s="2"/>
      <c r="O667" s="2"/>
    </row>
    <row r="668" ht="15.75" customHeight="1">
      <c r="A668" s="1" t="s">
        <v>836</v>
      </c>
      <c r="B668" s="63" t="s">
        <v>140</v>
      </c>
      <c r="C668" s="63" t="s">
        <v>827</v>
      </c>
      <c r="D668" s="24">
        <v>1.0E7</v>
      </c>
      <c r="E668" s="69">
        <v>0.9839866959</v>
      </c>
      <c r="F668" s="23">
        <v>9839866.96</v>
      </c>
      <c r="G668" s="23">
        <v>0.02</v>
      </c>
      <c r="H668" s="1"/>
      <c r="I668" s="1"/>
      <c r="J668" s="2"/>
      <c r="K668" s="2"/>
      <c r="L668" s="53"/>
      <c r="M668" s="12"/>
      <c r="N668" s="2"/>
      <c r="O668" s="2"/>
    </row>
    <row r="669" ht="15.75" customHeight="1">
      <c r="A669" s="1" t="s">
        <v>837</v>
      </c>
      <c r="B669" s="63" t="s">
        <v>187</v>
      </c>
      <c r="C669" s="63" t="s">
        <v>827</v>
      </c>
      <c r="D669" s="24">
        <v>1.0E7</v>
      </c>
      <c r="E669" s="69">
        <v>0.9778969483</v>
      </c>
      <c r="F669" s="23">
        <v>9778969.48</v>
      </c>
      <c r="G669" s="23">
        <v>0.02</v>
      </c>
      <c r="H669" s="1"/>
      <c r="I669" s="1"/>
      <c r="J669" s="2"/>
      <c r="K669" s="2"/>
      <c r="L669" s="53"/>
      <c r="M669" s="12"/>
      <c r="N669" s="2"/>
      <c r="O669" s="2"/>
    </row>
    <row r="670" ht="15.75" customHeight="1">
      <c r="A670" s="1" t="s">
        <v>838</v>
      </c>
      <c r="B670" s="63" t="s">
        <v>148</v>
      </c>
      <c r="C670" s="63" t="s">
        <v>827</v>
      </c>
      <c r="D670" s="24">
        <v>1.0E7</v>
      </c>
      <c r="E670" s="69">
        <v>0.9718821088</v>
      </c>
      <c r="F670" s="23">
        <v>9718821.09</v>
      </c>
      <c r="G670" s="23">
        <v>0.02</v>
      </c>
      <c r="H670" s="1"/>
      <c r="I670" s="1"/>
      <c r="J670" s="2"/>
      <c r="K670" s="2"/>
      <c r="L670" s="53"/>
      <c r="M670" s="12"/>
      <c r="N670" s="2"/>
      <c r="O670" s="2"/>
    </row>
    <row r="671" ht="15.75" customHeight="1">
      <c r="A671" s="1" t="s">
        <v>839</v>
      </c>
      <c r="B671" s="63" t="s">
        <v>209</v>
      </c>
      <c r="C671" s="63" t="s">
        <v>827</v>
      </c>
      <c r="D671" s="24">
        <v>1.0E7</v>
      </c>
      <c r="E671" s="70">
        <v>0.996396609</v>
      </c>
      <c r="F671" s="23">
        <v>9963966.09</v>
      </c>
      <c r="G671" s="23">
        <v>0.02</v>
      </c>
      <c r="H671" s="1"/>
      <c r="I671" s="1"/>
      <c r="J671" s="2"/>
      <c r="K671" s="2"/>
      <c r="L671" s="53"/>
      <c r="M671" s="12"/>
      <c r="N671" s="2"/>
      <c r="O671" s="2"/>
    </row>
    <row r="672" ht="15.75" customHeight="1">
      <c r="A672" s="1" t="s">
        <v>840</v>
      </c>
      <c r="B672" s="63" t="s">
        <v>153</v>
      </c>
      <c r="C672" s="63" t="s">
        <v>827</v>
      </c>
      <c r="D672" s="24">
        <v>1.0E7</v>
      </c>
      <c r="E672" s="69">
        <v>0.9886241101</v>
      </c>
      <c r="F672" s="29">
        <v>9886241.1</v>
      </c>
      <c r="G672" s="23">
        <v>0.02</v>
      </c>
      <c r="H672" s="1"/>
      <c r="I672" s="1"/>
      <c r="J672" s="2"/>
      <c r="K672" s="2"/>
      <c r="L672" s="53"/>
      <c r="M672" s="12"/>
      <c r="N672" s="2"/>
      <c r="O672" s="2"/>
    </row>
    <row r="673" ht="15.75" customHeight="1">
      <c r="A673" s="1" t="s">
        <v>841</v>
      </c>
      <c r="B673" s="63" t="s">
        <v>185</v>
      </c>
      <c r="C673" s="63" t="s">
        <v>827</v>
      </c>
      <c r="D673" s="24">
        <v>1.0E7</v>
      </c>
      <c r="E673" s="69">
        <v>0.9846237258</v>
      </c>
      <c r="F673" s="23">
        <v>9846237.26</v>
      </c>
      <c r="G673" s="23">
        <v>0.02</v>
      </c>
      <c r="H673" s="1"/>
      <c r="I673" s="1"/>
      <c r="J673" s="2"/>
      <c r="K673" s="2"/>
      <c r="L673" s="53"/>
      <c r="M673" s="12"/>
      <c r="N673" s="2"/>
      <c r="O673" s="2"/>
    </row>
    <row r="674" ht="15.75" customHeight="1">
      <c r="A674" s="1" t="s">
        <v>842</v>
      </c>
      <c r="B674" s="63" t="s">
        <v>421</v>
      </c>
      <c r="C674" s="63" t="s">
        <v>827</v>
      </c>
      <c r="D674" s="24">
        <v>2500000.0</v>
      </c>
      <c r="E674" s="69">
        <v>0.9349146839</v>
      </c>
      <c r="F674" s="23">
        <v>2337286.71</v>
      </c>
      <c r="G674" s="24">
        <v>0.0</v>
      </c>
      <c r="H674" s="1"/>
      <c r="I674" s="1"/>
      <c r="J674" s="2"/>
      <c r="K674" s="2"/>
      <c r="L674" s="53"/>
      <c r="M674" s="12"/>
      <c r="N674" s="2"/>
      <c r="O674" s="2"/>
    </row>
    <row r="675" ht="15.75" customHeight="1">
      <c r="A675" s="1" t="s">
        <v>843</v>
      </c>
      <c r="B675" s="63" t="s">
        <v>301</v>
      </c>
      <c r="C675" s="63" t="s">
        <v>827</v>
      </c>
      <c r="D675" s="24">
        <v>2500000.0</v>
      </c>
      <c r="E675" s="69">
        <v>0.9550974194</v>
      </c>
      <c r="F675" s="23">
        <v>2387743.55</v>
      </c>
      <c r="G675" s="24">
        <v>0.0</v>
      </c>
      <c r="H675" s="1"/>
      <c r="I675" s="1"/>
      <c r="J675" s="2"/>
      <c r="K675" s="2"/>
      <c r="L675" s="53"/>
      <c r="M675" s="12"/>
      <c r="N675" s="2"/>
      <c r="O675" s="2"/>
    </row>
    <row r="676" ht="15.75" customHeight="1">
      <c r="A676" s="1" t="s">
        <v>844</v>
      </c>
      <c r="B676" s="63" t="s">
        <v>378</v>
      </c>
      <c r="C676" s="63" t="s">
        <v>827</v>
      </c>
      <c r="D676" s="24">
        <v>2500000.0</v>
      </c>
      <c r="E676" s="69">
        <v>0.9309799832</v>
      </c>
      <c r="F676" s="23">
        <v>2327449.96</v>
      </c>
      <c r="G676" s="24">
        <v>0.0</v>
      </c>
      <c r="H676" s="1"/>
      <c r="I676" s="1"/>
      <c r="J676" s="2"/>
      <c r="K676" s="2"/>
      <c r="L676" s="53"/>
      <c r="M676" s="12"/>
      <c r="N676" s="2"/>
      <c r="O676" s="2"/>
    </row>
    <row r="677" ht="15.75" customHeight="1">
      <c r="A677" s="1" t="s">
        <v>845</v>
      </c>
      <c r="B677" s="63" t="s">
        <v>328</v>
      </c>
      <c r="C677" s="63" t="s">
        <v>827</v>
      </c>
      <c r="D677" s="24">
        <v>2500000.0</v>
      </c>
      <c r="E677" s="69">
        <v>0.9534508558</v>
      </c>
      <c r="F677" s="23">
        <v>2383627.14</v>
      </c>
      <c r="G677" s="24">
        <v>0.0</v>
      </c>
      <c r="H677" s="1"/>
      <c r="I677" s="1"/>
      <c r="J677" s="2"/>
      <c r="K677" s="2"/>
      <c r="L677" s="53"/>
      <c r="M677" s="12"/>
      <c r="N677" s="2"/>
      <c r="O677" s="2"/>
    </row>
    <row r="678" ht="15.75" customHeight="1">
      <c r="A678" s="1" t="s">
        <v>846</v>
      </c>
      <c r="B678" s="63" t="s">
        <v>115</v>
      </c>
      <c r="C678" s="63" t="s">
        <v>827</v>
      </c>
      <c r="D678" s="24">
        <v>2500000.0</v>
      </c>
      <c r="E678" s="70">
        <v>0.925526848</v>
      </c>
      <c r="F678" s="23">
        <v>2313817.12</v>
      </c>
      <c r="G678" s="24">
        <v>0.0</v>
      </c>
      <c r="H678" s="1"/>
      <c r="I678" s="1"/>
      <c r="J678" s="2"/>
      <c r="K678" s="2"/>
      <c r="L678" s="53"/>
      <c r="M678" s="12"/>
      <c r="N678" s="2"/>
      <c r="O678" s="2"/>
    </row>
    <row r="679" ht="15.75" customHeight="1">
      <c r="A679" s="1" t="s">
        <v>847</v>
      </c>
      <c r="B679" s="63" t="s">
        <v>204</v>
      </c>
      <c r="C679" s="63" t="s">
        <v>827</v>
      </c>
      <c r="D679" s="24">
        <v>2500000.0</v>
      </c>
      <c r="E679" s="69">
        <v>0.9477320998</v>
      </c>
      <c r="F679" s="23">
        <v>2369330.25</v>
      </c>
      <c r="G679" s="24">
        <v>0.0</v>
      </c>
      <c r="H679" s="1"/>
      <c r="I679" s="1"/>
      <c r="J679" s="2"/>
      <c r="K679" s="2"/>
      <c r="L679" s="53"/>
      <c r="M679" s="12"/>
      <c r="N679" s="2"/>
      <c r="O679" s="2"/>
    </row>
    <row r="680" ht="15.75" customHeight="1">
      <c r="A680" s="1" t="s">
        <v>848</v>
      </c>
      <c r="B680" s="63" t="s">
        <v>170</v>
      </c>
      <c r="C680" s="63" t="s">
        <v>849</v>
      </c>
      <c r="D680" s="24">
        <v>1.0E7</v>
      </c>
      <c r="E680" s="69">
        <v>0.9862199641</v>
      </c>
      <c r="F680" s="23">
        <v>9862199.64</v>
      </c>
      <c r="G680" s="23">
        <v>0.02</v>
      </c>
      <c r="H680" s="1"/>
      <c r="I680" s="1"/>
      <c r="J680" s="2"/>
      <c r="K680" s="2"/>
      <c r="L680" s="53"/>
      <c r="M680" s="12"/>
      <c r="N680" s="2"/>
      <c r="O680" s="2"/>
    </row>
    <row r="681" ht="15.75" customHeight="1">
      <c r="A681" s="1" t="s">
        <v>850</v>
      </c>
      <c r="B681" s="63" t="s">
        <v>173</v>
      </c>
      <c r="C681" s="63" t="s">
        <v>849</v>
      </c>
      <c r="D681" s="24">
        <v>1.0E7</v>
      </c>
      <c r="E681" s="70">
        <v>0.983032606</v>
      </c>
      <c r="F681" s="23">
        <v>9830326.06</v>
      </c>
      <c r="G681" s="23">
        <v>0.02</v>
      </c>
      <c r="H681" s="1"/>
      <c r="I681" s="1"/>
      <c r="J681" s="2"/>
      <c r="K681" s="2"/>
      <c r="L681" s="53"/>
      <c r="M681" s="12"/>
      <c r="N681" s="2"/>
      <c r="O681" s="2"/>
    </row>
    <row r="682" ht="15.75" customHeight="1">
      <c r="A682" s="1" t="s">
        <v>851</v>
      </c>
      <c r="B682" s="63" t="s">
        <v>175</v>
      </c>
      <c r="C682" s="63" t="s">
        <v>849</v>
      </c>
      <c r="D682" s="24">
        <v>1.0E7</v>
      </c>
      <c r="E682" s="69">
        <v>0.9790773413</v>
      </c>
      <c r="F682" s="23">
        <v>9790773.41</v>
      </c>
      <c r="G682" s="23">
        <v>0.02</v>
      </c>
      <c r="H682" s="1"/>
      <c r="I682" s="1"/>
      <c r="J682" s="2"/>
      <c r="K682" s="2"/>
      <c r="L682" s="53"/>
      <c r="M682" s="12"/>
      <c r="N682" s="2"/>
      <c r="O682" s="2"/>
    </row>
    <row r="683" ht="15.75" customHeight="1">
      <c r="A683" s="1" t="s">
        <v>852</v>
      </c>
      <c r="B683" s="63" t="s">
        <v>159</v>
      </c>
      <c r="C683" s="63" t="s">
        <v>849</v>
      </c>
      <c r="D683" s="24">
        <v>1.0E7</v>
      </c>
      <c r="E683" s="69">
        <v>0.9902333581</v>
      </c>
      <c r="F683" s="23">
        <v>9902333.58</v>
      </c>
      <c r="G683" s="23">
        <v>0.02</v>
      </c>
      <c r="H683" s="1"/>
      <c r="I683" s="1"/>
      <c r="J683" s="2"/>
      <c r="K683" s="2"/>
      <c r="L683" s="53"/>
      <c r="M683" s="12"/>
      <c r="N683" s="2"/>
      <c r="O683" s="2"/>
    </row>
    <row r="684" ht="15.75" customHeight="1">
      <c r="A684" s="1" t="s">
        <v>853</v>
      </c>
      <c r="B684" s="63" t="s">
        <v>170</v>
      </c>
      <c r="C684" s="63" t="s">
        <v>849</v>
      </c>
      <c r="D684" s="24">
        <v>3000000.0</v>
      </c>
      <c r="E684" s="69">
        <v>0.9835094032</v>
      </c>
      <c r="F684" s="23">
        <v>2950528.21</v>
      </c>
      <c r="G684" s="23">
        <v>0.01</v>
      </c>
      <c r="H684" s="1"/>
      <c r="I684" s="1"/>
      <c r="J684" s="2"/>
      <c r="K684" s="2"/>
      <c r="L684" s="53"/>
      <c r="M684" s="12"/>
      <c r="N684" s="2"/>
      <c r="O684" s="2"/>
    </row>
    <row r="685" ht="15.75" customHeight="1">
      <c r="A685" s="1" t="s">
        <v>854</v>
      </c>
      <c r="B685" s="63" t="s">
        <v>140</v>
      </c>
      <c r="C685" s="63" t="s">
        <v>849</v>
      </c>
      <c r="D685" s="24">
        <v>3750000.0</v>
      </c>
      <c r="E685" s="69">
        <v>0.9825562614</v>
      </c>
      <c r="F685" s="23">
        <v>3684585.98</v>
      </c>
      <c r="G685" s="23">
        <v>0.01</v>
      </c>
      <c r="H685" s="1"/>
      <c r="I685" s="1"/>
      <c r="J685" s="2"/>
      <c r="K685" s="2"/>
      <c r="L685" s="53"/>
      <c r="M685" s="12"/>
      <c r="N685" s="2"/>
      <c r="O685" s="2"/>
    </row>
    <row r="686" ht="15.75" customHeight="1">
      <c r="A686" s="1" t="s">
        <v>855</v>
      </c>
      <c r="B686" s="63" t="s">
        <v>185</v>
      </c>
      <c r="C686" s="63" t="s">
        <v>849</v>
      </c>
      <c r="D686" s="24">
        <v>5000000.0</v>
      </c>
      <c r="E686" s="69">
        <v>0.9816050701</v>
      </c>
      <c r="F686" s="23">
        <v>4908025.35</v>
      </c>
      <c r="G686" s="23">
        <v>0.01</v>
      </c>
      <c r="H686" s="1"/>
      <c r="I686" s="1"/>
      <c r="J686" s="2"/>
      <c r="K686" s="2"/>
      <c r="L686" s="53"/>
      <c r="M686" s="12"/>
      <c r="N686" s="2"/>
      <c r="O686" s="2"/>
    </row>
    <row r="687" ht="15.75" customHeight="1">
      <c r="A687" s="1" t="s">
        <v>856</v>
      </c>
      <c r="B687" s="63" t="s">
        <v>182</v>
      </c>
      <c r="C687" s="63" t="s">
        <v>849</v>
      </c>
      <c r="D687" s="24">
        <v>3000000.0</v>
      </c>
      <c r="E687" s="69">
        <v>0.9768761833</v>
      </c>
      <c r="F687" s="23">
        <v>2930628.55</v>
      </c>
      <c r="G687" s="23">
        <v>0.01</v>
      </c>
      <c r="H687" s="1"/>
      <c r="I687" s="1"/>
      <c r="J687" s="2"/>
      <c r="K687" s="2"/>
      <c r="L687" s="53"/>
      <c r="M687" s="12"/>
      <c r="N687" s="2"/>
      <c r="O687" s="2"/>
    </row>
    <row r="688" ht="15.75" customHeight="1">
      <c r="A688" s="1" t="s">
        <v>857</v>
      </c>
      <c r="B688" s="63" t="s">
        <v>187</v>
      </c>
      <c r="C688" s="63" t="s">
        <v>849</v>
      </c>
      <c r="D688" s="24">
        <v>5000000.0</v>
      </c>
      <c r="E688" s="69">
        <v>0.9759358478</v>
      </c>
      <c r="F688" s="23">
        <v>4879679.24</v>
      </c>
      <c r="G688" s="23">
        <v>0.01</v>
      </c>
      <c r="H688" s="1"/>
      <c r="I688" s="1"/>
      <c r="J688" s="2"/>
      <c r="K688" s="2"/>
      <c r="L688" s="53"/>
      <c r="M688" s="12"/>
      <c r="N688" s="2"/>
      <c r="O688" s="2"/>
    </row>
    <row r="689" ht="15.75" customHeight="1">
      <c r="A689" s="1" t="s">
        <v>858</v>
      </c>
      <c r="B689" s="63" t="s">
        <v>163</v>
      </c>
      <c r="C689" s="63" t="s">
        <v>849</v>
      </c>
      <c r="D689" s="24">
        <v>3750000.0</v>
      </c>
      <c r="E689" s="70">
        <v>0.987340432</v>
      </c>
      <c r="F689" s="23">
        <v>3702526.62</v>
      </c>
      <c r="G689" s="23">
        <v>0.01</v>
      </c>
      <c r="H689" s="1"/>
      <c r="I689" s="1"/>
      <c r="J689" s="2"/>
      <c r="K689" s="2"/>
      <c r="L689" s="53"/>
      <c r="M689" s="12"/>
      <c r="N689" s="2"/>
      <c r="O689" s="2"/>
    </row>
    <row r="690" ht="15.75" customHeight="1">
      <c r="A690" s="1" t="s">
        <v>859</v>
      </c>
      <c r="B690" s="63" t="s">
        <v>282</v>
      </c>
      <c r="C690" s="63" t="s">
        <v>849</v>
      </c>
      <c r="D690" s="24">
        <v>2.25E7</v>
      </c>
      <c r="E690" s="69">
        <v>0.9346991773</v>
      </c>
      <c r="F690" s="23">
        <v>2.103073149E7</v>
      </c>
      <c r="G690" s="23">
        <v>0.04</v>
      </c>
      <c r="H690" s="1"/>
      <c r="I690" s="1"/>
      <c r="J690" s="2"/>
      <c r="K690" s="2"/>
      <c r="L690" s="53"/>
      <c r="M690" s="12"/>
      <c r="N690" s="2"/>
      <c r="O690" s="2"/>
    </row>
    <row r="691" ht="15.75" customHeight="1">
      <c r="A691" s="1" t="s">
        <v>860</v>
      </c>
      <c r="B691" s="63" t="s">
        <v>247</v>
      </c>
      <c r="C691" s="63" t="s">
        <v>849</v>
      </c>
      <c r="D691" s="24">
        <v>5.0E7</v>
      </c>
      <c r="E691" s="69">
        <v>0.9661197802</v>
      </c>
      <c r="F691" s="23">
        <v>4.830598901E7</v>
      </c>
      <c r="G691" s="29">
        <v>0.1</v>
      </c>
      <c r="H691" s="1"/>
      <c r="I691" s="1"/>
      <c r="J691" s="2"/>
      <c r="K691" s="2"/>
      <c r="L691" s="53"/>
      <c r="M691" s="12"/>
      <c r="N691" s="2"/>
      <c r="O691" s="2"/>
    </row>
    <row r="692" ht="15.75" customHeight="1">
      <c r="A692" s="1" t="s">
        <v>861</v>
      </c>
      <c r="B692" s="63" t="s">
        <v>301</v>
      </c>
      <c r="C692" s="63" t="s">
        <v>849</v>
      </c>
      <c r="D692" s="24">
        <v>1.0E8</v>
      </c>
      <c r="E692" s="69">
        <v>0.9525053394</v>
      </c>
      <c r="F692" s="23">
        <v>9.525053394E7</v>
      </c>
      <c r="G692" s="23">
        <v>0.19</v>
      </c>
      <c r="H692" s="1"/>
      <c r="I692" s="1"/>
      <c r="J692" s="2"/>
      <c r="K692" s="2"/>
      <c r="L692" s="53"/>
      <c r="M692" s="12"/>
      <c r="N692" s="2"/>
      <c r="O692" s="2"/>
    </row>
    <row r="693" ht="15.75" customHeight="1">
      <c r="A693" s="1" t="s">
        <v>862</v>
      </c>
      <c r="B693" s="63" t="s">
        <v>285</v>
      </c>
      <c r="C693" s="63" t="s">
        <v>863</v>
      </c>
      <c r="D693" s="24">
        <v>1.25E7</v>
      </c>
      <c r="E693" s="69">
        <v>0.9469206036</v>
      </c>
      <c r="F693" s="23">
        <v>1.183650755E7</v>
      </c>
      <c r="G693" s="23">
        <v>0.02</v>
      </c>
      <c r="H693" s="1"/>
      <c r="I693" s="1"/>
      <c r="J693" s="2"/>
      <c r="K693" s="2"/>
      <c r="L693" s="53"/>
      <c r="M693" s="12"/>
      <c r="N693" s="2"/>
      <c r="O693" s="2"/>
    </row>
    <row r="694" ht="15.75" customHeight="1">
      <c r="A694" s="1" t="s">
        <v>864</v>
      </c>
      <c r="B694" s="63" t="s">
        <v>394</v>
      </c>
      <c r="C694" s="63" t="s">
        <v>863</v>
      </c>
      <c r="D694" s="24">
        <v>1.25E7</v>
      </c>
      <c r="E694" s="69">
        <v>0.9412796815</v>
      </c>
      <c r="F694" s="23">
        <v>1.176599602E7</v>
      </c>
      <c r="G694" s="23">
        <v>0.02</v>
      </c>
      <c r="H694" s="1"/>
      <c r="I694" s="1"/>
      <c r="J694" s="2"/>
      <c r="K694" s="2"/>
      <c r="L694" s="53"/>
      <c r="M694" s="12"/>
      <c r="N694" s="2"/>
      <c r="O694" s="2"/>
    </row>
    <row r="695" ht="15.75" customHeight="1">
      <c r="A695" s="1" t="s">
        <v>865</v>
      </c>
      <c r="B695" s="63" t="s">
        <v>287</v>
      </c>
      <c r="C695" s="63" t="s">
        <v>863</v>
      </c>
      <c r="D695" s="24">
        <v>1.25E7</v>
      </c>
      <c r="E695" s="69">
        <v>0.9357055692</v>
      </c>
      <c r="F695" s="23">
        <v>1.169631962E7</v>
      </c>
      <c r="G695" s="23">
        <v>0.02</v>
      </c>
      <c r="H695" s="1"/>
      <c r="I695" s="1"/>
      <c r="J695" s="2"/>
      <c r="K695" s="2"/>
      <c r="L695" s="53"/>
      <c r="M695" s="12"/>
      <c r="N695" s="2"/>
      <c r="O695" s="2"/>
    </row>
    <row r="696" ht="15.75" customHeight="1">
      <c r="A696" s="1" t="s">
        <v>866</v>
      </c>
      <c r="B696" s="63" t="s">
        <v>506</v>
      </c>
      <c r="C696" s="63" t="s">
        <v>863</v>
      </c>
      <c r="D696" s="24">
        <v>1.25E7</v>
      </c>
      <c r="E696" s="69">
        <v>0.9526295444</v>
      </c>
      <c r="F696" s="23">
        <v>1.190786931E7</v>
      </c>
      <c r="G696" s="23">
        <v>0.02</v>
      </c>
      <c r="H696" s="1"/>
      <c r="I696" s="1"/>
      <c r="J696" s="2"/>
      <c r="K696" s="2"/>
      <c r="L696" s="53"/>
      <c r="M696" s="12"/>
      <c r="N696" s="2"/>
      <c r="O696" s="2"/>
    </row>
    <row r="697" ht="15.75" customHeight="1">
      <c r="A697" s="1" t="s">
        <v>867</v>
      </c>
      <c r="B697" s="63" t="s">
        <v>411</v>
      </c>
      <c r="C697" s="63" t="s">
        <v>863</v>
      </c>
      <c r="D697" s="24">
        <v>1.25E7</v>
      </c>
      <c r="E697" s="69">
        <v>0.9209032796</v>
      </c>
      <c r="F697" s="24">
        <v>1.1511291E7</v>
      </c>
      <c r="G697" s="23">
        <v>0.02</v>
      </c>
      <c r="H697" s="1"/>
      <c r="I697" s="1"/>
      <c r="J697" s="2"/>
      <c r="K697" s="2"/>
      <c r="L697" s="53"/>
      <c r="M697" s="12"/>
      <c r="N697" s="2"/>
      <c r="O697" s="2"/>
    </row>
    <row r="698" ht="15.75" customHeight="1">
      <c r="A698" s="1" t="s">
        <v>868</v>
      </c>
      <c r="B698" s="63" t="s">
        <v>414</v>
      </c>
      <c r="C698" s="63" t="s">
        <v>863</v>
      </c>
      <c r="D698" s="24">
        <v>1.25E7</v>
      </c>
      <c r="E698" s="70">
        <v>0.914809895</v>
      </c>
      <c r="F698" s="23">
        <v>1.143512369E7</v>
      </c>
      <c r="G698" s="23">
        <v>0.02</v>
      </c>
      <c r="H698" s="1"/>
      <c r="I698" s="1"/>
      <c r="J698" s="2"/>
      <c r="K698" s="2"/>
      <c r="L698" s="53"/>
      <c r="M698" s="12"/>
      <c r="N698" s="2"/>
      <c r="O698" s="2"/>
    </row>
    <row r="699" ht="15.75" customHeight="1">
      <c r="A699" s="1" t="s">
        <v>869</v>
      </c>
      <c r="B699" s="63" t="s">
        <v>500</v>
      </c>
      <c r="C699" s="63" t="s">
        <v>863</v>
      </c>
      <c r="D699" s="24">
        <v>1.25E7</v>
      </c>
      <c r="E699" s="69">
        <v>0.9317642311</v>
      </c>
      <c r="F699" s="23">
        <v>1.164705289E7</v>
      </c>
      <c r="G699" s="23">
        <v>0.02</v>
      </c>
      <c r="H699" s="1"/>
      <c r="I699" s="1"/>
      <c r="J699" s="2"/>
      <c r="K699" s="2"/>
      <c r="L699" s="53"/>
      <c r="M699" s="12"/>
      <c r="N699" s="2"/>
      <c r="O699" s="2"/>
    </row>
    <row r="700" ht="15.75" customHeight="1">
      <c r="A700" s="1" t="s">
        <v>870</v>
      </c>
      <c r="B700" s="63" t="s">
        <v>430</v>
      </c>
      <c r="C700" s="63" t="s">
        <v>863</v>
      </c>
      <c r="D700" s="24">
        <v>1.25E7</v>
      </c>
      <c r="E700" s="70">
        <v>0.926301919</v>
      </c>
      <c r="F700" s="23">
        <v>1.157877399E7</v>
      </c>
      <c r="G700" s="23">
        <v>0.02</v>
      </c>
      <c r="H700" s="1"/>
      <c r="I700" s="1"/>
      <c r="J700" s="2"/>
      <c r="K700" s="2"/>
      <c r="L700" s="53"/>
      <c r="M700" s="12"/>
      <c r="N700" s="2"/>
      <c r="O700" s="2"/>
    </row>
    <row r="701" ht="15.75" customHeight="1">
      <c r="A701" s="1" t="s">
        <v>871</v>
      </c>
      <c r="B701" s="63" t="s">
        <v>549</v>
      </c>
      <c r="C701" s="63" t="s">
        <v>863</v>
      </c>
      <c r="D701" s="24">
        <v>2.0E7</v>
      </c>
      <c r="E701" s="69">
        <v>0.9638746382</v>
      </c>
      <c r="F701" s="23">
        <v>1.927749276E7</v>
      </c>
      <c r="G701" s="23">
        <v>0.04</v>
      </c>
      <c r="H701" s="1"/>
      <c r="I701" s="1"/>
      <c r="J701" s="2"/>
      <c r="K701" s="2"/>
      <c r="L701" s="53"/>
      <c r="M701" s="12"/>
      <c r="N701" s="2"/>
      <c r="O701" s="2"/>
    </row>
    <row r="702" ht="15.75" customHeight="1">
      <c r="A702" s="1" t="s">
        <v>872</v>
      </c>
      <c r="B702" s="63" t="s">
        <v>219</v>
      </c>
      <c r="C702" s="63" t="s">
        <v>863</v>
      </c>
      <c r="D702" s="24">
        <v>2.0E7</v>
      </c>
      <c r="E702" s="69">
        <v>0.9629591397</v>
      </c>
      <c r="F702" s="23">
        <v>1.925918279E7</v>
      </c>
      <c r="G702" s="23">
        <v>0.04</v>
      </c>
      <c r="H702" s="1"/>
      <c r="I702" s="1"/>
      <c r="J702" s="2"/>
      <c r="K702" s="2"/>
      <c r="L702" s="53"/>
      <c r="M702" s="12"/>
      <c r="N702" s="2"/>
      <c r="O702" s="2"/>
    </row>
    <row r="703" ht="15.75" customHeight="1">
      <c r="A703" s="1" t="s">
        <v>873</v>
      </c>
      <c r="B703" s="63" t="s">
        <v>185</v>
      </c>
      <c r="C703" s="63" t="s">
        <v>863</v>
      </c>
      <c r="D703" s="24">
        <v>2.0E7</v>
      </c>
      <c r="E703" s="69">
        <v>0.9816049929</v>
      </c>
      <c r="F703" s="23">
        <v>1.963209986E7</v>
      </c>
      <c r="G703" s="23">
        <v>0.04</v>
      </c>
      <c r="H703" s="1"/>
      <c r="I703" s="1"/>
      <c r="J703" s="2"/>
      <c r="K703" s="2"/>
      <c r="L703" s="53"/>
      <c r="M703" s="12"/>
      <c r="N703" s="2"/>
      <c r="O703" s="2"/>
    </row>
    <row r="704" ht="15.75" customHeight="1">
      <c r="A704" s="1" t="s">
        <v>874</v>
      </c>
      <c r="B704" s="63" t="s">
        <v>132</v>
      </c>
      <c r="C704" s="63" t="s">
        <v>863</v>
      </c>
      <c r="D704" s="24">
        <v>2.0E7</v>
      </c>
      <c r="E704" s="69">
        <v>0.9703318769</v>
      </c>
      <c r="F704" s="23">
        <v>1.940663754E7</v>
      </c>
      <c r="G704" s="23">
        <v>0.04</v>
      </c>
      <c r="H704" s="1"/>
      <c r="I704" s="1"/>
      <c r="J704" s="2"/>
      <c r="K704" s="2"/>
      <c r="L704" s="53"/>
      <c r="M704" s="12"/>
      <c r="N704" s="2"/>
      <c r="O704" s="2"/>
    </row>
    <row r="705" ht="15.75" customHeight="1">
      <c r="A705" s="1" t="s">
        <v>875</v>
      </c>
      <c r="B705" s="63" t="s">
        <v>228</v>
      </c>
      <c r="C705" s="63" t="s">
        <v>863</v>
      </c>
      <c r="D705" s="24">
        <v>2000000.0</v>
      </c>
      <c r="E705" s="67">
        <v>0.9956356</v>
      </c>
      <c r="F705" s="29">
        <v>1991271.2</v>
      </c>
      <c r="G705" s="24">
        <v>0.0</v>
      </c>
      <c r="H705" s="1"/>
      <c r="I705" s="1"/>
      <c r="J705" s="2"/>
      <c r="K705" s="2"/>
      <c r="L705" s="53"/>
      <c r="M705" s="12"/>
      <c r="N705" s="2"/>
      <c r="O705" s="2"/>
    </row>
    <row r="706" ht="15.75" customHeight="1">
      <c r="A706" s="1" t="s">
        <v>876</v>
      </c>
      <c r="B706" s="63" t="s">
        <v>159</v>
      </c>
      <c r="C706" s="63" t="s">
        <v>863</v>
      </c>
      <c r="D706" s="24">
        <v>1.0E7</v>
      </c>
      <c r="E706" s="69">
        <v>0.9902333739</v>
      </c>
      <c r="F706" s="23">
        <v>9902333.74</v>
      </c>
      <c r="G706" s="23">
        <v>0.02</v>
      </c>
      <c r="H706" s="1"/>
      <c r="I706" s="1"/>
      <c r="J706" s="2"/>
      <c r="K706" s="2"/>
      <c r="L706" s="53"/>
      <c r="M706" s="12"/>
      <c r="N706" s="2"/>
      <c r="O706" s="2"/>
    </row>
    <row r="707" ht="15.75" customHeight="1">
      <c r="A707" s="1" t="s">
        <v>877</v>
      </c>
      <c r="B707" s="63" t="s">
        <v>330</v>
      </c>
      <c r="C707" s="63" t="s">
        <v>863</v>
      </c>
      <c r="D707" s="24">
        <v>1.0E7</v>
      </c>
      <c r="E707" s="69">
        <v>0.9838275627</v>
      </c>
      <c r="F707" s="23">
        <v>9838275.63</v>
      </c>
      <c r="G707" s="23">
        <v>0.02</v>
      </c>
      <c r="H707" s="1"/>
      <c r="I707" s="1"/>
      <c r="J707" s="2"/>
      <c r="K707" s="2"/>
      <c r="L707" s="53"/>
      <c r="M707" s="12"/>
      <c r="N707" s="2"/>
      <c r="O707" s="2"/>
    </row>
    <row r="708" ht="15.75" customHeight="1">
      <c r="A708" s="1" t="s">
        <v>878</v>
      </c>
      <c r="B708" s="63" t="s">
        <v>150</v>
      </c>
      <c r="C708" s="63" t="s">
        <v>863</v>
      </c>
      <c r="D708" s="24">
        <v>1.0E7</v>
      </c>
      <c r="E708" s="70">
        <v>0.978290094</v>
      </c>
      <c r="F708" s="23">
        <v>9782900.94</v>
      </c>
      <c r="G708" s="23">
        <v>0.02</v>
      </c>
      <c r="H708" s="1"/>
      <c r="I708" s="1"/>
      <c r="J708" s="2"/>
      <c r="K708" s="2"/>
      <c r="L708" s="53"/>
      <c r="M708" s="12"/>
      <c r="N708" s="2"/>
      <c r="O708" s="2"/>
    </row>
    <row r="709" ht="15.75" customHeight="1">
      <c r="A709" s="1" t="s">
        <v>879</v>
      </c>
      <c r="B709" s="63" t="s">
        <v>491</v>
      </c>
      <c r="C709" s="63" t="s">
        <v>863</v>
      </c>
      <c r="D709" s="24">
        <v>1.0E7</v>
      </c>
      <c r="E709" s="70">
        <v>0.991847853</v>
      </c>
      <c r="F709" s="23">
        <v>9918478.53</v>
      </c>
      <c r="G709" s="23">
        <v>0.02</v>
      </c>
      <c r="H709" s="1"/>
      <c r="I709" s="1"/>
      <c r="J709" s="2"/>
      <c r="K709" s="2"/>
      <c r="L709" s="53"/>
      <c r="M709" s="12"/>
      <c r="N709" s="2"/>
      <c r="O709" s="2"/>
    </row>
    <row r="710" ht="15.75" customHeight="1">
      <c r="A710" s="1" t="s">
        <v>880</v>
      </c>
      <c r="B710" s="63" t="s">
        <v>140</v>
      </c>
      <c r="C710" s="63" t="s">
        <v>863</v>
      </c>
      <c r="D710" s="24">
        <v>1.0E9</v>
      </c>
      <c r="E710" s="69">
        <v>0.9830326168</v>
      </c>
      <c r="F710" s="29">
        <v>9.830326168E8</v>
      </c>
      <c r="G710" s="23">
        <v>2.01</v>
      </c>
      <c r="H710" s="1"/>
      <c r="I710" s="1"/>
      <c r="J710" s="2"/>
      <c r="K710" s="2"/>
      <c r="L710" s="53"/>
      <c r="M710" s="12"/>
      <c r="N710" s="2"/>
      <c r="O710" s="2"/>
    </row>
    <row r="711" ht="15.75" customHeight="1">
      <c r="A711" s="1" t="s">
        <v>881</v>
      </c>
      <c r="B711" s="63" t="s">
        <v>167</v>
      </c>
      <c r="C711" s="63" t="s">
        <v>882</v>
      </c>
      <c r="D711" s="24">
        <v>5.0E7</v>
      </c>
      <c r="E711" s="69">
        <v>0.9693269097</v>
      </c>
      <c r="F711" s="23">
        <v>4.846634549E7</v>
      </c>
      <c r="G711" s="29">
        <v>0.1</v>
      </c>
      <c r="H711" s="1"/>
      <c r="I711" s="1"/>
      <c r="J711" s="2"/>
      <c r="K711" s="2"/>
      <c r="L711" s="53"/>
      <c r="M711" s="12"/>
      <c r="N711" s="2"/>
      <c r="O711" s="2"/>
    </row>
    <row r="712" ht="15.75" customHeight="1">
      <c r="A712" s="1" t="s">
        <v>883</v>
      </c>
      <c r="B712" s="63" t="s">
        <v>148</v>
      </c>
      <c r="C712" s="63" t="s">
        <v>882</v>
      </c>
      <c r="D712" s="24">
        <v>5.0E7</v>
      </c>
      <c r="E712" s="69">
        <v>0.9718820873</v>
      </c>
      <c r="F712" s="23">
        <v>4.859410437E7</v>
      </c>
      <c r="G712" s="29">
        <v>0.1</v>
      </c>
      <c r="H712" s="1"/>
      <c r="I712" s="1"/>
      <c r="J712" s="2"/>
      <c r="K712" s="2"/>
      <c r="L712" s="53"/>
      <c r="M712" s="12"/>
      <c r="N712" s="2"/>
      <c r="O712" s="2"/>
    </row>
    <row r="713" ht="15.75" customHeight="1">
      <c r="A713" s="1" t="s">
        <v>884</v>
      </c>
      <c r="B713" s="63" t="s">
        <v>335</v>
      </c>
      <c r="C713" s="63" t="s">
        <v>882</v>
      </c>
      <c r="D713" s="23">
        <v>8756336.99</v>
      </c>
      <c r="E713" s="69">
        <v>0.9813674999</v>
      </c>
      <c r="F713" s="23">
        <v>8593184.54</v>
      </c>
      <c r="G713" s="23">
        <v>0.02</v>
      </c>
      <c r="H713" s="1"/>
      <c r="I713" s="1"/>
      <c r="J713" s="2"/>
      <c r="K713" s="2"/>
      <c r="L713" s="53"/>
      <c r="M713" s="12"/>
      <c r="N713" s="2"/>
      <c r="O713" s="2"/>
    </row>
    <row r="714" ht="15.75" customHeight="1">
      <c r="A714" s="1" t="s">
        <v>885</v>
      </c>
      <c r="B714" s="63" t="s">
        <v>185</v>
      </c>
      <c r="C714" s="63" t="s">
        <v>886</v>
      </c>
      <c r="D714" s="24">
        <v>5.0E7</v>
      </c>
      <c r="E714" s="69">
        <v>0.9806029158</v>
      </c>
      <c r="F714" s="23">
        <v>4.903014579E7</v>
      </c>
      <c r="G714" s="29">
        <v>0.1</v>
      </c>
      <c r="H714" s="1"/>
      <c r="I714" s="1"/>
      <c r="J714" s="2"/>
      <c r="K714" s="2"/>
      <c r="L714" s="53"/>
      <c r="M714" s="12"/>
      <c r="N714" s="2"/>
      <c r="O714" s="2"/>
    </row>
    <row r="715" ht="15.75" customHeight="1">
      <c r="A715" s="1" t="s">
        <v>887</v>
      </c>
      <c r="B715" s="63" t="s">
        <v>301</v>
      </c>
      <c r="C715" s="63" t="s">
        <v>886</v>
      </c>
      <c r="D715" s="24">
        <v>5.0E7</v>
      </c>
      <c r="E715" s="69">
        <v>0.9486433781</v>
      </c>
      <c r="F715" s="23">
        <v>4.743216891E7</v>
      </c>
      <c r="G715" s="29">
        <v>0.1</v>
      </c>
      <c r="H715" s="1"/>
      <c r="I715" s="1"/>
      <c r="J715" s="2"/>
      <c r="K715" s="2"/>
      <c r="L715" s="53"/>
      <c r="M715" s="12"/>
      <c r="N715" s="2"/>
      <c r="O715" s="2"/>
    </row>
    <row r="716" ht="15.75" customHeight="1">
      <c r="A716" s="1" t="s">
        <v>888</v>
      </c>
      <c r="B716" s="63" t="s">
        <v>209</v>
      </c>
      <c r="C716" s="63" t="s">
        <v>886</v>
      </c>
      <c r="D716" s="24">
        <v>3000000.0</v>
      </c>
      <c r="E716" s="69">
        <v>0.9960703166</v>
      </c>
      <c r="F716" s="23">
        <v>2988210.95</v>
      </c>
      <c r="G716" s="23">
        <v>0.01</v>
      </c>
      <c r="H716" s="1"/>
      <c r="I716" s="1"/>
      <c r="J716" s="2"/>
      <c r="K716" s="2"/>
      <c r="L716" s="53"/>
      <c r="M716" s="12"/>
      <c r="N716" s="2"/>
      <c r="O716" s="2"/>
    </row>
    <row r="717" ht="15.75" customHeight="1">
      <c r="A717" s="1" t="s">
        <v>889</v>
      </c>
      <c r="B717" s="63" t="s">
        <v>211</v>
      </c>
      <c r="C717" s="63" t="s">
        <v>886</v>
      </c>
      <c r="D717" s="24">
        <v>4000000.0</v>
      </c>
      <c r="E717" s="69">
        <v>0.9892671699</v>
      </c>
      <c r="F717" s="23">
        <v>3957068.68</v>
      </c>
      <c r="G717" s="23">
        <v>0.01</v>
      </c>
      <c r="H717" s="1"/>
      <c r="I717" s="1"/>
      <c r="J717" s="2"/>
      <c r="K717" s="2"/>
      <c r="L717" s="53"/>
      <c r="M717" s="12"/>
      <c r="N717" s="2"/>
      <c r="O717" s="2"/>
    </row>
    <row r="718" ht="15.75" customHeight="1">
      <c r="A718" s="1" t="s">
        <v>890</v>
      </c>
      <c r="B718" s="63" t="s">
        <v>129</v>
      </c>
      <c r="C718" s="63" t="s">
        <v>886</v>
      </c>
      <c r="D718" s="24">
        <v>3000000.0</v>
      </c>
      <c r="E718" s="69">
        <v>0.9970498433</v>
      </c>
      <c r="F718" s="23">
        <v>2991149.53</v>
      </c>
      <c r="G718" s="23">
        <v>0.01</v>
      </c>
      <c r="H718" s="1"/>
      <c r="I718" s="1"/>
      <c r="J718" s="2"/>
      <c r="K718" s="2"/>
      <c r="L718" s="53"/>
      <c r="M718" s="12"/>
      <c r="N718" s="2"/>
      <c r="O718" s="2"/>
    </row>
    <row r="719" ht="15.75" customHeight="1">
      <c r="A719" s="1" t="s">
        <v>891</v>
      </c>
      <c r="B719" s="63" t="s">
        <v>148</v>
      </c>
      <c r="C719" s="63" t="s">
        <v>886</v>
      </c>
      <c r="D719" s="24">
        <v>1.0E8</v>
      </c>
      <c r="E719" s="69">
        <v>0.9677591751</v>
      </c>
      <c r="F719" s="23">
        <v>9.677591751E7</v>
      </c>
      <c r="G719" s="29">
        <v>0.2</v>
      </c>
      <c r="H719" s="1"/>
      <c r="I719" s="1"/>
      <c r="J719" s="2"/>
      <c r="K719" s="2"/>
      <c r="L719" s="53"/>
      <c r="M719" s="12"/>
      <c r="N719" s="2"/>
      <c r="O719" s="2"/>
    </row>
    <row r="720" ht="15.75" customHeight="1">
      <c r="A720" s="1" t="s">
        <v>892</v>
      </c>
      <c r="B720" s="63" t="s">
        <v>148</v>
      </c>
      <c r="C720" s="63" t="s">
        <v>886</v>
      </c>
      <c r="D720" s="24">
        <v>1.082E9</v>
      </c>
      <c r="E720" s="69">
        <v>0.9677591751</v>
      </c>
      <c r="F720" s="23">
        <v>1.04711542746E9</v>
      </c>
      <c r="G720" s="23">
        <v>2.14</v>
      </c>
      <c r="H720" s="1"/>
      <c r="I720" s="1"/>
      <c r="J720" s="2"/>
      <c r="K720" s="2"/>
      <c r="L720" s="53"/>
      <c r="M720" s="12"/>
      <c r="N720" s="2"/>
      <c r="O720" s="2"/>
    </row>
    <row r="721" ht="15.75" customHeight="1">
      <c r="A721" s="1" t="s">
        <v>893</v>
      </c>
      <c r="B721" s="63" t="s">
        <v>335</v>
      </c>
      <c r="C721" s="63" t="s">
        <v>886</v>
      </c>
      <c r="D721" s="23">
        <v>5882352.93</v>
      </c>
      <c r="E721" s="69">
        <v>0.9684781158</v>
      </c>
      <c r="F721" s="23">
        <v>5696930.08</v>
      </c>
      <c r="G721" s="23">
        <v>0.01</v>
      </c>
      <c r="H721" s="1"/>
      <c r="I721" s="1"/>
      <c r="J721" s="2"/>
      <c r="K721" s="2"/>
      <c r="L721" s="53"/>
      <c r="M721" s="12"/>
      <c r="N721" s="2"/>
      <c r="O721" s="2"/>
    </row>
    <row r="722" ht="15.75" customHeight="1">
      <c r="A722" s="1" t="s">
        <v>894</v>
      </c>
      <c r="B722" s="63" t="s">
        <v>341</v>
      </c>
      <c r="C722" s="63" t="s">
        <v>886</v>
      </c>
      <c r="D722" s="23">
        <v>5882352.93</v>
      </c>
      <c r="E722" s="69">
        <v>0.9675538564</v>
      </c>
      <c r="F722" s="23">
        <v>5691493.26</v>
      </c>
      <c r="G722" s="23">
        <v>0.01</v>
      </c>
      <c r="H722" s="1"/>
      <c r="I722" s="1"/>
      <c r="J722" s="2"/>
      <c r="K722" s="2"/>
      <c r="L722" s="53"/>
      <c r="M722" s="12"/>
      <c r="N722" s="2"/>
      <c r="O722" s="2"/>
    </row>
    <row r="723" ht="15.75" customHeight="1">
      <c r="A723" s="1" t="s">
        <v>895</v>
      </c>
      <c r="B723" s="63" t="s">
        <v>150</v>
      </c>
      <c r="C723" s="63" t="s">
        <v>886</v>
      </c>
      <c r="D723" s="23">
        <v>5882352.93</v>
      </c>
      <c r="E723" s="69">
        <v>0.9740606586</v>
      </c>
      <c r="F723" s="23">
        <v>5729768.57</v>
      </c>
      <c r="G723" s="23">
        <v>0.01</v>
      </c>
      <c r="H723" s="1"/>
      <c r="I723" s="1"/>
      <c r="J723" s="2"/>
      <c r="K723" s="2"/>
      <c r="L723" s="53"/>
      <c r="M723" s="12"/>
      <c r="N723" s="2"/>
      <c r="O723" s="2"/>
    </row>
    <row r="724" ht="15.75" customHeight="1">
      <c r="A724" s="1" t="s">
        <v>896</v>
      </c>
      <c r="B724" s="63" t="s">
        <v>111</v>
      </c>
      <c r="C724" s="63" t="s">
        <v>886</v>
      </c>
      <c r="D724" s="23">
        <v>5882352.93</v>
      </c>
      <c r="E724" s="69">
        <v>0.9731258647</v>
      </c>
      <c r="F724" s="23">
        <v>5724269.78</v>
      </c>
      <c r="G724" s="23">
        <v>0.01</v>
      </c>
      <c r="H724" s="1"/>
      <c r="I724" s="1"/>
      <c r="J724" s="2"/>
      <c r="K724" s="2"/>
      <c r="L724" s="53"/>
      <c r="M724" s="12"/>
      <c r="N724" s="2"/>
      <c r="O724" s="2"/>
    </row>
    <row r="725" ht="15.75" customHeight="1">
      <c r="A725" s="1" t="s">
        <v>897</v>
      </c>
      <c r="B725" s="63" t="s">
        <v>132</v>
      </c>
      <c r="C725" s="63" t="s">
        <v>886</v>
      </c>
      <c r="D725" s="23">
        <v>5882352.93</v>
      </c>
      <c r="E725" s="69">
        <v>0.9703317873</v>
      </c>
      <c r="F725" s="23">
        <v>5707834.03</v>
      </c>
      <c r="G725" s="23">
        <v>0.01</v>
      </c>
      <c r="H725" s="1"/>
      <c r="I725" s="1"/>
      <c r="J725" s="2"/>
      <c r="K725" s="2"/>
      <c r="L725" s="53"/>
      <c r="M725" s="12"/>
      <c r="N725" s="2"/>
      <c r="O725" s="2"/>
    </row>
    <row r="726" ht="15.75" customHeight="1">
      <c r="A726" s="1" t="s">
        <v>898</v>
      </c>
      <c r="B726" s="63" t="s">
        <v>315</v>
      </c>
      <c r="C726" s="63" t="s">
        <v>886</v>
      </c>
      <c r="D726" s="24">
        <v>2.5E7</v>
      </c>
      <c r="E726" s="69">
        <v>0.9428844955</v>
      </c>
      <c r="F726" s="23">
        <v>2.357211239E7</v>
      </c>
      <c r="G726" s="23">
        <v>0.05</v>
      </c>
      <c r="H726" s="1"/>
      <c r="I726" s="1"/>
      <c r="J726" s="2"/>
      <c r="K726" s="2"/>
      <c r="L726" s="53"/>
      <c r="M726" s="12"/>
      <c r="N726" s="2"/>
      <c r="O726" s="2"/>
    </row>
    <row r="727" ht="15.75" customHeight="1">
      <c r="A727" s="1" t="s">
        <v>899</v>
      </c>
      <c r="B727" s="63" t="s">
        <v>148</v>
      </c>
      <c r="C727" s="63" t="s">
        <v>886</v>
      </c>
      <c r="D727" s="23">
        <v>5882352.93</v>
      </c>
      <c r="E727" s="69">
        <v>0.9694041426</v>
      </c>
      <c r="F727" s="29">
        <v>5702377.3</v>
      </c>
      <c r="G727" s="23">
        <v>0.01</v>
      </c>
      <c r="H727" s="1"/>
      <c r="I727" s="1"/>
      <c r="J727" s="2"/>
      <c r="K727" s="2"/>
      <c r="L727" s="53"/>
      <c r="M727" s="12"/>
      <c r="N727" s="2"/>
      <c r="O727" s="2"/>
    </row>
    <row r="728" ht="15.75" customHeight="1">
      <c r="A728" s="1" t="s">
        <v>900</v>
      </c>
      <c r="B728" s="63" t="s">
        <v>140</v>
      </c>
      <c r="C728" s="63" t="s">
        <v>886</v>
      </c>
      <c r="D728" s="24">
        <v>2.0E7</v>
      </c>
      <c r="E728" s="69">
        <v>0.9825563348</v>
      </c>
      <c r="F728" s="29">
        <v>1.96511267E7</v>
      </c>
      <c r="G728" s="23">
        <v>0.04</v>
      </c>
      <c r="H728" s="1"/>
      <c r="I728" s="1"/>
      <c r="J728" s="2"/>
      <c r="K728" s="2"/>
      <c r="L728" s="53"/>
      <c r="M728" s="12"/>
      <c r="N728" s="2"/>
      <c r="O728" s="2"/>
    </row>
    <row r="729" ht="15.75" customHeight="1">
      <c r="A729" s="1" t="s">
        <v>901</v>
      </c>
      <c r="B729" s="63" t="s">
        <v>228</v>
      </c>
      <c r="C729" s="63" t="s">
        <v>902</v>
      </c>
      <c r="D729" s="24">
        <v>7.5E7</v>
      </c>
      <c r="E729" s="69">
        <v>0.9952283774</v>
      </c>
      <c r="F729" s="23">
        <v>7.464212831E7</v>
      </c>
      <c r="G729" s="23">
        <v>0.15</v>
      </c>
      <c r="H729" s="1"/>
      <c r="I729" s="1"/>
      <c r="J729" s="2"/>
      <c r="K729" s="2"/>
      <c r="L729" s="53"/>
      <c r="M729" s="12"/>
      <c r="N729" s="2"/>
      <c r="O729" s="2"/>
    </row>
    <row r="730" ht="15.75" customHeight="1">
      <c r="A730" s="1" t="s">
        <v>903</v>
      </c>
      <c r="B730" s="63" t="s">
        <v>187</v>
      </c>
      <c r="C730" s="63" t="s">
        <v>902</v>
      </c>
      <c r="D730" s="24">
        <v>7.5E7</v>
      </c>
      <c r="E730" s="69">
        <v>0.9765886307</v>
      </c>
      <c r="F730" s="29">
        <v>7.32441473E7</v>
      </c>
      <c r="G730" s="23">
        <v>0.15</v>
      </c>
      <c r="H730" s="1"/>
      <c r="I730" s="1"/>
      <c r="J730" s="2"/>
      <c r="K730" s="2"/>
      <c r="L730" s="53"/>
      <c r="M730" s="12"/>
      <c r="N730" s="2"/>
      <c r="O730" s="2"/>
    </row>
    <row r="731" ht="15.75" customHeight="1">
      <c r="A731" s="1" t="s">
        <v>904</v>
      </c>
      <c r="B731" s="63" t="s">
        <v>285</v>
      </c>
      <c r="C731" s="63" t="s">
        <v>902</v>
      </c>
      <c r="D731" s="23">
        <v>1.600557567E7</v>
      </c>
      <c r="E731" s="69">
        <v>0.9469207254</v>
      </c>
      <c r="F731" s="23">
        <v>1.515601132E7</v>
      </c>
      <c r="G731" s="23">
        <v>0.03</v>
      </c>
      <c r="H731" s="1"/>
      <c r="I731" s="1"/>
      <c r="J731" s="2"/>
      <c r="K731" s="2"/>
      <c r="L731" s="53"/>
      <c r="M731" s="12"/>
      <c r="N731" s="2"/>
      <c r="O731" s="2"/>
    </row>
    <row r="732" ht="15.75" customHeight="1">
      <c r="A732" s="1" t="s">
        <v>905</v>
      </c>
      <c r="B732" s="63" t="s">
        <v>285</v>
      </c>
      <c r="C732" s="63" t="s">
        <v>902</v>
      </c>
      <c r="D732" s="23">
        <v>1.208021571E7</v>
      </c>
      <c r="E732" s="69">
        <v>0.9469207254</v>
      </c>
      <c r="F732" s="23">
        <v>1.143900662E7</v>
      </c>
      <c r="G732" s="23">
        <v>0.02</v>
      </c>
      <c r="H732" s="1"/>
      <c r="I732" s="1"/>
      <c r="J732" s="2"/>
      <c r="K732" s="2"/>
      <c r="L732" s="53"/>
      <c r="M732" s="12"/>
      <c r="N732" s="2"/>
      <c r="O732" s="2"/>
    </row>
    <row r="733" ht="15.75" customHeight="1">
      <c r="A733" s="1" t="s">
        <v>906</v>
      </c>
      <c r="B733" s="63" t="s">
        <v>523</v>
      </c>
      <c r="C733" s="63" t="s">
        <v>902</v>
      </c>
      <c r="D733" s="23">
        <v>1.600557568E7</v>
      </c>
      <c r="E733" s="69">
        <v>0.9420813992</v>
      </c>
      <c r="F733" s="23">
        <v>1.507855513E7</v>
      </c>
      <c r="G733" s="23">
        <v>0.03</v>
      </c>
      <c r="H733" s="1"/>
      <c r="I733" s="1"/>
      <c r="J733" s="2"/>
      <c r="K733" s="2"/>
      <c r="L733" s="53"/>
      <c r="M733" s="12"/>
      <c r="N733" s="2"/>
      <c r="O733" s="2"/>
    </row>
    <row r="734" ht="15.75" customHeight="1">
      <c r="A734" s="1" t="s">
        <v>907</v>
      </c>
      <c r="B734" s="63" t="s">
        <v>315</v>
      </c>
      <c r="C734" s="63" t="s">
        <v>902</v>
      </c>
      <c r="D734" s="23">
        <v>1.600557568E7</v>
      </c>
      <c r="E734" s="69">
        <v>0.9428845477</v>
      </c>
      <c r="F734" s="23">
        <v>1.509140999E7</v>
      </c>
      <c r="G734" s="23">
        <v>0.03</v>
      </c>
      <c r="H734" s="1"/>
      <c r="I734" s="1"/>
      <c r="J734" s="2"/>
      <c r="K734" s="2"/>
      <c r="L734" s="53"/>
      <c r="M734" s="12"/>
      <c r="N734" s="2"/>
      <c r="O734" s="2"/>
    </row>
    <row r="735" ht="15.75" customHeight="1">
      <c r="A735" s="1" t="s">
        <v>908</v>
      </c>
      <c r="B735" s="63" t="s">
        <v>560</v>
      </c>
      <c r="C735" s="63" t="s">
        <v>902</v>
      </c>
      <c r="D735" s="23">
        <v>1.600557568E7</v>
      </c>
      <c r="E735" s="69">
        <v>0.9436890653</v>
      </c>
      <c r="F735" s="23">
        <v>1.510428675E7</v>
      </c>
      <c r="G735" s="23">
        <v>0.03</v>
      </c>
      <c r="H735" s="1"/>
      <c r="I735" s="1"/>
      <c r="J735" s="2"/>
      <c r="K735" s="2"/>
      <c r="L735" s="53"/>
      <c r="M735" s="12"/>
      <c r="N735" s="2"/>
      <c r="O735" s="2"/>
    </row>
    <row r="736" ht="15.75" customHeight="1">
      <c r="A736" s="1" t="s">
        <v>909</v>
      </c>
      <c r="B736" s="63" t="s">
        <v>271</v>
      </c>
      <c r="C736" s="63" t="s">
        <v>902</v>
      </c>
      <c r="D736" s="23">
        <v>1.600557568E7</v>
      </c>
      <c r="E736" s="69">
        <v>0.9461106911</v>
      </c>
      <c r="F736" s="23">
        <v>1.514304627E7</v>
      </c>
      <c r="G736" s="23">
        <v>0.03</v>
      </c>
      <c r="H736" s="1"/>
      <c r="I736" s="1"/>
      <c r="J736" s="2"/>
      <c r="K736" s="2"/>
      <c r="L736" s="53"/>
      <c r="M736" s="12"/>
      <c r="N736" s="2"/>
      <c r="O736" s="2"/>
    </row>
    <row r="737" ht="15.75" customHeight="1">
      <c r="A737" s="1" t="s">
        <v>910</v>
      </c>
      <c r="B737" s="63" t="s">
        <v>287</v>
      </c>
      <c r="C737" s="63" t="s">
        <v>902</v>
      </c>
      <c r="D737" s="23">
        <v>1.600557568E7</v>
      </c>
      <c r="E737" s="69">
        <v>0.9357055036</v>
      </c>
      <c r="F737" s="23">
        <v>1.497650525E7</v>
      </c>
      <c r="G737" s="23">
        <v>0.03</v>
      </c>
      <c r="H737" s="1"/>
      <c r="I737" s="1"/>
      <c r="J737" s="2"/>
      <c r="K737" s="2"/>
      <c r="L737" s="53"/>
      <c r="M737" s="12"/>
      <c r="N737" s="2"/>
      <c r="O737" s="2"/>
    </row>
    <row r="738" ht="15.75" customHeight="1">
      <c r="A738" s="1" t="s">
        <v>911</v>
      </c>
      <c r="B738" s="63" t="s">
        <v>282</v>
      </c>
      <c r="C738" s="63" t="s">
        <v>902</v>
      </c>
      <c r="D738" s="23">
        <v>1.600557568E7</v>
      </c>
      <c r="E738" s="69">
        <v>0.9364978162</v>
      </c>
      <c r="F738" s="23">
        <v>1.498918667E7</v>
      </c>
      <c r="G738" s="23">
        <v>0.03</v>
      </c>
      <c r="H738" s="1"/>
      <c r="I738" s="1"/>
      <c r="J738" s="2"/>
      <c r="K738" s="2"/>
      <c r="L738" s="53"/>
      <c r="M738" s="12"/>
      <c r="N738" s="2"/>
      <c r="O738" s="2"/>
    </row>
    <row r="739" ht="15.75" customHeight="1">
      <c r="A739" s="1" t="s">
        <v>912</v>
      </c>
      <c r="B739" s="63" t="s">
        <v>289</v>
      </c>
      <c r="C739" s="63" t="s">
        <v>902</v>
      </c>
      <c r="D739" s="23">
        <v>1.600557568E7</v>
      </c>
      <c r="E739" s="69">
        <v>0.9372914704</v>
      </c>
      <c r="F739" s="23">
        <v>1.500188956E7</v>
      </c>
      <c r="G739" s="23">
        <v>0.03</v>
      </c>
      <c r="H739" s="1"/>
      <c r="I739" s="1"/>
      <c r="J739" s="2"/>
      <c r="K739" s="2"/>
      <c r="L739" s="53"/>
      <c r="M739" s="12"/>
      <c r="N739" s="2"/>
      <c r="O739" s="2"/>
    </row>
    <row r="740" ht="15.75" customHeight="1">
      <c r="A740" s="1" t="s">
        <v>913</v>
      </c>
      <c r="B740" s="63" t="s">
        <v>416</v>
      </c>
      <c r="C740" s="63" t="s">
        <v>902</v>
      </c>
      <c r="D740" s="23">
        <v>1.600557568E7</v>
      </c>
      <c r="E740" s="69">
        <v>0.9380864694</v>
      </c>
      <c r="F740" s="23">
        <v>1.501461398E7</v>
      </c>
      <c r="G740" s="23">
        <v>0.03</v>
      </c>
      <c r="H740" s="1"/>
      <c r="I740" s="1"/>
      <c r="J740" s="2"/>
      <c r="K740" s="2"/>
      <c r="L740" s="53"/>
      <c r="M740" s="12"/>
      <c r="N740" s="2"/>
      <c r="O740" s="2"/>
    </row>
    <row r="741" ht="15.75" customHeight="1">
      <c r="A741" s="1" t="s">
        <v>914</v>
      </c>
      <c r="B741" s="63" t="s">
        <v>563</v>
      </c>
      <c r="C741" s="63" t="s">
        <v>902</v>
      </c>
      <c r="D741" s="23">
        <v>1.600557568E7</v>
      </c>
      <c r="E741" s="69">
        <v>0.9404793885</v>
      </c>
      <c r="F741" s="23">
        <v>1.505291403E7</v>
      </c>
      <c r="G741" s="23">
        <v>0.03</v>
      </c>
      <c r="H741" s="1"/>
      <c r="I741" s="1"/>
      <c r="J741" s="2"/>
      <c r="K741" s="2"/>
      <c r="L741" s="53"/>
      <c r="M741" s="12"/>
      <c r="N741" s="2"/>
      <c r="O741" s="2"/>
    </row>
    <row r="742" ht="15.75" customHeight="1">
      <c r="A742" s="1" t="s">
        <v>915</v>
      </c>
      <c r="B742" s="63" t="s">
        <v>394</v>
      </c>
      <c r="C742" s="63" t="s">
        <v>902</v>
      </c>
      <c r="D742" s="23">
        <v>1.600557568E7</v>
      </c>
      <c r="E742" s="69">
        <v>0.9412798071</v>
      </c>
      <c r="F742" s="23">
        <v>1.506572519E7</v>
      </c>
      <c r="G742" s="23">
        <v>0.03</v>
      </c>
      <c r="H742" s="1"/>
      <c r="I742" s="1"/>
      <c r="J742" s="2"/>
      <c r="K742" s="2"/>
      <c r="L742" s="53"/>
      <c r="M742" s="12"/>
      <c r="N742" s="2"/>
      <c r="O742" s="2"/>
    </row>
    <row r="743" ht="15.75" customHeight="1">
      <c r="A743" s="1" t="s">
        <v>916</v>
      </c>
      <c r="B743" s="63" t="s">
        <v>285</v>
      </c>
      <c r="C743" s="63" t="s">
        <v>902</v>
      </c>
      <c r="D743" s="23">
        <v>1.523033594E7</v>
      </c>
      <c r="E743" s="69">
        <v>0.9469207254</v>
      </c>
      <c r="F743" s="23">
        <v>1.442192076E7</v>
      </c>
      <c r="G743" s="23">
        <v>0.03</v>
      </c>
      <c r="H743" s="1"/>
      <c r="I743" s="1"/>
      <c r="J743" s="2"/>
      <c r="K743" s="2"/>
      <c r="L743" s="53"/>
      <c r="M743" s="12"/>
      <c r="N743" s="2"/>
      <c r="O743" s="2"/>
    </row>
    <row r="744" ht="15.75" customHeight="1">
      <c r="A744" s="1" t="s">
        <v>917</v>
      </c>
      <c r="B744" s="63" t="s">
        <v>297</v>
      </c>
      <c r="C744" s="63" t="s">
        <v>902</v>
      </c>
      <c r="D744" s="24">
        <v>3900000.0</v>
      </c>
      <c r="E744" s="69">
        <v>0.9584078487</v>
      </c>
      <c r="F744" s="23">
        <v>3737790.61</v>
      </c>
      <c r="G744" s="23">
        <v>0.01</v>
      </c>
      <c r="H744" s="1"/>
      <c r="I744" s="1"/>
      <c r="J744" s="2"/>
      <c r="K744" s="2"/>
      <c r="L744" s="53"/>
      <c r="M744" s="12"/>
      <c r="N744" s="2"/>
      <c r="O744" s="2"/>
    </row>
    <row r="745" ht="15.75" customHeight="1">
      <c r="A745" s="1" t="s">
        <v>918</v>
      </c>
      <c r="B745" s="63" t="s">
        <v>247</v>
      </c>
      <c r="C745" s="63" t="s">
        <v>902</v>
      </c>
      <c r="D745" s="24">
        <v>3900000.0</v>
      </c>
      <c r="E745" s="69">
        <v>0.9650979717</v>
      </c>
      <c r="F745" s="23">
        <v>3763882.09</v>
      </c>
      <c r="G745" s="23">
        <v>0.01</v>
      </c>
      <c r="H745" s="1"/>
      <c r="I745" s="1"/>
      <c r="J745" s="2"/>
      <c r="K745" s="2"/>
      <c r="L745" s="53"/>
      <c r="M745" s="12"/>
      <c r="N745" s="2"/>
      <c r="O745" s="2"/>
    </row>
    <row r="746" ht="15.75" customHeight="1">
      <c r="A746" s="1" t="s">
        <v>919</v>
      </c>
      <c r="B746" s="63" t="s">
        <v>328</v>
      </c>
      <c r="C746" s="63" t="s">
        <v>902</v>
      </c>
      <c r="D746" s="24">
        <v>3900000.0</v>
      </c>
      <c r="E746" s="69">
        <v>0.9534507254</v>
      </c>
      <c r="F746" s="23">
        <v>3718457.83</v>
      </c>
      <c r="G746" s="23">
        <v>0.01</v>
      </c>
      <c r="H746" s="1"/>
      <c r="I746" s="1"/>
      <c r="J746" s="2"/>
      <c r="K746" s="2"/>
      <c r="L746" s="53"/>
      <c r="M746" s="12"/>
      <c r="N746" s="2"/>
      <c r="O746" s="2"/>
    </row>
    <row r="747" ht="15.75" customHeight="1">
      <c r="A747" s="1" t="s">
        <v>920</v>
      </c>
      <c r="B747" s="63" t="s">
        <v>204</v>
      </c>
      <c r="C747" s="63" t="s">
        <v>902</v>
      </c>
      <c r="D747" s="29">
        <v>3812810.4</v>
      </c>
      <c r="E747" s="69">
        <v>0.9477319587</v>
      </c>
      <c r="F747" s="23">
        <v>3613522.27</v>
      </c>
      <c r="G747" s="23">
        <v>0.01</v>
      </c>
      <c r="H747" s="1"/>
      <c r="I747" s="1"/>
      <c r="J747" s="2"/>
      <c r="K747" s="2"/>
      <c r="L747" s="53"/>
      <c r="M747" s="12"/>
      <c r="N747" s="2"/>
      <c r="O747" s="2"/>
    </row>
    <row r="748" ht="15.75" customHeight="1">
      <c r="A748" s="1" t="s">
        <v>921</v>
      </c>
      <c r="B748" s="63" t="s">
        <v>148</v>
      </c>
      <c r="C748" s="63" t="s">
        <v>902</v>
      </c>
      <c r="D748" s="23">
        <v>6747533.79</v>
      </c>
      <c r="E748" s="69">
        <v>0.9718820053</v>
      </c>
      <c r="F748" s="23">
        <v>6557806.67</v>
      </c>
      <c r="G748" s="23">
        <v>0.01</v>
      </c>
      <c r="H748" s="1"/>
      <c r="I748" s="1"/>
      <c r="J748" s="2"/>
      <c r="K748" s="2"/>
      <c r="L748" s="53"/>
      <c r="M748" s="12"/>
      <c r="N748" s="2"/>
      <c r="O748" s="2"/>
    </row>
    <row r="749" ht="15.75" customHeight="1">
      <c r="A749" s="1" t="s">
        <v>922</v>
      </c>
      <c r="B749" s="63" t="s">
        <v>153</v>
      </c>
      <c r="C749" s="63" t="s">
        <v>902</v>
      </c>
      <c r="D749" s="23">
        <v>2.474687131E7</v>
      </c>
      <c r="E749" s="69">
        <v>0.9875006786</v>
      </c>
      <c r="F749" s="23">
        <v>2.443755221E7</v>
      </c>
      <c r="G749" s="23">
        <v>0.05</v>
      </c>
      <c r="H749" s="1"/>
      <c r="I749" s="1"/>
      <c r="J749" s="2"/>
      <c r="K749" s="2"/>
      <c r="L749" s="53"/>
      <c r="M749" s="12"/>
      <c r="N749" s="2"/>
      <c r="O749" s="2"/>
    </row>
    <row r="750" ht="15.75" customHeight="1">
      <c r="A750" s="1" t="s">
        <v>923</v>
      </c>
      <c r="B750" s="63" t="s">
        <v>282</v>
      </c>
      <c r="C750" s="63" t="s">
        <v>902</v>
      </c>
      <c r="D750" s="24">
        <v>3424300.0</v>
      </c>
      <c r="E750" s="70">
        <v>0.936497809</v>
      </c>
      <c r="F750" s="23">
        <v>3206849.45</v>
      </c>
      <c r="G750" s="23">
        <v>0.01</v>
      </c>
      <c r="H750" s="1"/>
      <c r="I750" s="1"/>
      <c r="J750" s="2"/>
      <c r="K750" s="2"/>
      <c r="L750" s="53"/>
      <c r="M750" s="12"/>
      <c r="N750" s="2"/>
      <c r="O750" s="2"/>
    </row>
    <row r="751" ht="15.75" customHeight="1">
      <c r="A751" s="1" t="s">
        <v>924</v>
      </c>
      <c r="B751" s="63" t="s">
        <v>159</v>
      </c>
      <c r="C751" s="63" t="s">
        <v>902</v>
      </c>
      <c r="D751" s="23">
        <v>3696352.34</v>
      </c>
      <c r="E751" s="70">
        <v>0.989267173</v>
      </c>
      <c r="F751" s="23">
        <v>3656680.03</v>
      </c>
      <c r="G751" s="23">
        <v>0.01</v>
      </c>
      <c r="H751" s="1"/>
      <c r="I751" s="1"/>
      <c r="J751" s="2"/>
      <c r="K751" s="2"/>
      <c r="L751" s="53"/>
      <c r="M751" s="12"/>
      <c r="N751" s="2"/>
      <c r="O751" s="2"/>
    </row>
    <row r="752" ht="15.75" customHeight="1">
      <c r="A752" s="1" t="s">
        <v>925</v>
      </c>
      <c r="B752" s="63" t="s">
        <v>416</v>
      </c>
      <c r="C752" s="63" t="s">
        <v>902</v>
      </c>
      <c r="D752" s="24">
        <v>1524900.0</v>
      </c>
      <c r="E752" s="69">
        <v>0.9380864588</v>
      </c>
      <c r="F752" s="23">
        <v>1430488.04</v>
      </c>
      <c r="G752" s="24">
        <v>0.0</v>
      </c>
      <c r="H752" s="1"/>
      <c r="I752" s="1"/>
      <c r="J752" s="2"/>
      <c r="K752" s="2"/>
      <c r="L752" s="53"/>
      <c r="M752" s="12"/>
      <c r="N752" s="2"/>
      <c r="O752" s="2"/>
    </row>
    <row r="753" ht="15.75" customHeight="1">
      <c r="A753" s="1" t="s">
        <v>926</v>
      </c>
      <c r="B753" s="63" t="s">
        <v>416</v>
      </c>
      <c r="C753" s="63" t="s">
        <v>902</v>
      </c>
      <c r="D753" s="23">
        <v>2333401.22</v>
      </c>
      <c r="E753" s="69">
        <v>0.9328360036</v>
      </c>
      <c r="F753" s="23">
        <v>2176680.67</v>
      </c>
      <c r="G753" s="24">
        <v>0.0</v>
      </c>
      <c r="H753" s="1"/>
      <c r="I753" s="1"/>
      <c r="J753" s="2"/>
      <c r="K753" s="2"/>
      <c r="L753" s="53"/>
      <c r="M753" s="12"/>
      <c r="N753" s="2"/>
      <c r="O753" s="2"/>
    </row>
    <row r="754" ht="15.75" customHeight="1">
      <c r="A754" s="1" t="s">
        <v>927</v>
      </c>
      <c r="B754" s="63" t="s">
        <v>315</v>
      </c>
      <c r="C754" s="63" t="s">
        <v>902</v>
      </c>
      <c r="D754" s="23">
        <v>2333401.22</v>
      </c>
      <c r="E754" s="69">
        <v>0.9380140852</v>
      </c>
      <c r="F754" s="23">
        <v>2188763.21</v>
      </c>
      <c r="G754" s="24">
        <v>0.0</v>
      </c>
      <c r="H754" s="1"/>
      <c r="I754" s="1"/>
      <c r="J754" s="2"/>
      <c r="K754" s="2"/>
      <c r="L754" s="53"/>
      <c r="M754" s="12"/>
      <c r="N754" s="2"/>
      <c r="O754" s="2"/>
    </row>
    <row r="755" ht="15.75" customHeight="1">
      <c r="A755" s="1" t="s">
        <v>928</v>
      </c>
      <c r="B755" s="63" t="s">
        <v>523</v>
      </c>
      <c r="C755" s="63" t="s">
        <v>902</v>
      </c>
      <c r="D755" s="23">
        <v>2333401.22</v>
      </c>
      <c r="E755" s="70">
        <v>0.937147011</v>
      </c>
      <c r="F755" s="23">
        <v>2186739.98</v>
      </c>
      <c r="G755" s="24">
        <v>0.0</v>
      </c>
      <c r="H755" s="1"/>
      <c r="I755" s="1"/>
      <c r="J755" s="2"/>
      <c r="K755" s="2"/>
      <c r="L755" s="53"/>
      <c r="M755" s="12"/>
      <c r="N755" s="2"/>
      <c r="O755" s="2"/>
    </row>
    <row r="756" ht="15.75" customHeight="1">
      <c r="A756" s="1" t="s">
        <v>929</v>
      </c>
      <c r="B756" s="63" t="s">
        <v>394</v>
      </c>
      <c r="C756" s="63" t="s">
        <v>902</v>
      </c>
      <c r="D756" s="23">
        <v>2333401.22</v>
      </c>
      <c r="E756" s="70">
        <v>0.936281747</v>
      </c>
      <c r="F756" s="23">
        <v>2184720.97</v>
      </c>
      <c r="G756" s="24">
        <v>0.0</v>
      </c>
      <c r="H756" s="1"/>
      <c r="I756" s="1"/>
      <c r="J756" s="2"/>
      <c r="K756" s="2"/>
      <c r="L756" s="53"/>
      <c r="M756" s="12"/>
      <c r="N756" s="2"/>
      <c r="O756" s="2"/>
    </row>
    <row r="757" ht="15.75" customHeight="1">
      <c r="A757" s="1" t="s">
        <v>930</v>
      </c>
      <c r="B757" s="63" t="s">
        <v>563</v>
      </c>
      <c r="C757" s="63" t="s">
        <v>902</v>
      </c>
      <c r="D757" s="23">
        <v>2333401.22</v>
      </c>
      <c r="E757" s="69">
        <v>0.9354178755</v>
      </c>
      <c r="F757" s="23">
        <v>2182705.21</v>
      </c>
      <c r="G757" s="24">
        <v>0.0</v>
      </c>
      <c r="H757" s="1"/>
      <c r="I757" s="1"/>
      <c r="J757" s="2"/>
      <c r="K757" s="2"/>
      <c r="L757" s="53"/>
      <c r="M757" s="12"/>
      <c r="N757" s="2"/>
      <c r="O757" s="2"/>
    </row>
    <row r="758" ht="15.75" customHeight="1">
      <c r="A758" s="1" t="s">
        <v>931</v>
      </c>
      <c r="B758" s="63" t="s">
        <v>560</v>
      </c>
      <c r="C758" s="63" t="s">
        <v>902</v>
      </c>
      <c r="D758" s="23">
        <v>2333401.22</v>
      </c>
      <c r="E758" s="69">
        <v>0.9388827605</v>
      </c>
      <c r="F758" s="23">
        <v>2190790.18</v>
      </c>
      <c r="G758" s="24">
        <v>0.0</v>
      </c>
      <c r="H758" s="1"/>
      <c r="I758" s="1"/>
      <c r="J758" s="2"/>
      <c r="K758" s="2"/>
      <c r="L758" s="53"/>
      <c r="M758" s="12"/>
      <c r="N758" s="2"/>
      <c r="O758" s="2"/>
    </row>
    <row r="759" ht="15.75" customHeight="1">
      <c r="A759" s="1" t="s">
        <v>932</v>
      </c>
      <c r="B759" s="63" t="s">
        <v>285</v>
      </c>
      <c r="C759" s="63" t="s">
        <v>902</v>
      </c>
      <c r="D759" s="23">
        <v>2067824.35</v>
      </c>
      <c r="E759" s="69">
        <v>0.9423734034</v>
      </c>
      <c r="F759" s="23">
        <v>1948662.67</v>
      </c>
      <c r="G759" s="24">
        <v>0.0</v>
      </c>
      <c r="H759" s="1"/>
      <c r="I759" s="1"/>
      <c r="J759" s="2"/>
      <c r="K759" s="2"/>
      <c r="L759" s="53"/>
      <c r="M759" s="12"/>
      <c r="N759" s="2"/>
      <c r="O759" s="2"/>
    </row>
    <row r="760" ht="15.75" customHeight="1">
      <c r="A760" s="1" t="s">
        <v>933</v>
      </c>
      <c r="B760" s="63" t="s">
        <v>271</v>
      </c>
      <c r="C760" s="63" t="s">
        <v>902</v>
      </c>
      <c r="D760" s="23">
        <v>2067824.35</v>
      </c>
      <c r="E760" s="69">
        <v>0.9414982606</v>
      </c>
      <c r="F760" s="23">
        <v>1946853.03</v>
      </c>
      <c r="G760" s="24">
        <v>0.0</v>
      </c>
      <c r="H760" s="1"/>
      <c r="I760" s="1"/>
      <c r="J760" s="2"/>
      <c r="K760" s="2"/>
      <c r="L760" s="53"/>
      <c r="M760" s="12"/>
      <c r="N760" s="2"/>
      <c r="O760" s="2"/>
    </row>
    <row r="761" ht="15.75" customHeight="1">
      <c r="A761" s="1" t="s">
        <v>934</v>
      </c>
      <c r="B761" s="63" t="s">
        <v>560</v>
      </c>
      <c r="C761" s="63" t="s">
        <v>902</v>
      </c>
      <c r="D761" s="23">
        <v>2067824.35</v>
      </c>
      <c r="E761" s="69">
        <v>0.9388827685</v>
      </c>
      <c r="F761" s="23">
        <v>1941444.65</v>
      </c>
      <c r="G761" s="24">
        <v>0.0</v>
      </c>
      <c r="H761" s="1"/>
      <c r="I761" s="1"/>
      <c r="J761" s="2"/>
      <c r="K761" s="2"/>
      <c r="L761" s="53"/>
      <c r="M761" s="12"/>
      <c r="N761" s="2"/>
      <c r="O761" s="2"/>
    </row>
    <row r="762" ht="15.75" customHeight="1">
      <c r="A762" s="1" t="s">
        <v>935</v>
      </c>
      <c r="B762" s="63" t="s">
        <v>315</v>
      </c>
      <c r="C762" s="63" t="s">
        <v>902</v>
      </c>
      <c r="D762" s="23">
        <v>2067824.35</v>
      </c>
      <c r="E762" s="69">
        <v>0.9380140966</v>
      </c>
      <c r="F762" s="23">
        <v>1939648.39</v>
      </c>
      <c r="G762" s="24">
        <v>0.0</v>
      </c>
      <c r="H762" s="1"/>
      <c r="I762" s="1"/>
      <c r="J762" s="2"/>
      <c r="K762" s="2"/>
      <c r="L762" s="53"/>
      <c r="M762" s="12"/>
      <c r="N762" s="2"/>
      <c r="O762" s="2"/>
    </row>
    <row r="763" ht="15.75" customHeight="1">
      <c r="A763" s="1" t="s">
        <v>936</v>
      </c>
      <c r="B763" s="63" t="s">
        <v>148</v>
      </c>
      <c r="C763" s="63" t="s">
        <v>902</v>
      </c>
      <c r="D763" s="24">
        <v>1.3E7</v>
      </c>
      <c r="E763" s="69">
        <v>0.9718820036</v>
      </c>
      <c r="F763" s="23">
        <v>1.263446605E7</v>
      </c>
      <c r="G763" s="23">
        <v>0.03</v>
      </c>
      <c r="H763" s="1"/>
      <c r="I763" s="1"/>
      <c r="J763" s="2"/>
      <c r="K763" s="2"/>
      <c r="L763" s="53"/>
      <c r="M763" s="12"/>
      <c r="N763" s="2"/>
      <c r="O763" s="2"/>
    </row>
    <row r="764" ht="15.75" customHeight="1">
      <c r="A764" s="1" t="s">
        <v>937</v>
      </c>
      <c r="B764" s="63" t="s">
        <v>148</v>
      </c>
      <c r="C764" s="63" t="s">
        <v>902</v>
      </c>
      <c r="D764" s="24">
        <v>1.3E7</v>
      </c>
      <c r="E764" s="69">
        <v>0.9718820036</v>
      </c>
      <c r="F764" s="23">
        <v>1.263446605E7</v>
      </c>
      <c r="G764" s="23">
        <v>0.03</v>
      </c>
      <c r="H764" s="1"/>
      <c r="I764" s="1"/>
      <c r="J764" s="2"/>
      <c r="K764" s="2"/>
      <c r="L764" s="53"/>
      <c r="M764" s="12"/>
      <c r="N764" s="2"/>
      <c r="O764" s="2"/>
    </row>
    <row r="765" ht="15.75" customHeight="1">
      <c r="A765" s="1" t="s">
        <v>938</v>
      </c>
      <c r="B765" s="63" t="s">
        <v>148</v>
      </c>
      <c r="C765" s="63" t="s">
        <v>902</v>
      </c>
      <c r="D765" s="24">
        <v>1.3E7</v>
      </c>
      <c r="E765" s="69">
        <v>0.9718820036</v>
      </c>
      <c r="F765" s="23">
        <v>1.263446605E7</v>
      </c>
      <c r="G765" s="23">
        <v>0.03</v>
      </c>
      <c r="H765" s="1"/>
      <c r="I765" s="1"/>
      <c r="J765" s="2"/>
      <c r="K765" s="2"/>
      <c r="L765" s="53"/>
      <c r="M765" s="12"/>
      <c r="N765" s="2"/>
      <c r="O765" s="2"/>
    </row>
    <row r="766" ht="15.75" customHeight="1">
      <c r="A766" s="1" t="s">
        <v>939</v>
      </c>
      <c r="B766" s="63" t="s">
        <v>209</v>
      </c>
      <c r="C766" s="63" t="s">
        <v>940</v>
      </c>
      <c r="D766" s="24">
        <v>3.0E8</v>
      </c>
      <c r="E766" s="69">
        <v>0.9961790407</v>
      </c>
      <c r="F766" s="23">
        <v>2.9885371221E8</v>
      </c>
      <c r="G766" s="23">
        <v>0.61</v>
      </c>
      <c r="H766" s="1"/>
      <c r="I766" s="1"/>
      <c r="J766" s="2"/>
      <c r="K766" s="2"/>
      <c r="L766" s="53"/>
      <c r="M766" s="12"/>
      <c r="N766" s="2"/>
      <c r="O766" s="2"/>
    </row>
    <row r="767" ht="15.75" customHeight="1">
      <c r="A767" s="1" t="s">
        <v>941</v>
      </c>
      <c r="B767" s="63" t="s">
        <v>211</v>
      </c>
      <c r="C767" s="63" t="s">
        <v>940</v>
      </c>
      <c r="D767" s="24">
        <v>3.0E8</v>
      </c>
      <c r="E767" s="69">
        <v>0.9904482888</v>
      </c>
      <c r="F767" s="23">
        <v>2.9713448664E8</v>
      </c>
      <c r="G767" s="23">
        <v>0.61</v>
      </c>
      <c r="H767" s="1"/>
      <c r="I767" s="1"/>
      <c r="J767" s="2"/>
      <c r="K767" s="2"/>
      <c r="L767" s="53"/>
      <c r="M767" s="12"/>
      <c r="N767" s="2"/>
      <c r="O767" s="2"/>
    </row>
    <row r="768" ht="15.75" customHeight="1">
      <c r="A768" s="1" t="s">
        <v>942</v>
      </c>
      <c r="B768" s="63" t="s">
        <v>247</v>
      </c>
      <c r="C768" s="63" t="s">
        <v>940</v>
      </c>
      <c r="D768" s="24">
        <v>1.0E7</v>
      </c>
      <c r="E768" s="70">
        <v>0.968169788</v>
      </c>
      <c r="F768" s="23">
        <v>9681697.88</v>
      </c>
      <c r="G768" s="23">
        <v>0.02</v>
      </c>
      <c r="H768" s="1"/>
      <c r="I768" s="1"/>
      <c r="J768" s="2"/>
      <c r="K768" s="2"/>
      <c r="L768" s="53"/>
      <c r="M768" s="12"/>
      <c r="N768" s="2"/>
      <c r="O768" s="2"/>
    </row>
    <row r="769" ht="15.75" customHeight="1">
      <c r="A769" s="1" t="s">
        <v>943</v>
      </c>
      <c r="B769" s="63" t="s">
        <v>297</v>
      </c>
      <c r="C769" s="63" t="s">
        <v>940</v>
      </c>
      <c r="D769" s="24">
        <v>1.0E7</v>
      </c>
      <c r="E769" s="69">
        <v>0.9620454905</v>
      </c>
      <c r="F769" s="23">
        <v>9620454.91</v>
      </c>
      <c r="G769" s="23">
        <v>0.02</v>
      </c>
      <c r="H769" s="1"/>
      <c r="I769" s="1"/>
      <c r="J769" s="2"/>
      <c r="K769" s="2"/>
      <c r="L769" s="53"/>
      <c r="M769" s="12"/>
      <c r="N769" s="2"/>
      <c r="O769" s="2"/>
    </row>
    <row r="770" ht="15.75" customHeight="1">
      <c r="A770" s="1" t="s">
        <v>944</v>
      </c>
      <c r="B770" s="63" t="s">
        <v>560</v>
      </c>
      <c r="C770" s="63" t="s">
        <v>940</v>
      </c>
      <c r="D770" s="24">
        <v>3.0E7</v>
      </c>
      <c r="E770" s="69">
        <v>0.9404792691</v>
      </c>
      <c r="F770" s="23">
        <v>2.821437807E7</v>
      </c>
      <c r="G770" s="23">
        <v>0.06</v>
      </c>
      <c r="H770" s="1"/>
      <c r="I770" s="1"/>
      <c r="J770" s="2"/>
      <c r="K770" s="2"/>
      <c r="L770" s="53"/>
      <c r="M770" s="12"/>
      <c r="N770" s="2"/>
      <c r="O770" s="2"/>
    </row>
    <row r="771" ht="15.75" customHeight="1">
      <c r="A771" s="1" t="s">
        <v>945</v>
      </c>
      <c r="B771" s="63" t="s">
        <v>452</v>
      </c>
      <c r="C771" s="63" t="s">
        <v>946</v>
      </c>
      <c r="D771" s="23">
        <v>9478811.35</v>
      </c>
      <c r="E771" s="69">
        <v>0.8935129851</v>
      </c>
      <c r="F771" s="23">
        <v>8469441.02</v>
      </c>
      <c r="G771" s="23">
        <v>0.02</v>
      </c>
      <c r="H771" s="1"/>
      <c r="I771" s="1"/>
      <c r="J771" s="2"/>
      <c r="K771" s="2"/>
      <c r="L771" s="53"/>
      <c r="M771" s="12"/>
      <c r="N771" s="2"/>
      <c r="O771" s="2"/>
    </row>
    <row r="772" ht="15.75" customHeight="1">
      <c r="A772" s="1" t="s">
        <v>947</v>
      </c>
      <c r="B772" s="63" t="s">
        <v>469</v>
      </c>
      <c r="C772" s="63" t="s">
        <v>946</v>
      </c>
      <c r="D772" s="24">
        <v>2.0E7</v>
      </c>
      <c r="E772" s="69">
        <v>0.9215310038</v>
      </c>
      <c r="F772" s="23">
        <v>1.843062008E7</v>
      </c>
      <c r="G772" s="23">
        <v>0.04</v>
      </c>
      <c r="H772" s="1"/>
      <c r="I772" s="1"/>
      <c r="J772" s="2"/>
      <c r="K772" s="2"/>
      <c r="L772" s="53"/>
      <c r="M772" s="12"/>
      <c r="N772" s="2"/>
      <c r="O772" s="2"/>
    </row>
    <row r="773" ht="15.75" customHeight="1">
      <c r="A773" s="1" t="s">
        <v>948</v>
      </c>
      <c r="B773" s="63" t="s">
        <v>378</v>
      </c>
      <c r="C773" s="63" t="s">
        <v>946</v>
      </c>
      <c r="D773" s="24">
        <v>9000000.0</v>
      </c>
      <c r="E773" s="70">
        <v>0.944812745</v>
      </c>
      <c r="F773" s="23">
        <v>8503314.71</v>
      </c>
      <c r="G773" s="23">
        <v>0.02</v>
      </c>
      <c r="H773" s="1"/>
      <c r="I773" s="1"/>
      <c r="J773" s="2"/>
      <c r="K773" s="2"/>
      <c r="L773" s="53"/>
      <c r="M773" s="12"/>
      <c r="N773" s="2"/>
      <c r="O773" s="2"/>
    </row>
    <row r="774" ht="15.75" customHeight="1">
      <c r="A774" s="1" t="s">
        <v>949</v>
      </c>
      <c r="B774" s="63" t="s">
        <v>382</v>
      </c>
      <c r="C774" s="63" t="s">
        <v>946</v>
      </c>
      <c r="D774" s="24">
        <v>9000000.0</v>
      </c>
      <c r="E774" s="69">
        <v>0.9391242494</v>
      </c>
      <c r="F774" s="23">
        <v>8452118.24</v>
      </c>
      <c r="G774" s="23">
        <v>0.02</v>
      </c>
      <c r="H774" s="1"/>
      <c r="I774" s="1"/>
      <c r="J774" s="2"/>
      <c r="K774" s="2"/>
      <c r="L774" s="53"/>
      <c r="M774" s="12"/>
      <c r="N774" s="2"/>
      <c r="O774" s="2"/>
    </row>
    <row r="775" ht="15.75" customHeight="1">
      <c r="A775" s="1" t="s">
        <v>950</v>
      </c>
      <c r="B775" s="63" t="s">
        <v>282</v>
      </c>
      <c r="C775" s="63" t="s">
        <v>946</v>
      </c>
      <c r="D775" s="24">
        <v>9000000.0</v>
      </c>
      <c r="E775" s="69">
        <v>0.9492849225</v>
      </c>
      <c r="F775" s="29">
        <v>8543564.3</v>
      </c>
      <c r="G775" s="23">
        <v>0.02</v>
      </c>
      <c r="H775" s="1"/>
      <c r="I775" s="1"/>
      <c r="J775" s="2"/>
      <c r="K775" s="2"/>
      <c r="L775" s="53"/>
      <c r="M775" s="12"/>
      <c r="N775" s="2"/>
      <c r="O775" s="2"/>
    </row>
    <row r="776" ht="15.75" customHeight="1">
      <c r="A776" s="1" t="s">
        <v>951</v>
      </c>
      <c r="B776" s="63" t="s">
        <v>382</v>
      </c>
      <c r="C776" s="63" t="s">
        <v>946</v>
      </c>
      <c r="D776" s="24">
        <v>9000000.0</v>
      </c>
      <c r="E776" s="69">
        <v>0.9391242494</v>
      </c>
      <c r="F776" s="23">
        <v>8452118.24</v>
      </c>
      <c r="G776" s="23">
        <v>0.02</v>
      </c>
      <c r="H776" s="1"/>
      <c r="I776" s="1"/>
      <c r="J776" s="2"/>
      <c r="K776" s="2"/>
      <c r="L776" s="53"/>
      <c r="M776" s="12"/>
      <c r="N776" s="2"/>
      <c r="O776" s="2"/>
    </row>
    <row r="777" ht="15.75" customHeight="1">
      <c r="A777" s="1" t="s">
        <v>952</v>
      </c>
      <c r="B777" s="63" t="s">
        <v>419</v>
      </c>
      <c r="C777" s="63" t="s">
        <v>946</v>
      </c>
      <c r="D777" s="24">
        <v>2000000.0</v>
      </c>
      <c r="E777" s="70">
        <v>0.921252055</v>
      </c>
      <c r="F777" s="23">
        <v>1842504.11</v>
      </c>
      <c r="G777" s="24">
        <v>0.0</v>
      </c>
      <c r="H777" s="1"/>
      <c r="I777" s="1"/>
      <c r="J777" s="2"/>
      <c r="K777" s="2"/>
      <c r="L777" s="53"/>
      <c r="M777" s="12"/>
      <c r="N777" s="2"/>
      <c r="O777" s="2"/>
    </row>
    <row r="778" ht="15.75" customHeight="1">
      <c r="A778" s="1" t="s">
        <v>953</v>
      </c>
      <c r="B778" s="63" t="s">
        <v>423</v>
      </c>
      <c r="C778" s="63" t="s">
        <v>946</v>
      </c>
      <c r="D778" s="24">
        <v>2000000.0</v>
      </c>
      <c r="E778" s="69">
        <v>0.9177773196</v>
      </c>
      <c r="F778" s="23">
        <v>1835554.64</v>
      </c>
      <c r="G778" s="24">
        <v>0.0</v>
      </c>
      <c r="H778" s="1"/>
      <c r="I778" s="1"/>
      <c r="J778" s="2"/>
      <c r="K778" s="2"/>
      <c r="L778" s="53"/>
      <c r="M778" s="12"/>
      <c r="N778" s="2"/>
      <c r="O778" s="2"/>
    </row>
    <row r="779" ht="15.75" customHeight="1">
      <c r="A779" s="1" t="s">
        <v>954</v>
      </c>
      <c r="B779" s="63" t="s">
        <v>228</v>
      </c>
      <c r="C779" s="63" t="s">
        <v>946</v>
      </c>
      <c r="D779" s="24">
        <v>8970000.0</v>
      </c>
      <c r="E779" s="69">
        <v>0.9954997971</v>
      </c>
      <c r="F779" s="23">
        <v>8929633.18</v>
      </c>
      <c r="G779" s="23">
        <v>0.02</v>
      </c>
      <c r="H779" s="1"/>
      <c r="I779" s="1"/>
      <c r="J779" s="2"/>
      <c r="K779" s="2"/>
      <c r="L779" s="53"/>
      <c r="M779" s="12"/>
      <c r="N779" s="2"/>
      <c r="O779" s="2"/>
    </row>
    <row r="780" ht="15.75" customHeight="1">
      <c r="A780" s="1" t="s">
        <v>955</v>
      </c>
      <c r="B780" s="63" t="s">
        <v>228</v>
      </c>
      <c r="C780" s="63" t="s">
        <v>946</v>
      </c>
      <c r="D780" s="24">
        <v>7821000.0</v>
      </c>
      <c r="E780" s="69">
        <v>0.9954997967</v>
      </c>
      <c r="F780" s="23">
        <v>7785803.91</v>
      </c>
      <c r="G780" s="23">
        <v>0.02</v>
      </c>
      <c r="H780" s="1"/>
      <c r="I780" s="1"/>
      <c r="J780" s="2"/>
      <c r="K780" s="2"/>
      <c r="L780" s="53"/>
      <c r="M780" s="12"/>
      <c r="N780" s="2"/>
      <c r="O780" s="2"/>
    </row>
    <row r="781" ht="15.75" customHeight="1">
      <c r="A781" s="1" t="s">
        <v>956</v>
      </c>
      <c r="B781" s="63" t="s">
        <v>454</v>
      </c>
      <c r="C781" s="63" t="s">
        <v>946</v>
      </c>
      <c r="D781" s="24">
        <v>3.5E7</v>
      </c>
      <c r="E781" s="69">
        <v>0.9057297679</v>
      </c>
      <c r="F781" s="23">
        <v>3.170054188E7</v>
      </c>
      <c r="G781" s="23">
        <v>0.06</v>
      </c>
      <c r="H781" s="1"/>
      <c r="I781" s="1"/>
      <c r="J781" s="2"/>
      <c r="K781" s="2"/>
      <c r="L781" s="53"/>
      <c r="M781" s="12"/>
      <c r="N781" s="2"/>
      <c r="O781" s="2"/>
    </row>
    <row r="782" ht="15.75" customHeight="1">
      <c r="A782" s="1" t="s">
        <v>957</v>
      </c>
      <c r="B782" s="63" t="s">
        <v>448</v>
      </c>
      <c r="C782" s="63" t="s">
        <v>946</v>
      </c>
      <c r="D782" s="24">
        <v>3.5E7</v>
      </c>
      <c r="E782" s="69">
        <v>0.9018359566</v>
      </c>
      <c r="F782" s="23">
        <v>3.156425848E7</v>
      </c>
      <c r="G782" s="23">
        <v>0.06</v>
      </c>
      <c r="H782" s="1"/>
      <c r="I782" s="1"/>
      <c r="J782" s="2"/>
      <c r="K782" s="2"/>
      <c r="L782" s="53"/>
      <c r="M782" s="12"/>
      <c r="N782" s="2"/>
      <c r="O782" s="2"/>
    </row>
    <row r="783" ht="15.75" customHeight="1">
      <c r="A783" s="1" t="s">
        <v>958</v>
      </c>
      <c r="B783" s="63" t="s">
        <v>452</v>
      </c>
      <c r="C783" s="63" t="s">
        <v>946</v>
      </c>
      <c r="D783" s="24">
        <v>3.0E7</v>
      </c>
      <c r="E783" s="69">
        <v>0.8966958654</v>
      </c>
      <c r="F783" s="23">
        <v>2.690087596E7</v>
      </c>
      <c r="G783" s="23">
        <v>0.06</v>
      </c>
      <c r="H783" s="1"/>
      <c r="I783" s="1"/>
      <c r="J783" s="2"/>
      <c r="K783" s="2"/>
      <c r="L783" s="53"/>
      <c r="M783" s="12"/>
      <c r="N783" s="2"/>
      <c r="O783" s="2"/>
    </row>
    <row r="784" ht="15.75" customHeight="1">
      <c r="A784" s="1" t="s">
        <v>959</v>
      </c>
      <c r="B784" s="63" t="s">
        <v>175</v>
      </c>
      <c r="C784" s="63" t="s">
        <v>946</v>
      </c>
      <c r="D784" s="24">
        <v>2500000.0</v>
      </c>
      <c r="E784" s="69">
        <v>0.9859535601</v>
      </c>
      <c r="F784" s="29">
        <v>2464883.9</v>
      </c>
      <c r="G784" s="23">
        <v>0.01</v>
      </c>
      <c r="H784" s="1"/>
      <c r="I784" s="1"/>
      <c r="J784" s="2"/>
      <c r="K784" s="2"/>
      <c r="L784" s="53"/>
      <c r="M784" s="12"/>
      <c r="N784" s="2"/>
      <c r="O784" s="2"/>
    </row>
    <row r="785" ht="15.75" customHeight="1">
      <c r="A785" s="1" t="s">
        <v>960</v>
      </c>
      <c r="B785" s="63" t="s">
        <v>173</v>
      </c>
      <c r="C785" s="63" t="s">
        <v>946</v>
      </c>
      <c r="D785" s="24">
        <v>2500000.0</v>
      </c>
      <c r="E785" s="69">
        <v>0.9886240998</v>
      </c>
      <c r="F785" s="23">
        <v>2471560.25</v>
      </c>
      <c r="G785" s="23">
        <v>0.01</v>
      </c>
      <c r="H785" s="1"/>
      <c r="I785" s="1"/>
      <c r="J785" s="2"/>
      <c r="K785" s="2"/>
      <c r="L785" s="53"/>
      <c r="M785" s="12"/>
      <c r="N785" s="2"/>
      <c r="O785" s="2"/>
    </row>
    <row r="786" ht="15.75" customHeight="1">
      <c r="A786" s="1" t="s">
        <v>961</v>
      </c>
      <c r="B786" s="63" t="s">
        <v>185</v>
      </c>
      <c r="C786" s="63" t="s">
        <v>946</v>
      </c>
      <c r="D786" s="24">
        <v>2500000.0</v>
      </c>
      <c r="E786" s="69">
        <v>0.9896963282</v>
      </c>
      <c r="F786" s="23">
        <v>2474240.82</v>
      </c>
      <c r="G786" s="23">
        <v>0.01</v>
      </c>
      <c r="H786" s="1"/>
      <c r="I786" s="1"/>
      <c r="J786" s="2"/>
      <c r="K786" s="2"/>
      <c r="L786" s="53"/>
      <c r="M786" s="12"/>
      <c r="N786" s="2"/>
      <c r="O786" s="2"/>
    </row>
    <row r="787" ht="15.75" customHeight="1">
      <c r="A787" s="1" t="s">
        <v>962</v>
      </c>
      <c r="B787" s="63" t="s">
        <v>297</v>
      </c>
      <c r="C787" s="63" t="s">
        <v>946</v>
      </c>
      <c r="D787" s="24">
        <v>2500000.0</v>
      </c>
      <c r="E787" s="69">
        <v>0.9743726916</v>
      </c>
      <c r="F787" s="23">
        <v>2435931.73</v>
      </c>
      <c r="G787" s="24">
        <v>0.0</v>
      </c>
      <c r="H787" s="1"/>
      <c r="I787" s="1"/>
      <c r="J787" s="2"/>
      <c r="K787" s="2"/>
      <c r="L787" s="53"/>
      <c r="M787" s="12"/>
      <c r="N787" s="2"/>
      <c r="O787" s="2"/>
    </row>
    <row r="788" ht="15.75" customHeight="1">
      <c r="A788" s="1" t="s">
        <v>963</v>
      </c>
      <c r="B788" s="63" t="s">
        <v>170</v>
      </c>
      <c r="C788" s="63" t="s">
        <v>946</v>
      </c>
      <c r="D788" s="24">
        <v>2500000.0</v>
      </c>
      <c r="E788" s="69">
        <v>0.9907709478</v>
      </c>
      <c r="F788" s="23">
        <v>2476927.37</v>
      </c>
      <c r="G788" s="23">
        <v>0.01</v>
      </c>
      <c r="H788" s="1"/>
      <c r="I788" s="1"/>
      <c r="J788" s="2"/>
      <c r="K788" s="2"/>
      <c r="L788" s="53"/>
      <c r="M788" s="12"/>
      <c r="N788" s="2"/>
      <c r="O788" s="2"/>
    </row>
    <row r="789" ht="15.75" customHeight="1">
      <c r="A789" s="1" t="s">
        <v>964</v>
      </c>
      <c r="B789" s="63" t="s">
        <v>297</v>
      </c>
      <c r="C789" s="63" t="s">
        <v>946</v>
      </c>
      <c r="D789" s="24">
        <v>2500000.0</v>
      </c>
      <c r="E789" s="69">
        <v>0.9743726916</v>
      </c>
      <c r="F789" s="23">
        <v>2435931.73</v>
      </c>
      <c r="G789" s="24">
        <v>0.0</v>
      </c>
      <c r="H789" s="1"/>
      <c r="I789" s="1"/>
      <c r="J789" s="2"/>
      <c r="K789" s="2"/>
      <c r="L789" s="53"/>
      <c r="M789" s="12"/>
      <c r="N789" s="2"/>
      <c r="O789" s="2"/>
    </row>
    <row r="790" ht="15.75" customHeight="1">
      <c r="A790" s="1" t="s">
        <v>965</v>
      </c>
      <c r="B790" s="63" t="s">
        <v>159</v>
      </c>
      <c r="C790" s="63" t="s">
        <v>946</v>
      </c>
      <c r="D790" s="24">
        <v>2500000.0</v>
      </c>
      <c r="E790" s="69">
        <v>0.9934676161</v>
      </c>
      <c r="F790" s="23">
        <v>2483669.04</v>
      </c>
      <c r="G790" s="23">
        <v>0.01</v>
      </c>
      <c r="H790" s="1"/>
      <c r="I790" s="1"/>
      <c r="J790" s="2"/>
      <c r="K790" s="2"/>
      <c r="L790" s="53"/>
      <c r="M790" s="12"/>
      <c r="N790" s="2"/>
      <c r="O790" s="2"/>
    </row>
    <row r="791" ht="15.75" customHeight="1">
      <c r="A791" s="1" t="s">
        <v>966</v>
      </c>
      <c r="B791" s="63" t="s">
        <v>157</v>
      </c>
      <c r="C791" s="63" t="s">
        <v>946</v>
      </c>
      <c r="D791" s="24">
        <v>2500000.0</v>
      </c>
      <c r="E791" s="69">
        <v>0.9775041117</v>
      </c>
      <c r="F791" s="23">
        <v>2443760.28</v>
      </c>
      <c r="G791" s="24">
        <v>0.0</v>
      </c>
      <c r="H791" s="1"/>
      <c r="I791" s="1"/>
      <c r="J791" s="2"/>
      <c r="K791" s="2"/>
      <c r="L791" s="53"/>
      <c r="M791" s="12"/>
      <c r="N791" s="2"/>
      <c r="O791" s="2"/>
    </row>
    <row r="792" ht="15.75" customHeight="1">
      <c r="A792" s="1" t="s">
        <v>967</v>
      </c>
      <c r="B792" s="63" t="s">
        <v>223</v>
      </c>
      <c r="C792" s="63" t="s">
        <v>946</v>
      </c>
      <c r="D792" s="24">
        <v>2500000.0</v>
      </c>
      <c r="E792" s="69">
        <v>0.9717785837</v>
      </c>
      <c r="F792" s="23">
        <v>2429446.46</v>
      </c>
      <c r="G792" s="24">
        <v>0.0</v>
      </c>
      <c r="H792" s="1"/>
      <c r="I792" s="1"/>
      <c r="J792" s="2"/>
      <c r="K792" s="2"/>
      <c r="L792" s="53"/>
      <c r="M792" s="12"/>
      <c r="N792" s="2"/>
      <c r="O792" s="2"/>
    </row>
    <row r="793" ht="15.75" customHeight="1">
      <c r="A793" s="1" t="s">
        <v>968</v>
      </c>
      <c r="B793" s="63" t="s">
        <v>328</v>
      </c>
      <c r="C793" s="63" t="s">
        <v>946</v>
      </c>
      <c r="D793" s="24">
        <v>2500000.0</v>
      </c>
      <c r="E793" s="69">
        <v>0.9712613804</v>
      </c>
      <c r="F793" s="23">
        <v>2428153.45</v>
      </c>
      <c r="G793" s="24">
        <v>0.0</v>
      </c>
      <c r="H793" s="1"/>
      <c r="I793" s="1"/>
      <c r="J793" s="2"/>
      <c r="K793" s="2"/>
      <c r="L793" s="53"/>
      <c r="M793" s="12"/>
      <c r="N793" s="2"/>
      <c r="O793" s="2"/>
    </row>
    <row r="794" ht="15.75" customHeight="1">
      <c r="A794" s="1" t="s">
        <v>969</v>
      </c>
      <c r="B794" s="63" t="s">
        <v>146</v>
      </c>
      <c r="C794" s="63" t="s">
        <v>946</v>
      </c>
      <c r="D794" s="24">
        <v>2500000.0</v>
      </c>
      <c r="E794" s="69">
        <v>0.9681698722</v>
      </c>
      <c r="F794" s="23">
        <v>2420424.68</v>
      </c>
      <c r="G794" s="24">
        <v>0.0</v>
      </c>
      <c r="H794" s="1"/>
      <c r="I794" s="1"/>
      <c r="J794" s="2"/>
      <c r="K794" s="2"/>
      <c r="L794" s="53"/>
      <c r="M794" s="12"/>
      <c r="N794" s="2"/>
      <c r="O794" s="2"/>
    </row>
    <row r="795" ht="15.75" customHeight="1">
      <c r="A795" s="1" t="s">
        <v>970</v>
      </c>
      <c r="B795" s="63" t="s">
        <v>335</v>
      </c>
      <c r="C795" s="63" t="s">
        <v>946</v>
      </c>
      <c r="D795" s="24">
        <v>2500000.0</v>
      </c>
      <c r="E795" s="69">
        <v>0.9822389998</v>
      </c>
      <c r="F795" s="29">
        <v>2455597.5</v>
      </c>
      <c r="G795" s="23">
        <v>0.01</v>
      </c>
      <c r="H795" s="1"/>
      <c r="I795" s="1"/>
      <c r="J795" s="2"/>
      <c r="K795" s="2"/>
      <c r="L795" s="53"/>
      <c r="M795" s="12"/>
      <c r="N795" s="2"/>
      <c r="O795" s="2"/>
    </row>
    <row r="796" ht="15.75" customHeight="1">
      <c r="A796" s="1" t="s">
        <v>971</v>
      </c>
      <c r="B796" s="63" t="s">
        <v>228</v>
      </c>
      <c r="C796" s="63" t="s">
        <v>946</v>
      </c>
      <c r="D796" s="24">
        <v>2500000.0</v>
      </c>
      <c r="E796" s="69">
        <v>0.9972677639</v>
      </c>
      <c r="F796" s="23">
        <v>2493169.41</v>
      </c>
      <c r="G796" s="23">
        <v>0.01</v>
      </c>
      <c r="H796" s="1"/>
      <c r="I796" s="1"/>
      <c r="J796" s="2"/>
      <c r="K796" s="2"/>
      <c r="L796" s="53"/>
      <c r="M796" s="12"/>
      <c r="N796" s="2"/>
      <c r="O796" s="2"/>
    </row>
    <row r="797" ht="15.75" customHeight="1">
      <c r="A797" s="1" t="s">
        <v>972</v>
      </c>
      <c r="B797" s="63" t="s">
        <v>549</v>
      </c>
      <c r="C797" s="63" t="s">
        <v>946</v>
      </c>
      <c r="D797" s="24">
        <v>2500000.0</v>
      </c>
      <c r="E797" s="69">
        <v>0.9796028002</v>
      </c>
      <c r="F797" s="24">
        <v>2449007.0</v>
      </c>
      <c r="G797" s="23">
        <v>0.01</v>
      </c>
      <c r="H797" s="1"/>
      <c r="I797" s="1"/>
      <c r="J797" s="2"/>
      <c r="K797" s="2"/>
      <c r="L797" s="53"/>
      <c r="M797" s="12"/>
      <c r="N797" s="2"/>
      <c r="O797" s="2"/>
    </row>
    <row r="798" ht="15.75" customHeight="1">
      <c r="A798" s="1" t="s">
        <v>973</v>
      </c>
      <c r="B798" s="63" t="s">
        <v>491</v>
      </c>
      <c r="C798" s="63" t="s">
        <v>946</v>
      </c>
      <c r="D798" s="24">
        <v>2500000.0</v>
      </c>
      <c r="E798" s="69">
        <v>0.9945504361</v>
      </c>
      <c r="F798" s="23">
        <v>2486376.09</v>
      </c>
      <c r="G798" s="23">
        <v>0.01</v>
      </c>
      <c r="H798" s="1"/>
      <c r="I798" s="1"/>
      <c r="J798" s="2"/>
      <c r="K798" s="2"/>
      <c r="L798" s="53"/>
      <c r="M798" s="12"/>
      <c r="N798" s="2"/>
      <c r="O798" s="2"/>
    </row>
    <row r="799" ht="15.75" customHeight="1">
      <c r="A799" s="1" t="s">
        <v>974</v>
      </c>
      <c r="B799" s="63" t="s">
        <v>247</v>
      </c>
      <c r="C799" s="63" t="s">
        <v>946</v>
      </c>
      <c r="D799" s="24">
        <v>2500000.0</v>
      </c>
      <c r="E799" s="69">
        <v>0.9785523197</v>
      </c>
      <c r="F799" s="29">
        <v>2446380.8</v>
      </c>
      <c r="G799" s="23">
        <v>0.01</v>
      </c>
      <c r="H799" s="1"/>
      <c r="I799" s="1"/>
      <c r="J799" s="2"/>
      <c r="K799" s="2"/>
      <c r="L799" s="53"/>
      <c r="M799" s="12"/>
      <c r="N799" s="2"/>
      <c r="O799" s="2"/>
    </row>
    <row r="800" ht="15.75" customHeight="1">
      <c r="A800" s="1" t="s">
        <v>975</v>
      </c>
      <c r="B800" s="63" t="s">
        <v>159</v>
      </c>
      <c r="C800" s="63" t="s">
        <v>946</v>
      </c>
      <c r="D800" s="24">
        <v>2500000.0</v>
      </c>
      <c r="E800" s="69">
        <v>0.9934676161</v>
      </c>
      <c r="F800" s="23">
        <v>2483669.04</v>
      </c>
      <c r="G800" s="23">
        <v>0.01</v>
      </c>
      <c r="H800" s="1"/>
      <c r="I800" s="1"/>
      <c r="J800" s="2"/>
      <c r="K800" s="2"/>
      <c r="L800" s="53"/>
      <c r="M800" s="12"/>
      <c r="N800" s="2"/>
      <c r="O800" s="2"/>
    </row>
    <row r="801" ht="15.75" customHeight="1">
      <c r="A801" s="1" t="s">
        <v>976</v>
      </c>
      <c r="B801" s="63" t="s">
        <v>150</v>
      </c>
      <c r="C801" s="63" t="s">
        <v>946</v>
      </c>
      <c r="D801" s="24">
        <v>2500000.0</v>
      </c>
      <c r="E801" s="69">
        <v>0.9854211721</v>
      </c>
      <c r="F801" s="23">
        <v>2463552.93</v>
      </c>
      <c r="G801" s="23">
        <v>0.01</v>
      </c>
      <c r="H801" s="1"/>
      <c r="I801" s="1"/>
      <c r="J801" s="2"/>
      <c r="K801" s="2"/>
      <c r="L801" s="53"/>
      <c r="M801" s="12"/>
      <c r="N801" s="2"/>
      <c r="O801" s="2"/>
    </row>
    <row r="802" ht="15.75" customHeight="1">
      <c r="A802" s="1" t="s">
        <v>977</v>
      </c>
      <c r="B802" s="63" t="s">
        <v>148</v>
      </c>
      <c r="C802" s="63" t="s">
        <v>946</v>
      </c>
      <c r="D802" s="24">
        <v>2500000.0</v>
      </c>
      <c r="E802" s="69">
        <v>0.9827679603</v>
      </c>
      <c r="F802" s="29">
        <v>2456919.9</v>
      </c>
      <c r="G802" s="23">
        <v>0.01</v>
      </c>
      <c r="H802" s="1"/>
      <c r="I802" s="1"/>
      <c r="J802" s="2"/>
      <c r="K802" s="2"/>
      <c r="L802" s="53"/>
      <c r="M802" s="12"/>
      <c r="N802" s="2"/>
      <c r="O802" s="2"/>
    </row>
    <row r="803" ht="15.75" customHeight="1">
      <c r="A803" s="1" t="s">
        <v>978</v>
      </c>
      <c r="B803" s="63" t="s">
        <v>328</v>
      </c>
      <c r="C803" s="63" t="s">
        <v>946</v>
      </c>
      <c r="D803" s="29">
        <v>169949.7</v>
      </c>
      <c r="E803" s="69">
        <v>0.9657106779</v>
      </c>
      <c r="F803" s="23">
        <v>164122.24</v>
      </c>
      <c r="G803" s="24">
        <v>0.0</v>
      </c>
      <c r="H803" s="1"/>
      <c r="I803" s="1"/>
      <c r="J803" s="2"/>
      <c r="K803" s="2"/>
      <c r="L803" s="53"/>
      <c r="M803" s="12"/>
      <c r="N803" s="2"/>
      <c r="O803" s="2"/>
    </row>
    <row r="804" ht="15.75" customHeight="1">
      <c r="A804" s="1" t="s">
        <v>979</v>
      </c>
      <c r="B804" s="63" t="s">
        <v>378</v>
      </c>
      <c r="C804" s="63" t="s">
        <v>946</v>
      </c>
      <c r="D804" s="23">
        <v>685765.71</v>
      </c>
      <c r="E804" s="69">
        <v>0.9488407343</v>
      </c>
      <c r="F804" s="23">
        <v>650682.44</v>
      </c>
      <c r="G804" s="24">
        <v>0.0</v>
      </c>
      <c r="H804" s="1"/>
      <c r="I804" s="1"/>
      <c r="J804" s="2"/>
      <c r="K804" s="2"/>
      <c r="L804" s="53"/>
      <c r="M804" s="12"/>
      <c r="N804" s="2"/>
      <c r="O804" s="2"/>
    </row>
    <row r="805" ht="15.75" customHeight="1">
      <c r="A805" s="1" t="s">
        <v>980</v>
      </c>
      <c r="B805" s="63" t="s">
        <v>182</v>
      </c>
      <c r="C805" s="63" t="s">
        <v>946</v>
      </c>
      <c r="D805" s="23">
        <v>1068909.47</v>
      </c>
      <c r="E805" s="69">
        <v>0.9844644283</v>
      </c>
      <c r="F805" s="23">
        <v>1052303.35</v>
      </c>
      <c r="G805" s="24">
        <v>0.0</v>
      </c>
      <c r="H805" s="1"/>
      <c r="I805" s="1"/>
      <c r="J805" s="2"/>
      <c r="K805" s="2"/>
      <c r="L805" s="53"/>
      <c r="M805" s="12"/>
      <c r="N805" s="2"/>
      <c r="O805" s="2"/>
    </row>
    <row r="806" ht="15.75" customHeight="1">
      <c r="A806" s="1" t="s">
        <v>981</v>
      </c>
      <c r="B806" s="63" t="s">
        <v>182</v>
      </c>
      <c r="C806" s="63" t="s">
        <v>946</v>
      </c>
      <c r="D806" s="23">
        <v>505653.95</v>
      </c>
      <c r="E806" s="69">
        <v>0.9844644544</v>
      </c>
      <c r="F806" s="23">
        <v>497798.34</v>
      </c>
      <c r="G806" s="24">
        <v>0.0</v>
      </c>
      <c r="H806" s="1"/>
      <c r="I806" s="1"/>
      <c r="J806" s="2"/>
      <c r="K806" s="2"/>
      <c r="L806" s="53"/>
      <c r="M806" s="12"/>
      <c r="N806" s="2"/>
      <c r="O806" s="2"/>
    </row>
    <row r="807" ht="15.75" customHeight="1">
      <c r="A807" s="1" t="s">
        <v>982</v>
      </c>
      <c r="B807" s="63" t="s">
        <v>328</v>
      </c>
      <c r="C807" s="63" t="s">
        <v>946</v>
      </c>
      <c r="D807" s="29">
        <v>169949.7</v>
      </c>
      <c r="E807" s="69">
        <v>0.9657106779</v>
      </c>
      <c r="F807" s="23">
        <v>164122.24</v>
      </c>
      <c r="G807" s="24">
        <v>0.0</v>
      </c>
      <c r="H807" s="1"/>
      <c r="I807" s="1"/>
      <c r="J807" s="2"/>
      <c r="K807" s="2"/>
      <c r="L807" s="53"/>
      <c r="M807" s="12"/>
      <c r="N807" s="2"/>
      <c r="O807" s="2"/>
    </row>
    <row r="808" ht="15.75" customHeight="1">
      <c r="A808" s="1" t="s">
        <v>983</v>
      </c>
      <c r="B808" s="63" t="s">
        <v>378</v>
      </c>
      <c r="C808" s="63" t="s">
        <v>946</v>
      </c>
      <c r="D808" s="23">
        <v>535280.22</v>
      </c>
      <c r="E808" s="69">
        <v>0.9488407202</v>
      </c>
      <c r="F808" s="23">
        <v>507895.67</v>
      </c>
      <c r="G808" s="24">
        <v>0.0</v>
      </c>
      <c r="H808" s="1"/>
      <c r="I808" s="1"/>
      <c r="J808" s="2"/>
      <c r="K808" s="2"/>
      <c r="L808" s="53"/>
      <c r="M808" s="12"/>
      <c r="N808" s="2"/>
      <c r="O808" s="2"/>
    </row>
    <row r="809" ht="15.75" customHeight="1">
      <c r="A809" s="1" t="s">
        <v>984</v>
      </c>
      <c r="B809" s="63" t="s">
        <v>378</v>
      </c>
      <c r="C809" s="63" t="s">
        <v>946</v>
      </c>
      <c r="D809" s="23">
        <v>535280.22</v>
      </c>
      <c r="E809" s="69">
        <v>0.9488407202</v>
      </c>
      <c r="F809" s="23">
        <v>507895.67</v>
      </c>
      <c r="G809" s="24">
        <v>0.0</v>
      </c>
      <c r="H809" s="1"/>
      <c r="I809" s="1"/>
      <c r="J809" s="2"/>
      <c r="K809" s="2"/>
      <c r="L809" s="53"/>
      <c r="M809" s="12"/>
      <c r="N809" s="2"/>
      <c r="O809" s="2"/>
    </row>
    <row r="810" ht="15.75" customHeight="1">
      <c r="A810" s="1" t="s">
        <v>985</v>
      </c>
      <c r="B810" s="63" t="s">
        <v>378</v>
      </c>
      <c r="C810" s="63" t="s">
        <v>946</v>
      </c>
      <c r="D810" s="23">
        <v>689115.82</v>
      </c>
      <c r="E810" s="69">
        <v>0.9488407343</v>
      </c>
      <c r="F810" s="23">
        <v>653861.16</v>
      </c>
      <c r="G810" s="24">
        <v>0.0</v>
      </c>
      <c r="H810" s="1"/>
      <c r="I810" s="1"/>
      <c r="J810" s="2"/>
      <c r="K810" s="2"/>
      <c r="L810" s="53"/>
      <c r="M810" s="12"/>
      <c r="N810" s="2"/>
      <c r="O810" s="2"/>
    </row>
    <row r="811" ht="15.75" customHeight="1">
      <c r="A811" s="1" t="s">
        <v>986</v>
      </c>
      <c r="B811" s="63" t="s">
        <v>378</v>
      </c>
      <c r="C811" s="63" t="s">
        <v>946</v>
      </c>
      <c r="D811" s="23">
        <v>2688265.68</v>
      </c>
      <c r="E811" s="69">
        <v>0.9488407364</v>
      </c>
      <c r="F811" s="23">
        <v>2550735.99</v>
      </c>
      <c r="G811" s="23">
        <v>0.01</v>
      </c>
      <c r="H811" s="1"/>
      <c r="I811" s="1"/>
      <c r="J811" s="2"/>
      <c r="K811" s="2"/>
      <c r="L811" s="53"/>
      <c r="M811" s="12"/>
      <c r="N811" s="2"/>
      <c r="O811" s="2"/>
    </row>
    <row r="812" ht="15.75" customHeight="1">
      <c r="A812" s="1" t="s">
        <v>987</v>
      </c>
      <c r="B812" s="63" t="s">
        <v>182</v>
      </c>
      <c r="C812" s="63" t="s">
        <v>946</v>
      </c>
      <c r="D812" s="29">
        <v>8802443.9</v>
      </c>
      <c r="E812" s="69">
        <v>0.9844644225</v>
      </c>
      <c r="F812" s="23">
        <v>8665692.85</v>
      </c>
      <c r="G812" s="23">
        <v>0.02</v>
      </c>
      <c r="H812" s="1"/>
      <c r="I812" s="1"/>
      <c r="J812" s="2"/>
      <c r="K812" s="2"/>
      <c r="L812" s="53"/>
      <c r="M812" s="12"/>
      <c r="N812" s="2"/>
      <c r="O812" s="2"/>
    </row>
    <row r="813" ht="15.75" customHeight="1">
      <c r="A813" s="1" t="s">
        <v>988</v>
      </c>
      <c r="B813" s="63" t="s">
        <v>182</v>
      </c>
      <c r="C813" s="63" t="s">
        <v>946</v>
      </c>
      <c r="D813" s="23">
        <v>970094.59</v>
      </c>
      <c r="E813" s="69">
        <v>0.9844644117</v>
      </c>
      <c r="F813" s="29">
        <v>955023.6</v>
      </c>
      <c r="G813" s="24">
        <v>0.0</v>
      </c>
      <c r="H813" s="1"/>
      <c r="I813" s="1"/>
      <c r="J813" s="2"/>
      <c r="K813" s="2"/>
      <c r="L813" s="53"/>
      <c r="M813" s="12"/>
      <c r="N813" s="2"/>
      <c r="O813" s="2"/>
    </row>
    <row r="814" ht="15.75" customHeight="1">
      <c r="A814" s="1" t="s">
        <v>989</v>
      </c>
      <c r="B814" s="63" t="s">
        <v>182</v>
      </c>
      <c r="C814" s="63" t="s">
        <v>946</v>
      </c>
      <c r="D814" s="29">
        <v>1044096.2</v>
      </c>
      <c r="E814" s="69">
        <v>0.9844644295</v>
      </c>
      <c r="F814" s="23">
        <v>1027875.57</v>
      </c>
      <c r="G814" s="24">
        <v>0.0</v>
      </c>
      <c r="H814" s="1"/>
      <c r="I814" s="1"/>
      <c r="J814" s="2"/>
      <c r="K814" s="2"/>
      <c r="L814" s="53"/>
      <c r="M814" s="12"/>
      <c r="N814" s="2"/>
      <c r="O814" s="2"/>
    </row>
    <row r="815" ht="15.75" customHeight="1">
      <c r="A815" s="1" t="s">
        <v>990</v>
      </c>
      <c r="B815" s="63" t="s">
        <v>182</v>
      </c>
      <c r="C815" s="63" t="s">
        <v>946</v>
      </c>
      <c r="D815" s="23">
        <v>3745855.84</v>
      </c>
      <c r="E815" s="69">
        <v>0.9844644181</v>
      </c>
      <c r="F815" s="23">
        <v>3687661.79</v>
      </c>
      <c r="G815" s="23">
        <v>0.01</v>
      </c>
      <c r="H815" s="1"/>
      <c r="I815" s="1"/>
      <c r="J815" s="2"/>
      <c r="K815" s="2"/>
      <c r="L815" s="53"/>
      <c r="M815" s="12"/>
      <c r="N815" s="2"/>
      <c r="O815" s="2"/>
    </row>
    <row r="816" ht="15.75" customHeight="1">
      <c r="A816" s="1" t="s">
        <v>991</v>
      </c>
      <c r="B816" s="63" t="s">
        <v>182</v>
      </c>
      <c r="C816" s="63" t="s">
        <v>946</v>
      </c>
      <c r="D816" s="23">
        <v>128742.88</v>
      </c>
      <c r="E816" s="69">
        <v>0.9844643837</v>
      </c>
      <c r="F816" s="23">
        <v>126742.78</v>
      </c>
      <c r="G816" s="24">
        <v>0.0</v>
      </c>
      <c r="H816" s="1"/>
      <c r="I816" s="1"/>
      <c r="J816" s="2"/>
      <c r="K816" s="2"/>
      <c r="L816" s="53"/>
      <c r="M816" s="12"/>
      <c r="N816" s="2"/>
      <c r="O816" s="2"/>
    </row>
    <row r="817" ht="15.75" customHeight="1">
      <c r="A817" s="1" t="s">
        <v>992</v>
      </c>
      <c r="B817" s="63" t="s">
        <v>182</v>
      </c>
      <c r="C817" s="63" t="s">
        <v>946</v>
      </c>
      <c r="D817" s="23">
        <v>84170.31</v>
      </c>
      <c r="E817" s="69">
        <v>0.9844643556</v>
      </c>
      <c r="F817" s="23">
        <v>82862.67</v>
      </c>
      <c r="G817" s="24">
        <v>0.0</v>
      </c>
      <c r="H817" s="1"/>
      <c r="I817" s="1"/>
      <c r="J817" s="2"/>
      <c r="K817" s="2"/>
      <c r="L817" s="53"/>
      <c r="M817" s="12"/>
      <c r="N817" s="2"/>
      <c r="O817" s="2"/>
    </row>
    <row r="818" ht="15.75" customHeight="1">
      <c r="A818" s="1" t="s">
        <v>993</v>
      </c>
      <c r="B818" s="63" t="s">
        <v>182</v>
      </c>
      <c r="C818" s="63" t="s">
        <v>946</v>
      </c>
      <c r="D818" s="29">
        <v>1044096.2</v>
      </c>
      <c r="E818" s="69">
        <v>0.9844644295</v>
      </c>
      <c r="F818" s="23">
        <v>1027875.57</v>
      </c>
      <c r="G818" s="24">
        <v>0.0</v>
      </c>
      <c r="H818" s="1"/>
      <c r="I818" s="1"/>
      <c r="J818" s="2"/>
      <c r="K818" s="2"/>
      <c r="L818" s="53"/>
      <c r="M818" s="12"/>
      <c r="N818" s="2"/>
      <c r="O818" s="2"/>
    </row>
    <row r="819" ht="15.75" customHeight="1">
      <c r="A819" s="1" t="s">
        <v>994</v>
      </c>
      <c r="B819" s="63" t="s">
        <v>328</v>
      </c>
      <c r="C819" s="63" t="s">
        <v>946</v>
      </c>
      <c r="D819" s="23">
        <v>2382065.57</v>
      </c>
      <c r="E819" s="69">
        <v>0.9657107386</v>
      </c>
      <c r="F819" s="29">
        <v>2300386.3</v>
      </c>
      <c r="G819" s="24">
        <v>0.0</v>
      </c>
      <c r="H819" s="1"/>
      <c r="I819" s="1"/>
      <c r="J819" s="2"/>
      <c r="K819" s="2"/>
      <c r="L819" s="53"/>
      <c r="M819" s="12"/>
      <c r="N819" s="2"/>
      <c r="O819" s="2"/>
    </row>
    <row r="820" ht="15.75" customHeight="1">
      <c r="A820" s="1" t="s">
        <v>995</v>
      </c>
      <c r="B820" s="63" t="s">
        <v>335</v>
      </c>
      <c r="C820" s="63" t="s">
        <v>946</v>
      </c>
      <c r="D820" s="23">
        <v>1484637.46</v>
      </c>
      <c r="E820" s="69">
        <v>0.9787622296</v>
      </c>
      <c r="F820" s="23">
        <v>1453107.07</v>
      </c>
      <c r="G820" s="24">
        <v>0.0</v>
      </c>
      <c r="H820" s="1"/>
      <c r="I820" s="1"/>
      <c r="J820" s="2"/>
      <c r="K820" s="2"/>
      <c r="L820" s="53"/>
      <c r="M820" s="12"/>
      <c r="N820" s="2"/>
      <c r="O820" s="2"/>
    </row>
    <row r="821" ht="15.75" customHeight="1">
      <c r="A821" s="1" t="s">
        <v>996</v>
      </c>
      <c r="B821" s="63" t="s">
        <v>175</v>
      </c>
      <c r="C821" s="63" t="s">
        <v>946</v>
      </c>
      <c r="D821" s="24">
        <v>1.0E8</v>
      </c>
      <c r="E821" s="69">
        <v>0.9790772887</v>
      </c>
      <c r="F821" s="23">
        <v>9.790772887E7</v>
      </c>
      <c r="G821" s="29">
        <v>0.2</v>
      </c>
      <c r="H821" s="1"/>
      <c r="I821" s="1"/>
      <c r="J821" s="2"/>
      <c r="K821" s="2"/>
      <c r="L821" s="53"/>
      <c r="M821" s="12"/>
      <c r="N821" s="2"/>
      <c r="O821" s="2"/>
    </row>
    <row r="822" ht="15.75" customHeight="1">
      <c r="A822" s="1" t="s">
        <v>997</v>
      </c>
      <c r="B822" s="63" t="s">
        <v>111</v>
      </c>
      <c r="C822" s="63" t="s">
        <v>946</v>
      </c>
      <c r="D822" s="24">
        <v>1.0E8</v>
      </c>
      <c r="E822" s="69">
        <v>0.9775041117</v>
      </c>
      <c r="F822" s="23">
        <v>9.775041117E7</v>
      </c>
      <c r="G822" s="29">
        <v>0.2</v>
      </c>
      <c r="H822" s="1"/>
      <c r="I822" s="1"/>
      <c r="J822" s="2"/>
      <c r="K822" s="2"/>
      <c r="L822" s="53"/>
      <c r="M822" s="12"/>
      <c r="N822" s="2"/>
      <c r="O822" s="2"/>
    </row>
    <row r="823" ht="15.75" customHeight="1">
      <c r="A823" s="1" t="s">
        <v>998</v>
      </c>
      <c r="B823" s="63" t="s">
        <v>150</v>
      </c>
      <c r="C823" s="63" t="s">
        <v>946</v>
      </c>
      <c r="D823" s="24">
        <v>1.0E8</v>
      </c>
      <c r="E823" s="69">
        <v>0.9782900041</v>
      </c>
      <c r="F823" s="23">
        <v>9.782900041E7</v>
      </c>
      <c r="G823" s="29">
        <v>0.2</v>
      </c>
      <c r="H823" s="1"/>
      <c r="I823" s="1"/>
      <c r="J823" s="2"/>
      <c r="K823" s="2"/>
      <c r="L823" s="53"/>
      <c r="M823" s="12"/>
      <c r="N823" s="2"/>
      <c r="O823" s="2"/>
    </row>
    <row r="824" ht="15.75" customHeight="1">
      <c r="A824" s="1" t="s">
        <v>999</v>
      </c>
      <c r="B824" s="63" t="s">
        <v>173</v>
      </c>
      <c r="C824" s="63" t="s">
        <v>946</v>
      </c>
      <c r="D824" s="23">
        <v>2429673.98</v>
      </c>
      <c r="E824" s="69">
        <v>0.9813675414</v>
      </c>
      <c r="F824" s="23">
        <v>2384403.18</v>
      </c>
      <c r="G824" s="24">
        <v>0.0</v>
      </c>
      <c r="H824" s="1"/>
      <c r="I824" s="1"/>
      <c r="J824" s="2"/>
      <c r="K824" s="2"/>
      <c r="L824" s="53"/>
      <c r="M824" s="12"/>
      <c r="N824" s="2"/>
      <c r="O824" s="2"/>
    </row>
    <row r="825" ht="15.75" customHeight="1">
      <c r="A825" s="1" t="s">
        <v>1000</v>
      </c>
      <c r="B825" s="63" t="s">
        <v>175</v>
      </c>
      <c r="C825" s="63" t="s">
        <v>946</v>
      </c>
      <c r="D825" s="23">
        <v>1573636.95</v>
      </c>
      <c r="E825" s="69">
        <v>0.9770330827</v>
      </c>
      <c r="F825" s="23">
        <v>1537495.36</v>
      </c>
      <c r="G825" s="24">
        <v>0.0</v>
      </c>
      <c r="H825" s="1"/>
      <c r="I825" s="1"/>
      <c r="J825" s="2"/>
      <c r="K825" s="2"/>
      <c r="L825" s="53"/>
      <c r="M825" s="12"/>
      <c r="N825" s="2"/>
      <c r="O825" s="2"/>
    </row>
    <row r="826" ht="15.75" customHeight="1">
      <c r="A826" s="1" t="s">
        <v>1001</v>
      </c>
      <c r="B826" s="63" t="s">
        <v>163</v>
      </c>
      <c r="C826" s="63" t="s">
        <v>946</v>
      </c>
      <c r="D826" s="23">
        <v>1449874.22</v>
      </c>
      <c r="E826" s="69">
        <v>0.9883831922</v>
      </c>
      <c r="F826" s="23">
        <v>1433031.31</v>
      </c>
      <c r="G826" s="24">
        <v>0.0</v>
      </c>
      <c r="H826" s="1"/>
      <c r="I826" s="1"/>
      <c r="J826" s="2"/>
      <c r="K826" s="2"/>
      <c r="L826" s="53"/>
      <c r="M826" s="12"/>
      <c r="N826" s="2"/>
      <c r="O826" s="2"/>
    </row>
    <row r="827" ht="15.75" customHeight="1">
      <c r="A827" s="1" t="s">
        <v>1002</v>
      </c>
      <c r="B827" s="63" t="s">
        <v>170</v>
      </c>
      <c r="C827" s="63" t="s">
        <v>946</v>
      </c>
      <c r="D827" s="24">
        <v>2890000.0</v>
      </c>
      <c r="E827" s="69">
        <v>0.9848628755</v>
      </c>
      <c r="F827" s="23">
        <v>2846253.71</v>
      </c>
      <c r="G827" s="23">
        <v>0.01</v>
      </c>
      <c r="H827" s="1"/>
      <c r="I827" s="1"/>
      <c r="J827" s="2"/>
      <c r="K827" s="2"/>
      <c r="L827" s="53"/>
      <c r="M827" s="12"/>
      <c r="N827" s="2"/>
      <c r="O827" s="2"/>
    </row>
    <row r="828" ht="15.75" customHeight="1">
      <c r="A828" s="1" t="s">
        <v>1003</v>
      </c>
      <c r="B828" s="63" t="s">
        <v>140</v>
      </c>
      <c r="C828" s="63" t="s">
        <v>946</v>
      </c>
      <c r="D828" s="24">
        <v>1000000.0</v>
      </c>
      <c r="E828" s="69">
        <v>0.9839866801</v>
      </c>
      <c r="F828" s="23">
        <v>983986.68</v>
      </c>
      <c r="G828" s="24">
        <v>0.0</v>
      </c>
      <c r="H828" s="1"/>
      <c r="I828" s="1"/>
      <c r="J828" s="2"/>
      <c r="K828" s="2"/>
      <c r="L828" s="53"/>
      <c r="M828" s="12"/>
      <c r="N828" s="2"/>
      <c r="O828" s="2"/>
    </row>
    <row r="829" ht="15.75" customHeight="1">
      <c r="A829" s="1" t="s">
        <v>1004</v>
      </c>
      <c r="B829" s="63" t="s">
        <v>187</v>
      </c>
      <c r="C829" s="63" t="s">
        <v>946</v>
      </c>
      <c r="D829" s="23">
        <v>1215528.29</v>
      </c>
      <c r="E829" s="69">
        <v>0.9778969194</v>
      </c>
      <c r="F829" s="23">
        <v>1188661.37</v>
      </c>
      <c r="G829" s="24">
        <v>0.0</v>
      </c>
      <c r="H829" s="1"/>
      <c r="I829" s="1"/>
      <c r="J829" s="2"/>
      <c r="K829" s="2"/>
      <c r="L829" s="53"/>
      <c r="M829" s="12"/>
      <c r="N829" s="2"/>
      <c r="O829" s="2"/>
    </row>
    <row r="830" ht="15.75" customHeight="1">
      <c r="A830" s="1" t="s">
        <v>1005</v>
      </c>
      <c r="B830" s="63" t="s">
        <v>153</v>
      </c>
      <c r="C830" s="63" t="s">
        <v>946</v>
      </c>
      <c r="D830" s="24">
        <v>1151000.0</v>
      </c>
      <c r="E830" s="69">
        <v>0.9875007385</v>
      </c>
      <c r="F830" s="23">
        <v>1136613.35</v>
      </c>
      <c r="G830" s="24">
        <v>0.0</v>
      </c>
      <c r="H830" s="1"/>
      <c r="I830" s="1"/>
      <c r="J830" s="2"/>
      <c r="K830" s="2"/>
      <c r="L830" s="53"/>
      <c r="M830" s="12"/>
      <c r="N830" s="2"/>
      <c r="O830" s="2"/>
    </row>
    <row r="831" ht="15.75" customHeight="1">
      <c r="A831" s="1" t="s">
        <v>1006</v>
      </c>
      <c r="B831" s="63" t="s">
        <v>185</v>
      </c>
      <c r="C831" s="63" t="s">
        <v>946</v>
      </c>
      <c r="D831" s="24">
        <v>1666000.0</v>
      </c>
      <c r="E831" s="70">
        <v>0.983112041</v>
      </c>
      <c r="F831" s="23">
        <v>1637864.66</v>
      </c>
      <c r="G831" s="24">
        <v>0.0</v>
      </c>
      <c r="H831" s="1"/>
      <c r="I831" s="1"/>
      <c r="J831" s="2"/>
      <c r="K831" s="2"/>
      <c r="L831" s="53"/>
      <c r="M831" s="12"/>
      <c r="N831" s="2"/>
      <c r="O831" s="2"/>
    </row>
    <row r="832" ht="15.75" customHeight="1">
      <c r="A832" s="1" t="s">
        <v>1007</v>
      </c>
      <c r="B832" s="63" t="s">
        <v>175</v>
      </c>
      <c r="C832" s="63" t="s">
        <v>946</v>
      </c>
      <c r="D832" s="23">
        <v>1103671.38</v>
      </c>
      <c r="E832" s="69">
        <v>0.9770330732</v>
      </c>
      <c r="F832" s="23">
        <v>1078323.44</v>
      </c>
      <c r="G832" s="24">
        <v>0.0</v>
      </c>
      <c r="H832" s="1"/>
      <c r="I832" s="1"/>
      <c r="J832" s="2"/>
      <c r="K832" s="2"/>
      <c r="L832" s="53"/>
      <c r="M832" s="12"/>
      <c r="N832" s="2"/>
      <c r="O832" s="2"/>
    </row>
    <row r="833" ht="15.75" customHeight="1">
      <c r="A833" s="1" t="s">
        <v>1008</v>
      </c>
      <c r="B833" s="63" t="s">
        <v>143</v>
      </c>
      <c r="C833" s="63" t="s">
        <v>946</v>
      </c>
      <c r="D833" s="24">
        <v>3000000.0</v>
      </c>
      <c r="E833" s="69">
        <v>0.9592390098</v>
      </c>
      <c r="F833" s="23">
        <v>2877717.03</v>
      </c>
      <c r="G833" s="23">
        <v>0.01</v>
      </c>
      <c r="H833" s="1"/>
      <c r="I833" s="1"/>
      <c r="J833" s="2"/>
      <c r="K833" s="2"/>
      <c r="L833" s="53"/>
      <c r="M833" s="12"/>
      <c r="N833" s="2"/>
      <c r="O833" s="2"/>
    </row>
    <row r="834" ht="15.75" customHeight="1">
      <c r="A834" s="1" t="s">
        <v>1009</v>
      </c>
      <c r="B834" s="63" t="s">
        <v>223</v>
      </c>
      <c r="C834" s="63" t="s">
        <v>946</v>
      </c>
      <c r="D834" s="24">
        <v>3000000.0</v>
      </c>
      <c r="E834" s="70">
        <v>0.954273473</v>
      </c>
      <c r="F834" s="23">
        <v>2862820.42</v>
      </c>
      <c r="G834" s="23">
        <v>0.01</v>
      </c>
      <c r="H834" s="1"/>
      <c r="I834" s="1"/>
      <c r="J834" s="2"/>
      <c r="K834" s="2"/>
      <c r="L834" s="53"/>
      <c r="M834" s="12"/>
      <c r="N834" s="2"/>
      <c r="O834" s="2"/>
    </row>
    <row r="835" ht="15.75" customHeight="1">
      <c r="A835" s="1" t="s">
        <v>1010</v>
      </c>
      <c r="B835" s="63" t="s">
        <v>187</v>
      </c>
      <c r="C835" s="63" t="s">
        <v>946</v>
      </c>
      <c r="D835" s="24">
        <v>3000000.0</v>
      </c>
      <c r="E835" s="69">
        <v>0.9778969266</v>
      </c>
      <c r="F835" s="23">
        <v>2933690.78</v>
      </c>
      <c r="G835" s="23">
        <v>0.01</v>
      </c>
      <c r="H835" s="1"/>
      <c r="I835" s="1"/>
      <c r="J835" s="2"/>
      <c r="K835" s="2"/>
      <c r="L835" s="53"/>
      <c r="M835" s="12"/>
      <c r="N835" s="2"/>
      <c r="O835" s="2"/>
    </row>
    <row r="836" ht="15.75" customHeight="1">
      <c r="A836" s="1" t="s">
        <v>1011</v>
      </c>
      <c r="B836" s="63" t="s">
        <v>146</v>
      </c>
      <c r="C836" s="63" t="s">
        <v>946</v>
      </c>
      <c r="D836" s="24">
        <v>3000000.0</v>
      </c>
      <c r="E836" s="70">
        <v>0.948544876</v>
      </c>
      <c r="F836" s="23">
        <v>2845634.63</v>
      </c>
      <c r="G836" s="23">
        <v>0.01</v>
      </c>
      <c r="H836" s="1"/>
      <c r="I836" s="1"/>
      <c r="J836" s="2"/>
      <c r="K836" s="2"/>
      <c r="L836" s="53"/>
      <c r="M836" s="12"/>
      <c r="N836" s="2"/>
      <c r="O836" s="2"/>
    </row>
    <row r="837" ht="15.75" customHeight="1">
      <c r="A837" s="1" t="s">
        <v>1012</v>
      </c>
      <c r="B837" s="63" t="s">
        <v>148</v>
      </c>
      <c r="C837" s="63" t="s">
        <v>946</v>
      </c>
      <c r="D837" s="24">
        <v>3000000.0</v>
      </c>
      <c r="E837" s="69">
        <v>0.9718820798</v>
      </c>
      <c r="F837" s="23">
        <v>2915646.24</v>
      </c>
      <c r="G837" s="23">
        <v>0.01</v>
      </c>
      <c r="H837" s="1"/>
      <c r="I837" s="1"/>
      <c r="J837" s="2"/>
      <c r="K837" s="2"/>
      <c r="L837" s="53"/>
      <c r="M837" s="12"/>
      <c r="N837" s="2"/>
      <c r="O837" s="2"/>
    </row>
    <row r="838" ht="15.75" customHeight="1">
      <c r="A838" s="1" t="s">
        <v>1013</v>
      </c>
      <c r="B838" s="63" t="s">
        <v>219</v>
      </c>
      <c r="C838" s="63" t="s">
        <v>946</v>
      </c>
      <c r="D838" s="24">
        <v>3000000.0</v>
      </c>
      <c r="E838" s="69">
        <v>0.9659407831</v>
      </c>
      <c r="F838" s="23">
        <v>2897822.35</v>
      </c>
      <c r="G838" s="23">
        <v>0.01</v>
      </c>
      <c r="H838" s="1"/>
      <c r="I838" s="1"/>
      <c r="J838" s="2"/>
      <c r="K838" s="2"/>
      <c r="L838" s="53"/>
      <c r="M838" s="12"/>
      <c r="N838" s="2"/>
      <c r="O838" s="2"/>
    </row>
    <row r="839" ht="15.75" customHeight="1">
      <c r="A839" s="1" t="s">
        <v>1014</v>
      </c>
      <c r="B839" s="63" t="s">
        <v>159</v>
      </c>
      <c r="C839" s="63" t="s">
        <v>946</v>
      </c>
      <c r="D839" s="29">
        <v>1077577.5</v>
      </c>
      <c r="E839" s="69">
        <v>0.9892671479</v>
      </c>
      <c r="F839" s="23">
        <v>1066012.02</v>
      </c>
      <c r="G839" s="24">
        <v>0.0</v>
      </c>
      <c r="H839" s="1"/>
      <c r="I839" s="1"/>
      <c r="J839" s="2"/>
      <c r="K839" s="2"/>
      <c r="L839" s="53"/>
      <c r="M839" s="12"/>
      <c r="N839" s="2"/>
      <c r="O839" s="2"/>
    </row>
    <row r="840" ht="15.75" customHeight="1">
      <c r="A840" s="1" t="s">
        <v>1015</v>
      </c>
      <c r="B840" s="63" t="s">
        <v>167</v>
      </c>
      <c r="C840" s="63" t="s">
        <v>946</v>
      </c>
      <c r="D840" s="24">
        <v>1701000.0</v>
      </c>
      <c r="E840" s="69">
        <v>0.9693269133</v>
      </c>
      <c r="F840" s="23">
        <v>1648825.08</v>
      </c>
      <c r="G840" s="24">
        <v>0.0</v>
      </c>
      <c r="H840" s="1"/>
      <c r="I840" s="1"/>
      <c r="J840" s="2"/>
      <c r="K840" s="2"/>
      <c r="L840" s="53"/>
      <c r="M840" s="12"/>
      <c r="N840" s="2"/>
      <c r="O840" s="2"/>
    </row>
    <row r="841" ht="15.75" customHeight="1">
      <c r="A841" s="1" t="s">
        <v>1016</v>
      </c>
      <c r="B841" s="63" t="s">
        <v>161</v>
      </c>
      <c r="C841" s="63" t="s">
        <v>946</v>
      </c>
      <c r="D841" s="24">
        <v>1701000.0</v>
      </c>
      <c r="E841" s="70">
        <v>0.960071681</v>
      </c>
      <c r="F841" s="23">
        <v>1633081.93</v>
      </c>
      <c r="G841" s="24">
        <v>0.0</v>
      </c>
      <c r="H841" s="1"/>
      <c r="I841" s="1"/>
      <c r="J841" s="2"/>
      <c r="K841" s="2"/>
      <c r="L841" s="53"/>
      <c r="M841" s="12"/>
      <c r="N841" s="2"/>
      <c r="O841" s="2"/>
    </row>
    <row r="842" ht="15.75" customHeight="1">
      <c r="A842" s="1" t="s">
        <v>1017</v>
      </c>
      <c r="B842" s="63" t="s">
        <v>163</v>
      </c>
      <c r="C842" s="63" t="s">
        <v>946</v>
      </c>
      <c r="D842" s="24">
        <v>1701000.0</v>
      </c>
      <c r="E842" s="69">
        <v>0.9883831922</v>
      </c>
      <c r="F842" s="23">
        <v>1681239.81</v>
      </c>
      <c r="G842" s="24">
        <v>0.0</v>
      </c>
      <c r="H842" s="1"/>
      <c r="I842" s="1"/>
      <c r="J842" s="2"/>
      <c r="K842" s="2"/>
      <c r="L842" s="53"/>
      <c r="M842" s="12"/>
      <c r="N842" s="2"/>
      <c r="O842" s="2"/>
    </row>
    <row r="843" ht="15.75" customHeight="1">
      <c r="A843" s="1" t="s">
        <v>1018</v>
      </c>
      <c r="B843" s="63" t="s">
        <v>274</v>
      </c>
      <c r="C843" s="63" t="s">
        <v>946</v>
      </c>
      <c r="D843" s="23">
        <v>1698044.02</v>
      </c>
      <c r="E843" s="69">
        <v>0.9575781498</v>
      </c>
      <c r="F843" s="23">
        <v>1626009.85</v>
      </c>
      <c r="G843" s="24">
        <v>0.0</v>
      </c>
      <c r="H843" s="1"/>
      <c r="I843" s="1"/>
      <c r="J843" s="2"/>
      <c r="K843" s="2"/>
      <c r="L843" s="53"/>
      <c r="M843" s="12"/>
      <c r="N843" s="2"/>
      <c r="O843" s="2"/>
    </row>
    <row r="844" ht="15.75" customHeight="1">
      <c r="A844" s="1" t="s">
        <v>1019</v>
      </c>
      <c r="B844" s="63" t="s">
        <v>185</v>
      </c>
      <c r="C844" s="63" t="s">
        <v>946</v>
      </c>
      <c r="D844" s="24">
        <v>1701000.0</v>
      </c>
      <c r="E844" s="69">
        <v>0.9831120516</v>
      </c>
      <c r="F844" s="29">
        <v>1672273.6</v>
      </c>
      <c r="G844" s="24">
        <v>0.0</v>
      </c>
      <c r="H844" s="1"/>
      <c r="I844" s="1"/>
      <c r="J844" s="2"/>
      <c r="K844" s="2"/>
      <c r="L844" s="53"/>
      <c r="M844" s="12"/>
      <c r="N844" s="2"/>
      <c r="O844" s="2"/>
    </row>
    <row r="845" ht="15.75" customHeight="1">
      <c r="A845" s="1" t="s">
        <v>1020</v>
      </c>
      <c r="B845" s="63" t="s">
        <v>175</v>
      </c>
      <c r="C845" s="63" t="s">
        <v>946</v>
      </c>
      <c r="D845" s="24">
        <v>1701000.0</v>
      </c>
      <c r="E845" s="69">
        <v>0.9770330807</v>
      </c>
      <c r="F845" s="23">
        <v>1661933.27</v>
      </c>
      <c r="G845" s="24">
        <v>0.0</v>
      </c>
      <c r="H845" s="1"/>
      <c r="I845" s="1"/>
      <c r="J845" s="2"/>
      <c r="K845" s="2"/>
      <c r="L845" s="53"/>
      <c r="M845" s="12"/>
      <c r="N845" s="2"/>
      <c r="O845" s="2"/>
    </row>
    <row r="846" ht="15.75" customHeight="1">
      <c r="A846" s="1" t="s">
        <v>1021</v>
      </c>
      <c r="B846" s="63" t="s">
        <v>185</v>
      </c>
      <c r="C846" s="63" t="s">
        <v>946</v>
      </c>
      <c r="D846" s="24">
        <v>2300000.0</v>
      </c>
      <c r="E846" s="69">
        <v>0.9831120435</v>
      </c>
      <c r="F846" s="29">
        <v>2261157.7</v>
      </c>
      <c r="G846" s="24">
        <v>0.0</v>
      </c>
      <c r="H846" s="1"/>
      <c r="I846" s="1"/>
      <c r="J846" s="2"/>
      <c r="K846" s="2"/>
      <c r="L846" s="53"/>
      <c r="M846" s="12"/>
      <c r="N846" s="2"/>
      <c r="O846" s="2"/>
    </row>
    <row r="847" ht="15.75" customHeight="1">
      <c r="A847" s="1" t="s">
        <v>1022</v>
      </c>
      <c r="B847" s="63" t="s">
        <v>175</v>
      </c>
      <c r="C847" s="63" t="s">
        <v>946</v>
      </c>
      <c r="D847" s="24">
        <v>2300000.0</v>
      </c>
      <c r="E847" s="70">
        <v>0.977033078</v>
      </c>
      <c r="F847" s="23">
        <v>2247176.08</v>
      </c>
      <c r="G847" s="24">
        <v>0.0</v>
      </c>
      <c r="H847" s="1"/>
      <c r="I847" s="1"/>
      <c r="J847" s="2"/>
      <c r="K847" s="2"/>
      <c r="L847" s="53"/>
      <c r="M847" s="12"/>
      <c r="N847" s="2"/>
      <c r="O847" s="2"/>
    </row>
    <row r="848" ht="15.75" customHeight="1">
      <c r="A848" s="1" t="s">
        <v>1023</v>
      </c>
      <c r="B848" s="63" t="s">
        <v>170</v>
      </c>
      <c r="C848" s="63" t="s">
        <v>946</v>
      </c>
      <c r="D848" s="24">
        <v>1000000.0</v>
      </c>
      <c r="E848" s="69">
        <v>0.9848628701</v>
      </c>
      <c r="F848" s="23">
        <v>984862.87</v>
      </c>
      <c r="G848" s="24">
        <v>0.0</v>
      </c>
      <c r="H848" s="1"/>
      <c r="I848" s="1"/>
      <c r="J848" s="2"/>
      <c r="K848" s="2"/>
      <c r="L848" s="53"/>
      <c r="M848" s="12"/>
      <c r="N848" s="2"/>
      <c r="O848" s="2"/>
    </row>
    <row r="849" ht="15.75" customHeight="1">
      <c r="A849" s="1" t="s">
        <v>1024</v>
      </c>
      <c r="B849" s="63" t="s">
        <v>341</v>
      </c>
      <c r="C849" s="63" t="s">
        <v>946</v>
      </c>
      <c r="D849" s="24">
        <v>1319000.0</v>
      </c>
      <c r="E849" s="69">
        <v>0.9701770355</v>
      </c>
      <c r="F849" s="23">
        <v>1279663.51</v>
      </c>
      <c r="G849" s="24">
        <v>0.0</v>
      </c>
      <c r="H849" s="1"/>
      <c r="I849" s="1"/>
      <c r="J849" s="2"/>
      <c r="K849" s="2"/>
      <c r="L849" s="53"/>
      <c r="M849" s="12"/>
      <c r="N849" s="2"/>
      <c r="O849" s="2"/>
    </row>
    <row r="850" ht="15.75" customHeight="1">
      <c r="A850" s="1" t="s">
        <v>1025</v>
      </c>
      <c r="B850" s="63" t="s">
        <v>153</v>
      </c>
      <c r="C850" s="63" t="s">
        <v>946</v>
      </c>
      <c r="D850" s="23">
        <v>1317268.23</v>
      </c>
      <c r="E850" s="69">
        <v>0.9875007385</v>
      </c>
      <c r="F850" s="23">
        <v>1300803.35</v>
      </c>
      <c r="G850" s="24">
        <v>0.0</v>
      </c>
      <c r="H850" s="1"/>
      <c r="I850" s="1"/>
      <c r="J850" s="2"/>
      <c r="K850" s="2"/>
      <c r="L850" s="53"/>
      <c r="M850" s="12"/>
      <c r="N850" s="2"/>
      <c r="O850" s="2"/>
    </row>
    <row r="851" ht="15.75" customHeight="1">
      <c r="A851" s="1" t="s">
        <v>1026</v>
      </c>
      <c r="B851" s="63" t="s">
        <v>175</v>
      </c>
      <c r="C851" s="63" t="s">
        <v>946</v>
      </c>
      <c r="D851" s="24">
        <v>1318130.0</v>
      </c>
      <c r="E851" s="69">
        <v>0.9770330698</v>
      </c>
      <c r="F851" s="29">
        <v>1287856.6</v>
      </c>
      <c r="G851" s="24">
        <v>0.0</v>
      </c>
      <c r="H851" s="1"/>
      <c r="I851" s="1"/>
      <c r="J851" s="2"/>
      <c r="K851" s="2"/>
      <c r="L851" s="53"/>
      <c r="M851" s="12"/>
      <c r="N851" s="2"/>
      <c r="O851" s="2"/>
    </row>
    <row r="852" ht="15.75" customHeight="1">
      <c r="A852" s="1" t="s">
        <v>1027</v>
      </c>
      <c r="B852" s="63" t="s">
        <v>282</v>
      </c>
      <c r="C852" s="63" t="s">
        <v>946</v>
      </c>
      <c r="D852" s="24">
        <v>4.0E7</v>
      </c>
      <c r="E852" s="69">
        <v>0.9364979262</v>
      </c>
      <c r="F852" s="23">
        <v>3.745991705E7</v>
      </c>
      <c r="G852" s="23">
        <v>0.08</v>
      </c>
      <c r="H852" s="1"/>
      <c r="I852" s="1"/>
      <c r="J852" s="2"/>
      <c r="K852" s="2"/>
      <c r="L852" s="53"/>
      <c r="M852" s="12"/>
      <c r="N852" s="2"/>
      <c r="O852" s="2"/>
    </row>
    <row r="853" ht="15.75" customHeight="1">
      <c r="A853" s="1" t="s">
        <v>1028</v>
      </c>
      <c r="B853" s="63" t="s">
        <v>287</v>
      </c>
      <c r="C853" s="63" t="s">
        <v>946</v>
      </c>
      <c r="D853" s="24">
        <v>4.0E7</v>
      </c>
      <c r="E853" s="70">
        <v>0.935705613</v>
      </c>
      <c r="F853" s="23">
        <v>3.742822452E7</v>
      </c>
      <c r="G853" s="23">
        <v>0.08</v>
      </c>
      <c r="H853" s="1"/>
      <c r="I853" s="1"/>
      <c r="J853" s="2"/>
      <c r="K853" s="2"/>
      <c r="L853" s="53"/>
      <c r="M853" s="12"/>
      <c r="N853" s="2"/>
      <c r="O853" s="2"/>
    </row>
    <row r="854" ht="15.75" customHeight="1">
      <c r="A854" s="1" t="s">
        <v>1029</v>
      </c>
      <c r="B854" s="63" t="s">
        <v>140</v>
      </c>
      <c r="C854" s="63" t="s">
        <v>946</v>
      </c>
      <c r="D854" s="23">
        <v>1583767.68</v>
      </c>
      <c r="E854" s="69">
        <v>0.9839866663</v>
      </c>
      <c r="F854" s="23">
        <v>1558406.28</v>
      </c>
      <c r="G854" s="24">
        <v>0.0</v>
      </c>
      <c r="H854" s="1"/>
      <c r="I854" s="1"/>
      <c r="J854" s="2"/>
      <c r="K854" s="2"/>
      <c r="L854" s="53"/>
      <c r="M854" s="12"/>
      <c r="N854" s="2"/>
      <c r="O854" s="2"/>
    </row>
    <row r="855" ht="15.75" customHeight="1">
      <c r="A855" s="1" t="s">
        <v>1030</v>
      </c>
      <c r="B855" s="63" t="s">
        <v>163</v>
      </c>
      <c r="C855" s="63" t="s">
        <v>946</v>
      </c>
      <c r="D855" s="29">
        <v>1918075.9</v>
      </c>
      <c r="E855" s="69">
        <v>0.9883831814</v>
      </c>
      <c r="F855" s="23">
        <v>1895793.96</v>
      </c>
      <c r="G855" s="24">
        <v>0.0</v>
      </c>
      <c r="H855" s="1"/>
      <c r="I855" s="1"/>
      <c r="J855" s="2"/>
      <c r="K855" s="2"/>
      <c r="L855" s="53"/>
      <c r="M855" s="12"/>
      <c r="N855" s="2"/>
      <c r="O855" s="2"/>
    </row>
    <row r="856" ht="15.75" customHeight="1">
      <c r="A856" s="1" t="s">
        <v>1031</v>
      </c>
      <c r="B856" s="63" t="s">
        <v>170</v>
      </c>
      <c r="C856" s="63" t="s">
        <v>946</v>
      </c>
      <c r="D856" s="23">
        <v>1039967.56</v>
      </c>
      <c r="E856" s="69">
        <v>0.9848628642</v>
      </c>
      <c r="F856" s="23">
        <v>1024225.43</v>
      </c>
      <c r="G856" s="24">
        <v>0.0</v>
      </c>
      <c r="H856" s="1"/>
      <c r="I856" s="1"/>
      <c r="J856" s="2"/>
      <c r="K856" s="2"/>
      <c r="L856" s="53"/>
      <c r="M856" s="12"/>
      <c r="N856" s="2"/>
      <c r="O856" s="2"/>
    </row>
    <row r="857" ht="15.75" customHeight="1">
      <c r="A857" s="1" t="s">
        <v>1032</v>
      </c>
      <c r="B857" s="63" t="s">
        <v>330</v>
      </c>
      <c r="C857" s="63" t="s">
        <v>946</v>
      </c>
      <c r="D857" s="24">
        <v>2387682.0</v>
      </c>
      <c r="E857" s="69">
        <v>0.9822390713</v>
      </c>
      <c r="F857" s="23">
        <v>2345274.55</v>
      </c>
      <c r="G857" s="24">
        <v>0.0</v>
      </c>
      <c r="H857" s="1"/>
      <c r="I857" s="1"/>
      <c r="J857" s="2"/>
      <c r="K857" s="2"/>
      <c r="L857" s="53"/>
      <c r="M857" s="12"/>
      <c r="N857" s="2"/>
      <c r="O857" s="2"/>
    </row>
    <row r="858" ht="15.75" customHeight="1">
      <c r="A858" s="1" t="s">
        <v>1033</v>
      </c>
      <c r="B858" s="63" t="s">
        <v>140</v>
      </c>
      <c r="C858" s="63" t="s">
        <v>946</v>
      </c>
      <c r="D858" s="24">
        <v>1100000.0</v>
      </c>
      <c r="E858" s="69">
        <v>0.9839866816</v>
      </c>
      <c r="F858" s="23">
        <v>1082385.35</v>
      </c>
      <c r="G858" s="24">
        <v>0.0</v>
      </c>
      <c r="H858" s="1"/>
      <c r="I858" s="1"/>
      <c r="J858" s="2"/>
      <c r="K858" s="2"/>
      <c r="L858" s="53"/>
      <c r="M858" s="12"/>
      <c r="N858" s="2"/>
      <c r="O858" s="2"/>
    </row>
    <row r="859" ht="15.75" customHeight="1">
      <c r="A859" s="1" t="s">
        <v>1034</v>
      </c>
      <c r="B859" s="63" t="s">
        <v>173</v>
      </c>
      <c r="C859" s="63" t="s">
        <v>946</v>
      </c>
      <c r="D859" s="29">
        <v>1134249.7</v>
      </c>
      <c r="E859" s="70">
        <v>0.981367542</v>
      </c>
      <c r="F859" s="23">
        <v>1113115.84</v>
      </c>
      <c r="G859" s="24">
        <v>0.0</v>
      </c>
      <c r="H859" s="1"/>
      <c r="I859" s="1"/>
      <c r="J859" s="2"/>
      <c r="K859" s="2"/>
      <c r="L859" s="53"/>
      <c r="M859" s="12"/>
      <c r="N859" s="2"/>
      <c r="O859" s="2"/>
    </row>
    <row r="860" ht="15.75" customHeight="1">
      <c r="A860" s="1" t="s">
        <v>1035</v>
      </c>
      <c r="B860" s="63" t="s">
        <v>185</v>
      </c>
      <c r="C860" s="63" t="s">
        <v>946</v>
      </c>
      <c r="D860" s="29">
        <v>1211666.8</v>
      </c>
      <c r="E860" s="69">
        <v>0.9831120405</v>
      </c>
      <c r="F860" s="23">
        <v>1191204.22</v>
      </c>
      <c r="G860" s="24">
        <v>0.0</v>
      </c>
      <c r="H860" s="1"/>
      <c r="I860" s="1"/>
      <c r="J860" s="2"/>
      <c r="K860" s="2"/>
      <c r="L860" s="53"/>
      <c r="M860" s="12"/>
      <c r="N860" s="2"/>
      <c r="O860" s="2"/>
    </row>
    <row r="861" ht="15.75" customHeight="1">
      <c r="A861" s="1" t="s">
        <v>1036</v>
      </c>
      <c r="B861" s="63" t="s">
        <v>185</v>
      </c>
      <c r="C861" s="63" t="s">
        <v>946</v>
      </c>
      <c r="D861" s="23">
        <v>2368425.38</v>
      </c>
      <c r="E861" s="69">
        <v>0.9831120415</v>
      </c>
      <c r="F861" s="23">
        <v>2328427.51</v>
      </c>
      <c r="G861" s="24">
        <v>0.0</v>
      </c>
      <c r="H861" s="1"/>
      <c r="I861" s="1"/>
      <c r="J861" s="2"/>
      <c r="K861" s="2"/>
      <c r="L861" s="53"/>
      <c r="M861" s="12"/>
      <c r="N861" s="2"/>
      <c r="O861" s="2"/>
    </row>
    <row r="862" ht="15.75" customHeight="1">
      <c r="A862" s="1" t="s">
        <v>1037</v>
      </c>
      <c r="B862" s="63" t="s">
        <v>182</v>
      </c>
      <c r="C862" s="63" t="s">
        <v>946</v>
      </c>
      <c r="D862" s="23">
        <v>1041333.16</v>
      </c>
      <c r="E862" s="69">
        <v>0.9787623106</v>
      </c>
      <c r="F862" s="23">
        <v>1019217.65</v>
      </c>
      <c r="G862" s="24">
        <v>0.0</v>
      </c>
      <c r="H862" s="1"/>
      <c r="I862" s="1"/>
      <c r="J862" s="2"/>
      <c r="K862" s="2"/>
      <c r="L862" s="53"/>
      <c r="M862" s="12"/>
      <c r="N862" s="2"/>
      <c r="O862" s="2"/>
    </row>
    <row r="863" ht="15.75" customHeight="1">
      <c r="A863" s="1" t="s">
        <v>1038</v>
      </c>
      <c r="B863" s="63" t="s">
        <v>175</v>
      </c>
      <c r="C863" s="63" t="s">
        <v>1039</v>
      </c>
      <c r="D863" s="24">
        <v>1450000.0</v>
      </c>
      <c r="E863" s="69">
        <v>0.9770330413</v>
      </c>
      <c r="F863" s="23">
        <v>1416697.91</v>
      </c>
      <c r="G863" s="24">
        <v>0.0</v>
      </c>
      <c r="H863" s="1"/>
      <c r="I863" s="1"/>
      <c r="J863" s="2"/>
      <c r="K863" s="2"/>
      <c r="L863" s="53"/>
      <c r="M863" s="12"/>
      <c r="N863" s="2"/>
      <c r="O863" s="2"/>
    </row>
    <row r="864" ht="15.75" customHeight="1">
      <c r="A864" s="1" t="s">
        <v>1040</v>
      </c>
      <c r="B864" s="63" t="s">
        <v>421</v>
      </c>
      <c r="C864" s="63" t="s">
        <v>1039</v>
      </c>
      <c r="D864" s="24">
        <v>1.0E7</v>
      </c>
      <c r="E864" s="70">
        <v>0.940479284</v>
      </c>
      <c r="F864" s="23">
        <v>9404792.84</v>
      </c>
      <c r="G864" s="23">
        <v>0.02</v>
      </c>
      <c r="H864" s="1"/>
      <c r="I864" s="1"/>
      <c r="J864" s="2"/>
      <c r="K864" s="2"/>
      <c r="L864" s="53"/>
      <c r="M864" s="12"/>
      <c r="N864" s="2"/>
      <c r="O864" s="2"/>
    </row>
    <row r="865" ht="15.75" customHeight="1">
      <c r="A865" s="1" t="s">
        <v>1041</v>
      </c>
      <c r="B865" s="63" t="s">
        <v>493</v>
      </c>
      <c r="C865" s="63" t="s">
        <v>1039</v>
      </c>
      <c r="D865" s="24">
        <v>1.0E7</v>
      </c>
      <c r="E865" s="69">
        <v>0.9354177768</v>
      </c>
      <c r="F865" s="23">
        <v>9354177.77</v>
      </c>
      <c r="G865" s="23">
        <v>0.02</v>
      </c>
      <c r="H865" s="1"/>
      <c r="I865" s="1"/>
      <c r="J865" s="2"/>
      <c r="K865" s="2"/>
      <c r="L865" s="53"/>
      <c r="M865" s="12"/>
      <c r="N865" s="2"/>
      <c r="O865" s="2"/>
    </row>
    <row r="866" ht="15.75" customHeight="1">
      <c r="A866" s="1" t="s">
        <v>1042</v>
      </c>
      <c r="B866" s="63" t="s">
        <v>328</v>
      </c>
      <c r="C866" s="63" t="s">
        <v>1039</v>
      </c>
      <c r="D866" s="24">
        <v>1.0E7</v>
      </c>
      <c r="E866" s="69">
        <v>0.9575026993</v>
      </c>
      <c r="F866" s="23">
        <v>9575026.99</v>
      </c>
      <c r="G866" s="23">
        <v>0.02</v>
      </c>
      <c r="H866" s="1"/>
      <c r="I866" s="1"/>
      <c r="J866" s="2"/>
      <c r="K866" s="2"/>
      <c r="L866" s="53"/>
      <c r="M866" s="12"/>
      <c r="N866" s="2"/>
      <c r="O866" s="2"/>
    </row>
    <row r="867" ht="15.75" customHeight="1">
      <c r="A867" s="1" t="s">
        <v>1043</v>
      </c>
      <c r="B867" s="63" t="s">
        <v>382</v>
      </c>
      <c r="C867" s="63" t="s">
        <v>1039</v>
      </c>
      <c r="D867" s="24">
        <v>1.0E7</v>
      </c>
      <c r="E867" s="69">
        <v>0.9304104585</v>
      </c>
      <c r="F867" s="23">
        <v>9304104.59</v>
      </c>
      <c r="G867" s="23">
        <v>0.02</v>
      </c>
      <c r="H867" s="1"/>
      <c r="I867" s="1"/>
      <c r="J867" s="2"/>
      <c r="K867" s="2"/>
      <c r="L867" s="53"/>
      <c r="M867" s="12"/>
      <c r="N867" s="2"/>
      <c r="O867" s="2"/>
    </row>
    <row r="868" ht="15.75" customHeight="1">
      <c r="A868" s="1" t="s">
        <v>1044</v>
      </c>
      <c r="B868" s="63" t="s">
        <v>357</v>
      </c>
      <c r="C868" s="63" t="s">
        <v>1039</v>
      </c>
      <c r="D868" s="24">
        <v>2.5E7</v>
      </c>
      <c r="E868" s="69">
        <v>0.9201373342</v>
      </c>
      <c r="F868" s="23">
        <v>2.300343336E7</v>
      </c>
      <c r="G868" s="23">
        <v>0.05</v>
      </c>
      <c r="H868" s="1"/>
      <c r="I868" s="1"/>
      <c r="J868" s="2"/>
      <c r="K868" s="2"/>
      <c r="L868" s="53"/>
      <c r="M868" s="12"/>
      <c r="N868" s="2"/>
      <c r="O868" s="2"/>
    </row>
    <row r="869" ht="15.75" customHeight="1">
      <c r="A869" s="1" t="s">
        <v>1045</v>
      </c>
      <c r="B869" s="63" t="s">
        <v>170</v>
      </c>
      <c r="C869" s="63" t="s">
        <v>1039</v>
      </c>
      <c r="D869" s="24">
        <v>1.0E8</v>
      </c>
      <c r="E869" s="69">
        <v>0.9839601701</v>
      </c>
      <c r="F869" s="23">
        <v>9.839601701E7</v>
      </c>
      <c r="G869" s="29">
        <v>0.2</v>
      </c>
      <c r="H869" s="1"/>
      <c r="I869" s="1"/>
      <c r="J869" s="2"/>
      <c r="K869" s="2"/>
      <c r="L869" s="53"/>
      <c r="M869" s="12"/>
      <c r="N869" s="2"/>
      <c r="O869" s="2"/>
    </row>
    <row r="870" ht="15.75" customHeight="1">
      <c r="A870" s="1" t="s">
        <v>1046</v>
      </c>
      <c r="B870" s="63" t="s">
        <v>148</v>
      </c>
      <c r="C870" s="63" t="s">
        <v>1039</v>
      </c>
      <c r="D870" s="24">
        <v>7.76145E8</v>
      </c>
      <c r="E870" s="69">
        <v>0.9844643843</v>
      </c>
      <c r="F870" s="23">
        <v>7.6408710955E8</v>
      </c>
      <c r="G870" s="23">
        <v>1.56</v>
      </c>
      <c r="H870" s="1"/>
      <c r="I870" s="1"/>
      <c r="J870" s="2"/>
      <c r="K870" s="2"/>
      <c r="L870" s="53"/>
      <c r="M870" s="12"/>
      <c r="N870" s="2"/>
      <c r="O870" s="2"/>
    </row>
    <row r="871" ht="15.75" customHeight="1">
      <c r="A871" s="1" t="s">
        <v>1047</v>
      </c>
      <c r="B871" s="63" t="s">
        <v>157</v>
      </c>
      <c r="C871" s="63" t="s">
        <v>1048</v>
      </c>
      <c r="D871" s="24">
        <v>1.0E7</v>
      </c>
      <c r="E871" s="69">
        <v>0.9666313559</v>
      </c>
      <c r="F871" s="23">
        <v>9666313.56</v>
      </c>
      <c r="G871" s="23">
        <v>0.02</v>
      </c>
      <c r="H871" s="1"/>
      <c r="I871" s="1"/>
      <c r="J871" s="2"/>
      <c r="K871" s="2"/>
      <c r="L871" s="53"/>
      <c r="M871" s="12"/>
      <c r="N871" s="2"/>
      <c r="O871" s="2"/>
    </row>
    <row r="872" ht="15.75" customHeight="1">
      <c r="A872" s="1" t="s">
        <v>1049</v>
      </c>
      <c r="B872" s="63" t="s">
        <v>282</v>
      </c>
      <c r="C872" s="63" t="s">
        <v>1048</v>
      </c>
      <c r="D872" s="24">
        <v>1.0E7</v>
      </c>
      <c r="E872" s="69">
        <v>0.9419356644</v>
      </c>
      <c r="F872" s="23">
        <v>9419356.64</v>
      </c>
      <c r="G872" s="23">
        <v>0.02</v>
      </c>
      <c r="H872" s="1"/>
      <c r="I872" s="1"/>
      <c r="J872" s="2"/>
      <c r="K872" s="2"/>
      <c r="L872" s="53"/>
      <c r="M872" s="12"/>
      <c r="N872" s="2"/>
      <c r="O872" s="2"/>
    </row>
    <row r="873" ht="15.75" customHeight="1">
      <c r="A873" s="1" t="s">
        <v>1050</v>
      </c>
      <c r="B873" s="63" t="s">
        <v>378</v>
      </c>
      <c r="C873" s="63" t="s">
        <v>1048</v>
      </c>
      <c r="D873" s="24">
        <v>1.0E7</v>
      </c>
      <c r="E873" s="69">
        <v>0.9368583241</v>
      </c>
      <c r="F873" s="23">
        <v>9368583.24</v>
      </c>
      <c r="G873" s="23">
        <v>0.02</v>
      </c>
      <c r="H873" s="1"/>
      <c r="I873" s="1"/>
      <c r="J873" s="2"/>
      <c r="K873" s="2"/>
      <c r="L873" s="53"/>
      <c r="M873" s="12"/>
      <c r="N873" s="2"/>
      <c r="O873" s="2"/>
    </row>
    <row r="874" ht="15.75" customHeight="1">
      <c r="A874" s="1" t="s">
        <v>1051</v>
      </c>
      <c r="B874" s="63" t="s">
        <v>108</v>
      </c>
      <c r="C874" s="63" t="s">
        <v>1048</v>
      </c>
      <c r="D874" s="24">
        <v>1.0E7</v>
      </c>
      <c r="E874" s="69">
        <v>0.9559979341</v>
      </c>
      <c r="F874" s="23">
        <v>9559979.34</v>
      </c>
      <c r="G874" s="23">
        <v>0.02</v>
      </c>
      <c r="H874" s="1"/>
      <c r="I874" s="1"/>
      <c r="J874" s="2"/>
      <c r="K874" s="2"/>
      <c r="L874" s="53"/>
      <c r="M874" s="12"/>
      <c r="N874" s="2"/>
      <c r="O874" s="2"/>
    </row>
    <row r="875" ht="15.75" customHeight="1">
      <c r="A875" s="1" t="s">
        <v>1052</v>
      </c>
      <c r="B875" s="63" t="s">
        <v>115</v>
      </c>
      <c r="C875" s="63" t="s">
        <v>1048</v>
      </c>
      <c r="D875" s="24">
        <v>1.0E7</v>
      </c>
      <c r="E875" s="69">
        <v>0.9318356118</v>
      </c>
      <c r="F875" s="23">
        <v>9318356.12</v>
      </c>
      <c r="G875" s="23">
        <v>0.02</v>
      </c>
      <c r="H875" s="1"/>
      <c r="I875" s="1"/>
      <c r="J875" s="2"/>
      <c r="K875" s="2"/>
      <c r="L875" s="53"/>
      <c r="M875" s="12"/>
      <c r="N875" s="2"/>
      <c r="O875" s="2"/>
    </row>
    <row r="876" ht="15.75" customHeight="1">
      <c r="A876" s="1" t="s">
        <v>1053</v>
      </c>
      <c r="B876" s="63" t="s">
        <v>204</v>
      </c>
      <c r="C876" s="63" t="s">
        <v>1048</v>
      </c>
      <c r="D876" s="24">
        <v>1.0E7</v>
      </c>
      <c r="E876" s="69">
        <v>0.9522568619</v>
      </c>
      <c r="F876" s="23">
        <v>9522568.62</v>
      </c>
      <c r="G876" s="23">
        <v>0.02</v>
      </c>
      <c r="H876" s="1"/>
      <c r="I876" s="1"/>
      <c r="J876" s="2"/>
      <c r="K876" s="2"/>
      <c r="L876" s="53"/>
      <c r="M876" s="12"/>
      <c r="N876" s="2"/>
      <c r="O876" s="2"/>
    </row>
    <row r="877" ht="15.75" customHeight="1">
      <c r="A877" s="1" t="s">
        <v>1054</v>
      </c>
      <c r="B877" s="63" t="s">
        <v>163</v>
      </c>
      <c r="C877" s="63" t="s">
        <v>1048</v>
      </c>
      <c r="D877" s="24">
        <v>1.0E7</v>
      </c>
      <c r="E877" s="69">
        <v>0.9894281102</v>
      </c>
      <c r="F877" s="29">
        <v>9894281.1</v>
      </c>
      <c r="G877" s="23">
        <v>0.02</v>
      </c>
      <c r="H877" s="1"/>
      <c r="I877" s="1"/>
      <c r="J877" s="2"/>
      <c r="K877" s="2"/>
      <c r="L877" s="53"/>
      <c r="M877" s="12"/>
      <c r="N877" s="2"/>
      <c r="O877" s="2"/>
    </row>
    <row r="878" ht="15.75" customHeight="1">
      <c r="A878" s="1" t="s">
        <v>1055</v>
      </c>
      <c r="B878" s="63" t="s">
        <v>274</v>
      </c>
      <c r="C878" s="63" t="s">
        <v>1048</v>
      </c>
      <c r="D878" s="24">
        <v>1.0E7</v>
      </c>
      <c r="E878" s="69">
        <v>0.9612852388</v>
      </c>
      <c r="F878" s="23">
        <v>9612852.39</v>
      </c>
      <c r="G878" s="23">
        <v>0.02</v>
      </c>
      <c r="H878" s="1"/>
      <c r="I878" s="1"/>
      <c r="J878" s="2"/>
      <c r="K878" s="2"/>
      <c r="L878" s="53"/>
      <c r="M878" s="12"/>
      <c r="N878" s="2"/>
      <c r="O878" s="2"/>
    </row>
    <row r="879" ht="15.75" customHeight="1">
      <c r="A879" s="1" t="s">
        <v>1056</v>
      </c>
      <c r="B879" s="63" t="s">
        <v>187</v>
      </c>
      <c r="C879" s="63" t="s">
        <v>1048</v>
      </c>
      <c r="D879" s="24">
        <v>1.0E7</v>
      </c>
      <c r="E879" s="69">
        <v>0.9798658566</v>
      </c>
      <c r="F879" s="23">
        <v>9798658.57</v>
      </c>
      <c r="G879" s="23">
        <v>0.02</v>
      </c>
      <c r="H879" s="1"/>
      <c r="I879" s="1"/>
      <c r="J879" s="2"/>
      <c r="K879" s="2"/>
      <c r="L879" s="53"/>
      <c r="M879" s="12"/>
      <c r="N879" s="2"/>
      <c r="O879" s="2"/>
    </row>
    <row r="880" ht="15.75" customHeight="1">
      <c r="A880" s="1" t="s">
        <v>1057</v>
      </c>
      <c r="B880" s="63" t="s">
        <v>132</v>
      </c>
      <c r="C880" s="63" t="s">
        <v>1048</v>
      </c>
      <c r="D880" s="24">
        <v>1.0E7</v>
      </c>
      <c r="E880" s="69">
        <v>0.9751536217</v>
      </c>
      <c r="F880" s="23">
        <v>9751536.22</v>
      </c>
      <c r="G880" s="23">
        <v>0.02</v>
      </c>
      <c r="H880" s="1"/>
      <c r="I880" s="1"/>
      <c r="J880" s="2"/>
      <c r="K880" s="2"/>
      <c r="L880" s="53"/>
      <c r="M880" s="12"/>
      <c r="N880" s="2"/>
      <c r="O880" s="2"/>
    </row>
    <row r="881" ht="15.75" customHeight="1">
      <c r="A881" s="1" t="s">
        <v>1058</v>
      </c>
      <c r="B881" s="63" t="s">
        <v>341</v>
      </c>
      <c r="C881" s="63" t="s">
        <v>1048</v>
      </c>
      <c r="D881" s="23">
        <v>1718406.99</v>
      </c>
      <c r="E881" s="69">
        <v>0.9684266759</v>
      </c>
      <c r="F881" s="23">
        <v>1664151.17</v>
      </c>
      <c r="G881" s="24">
        <v>0.0</v>
      </c>
      <c r="H881" s="1"/>
      <c r="I881" s="1"/>
      <c r="J881" s="2"/>
      <c r="K881" s="2"/>
      <c r="L881" s="53"/>
      <c r="M881" s="12"/>
      <c r="N881" s="2"/>
      <c r="O881" s="2"/>
    </row>
    <row r="882" ht="15.75" customHeight="1">
      <c r="A882" s="1" t="s">
        <v>1059</v>
      </c>
      <c r="B882" s="63" t="s">
        <v>167</v>
      </c>
      <c r="C882" s="63" t="s">
        <v>1048</v>
      </c>
      <c r="D882" s="24">
        <v>4104000.0</v>
      </c>
      <c r="E882" s="69">
        <v>0.9675283187</v>
      </c>
      <c r="F882" s="23">
        <v>3970736.22</v>
      </c>
      <c r="G882" s="23">
        <v>0.01</v>
      </c>
      <c r="H882" s="1"/>
      <c r="I882" s="1"/>
      <c r="J882" s="2"/>
      <c r="K882" s="2"/>
      <c r="L882" s="53"/>
      <c r="M882" s="12"/>
      <c r="N882" s="2"/>
      <c r="O882" s="2"/>
    </row>
    <row r="883" ht="15.75" customHeight="1">
      <c r="A883" s="1" t="s">
        <v>1060</v>
      </c>
      <c r="B883" s="63" t="s">
        <v>335</v>
      </c>
      <c r="C883" s="63" t="s">
        <v>1048</v>
      </c>
      <c r="D883" s="24">
        <v>2000000.0</v>
      </c>
      <c r="E883" s="69">
        <v>0.9693268548</v>
      </c>
      <c r="F883" s="23">
        <v>1938653.71</v>
      </c>
      <c r="G883" s="24">
        <v>0.0</v>
      </c>
      <c r="H883" s="1"/>
      <c r="I883" s="1"/>
      <c r="J883" s="2"/>
      <c r="K883" s="2"/>
      <c r="L883" s="53"/>
      <c r="M883" s="12"/>
      <c r="N883" s="2"/>
      <c r="O883" s="2"/>
    </row>
    <row r="884" ht="15.75" customHeight="1">
      <c r="A884" s="1" t="s">
        <v>1061</v>
      </c>
      <c r="B884" s="63" t="s">
        <v>167</v>
      </c>
      <c r="C884" s="63" t="s">
        <v>1048</v>
      </c>
      <c r="D884" s="24">
        <v>5500000.0</v>
      </c>
      <c r="E884" s="69">
        <v>0.9675283214</v>
      </c>
      <c r="F884" s="23">
        <v>5321405.77</v>
      </c>
      <c r="G884" s="23">
        <v>0.01</v>
      </c>
      <c r="H884" s="1"/>
      <c r="I884" s="1"/>
      <c r="J884" s="2"/>
      <c r="K884" s="2"/>
      <c r="L884" s="53"/>
      <c r="M884" s="12"/>
      <c r="N884" s="2"/>
      <c r="O884" s="2"/>
    </row>
    <row r="885" ht="15.75" customHeight="1">
      <c r="A885" s="1" t="s">
        <v>1062</v>
      </c>
      <c r="B885" s="63" t="s">
        <v>335</v>
      </c>
      <c r="C885" s="63" t="s">
        <v>1048</v>
      </c>
      <c r="D885" s="24">
        <v>3.46128566E8</v>
      </c>
      <c r="E885" s="69">
        <v>0.9839866706</v>
      </c>
      <c r="F885" s="23">
        <v>3.4058589526E8</v>
      </c>
      <c r="G885" s="29">
        <v>0.7</v>
      </c>
      <c r="H885" s="1"/>
      <c r="I885" s="1"/>
      <c r="J885" s="2"/>
      <c r="K885" s="2"/>
      <c r="L885" s="53"/>
      <c r="M885" s="12"/>
      <c r="N885" s="2"/>
      <c r="O885" s="2"/>
    </row>
    <row r="886" ht="15.75" customHeight="1">
      <c r="A886" s="1" t="s">
        <v>1063</v>
      </c>
      <c r="B886" s="63" t="s">
        <v>1064</v>
      </c>
      <c r="C886" s="63" t="s">
        <v>1048</v>
      </c>
      <c r="D886" s="24">
        <v>1.5E7</v>
      </c>
      <c r="E886" s="69">
        <v>0.8611945633</v>
      </c>
      <c r="F886" s="23">
        <v>1.291791845E7</v>
      </c>
      <c r="G886" s="23">
        <v>0.03</v>
      </c>
      <c r="H886" s="1"/>
      <c r="I886" s="1"/>
      <c r="J886" s="2"/>
      <c r="K886" s="2"/>
      <c r="L886" s="53"/>
      <c r="M886" s="12"/>
      <c r="N886" s="2"/>
      <c r="O886" s="2"/>
    </row>
    <row r="887" ht="15.75" customHeight="1">
      <c r="A887" s="1" t="s">
        <v>1065</v>
      </c>
      <c r="B887" s="63" t="s">
        <v>1064</v>
      </c>
      <c r="C887" s="63" t="s">
        <v>1048</v>
      </c>
      <c r="D887" s="24">
        <v>1.5E7</v>
      </c>
      <c r="E887" s="69">
        <v>0.8611945633</v>
      </c>
      <c r="F887" s="23">
        <v>1.291791845E7</v>
      </c>
      <c r="G887" s="23">
        <v>0.03</v>
      </c>
      <c r="H887" s="1"/>
      <c r="I887" s="1"/>
      <c r="J887" s="2"/>
      <c r="K887" s="2"/>
      <c r="L887" s="53"/>
      <c r="M887" s="12"/>
      <c r="N887" s="2"/>
      <c r="O887" s="2"/>
    </row>
    <row r="888" ht="15.75" customHeight="1">
      <c r="A888" s="1" t="s">
        <v>1066</v>
      </c>
      <c r="B888" s="63" t="s">
        <v>74</v>
      </c>
      <c r="C888" s="63" t="s">
        <v>1048</v>
      </c>
      <c r="D888" s="24">
        <v>1.5E7</v>
      </c>
      <c r="E888" s="69">
        <v>0.8604433397</v>
      </c>
      <c r="F888" s="29">
        <v>1.29066501E7</v>
      </c>
      <c r="G888" s="23">
        <v>0.03</v>
      </c>
      <c r="H888" s="1"/>
      <c r="I888" s="1"/>
      <c r="J888" s="2"/>
      <c r="K888" s="2"/>
      <c r="L888" s="53"/>
      <c r="M888" s="12"/>
      <c r="N888" s="2"/>
      <c r="O888" s="2"/>
    </row>
    <row r="889" ht="15.75" customHeight="1">
      <c r="A889" s="1" t="s">
        <v>1067</v>
      </c>
      <c r="B889" s="63" t="s">
        <v>1068</v>
      </c>
      <c r="C889" s="63" t="s">
        <v>1048</v>
      </c>
      <c r="D889" s="24">
        <v>1.5E7</v>
      </c>
      <c r="E889" s="69">
        <v>0.8596934281</v>
      </c>
      <c r="F889" s="23">
        <v>1.289540142E7</v>
      </c>
      <c r="G889" s="23">
        <v>0.03</v>
      </c>
      <c r="H889" s="1"/>
      <c r="I889" s="1"/>
      <c r="J889" s="2"/>
      <c r="K889" s="2"/>
      <c r="L889" s="53"/>
      <c r="M889" s="12"/>
      <c r="N889" s="2"/>
      <c r="O889" s="2"/>
    </row>
    <row r="890" ht="15.75" customHeight="1">
      <c r="A890" s="1" t="s">
        <v>1069</v>
      </c>
      <c r="B890" s="63" t="s">
        <v>500</v>
      </c>
      <c r="C890" s="63" t="s">
        <v>1048</v>
      </c>
      <c r="D890" s="23">
        <v>1.710670417E7</v>
      </c>
      <c r="E890" s="69">
        <v>0.9317642909</v>
      </c>
      <c r="F890" s="23">
        <v>1.593941608E7</v>
      </c>
      <c r="G890" s="23">
        <v>0.03</v>
      </c>
      <c r="H890" s="1"/>
      <c r="I890" s="1"/>
      <c r="J890" s="2"/>
      <c r="K890" s="2"/>
      <c r="L890" s="53"/>
      <c r="M890" s="12"/>
      <c r="N890" s="2"/>
      <c r="O890" s="2"/>
    </row>
    <row r="891" ht="15.75" customHeight="1">
      <c r="A891" s="1" t="s">
        <v>1070</v>
      </c>
      <c r="B891" s="63" t="s">
        <v>454</v>
      </c>
      <c r="C891" s="63" t="s">
        <v>1048</v>
      </c>
      <c r="D891" s="23">
        <v>5448062.43</v>
      </c>
      <c r="E891" s="70">
        <v>0.894103946</v>
      </c>
      <c r="F891" s="23">
        <v>4871134.12</v>
      </c>
      <c r="G891" s="23">
        <v>0.01</v>
      </c>
      <c r="H891" s="1"/>
      <c r="I891" s="1"/>
      <c r="J891" s="2"/>
      <c r="K891" s="2"/>
      <c r="L891" s="53"/>
      <c r="M891" s="12"/>
      <c r="N891" s="2"/>
      <c r="O891" s="2"/>
    </row>
    <row r="892" ht="15.75" customHeight="1">
      <c r="A892" s="1" t="s">
        <v>1071</v>
      </c>
      <c r="B892" s="63" t="s">
        <v>473</v>
      </c>
      <c r="C892" s="63" t="s">
        <v>1048</v>
      </c>
      <c r="D892" s="23">
        <v>6500236.57</v>
      </c>
      <c r="E892" s="69">
        <v>0.9058195806</v>
      </c>
      <c r="F892" s="23">
        <v>5888041.56</v>
      </c>
      <c r="G892" s="23">
        <v>0.01</v>
      </c>
      <c r="H892" s="1"/>
      <c r="I892" s="1"/>
      <c r="J892" s="2"/>
      <c r="K892" s="2"/>
      <c r="L892" s="53"/>
      <c r="M892" s="12"/>
      <c r="N892" s="2"/>
      <c r="O892" s="2"/>
    </row>
    <row r="893" ht="15.75" customHeight="1">
      <c r="A893" s="1" t="s">
        <v>1072</v>
      </c>
      <c r="B893" s="63" t="s">
        <v>1073</v>
      </c>
      <c r="C893" s="63" t="s">
        <v>1048</v>
      </c>
      <c r="D893" s="23">
        <v>5448062.43</v>
      </c>
      <c r="E893" s="69">
        <v>0.8833923354</v>
      </c>
      <c r="F893" s="23">
        <v>4812776.59</v>
      </c>
      <c r="G893" s="23">
        <v>0.01</v>
      </c>
      <c r="H893" s="1"/>
      <c r="I893" s="1"/>
      <c r="J893" s="2"/>
      <c r="K893" s="2"/>
      <c r="L893" s="53"/>
      <c r="M893" s="12"/>
      <c r="N893" s="2"/>
      <c r="O893" s="2"/>
    </row>
    <row r="894" ht="15.75" customHeight="1">
      <c r="A894" s="1" t="s">
        <v>1074</v>
      </c>
      <c r="B894" s="63" t="s">
        <v>771</v>
      </c>
      <c r="C894" s="63" t="s">
        <v>1048</v>
      </c>
      <c r="D894" s="29">
        <v>7261808.2</v>
      </c>
      <c r="E894" s="69">
        <v>0.9132992927</v>
      </c>
      <c r="F894" s="23">
        <v>6632204.29</v>
      </c>
      <c r="G894" s="23">
        <v>0.01</v>
      </c>
      <c r="H894" s="1"/>
      <c r="I894" s="1"/>
      <c r="J894" s="2"/>
      <c r="K894" s="2"/>
      <c r="L894" s="53"/>
      <c r="M894" s="12"/>
      <c r="N894" s="2"/>
      <c r="O894" s="2"/>
    </row>
    <row r="895" ht="15.75" customHeight="1">
      <c r="A895" s="1" t="s">
        <v>1075</v>
      </c>
      <c r="B895" s="63" t="s">
        <v>500</v>
      </c>
      <c r="C895" s="63" t="s">
        <v>1048</v>
      </c>
      <c r="D895" s="23">
        <v>5134985.93</v>
      </c>
      <c r="E895" s="69">
        <v>0.9317642909</v>
      </c>
      <c r="F895" s="23">
        <v>4784596.52</v>
      </c>
      <c r="G895" s="23">
        <v>0.01</v>
      </c>
      <c r="H895" s="1"/>
      <c r="I895" s="1"/>
      <c r="J895" s="2"/>
      <c r="K895" s="2"/>
      <c r="L895" s="53"/>
      <c r="M895" s="12"/>
      <c r="N895" s="2"/>
      <c r="O895" s="2"/>
    </row>
    <row r="896" ht="15.75" customHeight="1">
      <c r="A896" s="1" t="s">
        <v>1076</v>
      </c>
      <c r="B896" s="63" t="s">
        <v>419</v>
      </c>
      <c r="C896" s="63" t="s">
        <v>1048</v>
      </c>
      <c r="D896" s="23">
        <v>5134985.93</v>
      </c>
      <c r="E896" s="70">
        <v>0.914053894</v>
      </c>
      <c r="F896" s="23">
        <v>4693653.88</v>
      </c>
      <c r="G896" s="23">
        <v>0.01</v>
      </c>
      <c r="H896" s="1"/>
      <c r="I896" s="1"/>
      <c r="J896" s="2"/>
      <c r="K896" s="2"/>
      <c r="L896" s="53"/>
      <c r="M896" s="12"/>
      <c r="N896" s="2"/>
      <c r="O896" s="2"/>
    </row>
    <row r="897" ht="15.75" customHeight="1">
      <c r="A897" s="1" t="s">
        <v>1077</v>
      </c>
      <c r="B897" s="63" t="s">
        <v>382</v>
      </c>
      <c r="C897" s="63" t="s">
        <v>1048</v>
      </c>
      <c r="D897" s="23">
        <v>3772034.12</v>
      </c>
      <c r="E897" s="69">
        <v>0.9239805764</v>
      </c>
      <c r="F897" s="23">
        <v>3485286.26</v>
      </c>
      <c r="G897" s="23">
        <v>0.01</v>
      </c>
      <c r="H897" s="1"/>
      <c r="I897" s="1"/>
      <c r="J897" s="2"/>
      <c r="K897" s="2"/>
      <c r="L897" s="53"/>
      <c r="M897" s="12"/>
      <c r="N897" s="2"/>
      <c r="O897" s="2"/>
    </row>
    <row r="898" ht="15.75" customHeight="1">
      <c r="A898" s="1" t="s">
        <v>1078</v>
      </c>
      <c r="B898" s="63" t="s">
        <v>1079</v>
      </c>
      <c r="C898" s="63" t="s">
        <v>1048</v>
      </c>
      <c r="D898" s="29">
        <v>1655023.2</v>
      </c>
      <c r="E898" s="69">
        <v>0.8999237346</v>
      </c>
      <c r="F898" s="23">
        <v>1489394.66</v>
      </c>
      <c r="G898" s="24">
        <v>0.0</v>
      </c>
      <c r="H898" s="1"/>
      <c r="I898" s="1"/>
      <c r="J898" s="2"/>
      <c r="K898" s="2"/>
      <c r="L898" s="53"/>
      <c r="M898" s="12"/>
      <c r="N898" s="2"/>
      <c r="O898" s="2"/>
    </row>
    <row r="899" ht="15.75" customHeight="1">
      <c r="A899" s="1" t="s">
        <v>1080</v>
      </c>
      <c r="B899" s="63" t="s">
        <v>1079</v>
      </c>
      <c r="C899" s="63" t="s">
        <v>1048</v>
      </c>
      <c r="D899" s="23">
        <v>3772034.12</v>
      </c>
      <c r="E899" s="69">
        <v>0.8999237401</v>
      </c>
      <c r="F899" s="23">
        <v>3394543.05</v>
      </c>
      <c r="G899" s="23">
        <v>0.01</v>
      </c>
      <c r="H899" s="1"/>
      <c r="I899" s="1"/>
      <c r="J899" s="2"/>
      <c r="K899" s="2"/>
      <c r="L899" s="53"/>
      <c r="M899" s="12"/>
      <c r="N899" s="2"/>
      <c r="O899" s="2"/>
    </row>
    <row r="900" ht="15.75" customHeight="1">
      <c r="A900" s="1" t="s">
        <v>1081</v>
      </c>
      <c r="B900" s="63" t="s">
        <v>771</v>
      </c>
      <c r="C900" s="63" t="s">
        <v>1048</v>
      </c>
      <c r="D900" s="24">
        <v>7190687.0</v>
      </c>
      <c r="E900" s="69">
        <v>0.9132992951</v>
      </c>
      <c r="F900" s="23">
        <v>6567249.37</v>
      </c>
      <c r="G900" s="23">
        <v>0.01</v>
      </c>
      <c r="H900" s="1"/>
      <c r="I900" s="1"/>
      <c r="J900" s="2"/>
      <c r="K900" s="2"/>
      <c r="L900" s="53"/>
      <c r="M900" s="12"/>
      <c r="N900" s="2"/>
      <c r="O900" s="2"/>
    </row>
    <row r="901" ht="15.75" customHeight="1">
      <c r="A901" s="1" t="s">
        <v>1082</v>
      </c>
      <c r="B901" s="63" t="s">
        <v>378</v>
      </c>
      <c r="C901" s="63" t="s">
        <v>1048</v>
      </c>
      <c r="D901" s="23">
        <v>6625114.52</v>
      </c>
      <c r="E901" s="69">
        <v>0.9309799618</v>
      </c>
      <c r="F901" s="23">
        <v>6167848.86</v>
      </c>
      <c r="G901" s="23">
        <v>0.01</v>
      </c>
      <c r="H901" s="1"/>
      <c r="I901" s="1"/>
      <c r="J901" s="2"/>
      <c r="K901" s="2"/>
      <c r="L901" s="53"/>
      <c r="M901" s="12"/>
      <c r="N901" s="2"/>
      <c r="O901" s="2"/>
    </row>
    <row r="902" ht="15.75" customHeight="1">
      <c r="A902" s="1" t="s">
        <v>1083</v>
      </c>
      <c r="B902" s="63" t="s">
        <v>341</v>
      </c>
      <c r="C902" s="63" t="s">
        <v>1084</v>
      </c>
      <c r="D902" s="24">
        <v>2.0E7</v>
      </c>
      <c r="E902" s="69">
        <v>0.9658129582</v>
      </c>
      <c r="F902" s="23">
        <v>1.931625916E7</v>
      </c>
      <c r="G902" s="23">
        <v>0.04</v>
      </c>
      <c r="H902" s="1"/>
      <c r="I902" s="1"/>
      <c r="J902" s="2"/>
      <c r="K902" s="2"/>
      <c r="L902" s="53"/>
      <c r="M902" s="12"/>
      <c r="N902" s="2"/>
      <c r="O902" s="2"/>
    </row>
    <row r="903" ht="15.75" customHeight="1">
      <c r="A903" s="1" t="s">
        <v>1085</v>
      </c>
      <c r="B903" s="63" t="s">
        <v>301</v>
      </c>
      <c r="C903" s="63" t="s">
        <v>1084</v>
      </c>
      <c r="D903" s="24">
        <v>1.0E7</v>
      </c>
      <c r="E903" s="69">
        <v>0.9550974441</v>
      </c>
      <c r="F903" s="23">
        <v>9550974.44</v>
      </c>
      <c r="G903" s="23">
        <v>0.02</v>
      </c>
      <c r="H903" s="1"/>
      <c r="I903" s="1"/>
      <c r="J903" s="2"/>
      <c r="K903" s="2"/>
      <c r="L903" s="53"/>
      <c r="M903" s="12"/>
      <c r="N903" s="2"/>
      <c r="O903" s="2"/>
    </row>
    <row r="904" ht="15.75" customHeight="1">
      <c r="A904" s="1" t="s">
        <v>1086</v>
      </c>
      <c r="B904" s="63" t="s">
        <v>113</v>
      </c>
      <c r="C904" s="63" t="s">
        <v>1084</v>
      </c>
      <c r="D904" s="24">
        <v>1.0E7</v>
      </c>
      <c r="E904" s="68">
        <v>0.94935898</v>
      </c>
      <c r="F904" s="29">
        <v>9493589.8</v>
      </c>
      <c r="G904" s="23">
        <v>0.02</v>
      </c>
      <c r="H904" s="1"/>
      <c r="I904" s="1"/>
      <c r="J904" s="2"/>
      <c r="K904" s="2"/>
      <c r="L904" s="53"/>
      <c r="M904" s="12"/>
      <c r="N904" s="2"/>
      <c r="O904" s="2"/>
    </row>
    <row r="905" ht="15.75" customHeight="1">
      <c r="A905" s="1" t="s">
        <v>1087</v>
      </c>
      <c r="B905" s="63" t="s">
        <v>335</v>
      </c>
      <c r="C905" s="63" t="s">
        <v>1084</v>
      </c>
      <c r="D905" s="24">
        <v>1.0E8</v>
      </c>
      <c r="E905" s="69">
        <v>0.9744508099</v>
      </c>
      <c r="F905" s="23">
        <v>9.744508099E7</v>
      </c>
      <c r="G905" s="29">
        <v>0.2</v>
      </c>
      <c r="H905" s="1"/>
      <c r="I905" s="1"/>
      <c r="J905" s="2"/>
      <c r="K905" s="2"/>
      <c r="L905" s="53"/>
      <c r="M905" s="12"/>
      <c r="N905" s="2"/>
      <c r="O905" s="2"/>
    </row>
    <row r="906" ht="15.75" customHeight="1">
      <c r="A906" s="1" t="s">
        <v>1088</v>
      </c>
      <c r="B906" s="63" t="s">
        <v>341</v>
      </c>
      <c r="C906" s="63" t="s">
        <v>1084</v>
      </c>
      <c r="D906" s="24">
        <v>1.0E8</v>
      </c>
      <c r="E906" s="69">
        <v>0.9736969148</v>
      </c>
      <c r="F906" s="23">
        <v>9.736969148E7</v>
      </c>
      <c r="G906" s="29">
        <v>0.2</v>
      </c>
      <c r="H906" s="1"/>
      <c r="I906" s="1"/>
      <c r="J906" s="2"/>
      <c r="K906" s="2"/>
      <c r="L906" s="53"/>
      <c r="M906" s="12"/>
      <c r="N906" s="2"/>
      <c r="O906" s="2"/>
    </row>
    <row r="907" ht="15.75" customHeight="1">
      <c r="A907" s="1" t="s">
        <v>1089</v>
      </c>
      <c r="B907" s="63" t="s">
        <v>549</v>
      </c>
      <c r="C907" s="63" t="s">
        <v>1084</v>
      </c>
      <c r="D907" s="24">
        <v>1.0E8</v>
      </c>
      <c r="E907" s="69">
        <v>0.9706931051</v>
      </c>
      <c r="F907" s="23">
        <v>9.706931051E7</v>
      </c>
      <c r="G907" s="29">
        <v>0.2</v>
      </c>
      <c r="H907" s="1"/>
      <c r="I907" s="1"/>
      <c r="J907" s="2"/>
      <c r="K907" s="2"/>
      <c r="L907" s="53"/>
      <c r="M907" s="12"/>
      <c r="N907" s="2"/>
      <c r="O907" s="2"/>
    </row>
    <row r="908" ht="15.75" customHeight="1">
      <c r="A908" s="1" t="s">
        <v>1090</v>
      </c>
      <c r="B908" s="63" t="s">
        <v>219</v>
      </c>
      <c r="C908" s="63" t="s">
        <v>1084</v>
      </c>
      <c r="D908" s="24">
        <v>1.0E8</v>
      </c>
      <c r="E908" s="69">
        <v>0.9699450072</v>
      </c>
      <c r="F908" s="23">
        <v>9.699450072E7</v>
      </c>
      <c r="G908" s="29">
        <v>0.2</v>
      </c>
      <c r="H908" s="1"/>
      <c r="I908" s="1"/>
      <c r="J908" s="2"/>
      <c r="K908" s="2"/>
      <c r="L908" s="53"/>
      <c r="M908" s="12"/>
      <c r="N908" s="2"/>
      <c r="O908" s="2"/>
    </row>
    <row r="909" ht="15.75" customHeight="1">
      <c r="A909" s="1" t="s">
        <v>1091</v>
      </c>
      <c r="B909" s="63" t="s">
        <v>157</v>
      </c>
      <c r="C909" s="63" t="s">
        <v>1084</v>
      </c>
      <c r="D909" s="24">
        <v>1.0E8</v>
      </c>
      <c r="E909" s="69">
        <v>0.9677077689</v>
      </c>
      <c r="F909" s="23">
        <v>9.677077689E7</v>
      </c>
      <c r="G909" s="29">
        <v>0.2</v>
      </c>
      <c r="H909" s="1"/>
      <c r="I909" s="1"/>
      <c r="J909" s="2"/>
      <c r="K909" s="2"/>
      <c r="L909" s="53"/>
      <c r="M909" s="12"/>
      <c r="N909" s="2"/>
      <c r="O909" s="2"/>
    </row>
    <row r="910" ht="15.75" customHeight="1">
      <c r="A910" s="1" t="s">
        <v>1092</v>
      </c>
      <c r="B910" s="63" t="s">
        <v>182</v>
      </c>
      <c r="C910" s="63" t="s">
        <v>1084</v>
      </c>
      <c r="D910" s="24">
        <v>1.0E8</v>
      </c>
      <c r="E910" s="69">
        <v>0.9812883359</v>
      </c>
      <c r="F910" s="23">
        <v>9.812883359E7</v>
      </c>
      <c r="G910" s="29">
        <v>0.2</v>
      </c>
      <c r="H910" s="1"/>
      <c r="I910" s="1"/>
      <c r="J910" s="2"/>
      <c r="K910" s="2"/>
      <c r="L910" s="53"/>
      <c r="M910" s="12"/>
      <c r="N910" s="2"/>
      <c r="O910" s="2"/>
    </row>
    <row r="911" ht="15.75" customHeight="1">
      <c r="A911" s="1" t="s">
        <v>1093</v>
      </c>
      <c r="B911" s="63" t="s">
        <v>187</v>
      </c>
      <c r="C911" s="63" t="s">
        <v>1084</v>
      </c>
      <c r="D911" s="24">
        <v>1.0E8</v>
      </c>
      <c r="E911" s="69">
        <v>0.9805239594</v>
      </c>
      <c r="F911" s="23">
        <v>9.805239594E7</v>
      </c>
      <c r="G911" s="29">
        <v>0.2</v>
      </c>
      <c r="H911" s="1"/>
      <c r="I911" s="1"/>
      <c r="J911" s="2"/>
      <c r="K911" s="2"/>
      <c r="L911" s="53"/>
      <c r="M911" s="12"/>
      <c r="N911" s="2"/>
      <c r="O911" s="2"/>
    </row>
    <row r="912" ht="15.75" customHeight="1">
      <c r="A912" s="1" t="s">
        <v>1094</v>
      </c>
      <c r="B912" s="63" t="s">
        <v>150</v>
      </c>
      <c r="C912" s="63" t="s">
        <v>1084</v>
      </c>
      <c r="D912" s="24">
        <v>1.0E8</v>
      </c>
      <c r="E912" s="69">
        <v>0.9789985215</v>
      </c>
      <c r="F912" s="23">
        <v>9.789985215E7</v>
      </c>
      <c r="G912" s="29">
        <v>0.2</v>
      </c>
      <c r="H912" s="1"/>
      <c r="I912" s="1"/>
      <c r="J912" s="2"/>
      <c r="K912" s="2"/>
      <c r="L912" s="53"/>
      <c r="M912" s="12"/>
      <c r="N912" s="2"/>
      <c r="O912" s="2"/>
    </row>
    <row r="913" ht="15.75" customHeight="1">
      <c r="A913" s="1" t="s">
        <v>1095</v>
      </c>
      <c r="B913" s="63" t="s">
        <v>132</v>
      </c>
      <c r="C913" s="63" t="s">
        <v>1084</v>
      </c>
      <c r="D913" s="24">
        <v>1.0E8</v>
      </c>
      <c r="E913" s="69">
        <v>0.9759619646</v>
      </c>
      <c r="F913" s="23">
        <v>9.759619646E7</v>
      </c>
      <c r="G913" s="29">
        <v>0.2</v>
      </c>
      <c r="H913" s="1"/>
      <c r="I913" s="1"/>
      <c r="J913" s="2"/>
      <c r="K913" s="2"/>
      <c r="L913" s="53"/>
      <c r="M913" s="12"/>
      <c r="N913" s="2"/>
      <c r="O913" s="2"/>
    </row>
    <row r="914" ht="15.75" customHeight="1">
      <c r="A914" s="1" t="s">
        <v>1096</v>
      </c>
      <c r="B914" s="63" t="s">
        <v>247</v>
      </c>
      <c r="C914" s="63" t="s">
        <v>1084</v>
      </c>
      <c r="D914" s="24">
        <v>1.0E8</v>
      </c>
      <c r="E914" s="69">
        <v>0.9691982158</v>
      </c>
      <c r="F914" s="23">
        <v>9.691982158E7</v>
      </c>
      <c r="G914" s="29">
        <v>0.2</v>
      </c>
      <c r="H914" s="1"/>
      <c r="I914" s="1"/>
      <c r="J914" s="2"/>
      <c r="K914" s="2"/>
      <c r="L914" s="53"/>
      <c r="M914" s="12"/>
      <c r="N914" s="2"/>
      <c r="O914" s="2"/>
    </row>
    <row r="915" ht="15.75" customHeight="1">
      <c r="A915" s="1" t="s">
        <v>1097</v>
      </c>
      <c r="B915" s="63" t="s">
        <v>1098</v>
      </c>
      <c r="C915" s="63" t="s">
        <v>1084</v>
      </c>
      <c r="D915" s="24">
        <v>1.5E7</v>
      </c>
      <c r="E915" s="69">
        <v>0.8515305721</v>
      </c>
      <c r="F915" s="23">
        <v>1.277295858E7</v>
      </c>
      <c r="G915" s="23">
        <v>0.03</v>
      </c>
      <c r="H915" s="1"/>
      <c r="I915" s="1"/>
      <c r="J915" s="2"/>
      <c r="K915" s="2"/>
      <c r="L915" s="53"/>
      <c r="M915" s="12"/>
      <c r="N915" s="2"/>
      <c r="O915" s="2"/>
    </row>
    <row r="916" ht="15.75" customHeight="1">
      <c r="A916" s="1" t="s">
        <v>1099</v>
      </c>
      <c r="B916" s="63" t="s">
        <v>204</v>
      </c>
      <c r="C916" s="63" t="s">
        <v>1084</v>
      </c>
      <c r="D916" s="24">
        <v>5.0E7</v>
      </c>
      <c r="E916" s="69">
        <v>0.9477319482</v>
      </c>
      <c r="F916" s="23">
        <v>4.738659741E7</v>
      </c>
      <c r="G916" s="29">
        <v>0.1</v>
      </c>
      <c r="H916" s="1"/>
      <c r="I916" s="1"/>
      <c r="J916" s="2"/>
      <c r="K916" s="2"/>
      <c r="L916" s="53"/>
      <c r="M916" s="12"/>
      <c r="N916" s="2"/>
      <c r="O916" s="2"/>
    </row>
    <row r="917" ht="15.75" customHeight="1">
      <c r="A917" s="1" t="s">
        <v>1100</v>
      </c>
      <c r="B917" s="63" t="s">
        <v>400</v>
      </c>
      <c r="C917" s="63" t="s">
        <v>1084</v>
      </c>
      <c r="D917" s="24">
        <v>2200000.0</v>
      </c>
      <c r="E917" s="70">
        <v>0.964256564</v>
      </c>
      <c r="F917" s="23">
        <v>2121364.44</v>
      </c>
      <c r="G917" s="24">
        <v>0.0</v>
      </c>
      <c r="H917" s="1"/>
      <c r="I917" s="1"/>
      <c r="J917" s="2"/>
      <c r="K917" s="2"/>
      <c r="L917" s="53"/>
      <c r="M917" s="12"/>
      <c r="N917" s="2"/>
      <c r="O917" s="2"/>
    </row>
    <row r="918" ht="15.75" customHeight="1">
      <c r="A918" s="1" t="s">
        <v>1101</v>
      </c>
      <c r="B918" s="63" t="s">
        <v>301</v>
      </c>
      <c r="C918" s="63" t="s">
        <v>1084</v>
      </c>
      <c r="D918" s="24">
        <v>2200000.0</v>
      </c>
      <c r="E918" s="69">
        <v>0.9550974415</v>
      </c>
      <c r="F918" s="23">
        <v>2101214.37</v>
      </c>
      <c r="G918" s="24">
        <v>0.0</v>
      </c>
      <c r="H918" s="1"/>
      <c r="I918" s="1"/>
      <c r="J918" s="2"/>
      <c r="K918" s="2"/>
      <c r="L918" s="53"/>
      <c r="M918" s="12"/>
      <c r="N918" s="2"/>
      <c r="O918" s="2"/>
    </row>
    <row r="919" ht="15.75" customHeight="1">
      <c r="A919" s="1" t="s">
        <v>1102</v>
      </c>
      <c r="B919" s="63" t="s">
        <v>285</v>
      </c>
      <c r="C919" s="63" t="s">
        <v>1084</v>
      </c>
      <c r="D919" s="24">
        <v>2200000.0</v>
      </c>
      <c r="E919" s="69">
        <v>0.9469207224</v>
      </c>
      <c r="F919" s="23">
        <v>2083225.59</v>
      </c>
      <c r="G919" s="24">
        <v>0.0</v>
      </c>
      <c r="H919" s="1"/>
      <c r="I919" s="1"/>
      <c r="J919" s="2"/>
      <c r="K919" s="2"/>
      <c r="L919" s="53"/>
      <c r="M919" s="12"/>
      <c r="N919" s="2"/>
      <c r="O919" s="2"/>
    </row>
    <row r="920" ht="15.75" customHeight="1">
      <c r="A920" s="1" t="s">
        <v>1103</v>
      </c>
      <c r="B920" s="63" t="s">
        <v>328</v>
      </c>
      <c r="C920" s="63" t="s">
        <v>1084</v>
      </c>
      <c r="D920" s="24">
        <v>2200000.0</v>
      </c>
      <c r="E920" s="69">
        <v>0.9534509002</v>
      </c>
      <c r="F920" s="23">
        <v>2097591.98</v>
      </c>
      <c r="G920" s="24">
        <v>0.0</v>
      </c>
      <c r="H920" s="1"/>
      <c r="I920" s="1"/>
      <c r="J920" s="2"/>
      <c r="K920" s="2"/>
      <c r="L920" s="53"/>
      <c r="M920" s="12"/>
      <c r="N920" s="2"/>
      <c r="O920" s="2"/>
    </row>
    <row r="921" ht="15.75" customHeight="1">
      <c r="A921" s="1" t="s">
        <v>1104</v>
      </c>
      <c r="B921" s="63" t="s">
        <v>506</v>
      </c>
      <c r="C921" s="63" t="s">
        <v>1084</v>
      </c>
      <c r="D921" s="24">
        <v>2200000.0</v>
      </c>
      <c r="E921" s="69">
        <v>0.9526296497</v>
      </c>
      <c r="F921" s="23">
        <v>2095785.23</v>
      </c>
      <c r="G921" s="24">
        <v>0.0</v>
      </c>
      <c r="H921" s="1"/>
      <c r="I921" s="1"/>
      <c r="J921" s="2"/>
      <c r="K921" s="2"/>
      <c r="L921" s="53"/>
      <c r="M921" s="12"/>
      <c r="N921" s="2"/>
      <c r="O921" s="2"/>
    </row>
    <row r="922" ht="15.75" customHeight="1">
      <c r="A922" s="1" t="s">
        <v>1105</v>
      </c>
      <c r="B922" s="63" t="s">
        <v>108</v>
      </c>
      <c r="C922" s="63" t="s">
        <v>1084</v>
      </c>
      <c r="D922" s="24">
        <v>2200000.0</v>
      </c>
      <c r="E922" s="69">
        <v>0.9518098271</v>
      </c>
      <c r="F922" s="23">
        <v>2093981.62</v>
      </c>
      <c r="G922" s="24">
        <v>0.0</v>
      </c>
      <c r="H922" s="1"/>
      <c r="I922" s="1"/>
      <c r="J922" s="2"/>
      <c r="K922" s="2"/>
      <c r="L922" s="53"/>
      <c r="M922" s="12"/>
      <c r="N922" s="2"/>
      <c r="O922" s="2"/>
    </row>
    <row r="923" ht="15.75" customHeight="1">
      <c r="A923" s="1" t="s">
        <v>1106</v>
      </c>
      <c r="B923" s="63" t="s">
        <v>113</v>
      </c>
      <c r="C923" s="63" t="s">
        <v>1084</v>
      </c>
      <c r="D923" s="24">
        <v>2200000.0</v>
      </c>
      <c r="E923" s="69">
        <v>0.9493589815</v>
      </c>
      <c r="F923" s="23">
        <v>2088589.76</v>
      </c>
      <c r="G923" s="24">
        <v>0.0</v>
      </c>
      <c r="H923" s="1"/>
      <c r="I923" s="1"/>
      <c r="J923" s="2"/>
      <c r="K923" s="2"/>
      <c r="L923" s="53"/>
      <c r="M923" s="12"/>
      <c r="N923" s="2"/>
      <c r="O923" s="2"/>
    </row>
    <row r="924" ht="15.75" customHeight="1">
      <c r="A924" s="1" t="s">
        <v>1107</v>
      </c>
      <c r="B924" s="63" t="s">
        <v>146</v>
      </c>
      <c r="C924" s="63" t="s">
        <v>1084</v>
      </c>
      <c r="D924" s="24">
        <v>2200000.0</v>
      </c>
      <c r="E924" s="69">
        <v>0.9485447592</v>
      </c>
      <c r="F924" s="23">
        <v>2086798.47</v>
      </c>
      <c r="G924" s="24">
        <v>0.0</v>
      </c>
      <c r="H924" s="1"/>
      <c r="I924" s="1"/>
      <c r="J924" s="2"/>
      <c r="K924" s="2"/>
      <c r="L924" s="53"/>
      <c r="M924" s="12"/>
      <c r="N924" s="2"/>
      <c r="O924" s="2"/>
    </row>
    <row r="925" ht="15.75" customHeight="1">
      <c r="A925" s="1" t="s">
        <v>1108</v>
      </c>
      <c r="B925" s="63" t="s">
        <v>204</v>
      </c>
      <c r="C925" s="63" t="s">
        <v>1084</v>
      </c>
      <c r="D925" s="24">
        <v>2200000.0</v>
      </c>
      <c r="E925" s="69">
        <v>0.9477319452</v>
      </c>
      <c r="F925" s="23">
        <v>2085010.28</v>
      </c>
      <c r="G925" s="24">
        <v>0.0</v>
      </c>
      <c r="H925" s="1"/>
      <c r="I925" s="1"/>
      <c r="J925" s="2"/>
      <c r="K925" s="2"/>
      <c r="L925" s="53"/>
      <c r="M925" s="12"/>
      <c r="N925" s="2"/>
      <c r="O925" s="2"/>
    </row>
    <row r="926" ht="15.75" customHeight="1">
      <c r="A926" s="1" t="s">
        <v>1109</v>
      </c>
      <c r="B926" s="63" t="s">
        <v>247</v>
      </c>
      <c r="C926" s="63" t="s">
        <v>1084</v>
      </c>
      <c r="D926" s="24">
        <v>2000000.0</v>
      </c>
      <c r="E926" s="69">
        <v>0.9650979849</v>
      </c>
      <c r="F926" s="23">
        <v>1930195.97</v>
      </c>
      <c r="G926" s="24">
        <v>0.0</v>
      </c>
      <c r="H926" s="1"/>
      <c r="I926" s="1"/>
      <c r="J926" s="2"/>
      <c r="K926" s="2"/>
      <c r="L926" s="53"/>
      <c r="M926" s="12"/>
      <c r="N926" s="2"/>
      <c r="O926" s="2"/>
    </row>
    <row r="927" ht="15.75" customHeight="1">
      <c r="A927" s="1" t="s">
        <v>1110</v>
      </c>
      <c r="B927" s="63" t="s">
        <v>157</v>
      </c>
      <c r="C927" s="63" t="s">
        <v>1084</v>
      </c>
      <c r="D927" s="24">
        <v>2200000.0</v>
      </c>
      <c r="E927" s="69">
        <v>0.9634166135</v>
      </c>
      <c r="F927" s="23">
        <v>2119516.55</v>
      </c>
      <c r="G927" s="24">
        <v>0.0</v>
      </c>
      <c r="H927" s="1"/>
      <c r="I927" s="1"/>
      <c r="J927" s="2"/>
      <c r="K927" s="2"/>
      <c r="L927" s="53"/>
      <c r="M927" s="12"/>
      <c r="N927" s="2"/>
      <c r="O927" s="2"/>
    </row>
    <row r="928" ht="15.75" customHeight="1">
      <c r="A928" s="1" t="s">
        <v>1111</v>
      </c>
      <c r="B928" s="63" t="s">
        <v>161</v>
      </c>
      <c r="C928" s="63" t="s">
        <v>1084</v>
      </c>
      <c r="D928" s="24">
        <v>2200000.0</v>
      </c>
      <c r="E928" s="69">
        <v>0.9600715822</v>
      </c>
      <c r="F928" s="23">
        <v>2112157.48</v>
      </c>
      <c r="G928" s="24">
        <v>0.0</v>
      </c>
      <c r="H928" s="1"/>
      <c r="I928" s="1"/>
      <c r="J928" s="2"/>
      <c r="K928" s="2"/>
      <c r="L928" s="53"/>
      <c r="M928" s="12"/>
      <c r="N928" s="2"/>
      <c r="O928" s="2"/>
    </row>
    <row r="929" ht="15.75" customHeight="1">
      <c r="A929" s="1" t="s">
        <v>1112</v>
      </c>
      <c r="B929" s="63" t="s">
        <v>143</v>
      </c>
      <c r="C929" s="63" t="s">
        <v>1084</v>
      </c>
      <c r="D929" s="24">
        <v>2200000.0</v>
      </c>
      <c r="E929" s="69">
        <v>0.9592390868</v>
      </c>
      <c r="F929" s="23">
        <v>2110325.99</v>
      </c>
      <c r="G929" s="24">
        <v>0.0</v>
      </c>
      <c r="H929" s="1"/>
      <c r="I929" s="1"/>
      <c r="J929" s="2"/>
      <c r="K929" s="2"/>
      <c r="L929" s="53"/>
      <c r="M929" s="12"/>
      <c r="N929" s="2"/>
      <c r="O929" s="2"/>
    </row>
    <row r="930" ht="15.75" customHeight="1">
      <c r="A930" s="1" t="s">
        <v>1113</v>
      </c>
      <c r="B930" s="63" t="s">
        <v>297</v>
      </c>
      <c r="C930" s="63" t="s">
        <v>1084</v>
      </c>
      <c r="D930" s="24">
        <v>2200000.0</v>
      </c>
      <c r="E930" s="69">
        <v>0.9584078547</v>
      </c>
      <c r="F930" s="23">
        <v>2108497.28</v>
      </c>
      <c r="G930" s="24">
        <v>0.0</v>
      </c>
      <c r="H930" s="1"/>
      <c r="I930" s="1"/>
      <c r="J930" s="2"/>
      <c r="K930" s="2"/>
      <c r="L930" s="53"/>
      <c r="M930" s="12"/>
      <c r="N930" s="2"/>
      <c r="O930" s="2"/>
    </row>
    <row r="931" ht="15.75" customHeight="1">
      <c r="A931" s="1" t="s">
        <v>1114</v>
      </c>
      <c r="B931" s="63" t="s">
        <v>274</v>
      </c>
      <c r="C931" s="63" t="s">
        <v>1084</v>
      </c>
      <c r="D931" s="24">
        <v>2200000.0</v>
      </c>
      <c r="E931" s="69">
        <v>0.9575780501</v>
      </c>
      <c r="F931" s="23">
        <v>2106671.71</v>
      </c>
      <c r="G931" s="24">
        <v>0.0</v>
      </c>
      <c r="H931" s="1"/>
      <c r="I931" s="1"/>
      <c r="J931" s="2"/>
      <c r="K931" s="2"/>
      <c r="L931" s="53"/>
      <c r="M931" s="12"/>
      <c r="N931" s="2"/>
      <c r="O931" s="2"/>
    </row>
    <row r="932" ht="15.75" customHeight="1">
      <c r="A932" s="1" t="s">
        <v>1115</v>
      </c>
      <c r="B932" s="63" t="s">
        <v>223</v>
      </c>
      <c r="C932" s="63" t="s">
        <v>1084</v>
      </c>
      <c r="D932" s="24">
        <v>2200000.0</v>
      </c>
      <c r="E932" s="69">
        <v>0.9542733685</v>
      </c>
      <c r="F932" s="23">
        <v>2099401.41</v>
      </c>
      <c r="G932" s="24">
        <v>0.0</v>
      </c>
      <c r="H932" s="1"/>
      <c r="I932" s="1"/>
      <c r="J932" s="2"/>
      <c r="K932" s="2"/>
      <c r="L932" s="53"/>
      <c r="M932" s="12"/>
      <c r="N932" s="2"/>
      <c r="O932" s="2"/>
    </row>
    <row r="933" ht="15.75" customHeight="1">
      <c r="A933" s="1" t="s">
        <v>1116</v>
      </c>
      <c r="B933" s="63" t="s">
        <v>400</v>
      </c>
      <c r="C933" s="63" t="s">
        <v>1084</v>
      </c>
      <c r="D933" s="24">
        <v>3.1E7</v>
      </c>
      <c r="E933" s="68">
        <v>0.98018159</v>
      </c>
      <c r="F933" s="23">
        <v>3.038562929E7</v>
      </c>
      <c r="G933" s="23">
        <v>0.06</v>
      </c>
      <c r="H933" s="1"/>
      <c r="I933" s="1"/>
      <c r="J933" s="2"/>
      <c r="K933" s="2"/>
      <c r="L933" s="53"/>
      <c r="M933" s="12"/>
      <c r="N933" s="2"/>
      <c r="O933" s="2"/>
    </row>
    <row r="934" ht="15.75" customHeight="1">
      <c r="A934" s="1" t="s">
        <v>1117</v>
      </c>
      <c r="B934" s="63" t="s">
        <v>209</v>
      </c>
      <c r="C934" s="63" t="s">
        <v>1118</v>
      </c>
      <c r="D934" s="24">
        <v>3.19651714E8</v>
      </c>
      <c r="E934" s="69">
        <v>0.9972677883</v>
      </c>
      <c r="F934" s="23">
        <v>3.1877835785E8</v>
      </c>
      <c r="G934" s="23">
        <v>0.65</v>
      </c>
      <c r="H934" s="1"/>
      <c r="I934" s="1"/>
      <c r="J934" s="2"/>
      <c r="K934" s="2"/>
      <c r="L934" s="53"/>
      <c r="M934" s="12"/>
      <c r="N934" s="2"/>
      <c r="O934" s="2"/>
    </row>
    <row r="935" ht="15.75" customHeight="1">
      <c r="A935" s="1" t="s">
        <v>1119</v>
      </c>
      <c r="B935" s="63" t="s">
        <v>337</v>
      </c>
      <c r="C935" s="63" t="s">
        <v>1118</v>
      </c>
      <c r="D935" s="24">
        <v>1.0E7</v>
      </c>
      <c r="E935" s="69">
        <v>0.9441283214</v>
      </c>
      <c r="F935" s="23">
        <v>9441283.21</v>
      </c>
      <c r="G935" s="23">
        <v>0.02</v>
      </c>
      <c r="H935" s="1"/>
      <c r="I935" s="1"/>
      <c r="J935" s="2"/>
      <c r="K935" s="2"/>
      <c r="L935" s="53"/>
      <c r="M935" s="12"/>
      <c r="N935" s="2"/>
      <c r="O935" s="2"/>
    </row>
    <row r="936" ht="15.75" customHeight="1">
      <c r="A936" s="1" t="s">
        <v>1120</v>
      </c>
      <c r="B936" s="63" t="s">
        <v>378</v>
      </c>
      <c r="C936" s="63" t="s">
        <v>1118</v>
      </c>
      <c r="D936" s="24">
        <v>1.0E7</v>
      </c>
      <c r="E936" s="69">
        <v>0.9428114899</v>
      </c>
      <c r="F936" s="29">
        <v>9428114.9</v>
      </c>
      <c r="G936" s="23">
        <v>0.02</v>
      </c>
      <c r="H936" s="1"/>
      <c r="I936" s="1"/>
      <c r="J936" s="2"/>
      <c r="K936" s="2"/>
      <c r="L936" s="53"/>
      <c r="M936" s="12"/>
      <c r="N936" s="2"/>
      <c r="O936" s="2"/>
    </row>
    <row r="937" ht="15.75" customHeight="1">
      <c r="A937" s="1" t="s">
        <v>1121</v>
      </c>
      <c r="B937" s="63" t="s">
        <v>1122</v>
      </c>
      <c r="C937" s="63" t="s">
        <v>1118</v>
      </c>
      <c r="D937" s="24">
        <v>8000000.0</v>
      </c>
      <c r="E937" s="69">
        <v>0.9421543633</v>
      </c>
      <c r="F937" s="23">
        <v>7537234.91</v>
      </c>
      <c r="G937" s="23">
        <v>0.02</v>
      </c>
      <c r="H937" s="1"/>
      <c r="I937" s="1"/>
      <c r="J937" s="2"/>
      <c r="K937" s="2"/>
      <c r="L937" s="53"/>
      <c r="M937" s="12"/>
      <c r="N937" s="2"/>
      <c r="O937" s="2"/>
    </row>
    <row r="938" ht="15.75" customHeight="1">
      <c r="A938" s="1" t="s">
        <v>1123</v>
      </c>
      <c r="B938" s="63" t="s">
        <v>378</v>
      </c>
      <c r="C938" s="63" t="s">
        <v>1118</v>
      </c>
      <c r="D938" s="24">
        <v>1.0E7</v>
      </c>
      <c r="E938" s="69">
        <v>0.9428114899</v>
      </c>
      <c r="F938" s="29">
        <v>9428114.9</v>
      </c>
      <c r="G938" s="23">
        <v>0.02</v>
      </c>
      <c r="H938" s="1"/>
      <c r="I938" s="1"/>
      <c r="J938" s="2"/>
      <c r="K938" s="2"/>
      <c r="L938" s="53"/>
      <c r="M938" s="12"/>
      <c r="N938" s="2"/>
      <c r="O938" s="2"/>
    </row>
    <row r="939" ht="15.75" customHeight="1">
      <c r="A939" s="1" t="s">
        <v>1124</v>
      </c>
      <c r="B939" s="63" t="s">
        <v>337</v>
      </c>
      <c r="C939" s="63" t="s">
        <v>1118</v>
      </c>
      <c r="D939" s="24">
        <v>1.0E7</v>
      </c>
      <c r="E939" s="69">
        <v>0.9441283214</v>
      </c>
      <c r="F939" s="23">
        <v>9441283.21</v>
      </c>
      <c r="G939" s="23">
        <v>0.02</v>
      </c>
      <c r="H939" s="1"/>
      <c r="I939" s="1"/>
      <c r="J939" s="2"/>
      <c r="K939" s="2"/>
      <c r="L939" s="53"/>
      <c r="M939" s="12"/>
      <c r="N939" s="2"/>
      <c r="O939" s="2"/>
    </row>
    <row r="940" ht="15.75" customHeight="1">
      <c r="A940" s="1" t="s">
        <v>1125</v>
      </c>
      <c r="B940" s="63" t="s">
        <v>500</v>
      </c>
      <c r="C940" s="63" t="s">
        <v>1118</v>
      </c>
      <c r="D940" s="24">
        <v>5000000.0</v>
      </c>
      <c r="E940" s="69">
        <v>0.9434695346</v>
      </c>
      <c r="F940" s="23">
        <v>4717347.67</v>
      </c>
      <c r="G940" s="23">
        <v>0.01</v>
      </c>
      <c r="H940" s="1"/>
      <c r="I940" s="1"/>
      <c r="J940" s="2"/>
      <c r="K940" s="2"/>
      <c r="L940" s="53"/>
      <c r="M940" s="12"/>
      <c r="N940" s="2"/>
      <c r="O940" s="2"/>
    </row>
    <row r="941" ht="15.75" customHeight="1">
      <c r="A941" s="1" t="s">
        <v>1126</v>
      </c>
      <c r="B941" s="63" t="s">
        <v>378</v>
      </c>
      <c r="C941" s="63" t="s">
        <v>1118</v>
      </c>
      <c r="D941" s="24">
        <v>5000000.0</v>
      </c>
      <c r="E941" s="69">
        <v>0.9428114919</v>
      </c>
      <c r="F941" s="23">
        <v>4714057.46</v>
      </c>
      <c r="G941" s="23">
        <v>0.01</v>
      </c>
      <c r="H941" s="1"/>
      <c r="I941" s="1"/>
      <c r="J941" s="2"/>
      <c r="K941" s="2"/>
      <c r="L941" s="53"/>
      <c r="M941" s="12"/>
      <c r="N941" s="2"/>
      <c r="O941" s="2"/>
    </row>
    <row r="942" ht="15.75" customHeight="1">
      <c r="A942" s="1" t="s">
        <v>1127</v>
      </c>
      <c r="B942" s="63" t="s">
        <v>1122</v>
      </c>
      <c r="C942" s="63" t="s">
        <v>1118</v>
      </c>
      <c r="D942" s="24">
        <v>5000000.0</v>
      </c>
      <c r="E942" s="69">
        <v>0.9421543633</v>
      </c>
      <c r="F942" s="23">
        <v>4710771.82</v>
      </c>
      <c r="G942" s="23">
        <v>0.01</v>
      </c>
      <c r="H942" s="1"/>
      <c r="I942" s="1"/>
      <c r="J942" s="2"/>
      <c r="K942" s="2"/>
      <c r="L942" s="53"/>
      <c r="M942" s="12"/>
      <c r="N942" s="2"/>
      <c r="O942" s="2"/>
    </row>
    <row r="943" ht="15.75" customHeight="1">
      <c r="A943" s="1" t="s">
        <v>1128</v>
      </c>
      <c r="B943" s="63" t="s">
        <v>378</v>
      </c>
      <c r="C943" s="63" t="s">
        <v>1118</v>
      </c>
      <c r="D943" s="24">
        <v>5000000.0</v>
      </c>
      <c r="E943" s="69">
        <v>0.9428114919</v>
      </c>
      <c r="F943" s="23">
        <v>4714057.46</v>
      </c>
      <c r="G943" s="23">
        <v>0.01</v>
      </c>
      <c r="H943" s="1"/>
      <c r="I943" s="1"/>
      <c r="J943" s="2"/>
      <c r="K943" s="2"/>
      <c r="L943" s="53"/>
      <c r="M943" s="12"/>
      <c r="N943" s="2"/>
      <c r="O943" s="2"/>
    </row>
    <row r="944" ht="15.75" customHeight="1">
      <c r="A944" s="1" t="s">
        <v>1129</v>
      </c>
      <c r="B944" s="63" t="s">
        <v>328</v>
      </c>
      <c r="C944" s="63" t="s">
        <v>1118</v>
      </c>
      <c r="D944" s="24">
        <v>1.0E8</v>
      </c>
      <c r="E944" s="69">
        <v>0.9629590956</v>
      </c>
      <c r="F944" s="23">
        <v>9.629590956E7</v>
      </c>
      <c r="G944" s="29">
        <v>0.2</v>
      </c>
      <c r="H944" s="1"/>
      <c r="I944" s="1"/>
      <c r="J944" s="2"/>
      <c r="K944" s="2"/>
      <c r="L944" s="53"/>
      <c r="M944" s="12"/>
      <c r="N944" s="2"/>
      <c r="O944" s="2"/>
    </row>
    <row r="945" ht="15.75" customHeight="1">
      <c r="A945" s="1" t="s">
        <v>1130</v>
      </c>
      <c r="B945" s="63" t="s">
        <v>493</v>
      </c>
      <c r="C945" s="63" t="s">
        <v>1118</v>
      </c>
      <c r="D945" s="24">
        <v>5000000.0</v>
      </c>
      <c r="E945" s="69">
        <v>0.9414981489</v>
      </c>
      <c r="F945" s="23">
        <v>4707490.74</v>
      </c>
      <c r="G945" s="23">
        <v>0.01</v>
      </c>
      <c r="H945" s="1"/>
      <c r="I945" s="1"/>
      <c r="J945" s="2"/>
      <c r="K945" s="2"/>
      <c r="L945" s="53"/>
      <c r="M945" s="12"/>
      <c r="N945" s="2"/>
      <c r="O945" s="2"/>
    </row>
    <row r="946" ht="15.75" customHeight="1">
      <c r="A946" s="1" t="s">
        <v>1131</v>
      </c>
      <c r="B946" s="63" t="s">
        <v>1132</v>
      </c>
      <c r="C946" s="63" t="s">
        <v>1118</v>
      </c>
      <c r="D946" s="24">
        <v>5000000.0</v>
      </c>
      <c r="E946" s="69">
        <v>0.9395351631</v>
      </c>
      <c r="F946" s="23">
        <v>4697675.82</v>
      </c>
      <c r="G946" s="23">
        <v>0.01</v>
      </c>
      <c r="H946" s="1"/>
      <c r="I946" s="1"/>
      <c r="J946" s="2"/>
      <c r="K946" s="2"/>
      <c r="L946" s="53"/>
      <c r="M946" s="12"/>
      <c r="N946" s="2"/>
      <c r="O946" s="2"/>
    </row>
    <row r="947" ht="15.75" customHeight="1">
      <c r="A947" s="1" t="s">
        <v>1133</v>
      </c>
      <c r="B947" s="63" t="s">
        <v>337</v>
      </c>
      <c r="C947" s="63" t="s">
        <v>1118</v>
      </c>
      <c r="D947" s="24">
        <v>5000000.0</v>
      </c>
      <c r="E947" s="69">
        <v>0.9441283214</v>
      </c>
      <c r="F947" s="23">
        <v>4720641.61</v>
      </c>
      <c r="G947" s="23">
        <v>0.01</v>
      </c>
      <c r="H947" s="1"/>
      <c r="I947" s="1"/>
      <c r="J947" s="2"/>
      <c r="K947" s="2"/>
      <c r="L947" s="53"/>
      <c r="M947" s="12"/>
      <c r="N947" s="2"/>
      <c r="O947" s="2"/>
    </row>
    <row r="948" ht="15.75" customHeight="1">
      <c r="A948" s="1" t="s">
        <v>1134</v>
      </c>
      <c r="B948" s="63" t="s">
        <v>430</v>
      </c>
      <c r="C948" s="63" t="s">
        <v>1118</v>
      </c>
      <c r="D948" s="24">
        <v>5000000.0</v>
      </c>
      <c r="E948" s="69">
        <v>0.9388827711</v>
      </c>
      <c r="F948" s="23">
        <v>4694413.86</v>
      </c>
      <c r="G948" s="23">
        <v>0.01</v>
      </c>
      <c r="H948" s="1"/>
      <c r="I948" s="1"/>
      <c r="J948" s="2"/>
      <c r="K948" s="2"/>
      <c r="L948" s="53"/>
      <c r="M948" s="12"/>
      <c r="N948" s="2"/>
      <c r="O948" s="2"/>
    </row>
    <row r="949" ht="15.75" customHeight="1">
      <c r="A949" s="1" t="s">
        <v>1135</v>
      </c>
      <c r="B949" s="63" t="s">
        <v>146</v>
      </c>
      <c r="C949" s="63" t="s">
        <v>1118</v>
      </c>
      <c r="D949" s="24">
        <v>1.2E8</v>
      </c>
      <c r="E949" s="70">
        <v>0.959012186</v>
      </c>
      <c r="F949" s="23">
        <v>1.1508146232E8</v>
      </c>
      <c r="G949" s="23">
        <v>0.24</v>
      </c>
      <c r="H949" s="1"/>
      <c r="I949" s="1"/>
      <c r="J949" s="2"/>
      <c r="K949" s="2"/>
      <c r="L949" s="53"/>
      <c r="M949" s="12"/>
      <c r="N949" s="2"/>
      <c r="O949" s="2"/>
    </row>
    <row r="950" ht="15.75" customHeight="1">
      <c r="A950" s="1" t="s">
        <v>1136</v>
      </c>
      <c r="B950" s="63" t="s">
        <v>113</v>
      </c>
      <c r="C950" s="63" t="s">
        <v>1118</v>
      </c>
      <c r="D950" s="24">
        <v>2.7E7</v>
      </c>
      <c r="E950" s="69">
        <v>0.9596678087</v>
      </c>
      <c r="F950" s="23">
        <v>2.591103083E7</v>
      </c>
      <c r="G950" s="23">
        <v>0.05</v>
      </c>
      <c r="H950" s="1"/>
      <c r="I950" s="1"/>
      <c r="J950" s="2"/>
      <c r="K950" s="2"/>
      <c r="L950" s="53"/>
      <c r="M950" s="12"/>
      <c r="N950" s="2"/>
      <c r="O950" s="2"/>
    </row>
    <row r="951" ht="15.75" customHeight="1">
      <c r="A951" s="1" t="s">
        <v>1137</v>
      </c>
      <c r="B951" s="63" t="s">
        <v>211</v>
      </c>
      <c r="C951" s="63" t="s">
        <v>1118</v>
      </c>
      <c r="D951" s="24">
        <v>9.0E7</v>
      </c>
      <c r="E951" s="69">
        <v>0.9892671331</v>
      </c>
      <c r="F951" s="23">
        <v>8.903404198E7</v>
      </c>
      <c r="G951" s="23">
        <v>0.18</v>
      </c>
      <c r="H951" s="1"/>
      <c r="I951" s="1"/>
      <c r="J951" s="2"/>
      <c r="K951" s="2"/>
      <c r="L951" s="53"/>
      <c r="M951" s="12"/>
      <c r="N951" s="2"/>
      <c r="O951" s="2"/>
    </row>
    <row r="952" ht="15.75" customHeight="1">
      <c r="A952" s="1" t="s">
        <v>1138</v>
      </c>
      <c r="B952" s="63" t="s">
        <v>211</v>
      </c>
      <c r="C952" s="63" t="s">
        <v>1118</v>
      </c>
      <c r="D952" s="24">
        <v>2.1E8</v>
      </c>
      <c r="E952" s="69">
        <v>0.9892671331</v>
      </c>
      <c r="F952" s="23">
        <v>2.0774609795E8</v>
      </c>
      <c r="G952" s="23">
        <v>0.42</v>
      </c>
      <c r="H952" s="1"/>
      <c r="I952" s="1"/>
      <c r="J952" s="2"/>
      <c r="K952" s="2"/>
      <c r="L952" s="53"/>
      <c r="M952" s="12"/>
      <c r="N952" s="2"/>
      <c r="O952" s="2"/>
    </row>
    <row r="953" ht="15.75" customHeight="1">
      <c r="A953" s="1" t="s">
        <v>1139</v>
      </c>
      <c r="B953" s="63" t="s">
        <v>187</v>
      </c>
      <c r="C953" s="63" t="s">
        <v>1118</v>
      </c>
      <c r="D953" s="24">
        <v>1.28E8</v>
      </c>
      <c r="E953" s="69">
        <v>0.9733333697</v>
      </c>
      <c r="F953" s="23">
        <v>1.2458667132E8</v>
      </c>
      <c r="G953" s="23">
        <v>0.25</v>
      </c>
      <c r="H953" s="1"/>
      <c r="I953" s="1"/>
      <c r="J953" s="2"/>
      <c r="K953" s="2"/>
      <c r="L953" s="53"/>
      <c r="M953" s="12"/>
      <c r="N953" s="2"/>
      <c r="O953" s="2"/>
    </row>
    <row r="954" ht="15.75" customHeight="1">
      <c r="A954" s="1" t="s">
        <v>1140</v>
      </c>
      <c r="B954" s="63" t="s">
        <v>209</v>
      </c>
      <c r="C954" s="63" t="s">
        <v>1118</v>
      </c>
      <c r="D954" s="23">
        <v>9040891.31</v>
      </c>
      <c r="E954" s="69">
        <v>0.9954183964</v>
      </c>
      <c r="F954" s="23">
        <v>8999469.53</v>
      </c>
      <c r="G954" s="23">
        <v>0.02</v>
      </c>
      <c r="H954" s="1"/>
      <c r="I954" s="1"/>
      <c r="J954" s="2"/>
      <c r="K954" s="2"/>
      <c r="L954" s="53"/>
      <c r="M954" s="12"/>
      <c r="N954" s="2"/>
      <c r="O954" s="2"/>
    </row>
    <row r="955" ht="15.75" customHeight="1">
      <c r="A955" s="1" t="s">
        <v>1141</v>
      </c>
      <c r="B955" s="63" t="s">
        <v>341</v>
      </c>
      <c r="C955" s="63" t="s">
        <v>1118</v>
      </c>
      <c r="D955" s="24">
        <v>2.0E7</v>
      </c>
      <c r="E955" s="69">
        <v>0.9658130121</v>
      </c>
      <c r="F955" s="23">
        <v>1.931626024E7</v>
      </c>
      <c r="G955" s="23">
        <v>0.04</v>
      </c>
      <c r="H955" s="1"/>
      <c r="I955" s="1"/>
      <c r="J955" s="2"/>
      <c r="K955" s="2"/>
      <c r="L955" s="53"/>
      <c r="M955" s="12"/>
      <c r="N955" s="2"/>
      <c r="O955" s="2"/>
    </row>
    <row r="956" ht="15.75" customHeight="1">
      <c r="A956" s="1" t="s">
        <v>1142</v>
      </c>
      <c r="B956" s="63" t="s">
        <v>167</v>
      </c>
      <c r="C956" s="63" t="s">
        <v>1118</v>
      </c>
      <c r="D956" s="24">
        <v>2.0E7</v>
      </c>
      <c r="E956" s="69">
        <v>0.9648428076</v>
      </c>
      <c r="F956" s="23">
        <v>1.929685615E7</v>
      </c>
      <c r="G956" s="23">
        <v>0.04</v>
      </c>
      <c r="H956" s="1"/>
      <c r="I956" s="1"/>
      <c r="J956" s="2"/>
      <c r="K956" s="2"/>
      <c r="L956" s="53"/>
      <c r="M956" s="12"/>
      <c r="N956" s="2"/>
      <c r="O956" s="2"/>
    </row>
    <row r="957" ht="15.75" customHeight="1">
      <c r="A957" s="1" t="s">
        <v>1143</v>
      </c>
      <c r="B957" s="63" t="s">
        <v>167</v>
      </c>
      <c r="C957" s="63" t="s">
        <v>1118</v>
      </c>
      <c r="D957" s="24">
        <v>2.0E7</v>
      </c>
      <c r="E957" s="69">
        <v>0.9648428076</v>
      </c>
      <c r="F957" s="23">
        <v>1.929685615E7</v>
      </c>
      <c r="G957" s="23">
        <v>0.04</v>
      </c>
      <c r="H957" s="1"/>
      <c r="I957" s="1"/>
      <c r="J957" s="2"/>
      <c r="K957" s="2"/>
      <c r="L957" s="53"/>
      <c r="M957" s="12"/>
      <c r="N957" s="2"/>
      <c r="O957" s="2"/>
    </row>
    <row r="958" ht="15.75" customHeight="1">
      <c r="A958" s="1" t="s">
        <v>1144</v>
      </c>
      <c r="B958" s="63" t="s">
        <v>549</v>
      </c>
      <c r="C958" s="63" t="s">
        <v>1118</v>
      </c>
      <c r="D958" s="24">
        <v>2.0E7</v>
      </c>
      <c r="E958" s="69">
        <v>0.9619440455</v>
      </c>
      <c r="F958" s="23">
        <v>1.923888091E7</v>
      </c>
      <c r="G958" s="23">
        <v>0.04</v>
      </c>
      <c r="H958" s="1"/>
      <c r="I958" s="1"/>
      <c r="J958" s="2"/>
      <c r="K958" s="2"/>
      <c r="L958" s="53"/>
      <c r="M958" s="12"/>
      <c r="N958" s="2"/>
      <c r="O958" s="2"/>
    </row>
    <row r="959" ht="15.75" customHeight="1">
      <c r="A959" s="1" t="s">
        <v>1145</v>
      </c>
      <c r="B959" s="63" t="s">
        <v>148</v>
      </c>
      <c r="C959" s="63" t="s">
        <v>1118</v>
      </c>
      <c r="D959" s="24">
        <v>6.0E7</v>
      </c>
      <c r="E959" s="69">
        <v>0.9661196965</v>
      </c>
      <c r="F959" s="23">
        <v>5.796718179E7</v>
      </c>
      <c r="G959" s="23">
        <v>0.12</v>
      </c>
      <c r="H959" s="1"/>
      <c r="I959" s="1"/>
      <c r="J959" s="2"/>
      <c r="K959" s="2"/>
      <c r="L959" s="53"/>
      <c r="M959" s="12"/>
      <c r="N959" s="2"/>
      <c r="O959" s="2"/>
    </row>
    <row r="960" ht="15.75" customHeight="1">
      <c r="A960" s="1" t="s">
        <v>1146</v>
      </c>
      <c r="B960" s="63" t="s">
        <v>111</v>
      </c>
      <c r="C960" s="63" t="s">
        <v>1118</v>
      </c>
      <c r="D960" s="23">
        <v>2662911.02</v>
      </c>
      <c r="E960" s="70">
        <v>0.976040273</v>
      </c>
      <c r="F960" s="29">
        <v>2599108.4</v>
      </c>
      <c r="G960" s="23">
        <v>0.01</v>
      </c>
      <c r="H960" s="1"/>
      <c r="I960" s="1"/>
      <c r="J960" s="2"/>
      <c r="K960" s="2"/>
      <c r="L960" s="53"/>
      <c r="M960" s="12"/>
      <c r="N960" s="2"/>
      <c r="O960" s="2"/>
    </row>
    <row r="961" ht="15.75" customHeight="1">
      <c r="A961" s="1" t="s">
        <v>1147</v>
      </c>
      <c r="B961" s="63" t="s">
        <v>132</v>
      </c>
      <c r="C961" s="63" t="s">
        <v>1118</v>
      </c>
      <c r="D961" s="23">
        <v>5606107.59</v>
      </c>
      <c r="E961" s="69">
        <v>0.9735411122</v>
      </c>
      <c r="F961" s="23">
        <v>5457776.22</v>
      </c>
      <c r="G961" s="23">
        <v>0.01</v>
      </c>
      <c r="H961" s="1"/>
      <c r="I961" s="1"/>
      <c r="J961" s="2"/>
      <c r="K961" s="2"/>
      <c r="L961" s="53"/>
      <c r="M961" s="12"/>
      <c r="N961" s="2"/>
      <c r="O961" s="2"/>
    </row>
    <row r="962" ht="15.75" customHeight="1">
      <c r="A962" s="1" t="s">
        <v>1148</v>
      </c>
      <c r="B962" s="63" t="s">
        <v>335</v>
      </c>
      <c r="C962" s="63" t="s">
        <v>1118</v>
      </c>
      <c r="D962" s="24">
        <v>1000000.0</v>
      </c>
      <c r="E962" s="69">
        <v>0.9718819998</v>
      </c>
      <c r="F962" s="24">
        <v>971882.0</v>
      </c>
      <c r="G962" s="24">
        <v>0.0</v>
      </c>
      <c r="H962" s="1"/>
      <c r="I962" s="1"/>
      <c r="J962" s="2"/>
      <c r="K962" s="2"/>
      <c r="L962" s="53"/>
      <c r="M962" s="12"/>
      <c r="N962" s="2"/>
      <c r="O962" s="2"/>
    </row>
    <row r="963" ht="15.75" customHeight="1">
      <c r="A963" s="1" t="s">
        <v>1149</v>
      </c>
      <c r="B963" s="63" t="s">
        <v>282</v>
      </c>
      <c r="C963" s="63" t="s">
        <v>1118</v>
      </c>
      <c r="D963" s="24">
        <v>1.0E7</v>
      </c>
      <c r="E963" s="70">
        <v>0.938303445</v>
      </c>
      <c r="F963" s="23">
        <v>9383034.45</v>
      </c>
      <c r="G963" s="23">
        <v>0.02</v>
      </c>
      <c r="H963" s="1"/>
      <c r="I963" s="1"/>
      <c r="J963" s="2"/>
      <c r="K963" s="2"/>
      <c r="L963" s="53"/>
      <c r="M963" s="12"/>
      <c r="N963" s="2"/>
      <c r="O963" s="2"/>
    </row>
    <row r="964" ht="15.75" customHeight="1">
      <c r="A964" s="1" t="s">
        <v>1150</v>
      </c>
      <c r="B964" s="63" t="s">
        <v>287</v>
      </c>
      <c r="C964" s="63" t="s">
        <v>1118</v>
      </c>
      <c r="D964" s="24">
        <v>1.0E7</v>
      </c>
      <c r="E964" s="69">
        <v>0.9375321548</v>
      </c>
      <c r="F964" s="23">
        <v>9375321.55</v>
      </c>
      <c r="G964" s="23">
        <v>0.02</v>
      </c>
      <c r="H964" s="1"/>
      <c r="I964" s="1"/>
      <c r="J964" s="2"/>
      <c r="K964" s="2"/>
      <c r="L964" s="53"/>
      <c r="M964" s="12"/>
      <c r="N964" s="2"/>
      <c r="O964" s="2"/>
    </row>
    <row r="965" ht="15.75" customHeight="1">
      <c r="A965" s="1" t="s">
        <v>1151</v>
      </c>
      <c r="B965" s="63" t="s">
        <v>421</v>
      </c>
      <c r="C965" s="63" t="s">
        <v>1118</v>
      </c>
      <c r="D965" s="24">
        <v>1.0E7</v>
      </c>
      <c r="E965" s="69">
        <v>0.9367623356</v>
      </c>
      <c r="F965" s="23">
        <v>9367623.36</v>
      </c>
      <c r="G965" s="23">
        <v>0.02</v>
      </c>
      <c r="H965" s="1"/>
      <c r="I965" s="1"/>
      <c r="J965" s="2"/>
      <c r="K965" s="2"/>
      <c r="L965" s="53"/>
      <c r="M965" s="12"/>
      <c r="N965" s="2"/>
      <c r="O965" s="2"/>
    </row>
    <row r="966" ht="15.75" customHeight="1">
      <c r="A966" s="1" t="s">
        <v>1152</v>
      </c>
      <c r="B966" s="63" t="s">
        <v>337</v>
      </c>
      <c r="C966" s="63" t="s">
        <v>1118</v>
      </c>
      <c r="D966" s="24">
        <v>1.0E7</v>
      </c>
      <c r="E966" s="69">
        <v>0.9344598341</v>
      </c>
      <c r="F966" s="23">
        <v>9344598.34</v>
      </c>
      <c r="G966" s="23">
        <v>0.02</v>
      </c>
      <c r="H966" s="1"/>
      <c r="I966" s="1"/>
      <c r="J966" s="2"/>
      <c r="K966" s="2"/>
      <c r="L966" s="53"/>
      <c r="M966" s="12"/>
      <c r="N966" s="2"/>
      <c r="O966" s="2"/>
    </row>
    <row r="967" ht="15.75" customHeight="1">
      <c r="A967" s="1" t="s">
        <v>1153</v>
      </c>
      <c r="B967" s="63" t="s">
        <v>337</v>
      </c>
      <c r="C967" s="63" t="s">
        <v>1118</v>
      </c>
      <c r="D967" s="24">
        <v>1.0E7</v>
      </c>
      <c r="E967" s="69">
        <v>0.9344598341</v>
      </c>
      <c r="F967" s="23">
        <v>9344598.34</v>
      </c>
      <c r="G967" s="23">
        <v>0.02</v>
      </c>
      <c r="H967" s="1"/>
      <c r="I967" s="1"/>
      <c r="J967" s="2"/>
      <c r="K967" s="2"/>
      <c r="L967" s="53"/>
      <c r="M967" s="12"/>
      <c r="N967" s="2"/>
      <c r="O967" s="2"/>
    </row>
    <row r="968" ht="15.75" customHeight="1">
      <c r="A968" s="1" t="s">
        <v>1154</v>
      </c>
      <c r="B968" s="63" t="s">
        <v>337</v>
      </c>
      <c r="C968" s="63" t="s">
        <v>1118</v>
      </c>
      <c r="D968" s="24">
        <v>4.0E7</v>
      </c>
      <c r="E968" s="69">
        <v>0.9344598341</v>
      </c>
      <c r="F968" s="23">
        <v>3.737839336E7</v>
      </c>
      <c r="G968" s="23">
        <v>0.08</v>
      </c>
      <c r="H968" s="1"/>
      <c r="I968" s="1"/>
      <c r="J968" s="2"/>
      <c r="K968" s="2"/>
      <c r="L968" s="53"/>
      <c r="M968" s="12"/>
      <c r="N968" s="2"/>
      <c r="O968" s="2"/>
    </row>
    <row r="969" ht="15.75" customHeight="1">
      <c r="A969" s="1" t="s">
        <v>1155</v>
      </c>
      <c r="B969" s="63" t="s">
        <v>500</v>
      </c>
      <c r="C969" s="63" t="s">
        <v>1118</v>
      </c>
      <c r="D969" s="24">
        <v>4.0E7</v>
      </c>
      <c r="E969" s="69">
        <v>0.9336950516</v>
      </c>
      <c r="F969" s="23">
        <v>3.734780206E7</v>
      </c>
      <c r="G969" s="23">
        <v>0.08</v>
      </c>
      <c r="H969" s="1"/>
      <c r="I969" s="1"/>
      <c r="J969" s="2"/>
      <c r="K969" s="2"/>
      <c r="L969" s="53"/>
      <c r="M969" s="12"/>
      <c r="N969" s="2"/>
      <c r="O969" s="2"/>
    </row>
    <row r="970" ht="15.75" customHeight="1">
      <c r="A970" s="1" t="s">
        <v>1156</v>
      </c>
      <c r="B970" s="63" t="s">
        <v>148</v>
      </c>
      <c r="C970" s="63" t="s">
        <v>1118</v>
      </c>
      <c r="D970" s="29">
        <v>1341865.8</v>
      </c>
      <c r="E970" s="69">
        <v>0.9727108407</v>
      </c>
      <c r="F970" s="23">
        <v>1305247.41</v>
      </c>
      <c r="G970" s="24">
        <v>0.0</v>
      </c>
      <c r="H970" s="1"/>
      <c r="I970" s="1"/>
      <c r="J970" s="2"/>
      <c r="K970" s="2"/>
      <c r="L970" s="53"/>
      <c r="M970" s="12"/>
      <c r="N970" s="2"/>
      <c r="O970" s="2"/>
    </row>
    <row r="971" ht="15.75" customHeight="1">
      <c r="A971" s="1" t="s">
        <v>1157</v>
      </c>
      <c r="B971" s="63" t="s">
        <v>175</v>
      </c>
      <c r="C971" s="63" t="s">
        <v>1118</v>
      </c>
      <c r="D971" s="23">
        <v>1204873.98</v>
      </c>
      <c r="E971" s="70">
        <v>0.977713628</v>
      </c>
      <c r="F971" s="23">
        <v>1178021.71</v>
      </c>
      <c r="G971" s="24">
        <v>0.0</v>
      </c>
      <c r="H971" s="1"/>
      <c r="I971" s="1"/>
      <c r="J971" s="2"/>
      <c r="K971" s="2"/>
      <c r="L971" s="53"/>
      <c r="M971" s="12"/>
      <c r="N971" s="2"/>
      <c r="O971" s="2"/>
    </row>
    <row r="972" ht="15.75" customHeight="1">
      <c r="A972" s="1" t="s">
        <v>1158</v>
      </c>
      <c r="B972" s="63" t="s">
        <v>335</v>
      </c>
      <c r="C972" s="63" t="s">
        <v>1118</v>
      </c>
      <c r="D972" s="24">
        <v>5000000.0</v>
      </c>
      <c r="E972" s="69">
        <v>0.9718819964</v>
      </c>
      <c r="F972" s="23">
        <v>4859409.98</v>
      </c>
      <c r="G972" s="23">
        <v>0.01</v>
      </c>
      <c r="H972" s="1"/>
      <c r="I972" s="1"/>
      <c r="J972" s="2"/>
      <c r="K972" s="2"/>
      <c r="L972" s="53"/>
      <c r="M972" s="12"/>
      <c r="N972" s="2"/>
      <c r="O972" s="2"/>
    </row>
    <row r="973" ht="15.75" customHeight="1">
      <c r="A973" s="1" t="s">
        <v>1159</v>
      </c>
      <c r="B973" s="63" t="s">
        <v>282</v>
      </c>
      <c r="C973" s="63" t="s">
        <v>1118</v>
      </c>
      <c r="D973" s="24">
        <v>1.3E7</v>
      </c>
      <c r="E973" s="70">
        <v>0.938303445</v>
      </c>
      <c r="F973" s="23">
        <v>1.219794479E7</v>
      </c>
      <c r="G973" s="23">
        <v>0.02</v>
      </c>
      <c r="H973" s="1"/>
      <c r="I973" s="1"/>
      <c r="J973" s="2"/>
      <c r="K973" s="2"/>
      <c r="L973" s="53"/>
      <c r="M973" s="12"/>
      <c r="N973" s="2"/>
      <c r="O973" s="2"/>
    </row>
    <row r="974" ht="15.75" customHeight="1">
      <c r="A974" s="1" t="s">
        <v>1160</v>
      </c>
      <c r="B974" s="63" t="s">
        <v>297</v>
      </c>
      <c r="C974" s="63" t="s">
        <v>1118</v>
      </c>
      <c r="D974" s="24">
        <v>1.3E7</v>
      </c>
      <c r="E974" s="69">
        <v>0.9596173707</v>
      </c>
      <c r="F974" s="23">
        <v>1.247502582E7</v>
      </c>
      <c r="G974" s="23">
        <v>0.03</v>
      </c>
      <c r="H974" s="1"/>
      <c r="I974" s="1"/>
      <c r="J974" s="2"/>
      <c r="K974" s="2"/>
      <c r="L974" s="53"/>
      <c r="M974" s="12"/>
      <c r="N974" s="2"/>
      <c r="O974" s="2"/>
    </row>
    <row r="975" ht="15.75" customHeight="1">
      <c r="A975" s="1" t="s">
        <v>1161</v>
      </c>
      <c r="B975" s="63" t="s">
        <v>175</v>
      </c>
      <c r="C975" s="63" t="s">
        <v>1118</v>
      </c>
      <c r="D975" s="24">
        <v>5000000.0</v>
      </c>
      <c r="E975" s="69">
        <v>0.9777136219</v>
      </c>
      <c r="F975" s="23">
        <v>4888568.11</v>
      </c>
      <c r="G975" s="23">
        <v>0.01</v>
      </c>
      <c r="H975" s="1"/>
      <c r="I975" s="1"/>
      <c r="J975" s="2"/>
      <c r="K975" s="2"/>
      <c r="L975" s="53"/>
      <c r="M975" s="12"/>
      <c r="N975" s="2"/>
      <c r="O975" s="2"/>
    </row>
    <row r="976" ht="15.75" customHeight="1">
      <c r="A976" s="1" t="s">
        <v>1162</v>
      </c>
      <c r="B976" s="63" t="s">
        <v>204</v>
      </c>
      <c r="C976" s="63" t="s">
        <v>1118</v>
      </c>
      <c r="D976" s="24">
        <v>1.3E7</v>
      </c>
      <c r="E976" s="69">
        <v>0.9492354766</v>
      </c>
      <c r="F976" s="29">
        <v>1.23400612E7</v>
      </c>
      <c r="G976" s="23">
        <v>0.03</v>
      </c>
      <c r="H976" s="1"/>
      <c r="I976" s="1"/>
      <c r="J976" s="2"/>
      <c r="K976" s="2"/>
      <c r="L976" s="53"/>
      <c r="M976" s="12"/>
      <c r="N976" s="2"/>
      <c r="O976" s="2"/>
    </row>
    <row r="977" ht="15.75" customHeight="1">
      <c r="A977" s="1" t="s">
        <v>1163</v>
      </c>
      <c r="B977" s="63" t="s">
        <v>297</v>
      </c>
      <c r="C977" s="63" t="s">
        <v>1118</v>
      </c>
      <c r="D977" s="24">
        <v>1000000.0</v>
      </c>
      <c r="E977" s="68">
        <v>0.95961739</v>
      </c>
      <c r="F977" s="23">
        <v>959617.39</v>
      </c>
      <c r="G977" s="24">
        <v>0.0</v>
      </c>
      <c r="H977" s="1"/>
      <c r="I977" s="1"/>
      <c r="J977" s="2"/>
      <c r="K977" s="2"/>
      <c r="L977" s="53"/>
      <c r="M977" s="12"/>
      <c r="N977" s="2"/>
      <c r="O977" s="2"/>
    </row>
    <row r="978" ht="15.75" customHeight="1">
      <c r="A978" s="1" t="s">
        <v>1164</v>
      </c>
      <c r="B978" s="63" t="s">
        <v>289</v>
      </c>
      <c r="C978" s="63" t="s">
        <v>1118</v>
      </c>
      <c r="D978" s="24">
        <v>1000000.0</v>
      </c>
      <c r="E978" s="69">
        <v>0.9390759895</v>
      </c>
      <c r="F978" s="23">
        <v>939075.99</v>
      </c>
      <c r="G978" s="24">
        <v>0.0</v>
      </c>
      <c r="H978" s="1"/>
      <c r="I978" s="1"/>
      <c r="J978" s="2"/>
      <c r="K978" s="2"/>
      <c r="L978" s="53"/>
      <c r="M978" s="12"/>
      <c r="N978" s="2"/>
      <c r="O978" s="2"/>
    </row>
    <row r="979" ht="15.75" customHeight="1">
      <c r="A979" s="1" t="s">
        <v>1165</v>
      </c>
      <c r="B979" s="63" t="s">
        <v>500</v>
      </c>
      <c r="C979" s="63" t="s">
        <v>1118</v>
      </c>
      <c r="D979" s="24">
        <v>1000000.0</v>
      </c>
      <c r="E979" s="69">
        <v>0.9336950303</v>
      </c>
      <c r="F979" s="23">
        <v>933695.03</v>
      </c>
      <c r="G979" s="24">
        <v>0.0</v>
      </c>
      <c r="H979" s="1"/>
      <c r="I979" s="1"/>
      <c r="J979" s="2"/>
      <c r="K979" s="2"/>
      <c r="L979" s="53"/>
      <c r="M979" s="12"/>
      <c r="N979" s="2"/>
      <c r="O979" s="2"/>
    </row>
    <row r="980" ht="15.75" customHeight="1">
      <c r="A980" s="1" t="s">
        <v>1166</v>
      </c>
      <c r="B980" s="63" t="s">
        <v>223</v>
      </c>
      <c r="C980" s="63" t="s">
        <v>1118</v>
      </c>
      <c r="D980" s="24">
        <v>1000000.0</v>
      </c>
      <c r="E980" s="69">
        <v>0.9555975402</v>
      </c>
      <c r="F980" s="23">
        <v>955597.54</v>
      </c>
      <c r="G980" s="24">
        <v>0.0</v>
      </c>
      <c r="H980" s="1"/>
      <c r="I980" s="1"/>
      <c r="J980" s="2"/>
      <c r="K980" s="2"/>
      <c r="L980" s="53"/>
      <c r="M980" s="12"/>
      <c r="N980" s="2"/>
      <c r="O980" s="2"/>
    </row>
    <row r="981" ht="15.75" customHeight="1">
      <c r="A981" s="1" t="s">
        <v>1167</v>
      </c>
      <c r="B981" s="63" t="s">
        <v>328</v>
      </c>
      <c r="C981" s="63" t="s">
        <v>1118</v>
      </c>
      <c r="D981" s="24">
        <v>1000000.0</v>
      </c>
      <c r="E981" s="69">
        <v>0.9547975697</v>
      </c>
      <c r="F981" s="23">
        <v>954797.57</v>
      </c>
      <c r="G981" s="24">
        <v>0.0</v>
      </c>
      <c r="H981" s="1"/>
      <c r="I981" s="1"/>
      <c r="J981" s="2"/>
      <c r="K981" s="2"/>
      <c r="L981" s="53"/>
      <c r="M981" s="12"/>
      <c r="N981" s="2"/>
      <c r="O981" s="2"/>
    </row>
    <row r="982" ht="15.75" customHeight="1">
      <c r="A982" s="1" t="s">
        <v>1168</v>
      </c>
      <c r="B982" s="63" t="s">
        <v>430</v>
      </c>
      <c r="C982" s="63" t="s">
        <v>1118</v>
      </c>
      <c r="D982" s="29">
        <v>1008513.5</v>
      </c>
      <c r="E982" s="69">
        <v>0.9283754157</v>
      </c>
      <c r="F982" s="23">
        <v>936279.14</v>
      </c>
      <c r="G982" s="24">
        <v>0.0</v>
      </c>
      <c r="H982" s="1"/>
      <c r="I982" s="1"/>
      <c r="J982" s="2"/>
      <c r="K982" s="2"/>
      <c r="L982" s="53"/>
      <c r="M982" s="12"/>
      <c r="N982" s="2"/>
      <c r="O982" s="2"/>
    </row>
    <row r="983" ht="15.75" customHeight="1">
      <c r="A983" s="1" t="s">
        <v>1169</v>
      </c>
      <c r="B983" s="63" t="s">
        <v>204</v>
      </c>
      <c r="C983" s="63" t="s">
        <v>1118</v>
      </c>
      <c r="D983" s="24">
        <v>1000000.0</v>
      </c>
      <c r="E983" s="69">
        <v>0.9492354601</v>
      </c>
      <c r="F983" s="23">
        <v>949235.46</v>
      </c>
      <c r="G983" s="24">
        <v>0.0</v>
      </c>
      <c r="H983" s="1"/>
      <c r="I983" s="1"/>
      <c r="J983" s="2"/>
      <c r="K983" s="2"/>
      <c r="L983" s="53"/>
      <c r="M983" s="12"/>
      <c r="N983" s="2"/>
      <c r="O983" s="2"/>
    </row>
    <row r="984" ht="15.75" customHeight="1">
      <c r="A984" s="1" t="s">
        <v>1170</v>
      </c>
      <c r="B984" s="63" t="s">
        <v>274</v>
      </c>
      <c r="C984" s="63" t="s">
        <v>1118</v>
      </c>
      <c r="D984" s="24">
        <v>1000000.0</v>
      </c>
      <c r="E984" s="69">
        <v>0.9588106495</v>
      </c>
      <c r="F984" s="23">
        <v>958810.65</v>
      </c>
      <c r="G984" s="24">
        <v>0.0</v>
      </c>
      <c r="H984" s="1"/>
      <c r="I984" s="1"/>
      <c r="J984" s="2"/>
      <c r="K984" s="2"/>
      <c r="L984" s="53"/>
      <c r="M984" s="12"/>
      <c r="N984" s="2"/>
      <c r="O984" s="2"/>
    </row>
    <row r="985" ht="15.75" customHeight="1">
      <c r="A985" s="1" t="s">
        <v>1171</v>
      </c>
      <c r="B985" s="63" t="s">
        <v>328</v>
      </c>
      <c r="C985" s="63" t="s">
        <v>1118</v>
      </c>
      <c r="D985" s="24">
        <v>1000000.0</v>
      </c>
      <c r="E985" s="69">
        <v>0.9547975697</v>
      </c>
      <c r="F985" s="23">
        <v>954797.57</v>
      </c>
      <c r="G985" s="24">
        <v>0.0</v>
      </c>
      <c r="H985" s="1"/>
      <c r="I985" s="1"/>
      <c r="J985" s="2"/>
      <c r="K985" s="2"/>
      <c r="L985" s="53"/>
      <c r="M985" s="12"/>
      <c r="N985" s="2"/>
      <c r="O985" s="2"/>
    </row>
    <row r="986" ht="15.75" customHeight="1">
      <c r="A986" s="1" t="s">
        <v>1172</v>
      </c>
      <c r="B986" s="63" t="s">
        <v>563</v>
      </c>
      <c r="C986" s="63" t="s">
        <v>1118</v>
      </c>
      <c r="D986" s="24">
        <v>1000000.0</v>
      </c>
      <c r="E986" s="69">
        <v>0.9421787902</v>
      </c>
      <c r="F986" s="23">
        <v>942178.79</v>
      </c>
      <c r="G986" s="24">
        <v>0.0</v>
      </c>
      <c r="H986" s="1"/>
      <c r="I986" s="1"/>
      <c r="J986" s="2"/>
      <c r="K986" s="2"/>
      <c r="L986" s="53"/>
      <c r="M986" s="12"/>
      <c r="N986" s="2"/>
      <c r="O986" s="2"/>
    </row>
    <row r="987" ht="15.75" customHeight="1">
      <c r="A987" s="1" t="s">
        <v>1173</v>
      </c>
      <c r="B987" s="63" t="s">
        <v>287</v>
      </c>
      <c r="C987" s="63" t="s">
        <v>1118</v>
      </c>
      <c r="D987" s="24">
        <v>1000000.0</v>
      </c>
      <c r="E987" s="69">
        <v>0.9375321494</v>
      </c>
      <c r="F987" s="23">
        <v>937532.15</v>
      </c>
      <c r="G987" s="24">
        <v>0.0</v>
      </c>
      <c r="H987" s="1"/>
      <c r="I987" s="1"/>
      <c r="J987" s="2"/>
      <c r="K987" s="2"/>
      <c r="L987" s="53"/>
      <c r="M987" s="12"/>
      <c r="N987" s="2"/>
      <c r="O987" s="2"/>
    </row>
    <row r="988" ht="15.75" customHeight="1">
      <c r="A988" s="1" t="s">
        <v>1174</v>
      </c>
      <c r="B988" s="63" t="s">
        <v>1122</v>
      </c>
      <c r="C988" s="63" t="s">
        <v>1118</v>
      </c>
      <c r="D988" s="24">
        <v>1000000.0</v>
      </c>
      <c r="E988" s="68">
        <v>0.93216883</v>
      </c>
      <c r="F988" s="23">
        <v>932168.83</v>
      </c>
      <c r="G988" s="24">
        <v>0.0</v>
      </c>
      <c r="H988" s="1"/>
      <c r="I988" s="1"/>
      <c r="J988" s="2"/>
      <c r="K988" s="2"/>
      <c r="L988" s="53"/>
      <c r="M988" s="12"/>
      <c r="N988" s="2"/>
      <c r="O988" s="2"/>
    </row>
    <row r="989" ht="15.75" customHeight="1">
      <c r="A989" s="1" t="s">
        <v>1175</v>
      </c>
      <c r="B989" s="63" t="s">
        <v>146</v>
      </c>
      <c r="C989" s="63" t="s">
        <v>1118</v>
      </c>
      <c r="D989" s="24">
        <v>1000000.0</v>
      </c>
      <c r="E989" s="69">
        <v>0.9500261498</v>
      </c>
      <c r="F989" s="23">
        <v>950026.15</v>
      </c>
      <c r="G989" s="24">
        <v>0.0</v>
      </c>
      <c r="H989" s="1"/>
      <c r="I989" s="1"/>
      <c r="J989" s="2"/>
      <c r="K989" s="2"/>
      <c r="L989" s="53"/>
      <c r="M989" s="12"/>
      <c r="N989" s="2"/>
      <c r="O989" s="2"/>
    </row>
    <row r="990" ht="15.75" customHeight="1">
      <c r="A990" s="1" t="s">
        <v>1176</v>
      </c>
      <c r="B990" s="63" t="s">
        <v>150</v>
      </c>
      <c r="C990" s="63" t="s">
        <v>1118</v>
      </c>
      <c r="D990" s="24">
        <v>2.706396E7</v>
      </c>
      <c r="E990" s="69">
        <v>0.9768762342</v>
      </c>
      <c r="F990" s="23">
        <v>2.643813933E7</v>
      </c>
      <c r="G990" s="23">
        <v>0.05</v>
      </c>
      <c r="H990" s="1"/>
      <c r="I990" s="1"/>
      <c r="J990" s="2"/>
      <c r="K990" s="2"/>
      <c r="L990" s="53"/>
      <c r="M990" s="12"/>
      <c r="N990" s="2"/>
      <c r="O990" s="2"/>
    </row>
    <row r="991" ht="15.75" customHeight="1">
      <c r="A991" s="1" t="s">
        <v>1177</v>
      </c>
      <c r="B991" s="63" t="s">
        <v>150</v>
      </c>
      <c r="C991" s="63" t="s">
        <v>1118</v>
      </c>
      <c r="D991" s="23">
        <v>1084567.12</v>
      </c>
      <c r="E991" s="69">
        <v>0.9768762398</v>
      </c>
      <c r="F991" s="23">
        <v>1059487.85</v>
      </c>
      <c r="G991" s="24">
        <v>0.0</v>
      </c>
      <c r="H991" s="1"/>
      <c r="I991" s="1"/>
      <c r="J991" s="2"/>
      <c r="K991" s="2"/>
      <c r="L991" s="53"/>
      <c r="M991" s="12"/>
      <c r="N991" s="2"/>
      <c r="O991" s="2"/>
    </row>
    <row r="992" ht="15.75" customHeight="1">
      <c r="A992" s="1" t="s">
        <v>1178</v>
      </c>
      <c r="B992" s="63" t="s">
        <v>111</v>
      </c>
      <c r="C992" s="63" t="s">
        <v>1118</v>
      </c>
      <c r="D992" s="24">
        <v>2700000.0</v>
      </c>
      <c r="E992" s="69">
        <v>0.9760402774</v>
      </c>
      <c r="F992" s="23">
        <v>2635308.75</v>
      </c>
      <c r="G992" s="23">
        <v>0.01</v>
      </c>
      <c r="H992" s="1"/>
      <c r="I992" s="1"/>
      <c r="J992" s="2"/>
      <c r="K992" s="2"/>
      <c r="L992" s="53"/>
      <c r="M992" s="12"/>
      <c r="N992" s="2"/>
      <c r="O992" s="2"/>
    </row>
    <row r="993" ht="15.75" customHeight="1">
      <c r="A993" s="1" t="s">
        <v>1179</v>
      </c>
      <c r="B993" s="63" t="s">
        <v>132</v>
      </c>
      <c r="C993" s="63" t="s">
        <v>1118</v>
      </c>
      <c r="D993" s="23">
        <v>2885565.11</v>
      </c>
      <c r="E993" s="70">
        <v>0.973541113</v>
      </c>
      <c r="F993" s="23">
        <v>2809216.27</v>
      </c>
      <c r="G993" s="23">
        <v>0.01</v>
      </c>
      <c r="H993" s="1"/>
      <c r="I993" s="1"/>
      <c r="J993" s="2"/>
      <c r="K993" s="2"/>
      <c r="L993" s="53"/>
      <c r="M993" s="12"/>
      <c r="N993" s="2"/>
      <c r="O993" s="2"/>
    </row>
    <row r="994" ht="15.75" customHeight="1">
      <c r="A994" s="1" t="s">
        <v>1180</v>
      </c>
      <c r="B994" s="63" t="s">
        <v>247</v>
      </c>
      <c r="C994" s="63" t="s">
        <v>1118</v>
      </c>
      <c r="D994" s="23">
        <v>2899135.68</v>
      </c>
      <c r="E994" s="69">
        <v>0.9661196472</v>
      </c>
      <c r="F994" s="23">
        <v>2800911.94</v>
      </c>
      <c r="G994" s="23">
        <v>0.01</v>
      </c>
      <c r="H994" s="1"/>
      <c r="I994" s="1"/>
      <c r="J994" s="2"/>
      <c r="K994" s="2"/>
      <c r="L994" s="53"/>
      <c r="M994" s="12"/>
      <c r="N994" s="2"/>
      <c r="O994" s="2"/>
    </row>
    <row r="995" ht="15.75" customHeight="1">
      <c r="A995" s="1" t="s">
        <v>1181</v>
      </c>
      <c r="B995" s="63" t="s">
        <v>185</v>
      </c>
      <c r="C995" s="63" t="s">
        <v>1118</v>
      </c>
      <c r="D995" s="23">
        <v>5188161.21</v>
      </c>
      <c r="E995" s="69">
        <v>0.9836154936</v>
      </c>
      <c r="F995" s="23">
        <v>5103155.75</v>
      </c>
      <c r="G995" s="23">
        <v>0.01</v>
      </c>
      <c r="H995" s="1"/>
      <c r="I995" s="1"/>
      <c r="J995" s="2"/>
      <c r="K995" s="2"/>
      <c r="L995" s="53"/>
      <c r="M995" s="12"/>
      <c r="N995" s="2"/>
      <c r="O995" s="2"/>
    </row>
    <row r="996" ht="15.75" customHeight="1">
      <c r="A996" s="1" t="s">
        <v>1182</v>
      </c>
      <c r="B996" s="63" t="s">
        <v>282</v>
      </c>
      <c r="C996" s="63" t="s">
        <v>1118</v>
      </c>
      <c r="D996" s="23">
        <v>1.535531045E7</v>
      </c>
      <c r="E996" s="70">
        <v>0.938303445</v>
      </c>
      <c r="F996" s="23">
        <v>1.440794069E7</v>
      </c>
      <c r="G996" s="23">
        <v>0.03</v>
      </c>
      <c r="H996" s="1"/>
      <c r="I996" s="1"/>
      <c r="J996" s="2"/>
      <c r="K996" s="2"/>
      <c r="L996" s="53"/>
      <c r="M996" s="12"/>
      <c r="N996" s="2"/>
      <c r="O996" s="2"/>
    </row>
    <row r="997" ht="15.75" customHeight="1">
      <c r="A997" s="1" t="s">
        <v>1183</v>
      </c>
      <c r="B997" s="63" t="s">
        <v>287</v>
      </c>
      <c r="C997" s="63" t="s">
        <v>1118</v>
      </c>
      <c r="D997" s="23">
        <v>1.535531045E7</v>
      </c>
      <c r="E997" s="69">
        <v>0.9375321548</v>
      </c>
      <c r="F997" s="23">
        <v>1.439609729E7</v>
      </c>
      <c r="G997" s="23">
        <v>0.03</v>
      </c>
      <c r="H997" s="1"/>
      <c r="I997" s="1"/>
      <c r="J997" s="2"/>
      <c r="K997" s="2"/>
      <c r="L997" s="53"/>
      <c r="M997" s="12"/>
      <c r="N997" s="2"/>
      <c r="O997" s="2"/>
    </row>
    <row r="998" ht="15.75" customHeight="1">
      <c r="A998" s="1" t="s">
        <v>1184</v>
      </c>
      <c r="B998" s="63" t="s">
        <v>421</v>
      </c>
      <c r="C998" s="63" t="s">
        <v>1118</v>
      </c>
      <c r="D998" s="23">
        <v>1.535531045E7</v>
      </c>
      <c r="E998" s="69">
        <v>0.9367623356</v>
      </c>
      <c r="F998" s="23">
        <v>1.438427648E7</v>
      </c>
      <c r="G998" s="23">
        <v>0.03</v>
      </c>
      <c r="H998" s="1"/>
      <c r="I998" s="1"/>
      <c r="J998" s="2"/>
      <c r="K998" s="2"/>
      <c r="L998" s="53"/>
      <c r="M998" s="12"/>
      <c r="N998" s="2"/>
      <c r="O998" s="2"/>
    </row>
    <row r="999" ht="15.75" customHeight="1">
      <c r="A999" s="1" t="s">
        <v>1185</v>
      </c>
      <c r="B999" s="63" t="s">
        <v>337</v>
      </c>
      <c r="C999" s="63" t="s">
        <v>1118</v>
      </c>
      <c r="D999" s="23">
        <v>1.535531045E7</v>
      </c>
      <c r="E999" s="69">
        <v>0.9344598341</v>
      </c>
      <c r="F999" s="23">
        <v>1.434892086E7</v>
      </c>
      <c r="G999" s="23">
        <v>0.03</v>
      </c>
      <c r="H999" s="1"/>
      <c r="I999" s="1"/>
      <c r="J999" s="2"/>
      <c r="K999" s="2"/>
      <c r="L999" s="53"/>
      <c r="M999" s="12"/>
      <c r="N999" s="2"/>
      <c r="O999" s="2"/>
    </row>
    <row r="1000" ht="15.75" customHeight="1">
      <c r="A1000" s="1" t="s">
        <v>1186</v>
      </c>
      <c r="B1000" s="63" t="s">
        <v>500</v>
      </c>
      <c r="C1000" s="63" t="s">
        <v>1118</v>
      </c>
      <c r="D1000" s="23">
        <v>1.535531045E7</v>
      </c>
      <c r="E1000" s="69">
        <v>0.9336950516</v>
      </c>
      <c r="F1000" s="23">
        <v>1.433717738E7</v>
      </c>
      <c r="G1000" s="23">
        <v>0.03</v>
      </c>
      <c r="H1000" s="1"/>
      <c r="I1000" s="1"/>
      <c r="J1000" s="2"/>
      <c r="K1000" s="2"/>
      <c r="L1000" s="53"/>
      <c r="M1000" s="12"/>
      <c r="N1000" s="2"/>
      <c r="O1000" s="2"/>
    </row>
    <row r="1001" ht="15.75" customHeight="1">
      <c r="A1001" s="1" t="s">
        <v>1187</v>
      </c>
      <c r="B1001" s="63" t="s">
        <v>378</v>
      </c>
      <c r="C1001" s="63" t="s">
        <v>1118</v>
      </c>
      <c r="D1001" s="23">
        <v>1.535531045E7</v>
      </c>
      <c r="E1001" s="69">
        <v>0.9329313144</v>
      </c>
      <c r="F1001" s="23">
        <v>1.432544996E7</v>
      </c>
      <c r="G1001" s="23">
        <v>0.03</v>
      </c>
      <c r="H1001" s="1"/>
      <c r="I1001" s="1"/>
      <c r="J1001" s="2"/>
      <c r="K1001" s="2"/>
      <c r="L1001" s="53"/>
      <c r="M1001" s="12"/>
      <c r="N1001" s="2"/>
      <c r="O1001" s="2"/>
    </row>
    <row r="1002" ht="15.75" customHeight="1">
      <c r="A1002" s="1" t="s">
        <v>1188</v>
      </c>
      <c r="B1002" s="63" t="s">
        <v>1122</v>
      </c>
      <c r="C1002" s="63" t="s">
        <v>1118</v>
      </c>
      <c r="D1002" s="23">
        <v>1.535531045E7</v>
      </c>
      <c r="E1002" s="69">
        <v>0.9321688261</v>
      </c>
      <c r="F1002" s="23">
        <v>1.431374172E7</v>
      </c>
      <c r="G1002" s="23">
        <v>0.03</v>
      </c>
      <c r="H1002" s="1"/>
      <c r="I1002" s="1"/>
      <c r="J1002" s="2"/>
      <c r="K1002" s="2"/>
      <c r="L1002" s="53"/>
      <c r="M1002" s="12"/>
      <c r="N1002" s="2"/>
      <c r="O1002" s="2"/>
    </row>
    <row r="1003" ht="15.75" customHeight="1">
      <c r="A1003" s="1" t="s">
        <v>1189</v>
      </c>
      <c r="B1003" s="63" t="s">
        <v>416</v>
      </c>
      <c r="C1003" s="63" t="s">
        <v>1118</v>
      </c>
      <c r="D1003" s="23">
        <v>1.535531045E7</v>
      </c>
      <c r="E1003" s="69">
        <v>0.9398496347</v>
      </c>
      <c r="F1003" s="23">
        <v>1.443168292E7</v>
      </c>
      <c r="G1003" s="23">
        <v>0.03</v>
      </c>
      <c r="H1003" s="1"/>
      <c r="I1003" s="1"/>
      <c r="J1003" s="2"/>
      <c r="K1003" s="2"/>
      <c r="L1003" s="53"/>
      <c r="M1003" s="12"/>
      <c r="N1003" s="2"/>
      <c r="O1003" s="2"/>
    </row>
    <row r="1004" ht="15.75" customHeight="1">
      <c r="A1004" s="1" t="s">
        <v>1190</v>
      </c>
      <c r="B1004" s="63" t="s">
        <v>289</v>
      </c>
      <c r="C1004" s="63" t="s">
        <v>1118</v>
      </c>
      <c r="D1004" s="23">
        <v>1.535531045E7</v>
      </c>
      <c r="E1004" s="69">
        <v>0.9390760038</v>
      </c>
      <c r="F1004" s="23">
        <v>1.441980357E7</v>
      </c>
      <c r="G1004" s="23">
        <v>0.03</v>
      </c>
      <c r="H1004" s="1"/>
      <c r="I1004" s="1"/>
      <c r="J1004" s="2"/>
      <c r="K1004" s="2"/>
      <c r="L1004" s="53"/>
      <c r="M1004" s="12"/>
      <c r="N1004" s="2"/>
      <c r="O1004" s="2"/>
    </row>
    <row r="1005" ht="15.75" customHeight="1">
      <c r="A1005" s="1" t="s">
        <v>1191</v>
      </c>
      <c r="B1005" s="63" t="s">
        <v>563</v>
      </c>
      <c r="C1005" s="63" t="s">
        <v>1118</v>
      </c>
      <c r="D1005" s="23">
        <v>1.535531045E7</v>
      </c>
      <c r="E1005" s="69">
        <v>0.9421788021</v>
      </c>
      <c r="F1005" s="23">
        <v>1.446744801E7</v>
      </c>
      <c r="G1005" s="23">
        <v>0.03</v>
      </c>
      <c r="H1005" s="1"/>
      <c r="I1005" s="1"/>
      <c r="J1005" s="2"/>
      <c r="K1005" s="2"/>
      <c r="L1005" s="53"/>
      <c r="M1005" s="12"/>
      <c r="N1005" s="2"/>
      <c r="O1005" s="2"/>
    </row>
    <row r="1006" ht="15.75" customHeight="1">
      <c r="A1006" s="1" t="s">
        <v>1192</v>
      </c>
      <c r="B1006" s="63" t="s">
        <v>167</v>
      </c>
      <c r="C1006" s="63" t="s">
        <v>1118</v>
      </c>
      <c r="D1006" s="23">
        <v>3847875.41</v>
      </c>
      <c r="E1006" s="69">
        <v>0.9702286776</v>
      </c>
      <c r="F1006" s="23">
        <v>3733319.07</v>
      </c>
      <c r="G1006" s="23">
        <v>0.01</v>
      </c>
      <c r="H1006" s="1"/>
      <c r="I1006" s="1"/>
      <c r="J1006" s="2"/>
      <c r="K1006" s="2"/>
      <c r="L1006" s="53"/>
      <c r="M1006" s="12"/>
      <c r="N1006" s="2"/>
      <c r="O1006" s="2"/>
    </row>
    <row r="1007" ht="15.75" customHeight="1">
      <c r="A1007" s="1" t="s">
        <v>1193</v>
      </c>
      <c r="B1007" s="63" t="s">
        <v>167</v>
      </c>
      <c r="C1007" s="63" t="s">
        <v>1118</v>
      </c>
      <c r="D1007" s="24">
        <v>3300000.0</v>
      </c>
      <c r="E1007" s="69">
        <v>0.9702286758</v>
      </c>
      <c r="F1007" s="23">
        <v>3201754.63</v>
      </c>
      <c r="G1007" s="23">
        <v>0.01</v>
      </c>
      <c r="H1007" s="1"/>
      <c r="I1007" s="1"/>
      <c r="J1007" s="2"/>
      <c r="K1007" s="2"/>
      <c r="L1007" s="53"/>
      <c r="M1007" s="12"/>
      <c r="N1007" s="2"/>
      <c r="O1007" s="2"/>
    </row>
    <row r="1008" ht="15.75" customHeight="1">
      <c r="A1008" s="1" t="s">
        <v>1194</v>
      </c>
      <c r="B1008" s="63" t="s">
        <v>247</v>
      </c>
      <c r="C1008" s="63" t="s">
        <v>1118</v>
      </c>
      <c r="D1008" s="24">
        <v>3300000.0</v>
      </c>
      <c r="E1008" s="69">
        <v>0.9661196605</v>
      </c>
      <c r="F1008" s="23">
        <v>3188194.88</v>
      </c>
      <c r="G1008" s="23">
        <v>0.01</v>
      </c>
      <c r="H1008" s="1"/>
      <c r="I1008" s="1"/>
      <c r="J1008" s="2"/>
      <c r="K1008" s="2"/>
      <c r="L1008" s="53"/>
      <c r="M1008" s="12"/>
      <c r="N1008" s="2"/>
      <c r="O1008" s="2"/>
    </row>
    <row r="1009" ht="15.75" customHeight="1">
      <c r="A1009" s="1" t="s">
        <v>1195</v>
      </c>
      <c r="B1009" s="63" t="s">
        <v>161</v>
      </c>
      <c r="C1009" s="63" t="s">
        <v>1118</v>
      </c>
      <c r="D1009" s="24">
        <v>3300000.0</v>
      </c>
      <c r="E1009" s="69">
        <v>0.9612346789</v>
      </c>
      <c r="F1009" s="23">
        <v>3172074.44</v>
      </c>
      <c r="G1009" s="23">
        <v>0.01</v>
      </c>
      <c r="H1009" s="1"/>
      <c r="I1009" s="1"/>
      <c r="J1009" s="2"/>
      <c r="K1009" s="2"/>
      <c r="L1009" s="53"/>
      <c r="M1009" s="12"/>
      <c r="N1009" s="2"/>
      <c r="O1009" s="2"/>
    </row>
    <row r="1010" ht="15.75" customHeight="1">
      <c r="A1010" s="1" t="s">
        <v>1196</v>
      </c>
      <c r="B1010" s="63" t="s">
        <v>274</v>
      </c>
      <c r="C1010" s="63" t="s">
        <v>1118</v>
      </c>
      <c r="D1010" s="23">
        <v>3090647.25</v>
      </c>
      <c r="E1010" s="69">
        <v>0.9588106693</v>
      </c>
      <c r="F1010" s="23">
        <v>2963345.56</v>
      </c>
      <c r="G1010" s="23">
        <v>0.01</v>
      </c>
      <c r="H1010" s="1"/>
      <c r="I1010" s="1"/>
      <c r="J1010" s="2"/>
      <c r="K1010" s="2"/>
      <c r="L1010" s="53"/>
      <c r="M1010" s="12"/>
      <c r="N1010" s="2"/>
      <c r="O1010" s="2"/>
    </row>
    <row r="1011" ht="15.75" customHeight="1">
      <c r="A1011" s="1" t="s">
        <v>1197</v>
      </c>
      <c r="B1011" s="63" t="s">
        <v>185</v>
      </c>
      <c r="C1011" s="63" t="s">
        <v>1118</v>
      </c>
      <c r="D1011" s="24">
        <v>1050000.0</v>
      </c>
      <c r="E1011" s="69">
        <v>0.9836154951</v>
      </c>
      <c r="F1011" s="23">
        <v>1032796.27</v>
      </c>
      <c r="G1011" s="24">
        <v>0.0</v>
      </c>
      <c r="H1011" s="1"/>
      <c r="I1011" s="1"/>
      <c r="J1011" s="2"/>
      <c r="K1011" s="2"/>
      <c r="L1011" s="53"/>
      <c r="M1011" s="12"/>
      <c r="N1011" s="2"/>
      <c r="O1011" s="2"/>
    </row>
    <row r="1012" ht="15.75" customHeight="1">
      <c r="A1012" s="1" t="s">
        <v>1198</v>
      </c>
      <c r="B1012" s="63" t="s">
        <v>187</v>
      </c>
      <c r="C1012" s="63" t="s">
        <v>1118</v>
      </c>
      <c r="D1012" s="23">
        <v>1062257.16</v>
      </c>
      <c r="E1012" s="69">
        <v>0.9785522932</v>
      </c>
      <c r="F1012" s="23">
        <v>1039474.18</v>
      </c>
      <c r="G1012" s="24">
        <v>0.0</v>
      </c>
      <c r="H1012" s="1"/>
      <c r="I1012" s="1"/>
      <c r="J1012" s="2"/>
      <c r="K1012" s="2"/>
      <c r="L1012" s="53"/>
      <c r="M1012" s="12"/>
      <c r="N1012" s="2"/>
      <c r="O1012" s="2"/>
    </row>
    <row r="1013" ht="15.75" customHeight="1">
      <c r="A1013" s="1" t="s">
        <v>1199</v>
      </c>
      <c r="B1013" s="63" t="s">
        <v>175</v>
      </c>
      <c r="C1013" s="63" t="s">
        <v>1118</v>
      </c>
      <c r="D1013" s="24">
        <v>1050000.0</v>
      </c>
      <c r="E1013" s="69">
        <v>0.9777136191</v>
      </c>
      <c r="F1013" s="29">
        <v>1026599.3</v>
      </c>
      <c r="G1013" s="24">
        <v>0.0</v>
      </c>
      <c r="H1013" s="1"/>
      <c r="I1013" s="1"/>
      <c r="J1013" s="2"/>
      <c r="K1013" s="2"/>
      <c r="L1013" s="53"/>
      <c r="M1013" s="12"/>
      <c r="N1013" s="2"/>
      <c r="O1013" s="2"/>
    </row>
    <row r="1014" ht="15.75" customHeight="1">
      <c r="A1014" s="1" t="s">
        <v>1200</v>
      </c>
      <c r="B1014" s="63" t="s">
        <v>175</v>
      </c>
      <c r="C1014" s="63" t="s">
        <v>1118</v>
      </c>
      <c r="D1014" s="23">
        <v>1177029.06</v>
      </c>
      <c r="E1014" s="70">
        <v>0.977713626</v>
      </c>
      <c r="F1014" s="23">
        <v>1150797.35</v>
      </c>
      <c r="G1014" s="24">
        <v>0.0</v>
      </c>
      <c r="H1014" s="1"/>
      <c r="I1014" s="1"/>
      <c r="J1014" s="2"/>
      <c r="K1014" s="2"/>
      <c r="L1014" s="53"/>
      <c r="M1014" s="12"/>
      <c r="N1014" s="2"/>
      <c r="O1014" s="2"/>
    </row>
    <row r="1015" ht="15.75" customHeight="1">
      <c r="A1015" s="1" t="s">
        <v>1201</v>
      </c>
      <c r="B1015" s="63" t="s">
        <v>148</v>
      </c>
      <c r="C1015" s="63" t="s">
        <v>1118</v>
      </c>
      <c r="D1015" s="24">
        <v>2000000.0</v>
      </c>
      <c r="E1015" s="69">
        <v>0.9727108449</v>
      </c>
      <c r="F1015" s="23">
        <v>1945421.69</v>
      </c>
      <c r="G1015" s="24">
        <v>0.0</v>
      </c>
      <c r="H1015" s="1"/>
      <c r="I1015" s="1"/>
      <c r="J1015" s="2"/>
      <c r="K1015" s="2"/>
      <c r="L1015" s="53"/>
      <c r="M1015" s="12"/>
      <c r="N1015" s="2"/>
      <c r="O1015" s="2"/>
    </row>
    <row r="1016" ht="15.75" customHeight="1">
      <c r="A1016" s="1" t="s">
        <v>1202</v>
      </c>
      <c r="B1016" s="63" t="s">
        <v>335</v>
      </c>
      <c r="C1016" s="63" t="s">
        <v>1118</v>
      </c>
      <c r="D1016" s="23">
        <v>1017218.53</v>
      </c>
      <c r="E1016" s="69">
        <v>0.9718819904</v>
      </c>
      <c r="F1016" s="23">
        <v>988616.37</v>
      </c>
      <c r="G1016" s="24">
        <v>0.0</v>
      </c>
      <c r="H1016" s="1"/>
      <c r="I1016" s="1"/>
      <c r="J1016" s="2"/>
      <c r="K1016" s="2"/>
      <c r="L1016" s="53"/>
      <c r="M1016" s="12"/>
      <c r="N1016" s="2"/>
      <c r="O1016" s="2"/>
    </row>
    <row r="1017" ht="15.75" customHeight="1">
      <c r="A1017" s="1" t="s">
        <v>1203</v>
      </c>
      <c r="B1017" s="63" t="s">
        <v>335</v>
      </c>
      <c r="C1017" s="63" t="s">
        <v>1118</v>
      </c>
      <c r="D1017" s="23">
        <v>2046492.39</v>
      </c>
      <c r="E1017" s="69">
        <v>0.9718819819</v>
      </c>
      <c r="F1017" s="23">
        <v>1988949.08</v>
      </c>
      <c r="G1017" s="24">
        <v>0.0</v>
      </c>
      <c r="H1017" s="1"/>
      <c r="I1017" s="1"/>
      <c r="J1017" s="2"/>
      <c r="K1017" s="2"/>
      <c r="L1017" s="53"/>
      <c r="M1017" s="12"/>
      <c r="N1017" s="2"/>
      <c r="O1017" s="2"/>
    </row>
    <row r="1018" ht="15.75" customHeight="1">
      <c r="A1018" s="1" t="s">
        <v>1204</v>
      </c>
      <c r="B1018" s="63" t="s">
        <v>185</v>
      </c>
      <c r="C1018" s="63" t="s">
        <v>1118</v>
      </c>
      <c r="D1018" s="23">
        <v>1982063.64</v>
      </c>
      <c r="E1018" s="69">
        <v>0.9836154956</v>
      </c>
      <c r="F1018" s="23">
        <v>1949588.51</v>
      </c>
      <c r="G1018" s="24">
        <v>0.0</v>
      </c>
      <c r="H1018" s="1"/>
      <c r="I1018" s="1"/>
      <c r="J1018" s="2"/>
      <c r="K1018" s="2"/>
      <c r="L1018" s="53"/>
      <c r="M1018" s="12"/>
      <c r="N1018" s="2"/>
      <c r="O1018" s="2"/>
    </row>
    <row r="1019" ht="15.75" customHeight="1">
      <c r="A1019" s="1" t="s">
        <v>1205</v>
      </c>
      <c r="B1019" s="63" t="s">
        <v>335</v>
      </c>
      <c r="C1019" s="63" t="s">
        <v>1118</v>
      </c>
      <c r="D1019" s="23">
        <v>1110641.67</v>
      </c>
      <c r="E1019" s="70">
        <v>0.971881975</v>
      </c>
      <c r="F1019" s="23">
        <v>1079412.62</v>
      </c>
      <c r="G1019" s="24">
        <v>0.0</v>
      </c>
      <c r="H1019" s="1"/>
      <c r="I1019" s="1"/>
      <c r="J1019" s="2"/>
      <c r="K1019" s="2"/>
      <c r="L1019" s="53"/>
      <c r="M1019" s="12"/>
      <c r="N1019" s="2"/>
      <c r="O1019" s="2"/>
    </row>
    <row r="1020" ht="15.75" customHeight="1">
      <c r="A1020" s="1" t="s">
        <v>1206</v>
      </c>
      <c r="B1020" s="63" t="s">
        <v>394</v>
      </c>
      <c r="C1020" s="63" t="s">
        <v>1118</v>
      </c>
      <c r="D1020" s="24">
        <v>5.0E7</v>
      </c>
      <c r="E1020" s="69">
        <v>0.9429575584</v>
      </c>
      <c r="F1020" s="23">
        <v>4.714787792E7</v>
      </c>
      <c r="G1020" s="29">
        <v>0.1</v>
      </c>
      <c r="H1020" s="1"/>
      <c r="I1020" s="1"/>
      <c r="J1020" s="2"/>
      <c r="K1020" s="2"/>
      <c r="L1020" s="53"/>
      <c r="M1020" s="12"/>
      <c r="N1020" s="2"/>
      <c r="O1020" s="2"/>
    </row>
    <row r="1021" ht="15.75" customHeight="1">
      <c r="A1021" s="1" t="s">
        <v>1207</v>
      </c>
      <c r="B1021" s="63" t="s">
        <v>287</v>
      </c>
      <c r="C1021" s="63" t="s">
        <v>1118</v>
      </c>
      <c r="D1021" s="24">
        <v>5.0E7</v>
      </c>
      <c r="E1021" s="69">
        <v>0.9375321548</v>
      </c>
      <c r="F1021" s="23">
        <v>4.687660774E7</v>
      </c>
      <c r="G1021" s="29">
        <v>0.1</v>
      </c>
      <c r="H1021" s="1"/>
      <c r="I1021" s="1"/>
      <c r="J1021" s="2"/>
      <c r="K1021" s="2"/>
      <c r="L1021" s="53"/>
      <c r="M1021" s="12"/>
      <c r="N1021" s="2"/>
      <c r="O1021" s="2"/>
    </row>
    <row r="1022" ht="15.75" customHeight="1">
      <c r="A1022" s="1" t="s">
        <v>1208</v>
      </c>
      <c r="B1022" s="63" t="s">
        <v>328</v>
      </c>
      <c r="C1022" s="63" t="s">
        <v>1209</v>
      </c>
      <c r="D1022" s="23">
        <v>1.654557209E7</v>
      </c>
      <c r="E1022" s="69">
        <v>0.9602231788</v>
      </c>
      <c r="F1022" s="23">
        <v>1.588744183E7</v>
      </c>
      <c r="G1022" s="23">
        <v>0.03</v>
      </c>
      <c r="H1022" s="1"/>
      <c r="I1022" s="1"/>
      <c r="J1022" s="2"/>
      <c r="K1022" s="2"/>
      <c r="L1022" s="53"/>
      <c r="M1022" s="12"/>
      <c r="N1022" s="2"/>
      <c r="O1022" s="2"/>
    </row>
    <row r="1023" ht="15.75" customHeight="1">
      <c r="A1023" s="1" t="s">
        <v>1210</v>
      </c>
      <c r="B1023" s="63" t="s">
        <v>500</v>
      </c>
      <c r="C1023" s="63" t="s">
        <v>1209</v>
      </c>
      <c r="D1023" s="24">
        <v>1.0E7</v>
      </c>
      <c r="E1023" s="69">
        <v>0.9414981684</v>
      </c>
      <c r="F1023" s="23">
        <v>9414981.68</v>
      </c>
      <c r="G1023" s="23">
        <v>0.02</v>
      </c>
      <c r="H1023" s="1"/>
      <c r="I1023" s="1"/>
      <c r="J1023" s="2"/>
      <c r="K1023" s="2"/>
      <c r="L1023" s="53"/>
      <c r="M1023" s="12"/>
      <c r="N1023" s="2"/>
      <c r="O1023" s="2"/>
    </row>
    <row r="1024" ht="15.75" customHeight="1">
      <c r="A1024" s="1" t="s">
        <v>1211</v>
      </c>
      <c r="B1024" s="63" t="s">
        <v>247</v>
      </c>
      <c r="C1024" s="63" t="s">
        <v>1209</v>
      </c>
      <c r="D1024" s="24">
        <v>1.0E7</v>
      </c>
      <c r="E1024" s="69">
        <v>0.9681698229</v>
      </c>
      <c r="F1024" s="23">
        <v>9681698.23</v>
      </c>
      <c r="G1024" s="23">
        <v>0.02</v>
      </c>
      <c r="H1024" s="1"/>
      <c r="I1024" s="1"/>
      <c r="J1024" s="2"/>
      <c r="K1024" s="2"/>
      <c r="L1024" s="53"/>
      <c r="M1024" s="12"/>
      <c r="N1024" s="2"/>
      <c r="O1024" s="2"/>
    </row>
    <row r="1025" ht="15.75" customHeight="1">
      <c r="A1025" s="1" t="s">
        <v>1212</v>
      </c>
      <c r="B1025" s="63" t="s">
        <v>185</v>
      </c>
      <c r="C1025" s="63" t="s">
        <v>1209</v>
      </c>
      <c r="D1025" s="24">
        <v>1.0E7</v>
      </c>
      <c r="E1025" s="69">
        <v>0.9846237011</v>
      </c>
      <c r="F1025" s="23">
        <v>9846237.01</v>
      </c>
      <c r="G1025" s="23">
        <v>0.02</v>
      </c>
      <c r="H1025" s="1"/>
      <c r="I1025" s="1"/>
      <c r="J1025" s="2"/>
      <c r="K1025" s="2"/>
      <c r="L1025" s="53"/>
      <c r="M1025" s="12"/>
      <c r="N1025" s="2"/>
      <c r="O1025" s="2"/>
    </row>
    <row r="1026" ht="15.75" customHeight="1">
      <c r="A1026" s="1" t="s">
        <v>1213</v>
      </c>
      <c r="B1026" s="63" t="s">
        <v>108</v>
      </c>
      <c r="C1026" s="63" t="s">
        <v>1209</v>
      </c>
      <c r="D1026" s="24">
        <v>1.0E7</v>
      </c>
      <c r="E1026" s="69">
        <v>0.9559980841</v>
      </c>
      <c r="F1026" s="23">
        <v>9559980.84</v>
      </c>
      <c r="G1026" s="23">
        <v>0.02</v>
      </c>
      <c r="H1026" s="1"/>
      <c r="I1026" s="1"/>
      <c r="J1026" s="2"/>
      <c r="K1026" s="2"/>
      <c r="L1026" s="53"/>
      <c r="M1026" s="12"/>
      <c r="N1026" s="2"/>
      <c r="O1026" s="2"/>
    </row>
    <row r="1027" ht="15.75" customHeight="1">
      <c r="A1027" s="1" t="s">
        <v>1214</v>
      </c>
      <c r="B1027" s="63" t="s">
        <v>211</v>
      </c>
      <c r="C1027" s="63" t="s">
        <v>1209</v>
      </c>
      <c r="D1027" s="24">
        <v>1.0E7</v>
      </c>
      <c r="E1027" s="68">
        <v>0.99103994</v>
      </c>
      <c r="F1027" s="29">
        <v>9910399.4</v>
      </c>
      <c r="G1027" s="23">
        <v>0.02</v>
      </c>
      <c r="H1027" s="1"/>
      <c r="I1027" s="1"/>
      <c r="J1027" s="2"/>
      <c r="K1027" s="2"/>
      <c r="L1027" s="53"/>
      <c r="M1027" s="12"/>
      <c r="N1027" s="2"/>
      <c r="O1027" s="2"/>
    </row>
    <row r="1028" ht="15.75" customHeight="1">
      <c r="A1028" s="1" t="s">
        <v>1215</v>
      </c>
      <c r="B1028" s="63" t="s">
        <v>274</v>
      </c>
      <c r="C1028" s="63" t="s">
        <v>1209</v>
      </c>
      <c r="D1028" s="24">
        <v>1.0E7</v>
      </c>
      <c r="E1028" s="69">
        <v>0.9612853852</v>
      </c>
      <c r="F1028" s="23">
        <v>9612853.85</v>
      </c>
      <c r="G1028" s="23">
        <v>0.02</v>
      </c>
      <c r="H1028" s="1"/>
      <c r="I1028" s="1"/>
      <c r="J1028" s="2"/>
      <c r="K1028" s="2"/>
      <c r="L1028" s="53"/>
      <c r="M1028" s="12"/>
      <c r="N1028" s="2"/>
      <c r="O1028" s="2"/>
    </row>
    <row r="1029" ht="15.75" customHeight="1">
      <c r="A1029" s="1" t="s">
        <v>1216</v>
      </c>
      <c r="B1029" s="63" t="s">
        <v>175</v>
      </c>
      <c r="C1029" s="63" t="s">
        <v>1209</v>
      </c>
      <c r="D1029" s="24">
        <v>1.0E7</v>
      </c>
      <c r="E1029" s="69">
        <v>0.9790772812</v>
      </c>
      <c r="F1029" s="23">
        <v>9790772.81</v>
      </c>
      <c r="G1029" s="23">
        <v>0.02</v>
      </c>
      <c r="H1029" s="1"/>
      <c r="I1029" s="1"/>
      <c r="J1029" s="2"/>
      <c r="K1029" s="2"/>
      <c r="L1029" s="53"/>
      <c r="M1029" s="12"/>
      <c r="N1029" s="2"/>
      <c r="O1029" s="2"/>
    </row>
    <row r="1030" ht="15.75" customHeight="1">
      <c r="A1030" s="1" t="s">
        <v>1217</v>
      </c>
      <c r="B1030" s="63" t="s">
        <v>378</v>
      </c>
      <c r="C1030" s="63" t="s">
        <v>1209</v>
      </c>
      <c r="D1030" s="24">
        <v>1.0E7</v>
      </c>
      <c r="E1030" s="70">
        <v>0.932931373</v>
      </c>
      <c r="F1030" s="23">
        <v>9329313.73</v>
      </c>
      <c r="G1030" s="23">
        <v>0.02</v>
      </c>
      <c r="H1030" s="1"/>
      <c r="I1030" s="1"/>
      <c r="J1030" s="2"/>
      <c r="K1030" s="2"/>
      <c r="L1030" s="53"/>
      <c r="M1030" s="12"/>
      <c r="N1030" s="2"/>
      <c r="O1030" s="2"/>
    </row>
    <row r="1031" ht="15.75" customHeight="1">
      <c r="A1031" s="1" t="s">
        <v>1218</v>
      </c>
      <c r="B1031" s="63" t="s">
        <v>448</v>
      </c>
      <c r="C1031" s="63" t="s">
        <v>1209</v>
      </c>
      <c r="D1031" s="24">
        <v>1.5E7</v>
      </c>
      <c r="E1031" s="69">
        <v>0.8927699552</v>
      </c>
      <c r="F1031" s="23">
        <v>1.339154933E7</v>
      </c>
      <c r="G1031" s="23">
        <v>0.03</v>
      </c>
      <c r="H1031" s="1"/>
      <c r="I1031" s="1"/>
      <c r="J1031" s="2"/>
      <c r="K1031" s="2"/>
      <c r="L1031" s="53"/>
      <c r="M1031" s="12"/>
      <c r="N1031" s="2"/>
      <c r="O1031" s="2"/>
    </row>
    <row r="1032" ht="15.75" customHeight="1">
      <c r="A1032" s="1" t="s">
        <v>1219</v>
      </c>
      <c r="B1032" s="63" t="s">
        <v>500</v>
      </c>
      <c r="C1032" s="63" t="s">
        <v>1209</v>
      </c>
      <c r="D1032" s="24">
        <v>1.0E7</v>
      </c>
      <c r="E1032" s="69">
        <v>0.9336949027</v>
      </c>
      <c r="F1032" s="23">
        <v>9336949.03</v>
      </c>
      <c r="G1032" s="23">
        <v>0.02</v>
      </c>
      <c r="H1032" s="1"/>
      <c r="I1032" s="1"/>
      <c r="J1032" s="2"/>
      <c r="K1032" s="2"/>
      <c r="L1032" s="53"/>
      <c r="M1032" s="12"/>
      <c r="N1032" s="2"/>
      <c r="O1032" s="2"/>
    </row>
    <row r="1033" ht="15.75" customHeight="1">
      <c r="A1033" s="1" t="s">
        <v>1220</v>
      </c>
      <c r="B1033" s="63" t="s">
        <v>477</v>
      </c>
      <c r="C1033" s="63" t="s">
        <v>1209</v>
      </c>
      <c r="D1033" s="24">
        <v>1.5E7</v>
      </c>
      <c r="E1033" s="69">
        <v>0.9062468964</v>
      </c>
      <c r="F1033" s="23">
        <v>1.359370345E7</v>
      </c>
      <c r="G1033" s="23">
        <v>0.03</v>
      </c>
      <c r="H1033" s="1"/>
      <c r="I1033" s="1"/>
      <c r="J1033" s="2"/>
      <c r="K1033" s="2"/>
      <c r="L1033" s="53"/>
      <c r="M1033" s="12"/>
      <c r="N1033" s="2"/>
      <c r="O1033" s="2"/>
    </row>
    <row r="1034" ht="15.75" customHeight="1">
      <c r="A1034" s="1" t="s">
        <v>1221</v>
      </c>
      <c r="B1034" s="63" t="s">
        <v>549</v>
      </c>
      <c r="C1034" s="63" t="s">
        <v>1222</v>
      </c>
      <c r="D1034" s="24">
        <v>2.0E7</v>
      </c>
      <c r="E1034" s="69">
        <v>0.9619440744</v>
      </c>
      <c r="F1034" s="23">
        <v>1.923888149E7</v>
      </c>
      <c r="G1034" s="23">
        <v>0.04</v>
      </c>
      <c r="H1034" s="1"/>
      <c r="I1034" s="1"/>
      <c r="J1034" s="2"/>
      <c r="K1034" s="2"/>
      <c r="L1034" s="53"/>
      <c r="M1034" s="12"/>
      <c r="N1034" s="2"/>
      <c r="O1034" s="2"/>
    </row>
    <row r="1035" ht="15.75" customHeight="1">
      <c r="A1035" s="1" t="s">
        <v>1223</v>
      </c>
      <c r="B1035" s="63" t="s">
        <v>219</v>
      </c>
      <c r="C1035" s="63" t="s">
        <v>1222</v>
      </c>
      <c r="D1035" s="24">
        <v>2.0E7</v>
      </c>
      <c r="E1035" s="69">
        <v>0.9609816172</v>
      </c>
      <c r="F1035" s="23">
        <v>1.921963234E7</v>
      </c>
      <c r="G1035" s="23">
        <v>0.04</v>
      </c>
      <c r="H1035" s="1"/>
      <c r="I1035" s="1"/>
      <c r="J1035" s="2"/>
      <c r="K1035" s="2"/>
      <c r="L1035" s="53"/>
      <c r="M1035" s="12"/>
      <c r="N1035" s="2"/>
      <c r="O1035" s="2"/>
    </row>
    <row r="1036" ht="15.75" customHeight="1">
      <c r="A1036" s="1" t="s">
        <v>1224</v>
      </c>
      <c r="B1036" s="63" t="s">
        <v>247</v>
      </c>
      <c r="C1036" s="63" t="s">
        <v>1222</v>
      </c>
      <c r="D1036" s="24">
        <v>4.2E7</v>
      </c>
      <c r="E1036" s="70">
        <v>0.960021083</v>
      </c>
      <c r="F1036" s="23">
        <v>4.032088549E7</v>
      </c>
      <c r="G1036" s="23">
        <v>0.08</v>
      </c>
      <c r="H1036" s="1"/>
      <c r="I1036" s="1"/>
      <c r="J1036" s="2"/>
      <c r="K1036" s="2"/>
      <c r="L1036" s="53"/>
      <c r="M1036" s="12"/>
      <c r="N1036" s="2"/>
      <c r="O1036" s="2"/>
    </row>
    <row r="1037" ht="15.75" customHeight="1">
      <c r="A1037" s="1" t="s">
        <v>1225</v>
      </c>
      <c r="B1037" s="63" t="s">
        <v>419</v>
      </c>
      <c r="C1037" s="63" t="s">
        <v>1222</v>
      </c>
      <c r="D1037" s="24">
        <v>2.5E7</v>
      </c>
      <c r="E1037" s="69">
        <v>0.9140540368</v>
      </c>
      <c r="F1037" s="23">
        <v>2.285135092E7</v>
      </c>
      <c r="G1037" s="23">
        <v>0.05</v>
      </c>
      <c r="H1037" s="1"/>
      <c r="I1037" s="1"/>
      <c r="J1037" s="2"/>
      <c r="K1037" s="2"/>
      <c r="L1037" s="53"/>
      <c r="M1037" s="12"/>
      <c r="N1037" s="2"/>
      <c r="O1037" s="2"/>
    </row>
    <row r="1038" ht="15.75" customHeight="1">
      <c r="A1038" s="1" t="s">
        <v>1226</v>
      </c>
      <c r="B1038" s="63" t="s">
        <v>148</v>
      </c>
      <c r="C1038" s="63" t="s">
        <v>1222</v>
      </c>
      <c r="D1038" s="23">
        <v>2.434134953E7</v>
      </c>
      <c r="E1038" s="69">
        <v>0.9702286728</v>
      </c>
      <c r="F1038" s="23">
        <v>2.361667525E7</v>
      </c>
      <c r="G1038" s="23">
        <v>0.05</v>
      </c>
      <c r="H1038" s="1"/>
      <c r="I1038" s="1"/>
      <c r="J1038" s="2"/>
      <c r="K1038" s="2"/>
      <c r="L1038" s="53"/>
      <c r="M1038" s="12"/>
      <c r="N1038" s="2"/>
      <c r="O1038" s="2"/>
    </row>
    <row r="1039" ht="15.75" customHeight="1">
      <c r="A1039" s="1" t="s">
        <v>1227</v>
      </c>
      <c r="B1039" s="63" t="s">
        <v>341</v>
      </c>
      <c r="C1039" s="63" t="s">
        <v>1222</v>
      </c>
      <c r="D1039" s="24">
        <v>2.5E7</v>
      </c>
      <c r="E1039" s="70">
        <v>0.964078362</v>
      </c>
      <c r="F1039" s="23">
        <v>2.410195905E7</v>
      </c>
      <c r="G1039" s="23">
        <v>0.05</v>
      </c>
      <c r="H1039" s="1"/>
      <c r="I1039" s="1"/>
      <c r="J1039" s="2"/>
      <c r="K1039" s="2"/>
      <c r="L1039" s="53"/>
      <c r="M1039" s="12"/>
      <c r="N1039" s="2"/>
      <c r="O1039" s="2"/>
    </row>
    <row r="1040" ht="15.75" customHeight="1">
      <c r="A1040" s="1" t="s">
        <v>1228</v>
      </c>
      <c r="B1040" s="63" t="s">
        <v>219</v>
      </c>
      <c r="C1040" s="63" t="s">
        <v>1222</v>
      </c>
      <c r="D1040" s="24">
        <v>2.5E7</v>
      </c>
      <c r="E1040" s="69">
        <v>0.9590121903</v>
      </c>
      <c r="F1040" s="23">
        <v>2.397530476E7</v>
      </c>
      <c r="G1040" s="23">
        <v>0.05</v>
      </c>
      <c r="H1040" s="1"/>
      <c r="I1040" s="1"/>
      <c r="J1040" s="2"/>
      <c r="K1040" s="2"/>
      <c r="L1040" s="53"/>
      <c r="M1040" s="12"/>
      <c r="N1040" s="2"/>
      <c r="O1040" s="2"/>
    </row>
    <row r="1041" ht="15.75" customHeight="1">
      <c r="A1041" s="1" t="s">
        <v>1229</v>
      </c>
      <c r="B1041" s="63" t="s">
        <v>414</v>
      </c>
      <c r="C1041" s="63" t="s">
        <v>1230</v>
      </c>
      <c r="D1041" s="24">
        <v>8.0E8</v>
      </c>
      <c r="E1041" s="69">
        <v>0.9148099399</v>
      </c>
      <c r="F1041" s="23">
        <v>7.3184795192E8</v>
      </c>
      <c r="G1041" s="29">
        <v>1.5</v>
      </c>
      <c r="H1041" s="1"/>
      <c r="I1041" s="1"/>
      <c r="J1041" s="2"/>
      <c r="K1041" s="2"/>
      <c r="L1041" s="53"/>
      <c r="M1041" s="12"/>
      <c r="N1041" s="2"/>
      <c r="O1041" s="2"/>
    </row>
    <row r="1042" ht="15.75" customHeight="1">
      <c r="A1042" s="1" t="s">
        <v>1231</v>
      </c>
      <c r="B1042" s="63" t="s">
        <v>414</v>
      </c>
      <c r="C1042" s="63" t="s">
        <v>1230</v>
      </c>
      <c r="D1042" s="24">
        <v>6.5E8</v>
      </c>
      <c r="E1042" s="69">
        <v>0.9148099399</v>
      </c>
      <c r="F1042" s="23">
        <v>5.9462646094E8</v>
      </c>
      <c r="G1042" s="23">
        <v>1.22</v>
      </c>
      <c r="H1042" s="1"/>
      <c r="I1042" s="1"/>
      <c r="J1042" s="2"/>
      <c r="K1042" s="2"/>
      <c r="L1042" s="53"/>
      <c r="M1042" s="12"/>
      <c r="N1042" s="2"/>
      <c r="O1042" s="2"/>
    </row>
    <row r="1043" ht="15.75" customHeight="1">
      <c r="A1043" s="1" t="s">
        <v>1232</v>
      </c>
      <c r="B1043" s="63" t="s">
        <v>297</v>
      </c>
      <c r="C1043" s="63" t="s">
        <v>1230</v>
      </c>
      <c r="D1043" s="24">
        <v>1.5E7</v>
      </c>
      <c r="E1043" s="69">
        <v>0.9559979636</v>
      </c>
      <c r="F1043" s="23">
        <v>1.433996945E7</v>
      </c>
      <c r="G1043" s="23">
        <v>0.03</v>
      </c>
      <c r="H1043" s="1"/>
      <c r="I1043" s="1"/>
      <c r="J1043" s="2"/>
      <c r="K1043" s="2"/>
      <c r="L1043" s="53"/>
      <c r="M1043" s="12"/>
      <c r="N1043" s="2"/>
      <c r="O1043" s="2"/>
    </row>
    <row r="1044" ht="15.75" customHeight="1">
      <c r="A1044" s="1" t="s">
        <v>1233</v>
      </c>
      <c r="B1044" s="63" t="s">
        <v>223</v>
      </c>
      <c r="C1044" s="63" t="s">
        <v>1230</v>
      </c>
      <c r="D1044" s="24">
        <v>1.5E7</v>
      </c>
      <c r="E1044" s="69">
        <v>0.9516362291</v>
      </c>
      <c r="F1044" s="23">
        <v>1.427454344E7</v>
      </c>
      <c r="G1044" s="23">
        <v>0.03</v>
      </c>
      <c r="H1044" s="1"/>
      <c r="I1044" s="1"/>
      <c r="J1044" s="2"/>
      <c r="K1044" s="2"/>
      <c r="L1044" s="53"/>
      <c r="M1044" s="12"/>
      <c r="N1044" s="2"/>
      <c r="O1044" s="2"/>
    </row>
    <row r="1045" ht="15.75" customHeight="1">
      <c r="A1045" s="1" t="s">
        <v>1234</v>
      </c>
      <c r="B1045" s="63" t="s">
        <v>506</v>
      </c>
      <c r="C1045" s="63" t="s">
        <v>1230</v>
      </c>
      <c r="D1045" s="24">
        <v>1.5E7</v>
      </c>
      <c r="E1045" s="69">
        <v>0.9499024848</v>
      </c>
      <c r="F1045" s="23">
        <v>1.424853727E7</v>
      </c>
      <c r="G1045" s="23">
        <v>0.03</v>
      </c>
      <c r="H1045" s="1"/>
      <c r="I1045" s="1"/>
      <c r="J1045" s="2"/>
      <c r="K1045" s="2"/>
      <c r="L1045" s="53"/>
      <c r="M1045" s="12"/>
      <c r="N1045" s="2"/>
      <c r="O1045" s="2"/>
    </row>
    <row r="1046" ht="15.75" customHeight="1">
      <c r="A1046" s="1" t="s">
        <v>1235</v>
      </c>
      <c r="B1046" s="63" t="s">
        <v>146</v>
      </c>
      <c r="C1046" s="63" t="s">
        <v>1230</v>
      </c>
      <c r="D1046" s="24">
        <v>2.0E7</v>
      </c>
      <c r="E1046" s="69">
        <v>0.9455960754</v>
      </c>
      <c r="F1046" s="23">
        <v>1.891192151E7</v>
      </c>
      <c r="G1046" s="23">
        <v>0.04</v>
      </c>
      <c r="H1046" s="1"/>
      <c r="I1046" s="1"/>
      <c r="J1046" s="2"/>
      <c r="K1046" s="2"/>
      <c r="L1046" s="53"/>
      <c r="M1046" s="12"/>
      <c r="N1046" s="2"/>
      <c r="O1046" s="2"/>
    </row>
    <row r="1047" ht="15.75" customHeight="1">
      <c r="A1047" s="1" t="s">
        <v>1236</v>
      </c>
      <c r="B1047" s="63" t="s">
        <v>148</v>
      </c>
      <c r="C1047" s="63" t="s">
        <v>1230</v>
      </c>
      <c r="D1047" s="24">
        <v>1.49E8</v>
      </c>
      <c r="E1047" s="68">
        <v>0.96611978</v>
      </c>
      <c r="F1047" s="23">
        <v>1.4395184722E8</v>
      </c>
      <c r="G1047" s="23">
        <v>0.29</v>
      </c>
      <c r="H1047" s="1"/>
      <c r="I1047" s="1"/>
      <c r="J1047" s="2"/>
      <c r="K1047" s="2"/>
      <c r="L1047" s="53"/>
      <c r="M1047" s="12"/>
      <c r="N1047" s="2"/>
      <c r="O1047" s="2"/>
    </row>
    <row r="1048" ht="15.75" customHeight="1">
      <c r="A1048" s="1" t="s">
        <v>1237</v>
      </c>
      <c r="B1048" s="63" t="s">
        <v>416</v>
      </c>
      <c r="C1048" s="63" t="s">
        <v>1238</v>
      </c>
      <c r="D1048" s="24">
        <v>4.4E8</v>
      </c>
      <c r="E1048" s="69">
        <v>0.9363297458</v>
      </c>
      <c r="F1048" s="23">
        <v>4.1198508815E8</v>
      </c>
      <c r="G1048" s="23">
        <v>0.84</v>
      </c>
      <c r="H1048" s="1"/>
      <c r="I1048" s="1"/>
      <c r="J1048" s="2"/>
      <c r="K1048" s="2"/>
      <c r="L1048" s="53"/>
      <c r="M1048" s="12"/>
      <c r="N1048" s="2"/>
      <c r="O1048" s="2"/>
    </row>
    <row r="1049" ht="15.75" customHeight="1">
      <c r="A1049" s="1" t="s">
        <v>1239</v>
      </c>
      <c r="B1049" s="63" t="s">
        <v>247</v>
      </c>
      <c r="C1049" s="63" t="s">
        <v>1238</v>
      </c>
      <c r="D1049" s="24">
        <v>2.92E7</v>
      </c>
      <c r="E1049" s="69">
        <v>0.9733334444</v>
      </c>
      <c r="F1049" s="23">
        <v>2.842133658E7</v>
      </c>
      <c r="G1049" s="23">
        <v>0.06</v>
      </c>
      <c r="H1049" s="1"/>
      <c r="I1049" s="1"/>
      <c r="J1049" s="2"/>
      <c r="K1049" s="2"/>
      <c r="L1049" s="53"/>
      <c r="M1049" s="12"/>
      <c r="N1049" s="2"/>
      <c r="O1049" s="2"/>
    </row>
    <row r="1050" ht="15.75" customHeight="1">
      <c r="A1050" s="1" t="s">
        <v>1240</v>
      </c>
      <c r="B1050" s="63" t="s">
        <v>400</v>
      </c>
      <c r="C1050" s="63" t="s">
        <v>1238</v>
      </c>
      <c r="D1050" s="24">
        <v>4.2E7</v>
      </c>
      <c r="E1050" s="69">
        <v>0.9590625879</v>
      </c>
      <c r="F1050" s="23">
        <v>4.028062869E7</v>
      </c>
      <c r="G1050" s="23">
        <v>0.08</v>
      </c>
      <c r="H1050" s="1"/>
      <c r="I1050" s="1"/>
      <c r="J1050" s="2"/>
      <c r="K1050" s="2"/>
      <c r="L1050" s="53"/>
      <c r="M1050" s="12"/>
      <c r="N1050" s="2"/>
      <c r="O1050" s="2"/>
    </row>
    <row r="1051" ht="15.75" customHeight="1">
      <c r="A1051" s="1" t="s">
        <v>1241</v>
      </c>
      <c r="B1051" s="63" t="s">
        <v>157</v>
      </c>
      <c r="C1051" s="63" t="s">
        <v>1238</v>
      </c>
      <c r="D1051" s="24">
        <v>4.2E7</v>
      </c>
      <c r="E1051" s="69">
        <v>0.9581058812</v>
      </c>
      <c r="F1051" s="23">
        <v>4.024044701E7</v>
      </c>
      <c r="G1051" s="23">
        <v>0.08</v>
      </c>
      <c r="H1051" s="1"/>
      <c r="I1051" s="1"/>
      <c r="J1051" s="2"/>
      <c r="K1051" s="2"/>
      <c r="L1051" s="53"/>
      <c r="M1051" s="12"/>
      <c r="N1051" s="2"/>
      <c r="O1051" s="2"/>
    </row>
    <row r="1052" ht="15.75" customHeight="1">
      <c r="A1052" s="1" t="s">
        <v>1242</v>
      </c>
      <c r="B1052" s="63" t="s">
        <v>161</v>
      </c>
      <c r="C1052" s="63" t="s">
        <v>1238</v>
      </c>
      <c r="D1052" s="24">
        <v>4.3E7</v>
      </c>
      <c r="E1052" s="69">
        <v>0.9542982858</v>
      </c>
      <c r="F1052" s="23">
        <v>4.103482629E7</v>
      </c>
      <c r="G1052" s="23">
        <v>0.08</v>
      </c>
      <c r="H1052" s="1"/>
      <c r="I1052" s="1"/>
      <c r="J1052" s="2"/>
      <c r="K1052" s="2"/>
      <c r="L1052" s="53"/>
      <c r="M1052" s="12"/>
      <c r="N1052" s="2"/>
      <c r="O1052" s="2"/>
    </row>
    <row r="1053" ht="15.75" customHeight="1">
      <c r="A1053" s="1" t="s">
        <v>1243</v>
      </c>
      <c r="B1053" s="63" t="s">
        <v>414</v>
      </c>
      <c r="C1053" s="63" t="s">
        <v>1238</v>
      </c>
      <c r="D1053" s="24">
        <v>6.5E8</v>
      </c>
      <c r="E1053" s="69">
        <v>0.9148100036</v>
      </c>
      <c r="F1053" s="23">
        <v>5.9462650234E8</v>
      </c>
      <c r="G1053" s="23">
        <v>1.22</v>
      </c>
      <c r="H1053" s="1"/>
      <c r="I1053" s="1"/>
      <c r="J1053" s="2"/>
      <c r="K1053" s="2"/>
      <c r="L1053" s="53"/>
      <c r="M1053" s="12"/>
      <c r="N1053" s="2"/>
      <c r="O1053" s="2"/>
    </row>
    <row r="1054" ht="15.75" customHeight="1">
      <c r="A1054" s="1" t="s">
        <v>1244</v>
      </c>
      <c r="B1054" s="63" t="s">
        <v>416</v>
      </c>
      <c r="C1054" s="63" t="s">
        <v>1245</v>
      </c>
      <c r="D1054" s="24">
        <v>1.15E8</v>
      </c>
      <c r="E1054" s="69">
        <v>0.9345796681</v>
      </c>
      <c r="F1054" s="23">
        <v>1.0747666183E8</v>
      </c>
      <c r="G1054" s="23">
        <v>0.22</v>
      </c>
      <c r="H1054" s="1"/>
      <c r="I1054" s="1"/>
      <c r="J1054" s="2"/>
      <c r="K1054" s="2"/>
      <c r="L1054" s="53"/>
      <c r="M1054" s="12"/>
      <c r="N1054" s="2"/>
      <c r="O1054" s="2"/>
    </row>
    <row r="1055" ht="15.75" customHeight="1">
      <c r="A1055" s="1" t="s">
        <v>1246</v>
      </c>
      <c r="B1055" s="63" t="s">
        <v>159</v>
      </c>
      <c r="C1055" s="63" t="s">
        <v>1245</v>
      </c>
      <c r="D1055" s="23">
        <v>267293.51</v>
      </c>
      <c r="E1055" s="69">
        <v>0.9886241532</v>
      </c>
      <c r="F1055" s="23">
        <v>264252.82</v>
      </c>
      <c r="G1055" s="24">
        <v>0.0</v>
      </c>
      <c r="H1055" s="1"/>
      <c r="I1055" s="1"/>
      <c r="J1055" s="2"/>
      <c r="K1055" s="2"/>
      <c r="L1055" s="53"/>
      <c r="M1055" s="12"/>
      <c r="N1055" s="2"/>
      <c r="O1055" s="2"/>
    </row>
    <row r="1056" ht="15.75" customHeight="1">
      <c r="A1056" s="1" t="s">
        <v>1247</v>
      </c>
      <c r="B1056" s="63" t="s">
        <v>159</v>
      </c>
      <c r="C1056" s="63" t="s">
        <v>1245</v>
      </c>
      <c r="D1056" s="23">
        <v>992261.57</v>
      </c>
      <c r="E1056" s="69">
        <v>0.9886241285</v>
      </c>
      <c r="F1056" s="23">
        <v>980973.73</v>
      </c>
      <c r="G1056" s="24">
        <v>0.0</v>
      </c>
      <c r="H1056" s="1"/>
      <c r="I1056" s="1"/>
      <c r="J1056" s="2"/>
      <c r="K1056" s="2"/>
      <c r="L1056" s="53"/>
      <c r="M1056" s="12"/>
      <c r="N1056" s="2"/>
      <c r="O1056" s="2"/>
    </row>
    <row r="1057" ht="15.75" customHeight="1">
      <c r="A1057" s="1" t="s">
        <v>1248</v>
      </c>
      <c r="B1057" s="63" t="s">
        <v>228</v>
      </c>
      <c r="C1057" s="63" t="s">
        <v>1245</v>
      </c>
      <c r="D1057" s="23">
        <v>4290614.13</v>
      </c>
      <c r="E1057" s="69">
        <v>0.9952283964</v>
      </c>
      <c r="F1057" s="23">
        <v>4270141.02</v>
      </c>
      <c r="G1057" s="23">
        <v>0.01</v>
      </c>
      <c r="H1057" s="1"/>
      <c r="I1057" s="1"/>
      <c r="J1057" s="2"/>
      <c r="K1057" s="2"/>
      <c r="L1057" s="53"/>
      <c r="M1057" s="12"/>
      <c r="N1057" s="2"/>
      <c r="O1057" s="2"/>
    </row>
    <row r="1058" ht="15.75" customHeight="1">
      <c r="A1058" s="1" t="s">
        <v>1249</v>
      </c>
      <c r="B1058" s="63" t="s">
        <v>228</v>
      </c>
      <c r="C1058" s="63" t="s">
        <v>1245</v>
      </c>
      <c r="D1058" s="23">
        <v>267293.51</v>
      </c>
      <c r="E1058" s="69">
        <v>0.9952283914</v>
      </c>
      <c r="F1058" s="23">
        <v>266018.09</v>
      </c>
      <c r="G1058" s="24">
        <v>0.0</v>
      </c>
      <c r="H1058" s="1"/>
      <c r="I1058" s="1"/>
      <c r="J1058" s="2"/>
      <c r="K1058" s="2"/>
      <c r="L1058" s="53"/>
      <c r="M1058" s="12"/>
      <c r="N1058" s="2"/>
      <c r="O1058" s="2"/>
    </row>
    <row r="1059" ht="15.75" customHeight="1">
      <c r="A1059" s="1" t="s">
        <v>1250</v>
      </c>
      <c r="B1059" s="63" t="s">
        <v>335</v>
      </c>
      <c r="C1059" s="63" t="s">
        <v>1245</v>
      </c>
      <c r="D1059" s="23">
        <v>5511345.05</v>
      </c>
      <c r="E1059" s="69">
        <v>0.9693269627</v>
      </c>
      <c r="F1059" s="23">
        <v>5342295.36</v>
      </c>
      <c r="G1059" s="23">
        <v>0.01</v>
      </c>
      <c r="H1059" s="1"/>
      <c r="I1059" s="1"/>
      <c r="J1059" s="2"/>
      <c r="K1059" s="2"/>
      <c r="L1059" s="53"/>
      <c r="M1059" s="12"/>
      <c r="N1059" s="2"/>
      <c r="O1059" s="2"/>
    </row>
    <row r="1060" ht="15.75" customHeight="1">
      <c r="A1060" s="1" t="s">
        <v>1251</v>
      </c>
      <c r="B1060" s="63" t="s">
        <v>159</v>
      </c>
      <c r="C1060" s="63" t="s">
        <v>1245</v>
      </c>
      <c r="D1060" s="23">
        <v>2052371.88</v>
      </c>
      <c r="E1060" s="69">
        <v>0.9886241278</v>
      </c>
      <c r="F1060" s="23">
        <v>2029024.36</v>
      </c>
      <c r="G1060" s="24">
        <v>0.0</v>
      </c>
      <c r="H1060" s="1"/>
      <c r="I1060" s="1"/>
      <c r="J1060" s="2"/>
      <c r="K1060" s="2"/>
      <c r="L1060" s="53"/>
      <c r="M1060" s="12"/>
      <c r="N1060" s="2"/>
      <c r="O1060" s="2"/>
    </row>
    <row r="1061" ht="15.75" customHeight="1">
      <c r="A1061" s="1" t="s">
        <v>1252</v>
      </c>
      <c r="B1061" s="63" t="s">
        <v>185</v>
      </c>
      <c r="C1061" s="63" t="s">
        <v>1245</v>
      </c>
      <c r="D1061" s="23">
        <v>2501996.42</v>
      </c>
      <c r="E1061" s="69">
        <v>0.9821069369</v>
      </c>
      <c r="F1061" s="23">
        <v>2457228.04</v>
      </c>
      <c r="G1061" s="23">
        <v>0.01</v>
      </c>
      <c r="H1061" s="1"/>
      <c r="I1061" s="1"/>
      <c r="J1061" s="2"/>
      <c r="K1061" s="2"/>
      <c r="L1061" s="53"/>
      <c r="M1061" s="12"/>
      <c r="N1061" s="2"/>
      <c r="O1061" s="2"/>
    </row>
    <row r="1062" ht="15.75" customHeight="1">
      <c r="A1062" s="1" t="s">
        <v>1253</v>
      </c>
      <c r="B1062" s="63" t="s">
        <v>289</v>
      </c>
      <c r="C1062" s="63" t="s">
        <v>1245</v>
      </c>
      <c r="D1062" s="24">
        <v>4.2E7</v>
      </c>
      <c r="E1062" s="69">
        <v>0.9355137951</v>
      </c>
      <c r="F1062" s="23">
        <v>3.929157939E7</v>
      </c>
      <c r="G1062" s="23">
        <v>0.08</v>
      </c>
      <c r="H1062" s="1"/>
      <c r="I1062" s="1"/>
      <c r="J1062" s="2"/>
      <c r="K1062" s="2"/>
      <c r="L1062" s="53"/>
      <c r="M1062" s="12"/>
      <c r="N1062" s="2"/>
      <c r="O1062" s="2"/>
    </row>
    <row r="1063" ht="15.75" customHeight="1">
      <c r="A1063" s="1" t="s">
        <v>1254</v>
      </c>
      <c r="B1063" s="63" t="s">
        <v>204</v>
      </c>
      <c r="C1063" s="63" t="s">
        <v>1245</v>
      </c>
      <c r="D1063" s="24">
        <v>5000000.0</v>
      </c>
      <c r="E1063" s="69">
        <v>0.9432500123</v>
      </c>
      <c r="F1063" s="23">
        <v>4716250.06</v>
      </c>
      <c r="G1063" s="23">
        <v>0.01</v>
      </c>
      <c r="H1063" s="1"/>
      <c r="I1063" s="1"/>
      <c r="J1063" s="2"/>
      <c r="K1063" s="2"/>
      <c r="L1063" s="53"/>
      <c r="M1063" s="12"/>
      <c r="N1063" s="2"/>
      <c r="O1063" s="2"/>
    </row>
    <row r="1064" ht="15.75" customHeight="1">
      <c r="A1064" s="1" t="s">
        <v>1255</v>
      </c>
      <c r="B1064" s="63" t="s">
        <v>271</v>
      </c>
      <c r="C1064" s="63" t="s">
        <v>1245</v>
      </c>
      <c r="D1064" s="24">
        <v>6000000.0</v>
      </c>
      <c r="E1064" s="69">
        <v>0.9414983111</v>
      </c>
      <c r="F1064" s="23">
        <v>5648989.87</v>
      </c>
      <c r="G1064" s="23">
        <v>0.01</v>
      </c>
      <c r="H1064" s="1"/>
      <c r="I1064" s="1"/>
      <c r="J1064" s="2"/>
      <c r="K1064" s="2"/>
      <c r="L1064" s="53"/>
      <c r="M1064" s="12"/>
      <c r="N1064" s="2"/>
      <c r="O1064" s="2"/>
    </row>
    <row r="1065" ht="15.75" customHeight="1">
      <c r="A1065" s="1" t="s">
        <v>1256</v>
      </c>
      <c r="B1065" s="63" t="s">
        <v>150</v>
      </c>
      <c r="C1065" s="63" t="s">
        <v>1245</v>
      </c>
      <c r="D1065" s="24">
        <v>6.0E7</v>
      </c>
      <c r="E1065" s="70">
        <v>0.978290094</v>
      </c>
      <c r="F1065" s="23">
        <v>5.869740564E7</v>
      </c>
      <c r="G1065" s="23">
        <v>0.12</v>
      </c>
      <c r="H1065" s="1"/>
      <c r="I1065" s="1"/>
      <c r="J1065" s="2"/>
      <c r="K1065" s="2"/>
      <c r="L1065" s="53"/>
      <c r="M1065" s="12"/>
      <c r="N1065" s="2"/>
      <c r="O1065" s="2"/>
    </row>
    <row r="1066" ht="15.75" customHeight="1">
      <c r="A1066" s="1" t="s">
        <v>1257</v>
      </c>
      <c r="B1066" s="63" t="s">
        <v>175</v>
      </c>
      <c r="C1066" s="63" t="s">
        <v>1245</v>
      </c>
      <c r="D1066" s="24">
        <v>3.0E7</v>
      </c>
      <c r="E1066" s="69">
        <v>0.9756751065</v>
      </c>
      <c r="F1066" s="29">
        <v>2.92702532E7</v>
      </c>
      <c r="G1066" s="23">
        <v>0.06</v>
      </c>
      <c r="H1066" s="1"/>
      <c r="I1066" s="1"/>
      <c r="J1066" s="2"/>
      <c r="K1066" s="2"/>
      <c r="L1066" s="53"/>
      <c r="M1066" s="12"/>
      <c r="N1066" s="2"/>
      <c r="O1066" s="2"/>
    </row>
    <row r="1067" ht="15.75" customHeight="1">
      <c r="A1067" s="1" t="s">
        <v>1258</v>
      </c>
      <c r="B1067" s="63" t="s">
        <v>315</v>
      </c>
      <c r="C1067" s="63" t="s">
        <v>1245</v>
      </c>
      <c r="D1067" s="24">
        <v>3.0E7</v>
      </c>
      <c r="E1067" s="69">
        <v>0.9396320129</v>
      </c>
      <c r="F1067" s="23">
        <v>2.818896039E7</v>
      </c>
      <c r="G1067" s="23">
        <v>0.06</v>
      </c>
      <c r="H1067" s="1"/>
      <c r="I1067" s="1"/>
      <c r="J1067" s="2"/>
      <c r="K1067" s="2"/>
      <c r="L1067" s="53"/>
      <c r="M1067" s="12"/>
      <c r="N1067" s="2"/>
      <c r="O1067" s="2"/>
    </row>
    <row r="1068" ht="15.75" customHeight="1">
      <c r="A1068" s="1" t="s">
        <v>1259</v>
      </c>
      <c r="B1068" s="63" t="s">
        <v>247</v>
      </c>
      <c r="C1068" s="63" t="s">
        <v>1245</v>
      </c>
      <c r="D1068" s="24">
        <v>3.0E7</v>
      </c>
      <c r="E1068" s="69">
        <v>0.9630606891</v>
      </c>
      <c r="F1068" s="23">
        <v>2.889182067E7</v>
      </c>
      <c r="G1068" s="23">
        <v>0.06</v>
      </c>
      <c r="H1068" s="1"/>
      <c r="I1068" s="1"/>
      <c r="J1068" s="2"/>
      <c r="K1068" s="2"/>
      <c r="L1068" s="53"/>
      <c r="M1068" s="12"/>
      <c r="N1068" s="2"/>
      <c r="O1068" s="2"/>
    </row>
    <row r="1069" ht="15.75" customHeight="1">
      <c r="A1069" s="1" t="s">
        <v>1260</v>
      </c>
      <c r="B1069" s="63" t="s">
        <v>247</v>
      </c>
      <c r="C1069" s="63" t="s">
        <v>1245</v>
      </c>
      <c r="D1069" s="24">
        <v>2.0E7</v>
      </c>
      <c r="E1069" s="69">
        <v>0.9630606891</v>
      </c>
      <c r="F1069" s="23">
        <v>1.926121378E7</v>
      </c>
      <c r="G1069" s="23">
        <v>0.04</v>
      </c>
      <c r="H1069" s="1"/>
      <c r="I1069" s="1"/>
      <c r="J1069" s="2"/>
      <c r="K1069" s="2"/>
      <c r="L1069" s="53"/>
      <c r="M1069" s="12"/>
      <c r="N1069" s="2"/>
      <c r="O1069" s="2"/>
    </row>
    <row r="1070" ht="15.75" customHeight="1">
      <c r="A1070" s="1" t="s">
        <v>1261</v>
      </c>
      <c r="B1070" s="63" t="s">
        <v>161</v>
      </c>
      <c r="C1070" s="63" t="s">
        <v>1245</v>
      </c>
      <c r="D1070" s="24">
        <v>5.0E7</v>
      </c>
      <c r="E1070" s="69">
        <v>0.9577539513</v>
      </c>
      <c r="F1070" s="23">
        <v>4.788769757E7</v>
      </c>
      <c r="G1070" s="29">
        <v>0.1</v>
      </c>
      <c r="H1070" s="1"/>
      <c r="I1070" s="1"/>
      <c r="J1070" s="2"/>
      <c r="K1070" s="2"/>
      <c r="L1070" s="53"/>
      <c r="M1070" s="12"/>
      <c r="N1070" s="2"/>
      <c r="O1070" s="2"/>
    </row>
    <row r="1071" ht="15.75" customHeight="1">
      <c r="A1071" s="1" t="s">
        <v>1262</v>
      </c>
      <c r="B1071" s="63" t="s">
        <v>549</v>
      </c>
      <c r="C1071" s="63" t="s">
        <v>1245</v>
      </c>
      <c r="D1071" s="23">
        <v>4190169.08</v>
      </c>
      <c r="E1071" s="69">
        <v>0.9658129812</v>
      </c>
      <c r="F1071" s="23">
        <v>4046919.69</v>
      </c>
      <c r="G1071" s="23">
        <v>0.01</v>
      </c>
      <c r="H1071" s="1"/>
      <c r="I1071" s="1"/>
      <c r="J1071" s="2"/>
      <c r="K1071" s="2"/>
      <c r="L1071" s="53"/>
      <c r="M1071" s="12"/>
      <c r="N1071" s="2"/>
      <c r="O1071" s="2"/>
    </row>
    <row r="1072" ht="15.75" customHeight="1">
      <c r="A1072" s="1" t="s">
        <v>1263</v>
      </c>
      <c r="B1072" s="63" t="s">
        <v>159</v>
      </c>
      <c r="C1072" s="63" t="s">
        <v>1245</v>
      </c>
      <c r="D1072" s="24">
        <v>579362.0</v>
      </c>
      <c r="E1072" s="69">
        <v>0.9918478947</v>
      </c>
      <c r="F1072" s="23">
        <v>574638.98</v>
      </c>
      <c r="G1072" s="24">
        <v>0.0</v>
      </c>
      <c r="H1072" s="1"/>
      <c r="I1072" s="1"/>
      <c r="J1072" s="2"/>
      <c r="K1072" s="2"/>
      <c r="L1072" s="53"/>
      <c r="M1072" s="12"/>
      <c r="N1072" s="2"/>
      <c r="O1072" s="2"/>
    </row>
    <row r="1073" ht="15.75" customHeight="1">
      <c r="A1073" s="1" t="s">
        <v>1264</v>
      </c>
      <c r="B1073" s="63" t="s">
        <v>1068</v>
      </c>
      <c r="C1073" s="63" t="s">
        <v>1245</v>
      </c>
      <c r="D1073" s="24">
        <v>4000000.0</v>
      </c>
      <c r="E1073" s="69">
        <v>0.8695861309</v>
      </c>
      <c r="F1073" s="23">
        <v>3478344.52</v>
      </c>
      <c r="G1073" s="23">
        <v>0.01</v>
      </c>
      <c r="H1073" s="1"/>
      <c r="I1073" s="1"/>
      <c r="J1073" s="2"/>
      <c r="K1073" s="2"/>
      <c r="L1073" s="53"/>
      <c r="M1073" s="12"/>
      <c r="N1073" s="2"/>
      <c r="O1073" s="2"/>
    </row>
    <row r="1074" ht="15.75" customHeight="1">
      <c r="A1074" s="1" t="s">
        <v>1265</v>
      </c>
      <c r="B1074" s="63" t="s">
        <v>247</v>
      </c>
      <c r="C1074" s="63" t="s">
        <v>1245</v>
      </c>
      <c r="D1074" s="24">
        <v>4000000.0</v>
      </c>
      <c r="E1074" s="69">
        <v>0.9640781828</v>
      </c>
      <c r="F1074" s="23">
        <v>3856312.73</v>
      </c>
      <c r="G1074" s="23">
        <v>0.01</v>
      </c>
      <c r="H1074" s="1"/>
      <c r="I1074" s="1"/>
      <c r="J1074" s="2"/>
      <c r="K1074" s="2"/>
      <c r="L1074" s="53"/>
      <c r="M1074" s="12"/>
      <c r="N1074" s="2"/>
      <c r="O1074" s="2"/>
    </row>
    <row r="1075" ht="15.75" customHeight="1">
      <c r="A1075" s="1" t="s">
        <v>1266</v>
      </c>
      <c r="B1075" s="63" t="s">
        <v>445</v>
      </c>
      <c r="C1075" s="63" t="s">
        <v>1245</v>
      </c>
      <c r="D1075" s="24">
        <v>4000000.0</v>
      </c>
      <c r="E1075" s="69">
        <v>0.8905047243</v>
      </c>
      <c r="F1075" s="29">
        <v>3562018.9</v>
      </c>
      <c r="G1075" s="23">
        <v>0.01</v>
      </c>
      <c r="H1075" s="1"/>
      <c r="I1075" s="1"/>
      <c r="J1075" s="2"/>
      <c r="K1075" s="2"/>
      <c r="L1075" s="53"/>
      <c r="M1075" s="12"/>
      <c r="N1075" s="2"/>
      <c r="O1075" s="2"/>
    </row>
    <row r="1076" ht="15.75" customHeight="1">
      <c r="A1076" s="1" t="s">
        <v>1267</v>
      </c>
      <c r="B1076" s="63" t="s">
        <v>419</v>
      </c>
      <c r="C1076" s="63" t="s">
        <v>1245</v>
      </c>
      <c r="D1076" s="24">
        <v>4000000.0</v>
      </c>
      <c r="E1076" s="69">
        <v>0.9116795998</v>
      </c>
      <c r="F1076" s="29">
        <v>3646718.4</v>
      </c>
      <c r="G1076" s="23">
        <v>0.01</v>
      </c>
      <c r="H1076" s="1"/>
      <c r="I1076" s="1"/>
      <c r="J1076" s="2"/>
      <c r="K1076" s="2"/>
      <c r="L1076" s="53"/>
      <c r="M1076" s="12"/>
      <c r="N1076" s="2"/>
      <c r="O1076" s="2"/>
    </row>
    <row r="1077" ht="15.75" customHeight="1">
      <c r="A1077" s="1" t="s">
        <v>1268</v>
      </c>
      <c r="B1077" s="63" t="s">
        <v>1269</v>
      </c>
      <c r="C1077" s="63" t="s">
        <v>1245</v>
      </c>
      <c r="D1077" s="24">
        <v>4000000.0</v>
      </c>
      <c r="E1077" s="69">
        <v>0.8612147967</v>
      </c>
      <c r="F1077" s="23">
        <v>3444859.19</v>
      </c>
      <c r="G1077" s="23">
        <v>0.01</v>
      </c>
      <c r="H1077" s="1"/>
      <c r="I1077" s="1"/>
      <c r="J1077" s="2"/>
      <c r="K1077" s="2"/>
      <c r="L1077" s="53"/>
      <c r="M1077" s="12"/>
      <c r="N1077" s="2"/>
      <c r="O1077" s="2"/>
    </row>
    <row r="1078" ht="15.75" customHeight="1">
      <c r="A1078" s="1" t="s">
        <v>1270</v>
      </c>
      <c r="B1078" s="63" t="s">
        <v>1073</v>
      </c>
      <c r="C1078" s="63" t="s">
        <v>1245</v>
      </c>
      <c r="D1078" s="24">
        <v>4000000.0</v>
      </c>
      <c r="E1078" s="69">
        <v>0.8802819133</v>
      </c>
      <c r="F1078" s="23">
        <v>3521127.65</v>
      </c>
      <c r="G1078" s="23">
        <v>0.01</v>
      </c>
      <c r="H1078" s="1"/>
      <c r="I1078" s="1"/>
      <c r="J1078" s="2"/>
      <c r="K1078" s="2"/>
      <c r="L1078" s="53"/>
      <c r="M1078" s="12"/>
      <c r="N1078" s="2"/>
      <c r="O1078" s="2"/>
    </row>
    <row r="1079" ht="15.75" customHeight="1">
      <c r="A1079" s="1" t="s">
        <v>1271</v>
      </c>
      <c r="B1079" s="63" t="s">
        <v>414</v>
      </c>
      <c r="C1079" s="63" t="s">
        <v>1272</v>
      </c>
      <c r="D1079" s="24">
        <v>4.0E7</v>
      </c>
      <c r="E1079" s="69">
        <v>0.9341010926</v>
      </c>
      <c r="F1079" s="29">
        <v>3.73640437E7</v>
      </c>
      <c r="G1079" s="23">
        <v>0.08</v>
      </c>
      <c r="H1079" s="1"/>
      <c r="I1079" s="1"/>
      <c r="J1079" s="2"/>
      <c r="K1079" s="2"/>
      <c r="L1079" s="53"/>
      <c r="M1079" s="12"/>
      <c r="N1079" s="2"/>
      <c r="O1079" s="2"/>
    </row>
    <row r="1080" ht="15.75" customHeight="1">
      <c r="A1080" s="1" t="s">
        <v>1273</v>
      </c>
      <c r="B1080" s="63" t="s">
        <v>1132</v>
      </c>
      <c r="C1080" s="63" t="s">
        <v>1272</v>
      </c>
      <c r="D1080" s="24">
        <v>4.0E7</v>
      </c>
      <c r="E1080" s="69">
        <v>0.9291315435</v>
      </c>
      <c r="F1080" s="23">
        <v>3.716526174E7</v>
      </c>
      <c r="G1080" s="23">
        <v>0.08</v>
      </c>
      <c r="H1080" s="1"/>
      <c r="I1080" s="1"/>
      <c r="J1080" s="2"/>
      <c r="K1080" s="2"/>
      <c r="L1080" s="53"/>
      <c r="M1080" s="12"/>
      <c r="N1080" s="2"/>
      <c r="O1080" s="2"/>
    </row>
    <row r="1081" ht="15.75" customHeight="1">
      <c r="A1081" s="1" t="s">
        <v>1274</v>
      </c>
      <c r="B1081" s="63" t="s">
        <v>430</v>
      </c>
      <c r="C1081" s="63" t="s">
        <v>1272</v>
      </c>
      <c r="D1081" s="24">
        <v>4.0E7</v>
      </c>
      <c r="E1081" s="69">
        <v>0.9283752474</v>
      </c>
      <c r="F1081" s="29">
        <v>3.71350099E7</v>
      </c>
      <c r="G1081" s="23">
        <v>0.08</v>
      </c>
      <c r="H1081" s="1"/>
      <c r="I1081" s="1"/>
      <c r="J1081" s="2"/>
      <c r="K1081" s="2"/>
      <c r="L1081" s="53"/>
      <c r="M1081" s="12"/>
      <c r="N1081" s="2"/>
      <c r="O1081" s="2"/>
    </row>
    <row r="1082" ht="15.75" customHeight="1">
      <c r="A1082" s="1" t="s">
        <v>1275</v>
      </c>
      <c r="B1082" s="63" t="s">
        <v>115</v>
      </c>
      <c r="C1082" s="63" t="s">
        <v>1272</v>
      </c>
      <c r="D1082" s="24">
        <v>4.0E7</v>
      </c>
      <c r="E1082" s="69">
        <v>0.9276204024</v>
      </c>
      <c r="F1082" s="29">
        <v>3.71048161E7</v>
      </c>
      <c r="G1082" s="23">
        <v>0.08</v>
      </c>
      <c r="H1082" s="1"/>
      <c r="I1082" s="1"/>
      <c r="J1082" s="2"/>
      <c r="K1082" s="2"/>
      <c r="L1082" s="53"/>
      <c r="M1082" s="12"/>
      <c r="N1082" s="2"/>
      <c r="O1082" s="2"/>
    </row>
    <row r="1083" ht="15.75" customHeight="1">
      <c r="A1083" s="1" t="s">
        <v>1276</v>
      </c>
      <c r="B1083" s="63" t="s">
        <v>419</v>
      </c>
      <c r="C1083" s="63" t="s">
        <v>1272</v>
      </c>
      <c r="D1083" s="23">
        <v>1.447989968E7</v>
      </c>
      <c r="E1083" s="69">
        <v>0.9164408625</v>
      </c>
      <c r="F1083" s="23">
        <v>1.326997175E7</v>
      </c>
      <c r="G1083" s="23">
        <v>0.03</v>
      </c>
      <c r="H1083" s="1"/>
      <c r="I1083" s="1"/>
      <c r="J1083" s="2"/>
      <c r="K1083" s="2"/>
      <c r="L1083" s="53"/>
      <c r="M1083" s="12"/>
      <c r="N1083" s="2"/>
      <c r="O1083" s="2"/>
    </row>
    <row r="1084" ht="15.75" customHeight="1">
      <c r="A1084" s="1" t="s">
        <v>1277</v>
      </c>
      <c r="B1084" s="63" t="s">
        <v>414</v>
      </c>
      <c r="C1084" s="63" t="s">
        <v>1272</v>
      </c>
      <c r="D1084" s="23">
        <v>1.447989968E7</v>
      </c>
      <c r="E1084" s="69">
        <v>0.9171776129</v>
      </c>
      <c r="F1084" s="23">
        <v>1.328063982E7</v>
      </c>
      <c r="G1084" s="23">
        <v>0.03</v>
      </c>
      <c r="H1084" s="1"/>
      <c r="I1084" s="1"/>
      <c r="J1084" s="2"/>
      <c r="K1084" s="2"/>
      <c r="L1084" s="53"/>
      <c r="M1084" s="12"/>
      <c r="N1084" s="2"/>
      <c r="O1084" s="2"/>
    </row>
    <row r="1085" ht="15.75" customHeight="1">
      <c r="A1085" s="1" t="s">
        <v>1278</v>
      </c>
      <c r="B1085" s="63" t="s">
        <v>357</v>
      </c>
      <c r="C1085" s="63" t="s">
        <v>1272</v>
      </c>
      <c r="D1085" s="23">
        <v>1.447989969E7</v>
      </c>
      <c r="E1085" s="69">
        <v>0.9223695624</v>
      </c>
      <c r="F1085" s="23">
        <v>1.335581874E7</v>
      </c>
      <c r="G1085" s="23">
        <v>0.03</v>
      </c>
      <c r="H1085" s="1"/>
      <c r="I1085" s="1"/>
      <c r="J1085" s="2"/>
      <c r="K1085" s="2"/>
      <c r="L1085" s="53"/>
      <c r="M1085" s="12"/>
      <c r="N1085" s="2"/>
      <c r="O1085" s="2"/>
    </row>
    <row r="1086" ht="15.75" customHeight="1">
      <c r="A1086" s="1" t="s">
        <v>1279</v>
      </c>
      <c r="B1086" s="63" t="s">
        <v>352</v>
      </c>
      <c r="C1086" s="63" t="s">
        <v>1272</v>
      </c>
      <c r="D1086" s="23">
        <v>1.447989968E7</v>
      </c>
      <c r="E1086" s="69">
        <v>0.9216242274</v>
      </c>
      <c r="F1086" s="23">
        <v>1.334502636E7</v>
      </c>
      <c r="G1086" s="23">
        <v>0.03</v>
      </c>
      <c r="H1086" s="1"/>
      <c r="I1086" s="1"/>
      <c r="J1086" s="2"/>
      <c r="K1086" s="2"/>
      <c r="L1086" s="53"/>
      <c r="M1086" s="12"/>
      <c r="N1086" s="2"/>
      <c r="O1086" s="2"/>
    </row>
    <row r="1087" ht="15.75" customHeight="1">
      <c r="A1087" s="1" t="s">
        <v>1280</v>
      </c>
      <c r="B1087" s="63" t="s">
        <v>465</v>
      </c>
      <c r="C1087" s="63" t="s">
        <v>1272</v>
      </c>
      <c r="D1087" s="23">
        <v>1.447989968E7</v>
      </c>
      <c r="E1087" s="69">
        <v>0.9208800969</v>
      </c>
      <c r="F1087" s="23">
        <v>1.333425142E7</v>
      </c>
      <c r="G1087" s="23">
        <v>0.03</v>
      </c>
      <c r="H1087" s="1"/>
      <c r="I1087" s="1"/>
      <c r="J1087" s="2"/>
      <c r="K1087" s="2"/>
      <c r="L1087" s="53"/>
      <c r="M1087" s="12"/>
      <c r="N1087" s="2"/>
      <c r="O1087" s="2"/>
    </row>
    <row r="1088" ht="15.75" customHeight="1">
      <c r="A1088" s="1" t="s">
        <v>1281</v>
      </c>
      <c r="B1088" s="63" t="s">
        <v>769</v>
      </c>
      <c r="C1088" s="63" t="s">
        <v>1272</v>
      </c>
      <c r="D1088" s="23">
        <v>1.447989968E7</v>
      </c>
      <c r="E1088" s="69">
        <v>0.9179157709</v>
      </c>
      <c r="F1088" s="23">
        <v>1.329132828E7</v>
      </c>
      <c r="G1088" s="23">
        <v>0.03</v>
      </c>
      <c r="H1088" s="1"/>
      <c r="I1088" s="1"/>
      <c r="J1088" s="2"/>
      <c r="K1088" s="2"/>
      <c r="L1088" s="53"/>
      <c r="M1088" s="12"/>
      <c r="N1088" s="2"/>
      <c r="O1088" s="2"/>
    </row>
    <row r="1089" ht="15.75" customHeight="1">
      <c r="A1089" s="1" t="s">
        <v>1282</v>
      </c>
      <c r="B1089" s="63" t="s">
        <v>1079</v>
      </c>
      <c r="C1089" s="63" t="s">
        <v>1272</v>
      </c>
      <c r="D1089" s="24">
        <v>3517425.0</v>
      </c>
      <c r="E1089" s="69">
        <v>0.9026611187</v>
      </c>
      <c r="F1089" s="23">
        <v>3175042.79</v>
      </c>
      <c r="G1089" s="23">
        <v>0.01</v>
      </c>
      <c r="H1089" s="1"/>
      <c r="I1089" s="1"/>
      <c r="J1089" s="2"/>
      <c r="K1089" s="2"/>
      <c r="L1089" s="53"/>
      <c r="M1089" s="12"/>
      <c r="N1089" s="2"/>
      <c r="O1089" s="2"/>
    </row>
    <row r="1090" ht="15.75" customHeight="1">
      <c r="A1090" s="1" t="s">
        <v>1283</v>
      </c>
      <c r="B1090" s="63" t="s">
        <v>419</v>
      </c>
      <c r="C1090" s="63" t="s">
        <v>1272</v>
      </c>
      <c r="D1090" s="24">
        <v>3413365.0</v>
      </c>
      <c r="E1090" s="69">
        <v>0.9164408577</v>
      </c>
      <c r="F1090" s="23">
        <v>3128147.15</v>
      </c>
      <c r="G1090" s="23">
        <v>0.01</v>
      </c>
      <c r="H1090" s="1"/>
      <c r="I1090" s="1"/>
      <c r="J1090" s="2"/>
      <c r="K1090" s="2"/>
      <c r="L1090" s="53"/>
      <c r="M1090" s="12"/>
      <c r="N1090" s="2"/>
      <c r="O1090" s="2"/>
    </row>
    <row r="1091" ht="15.75" customHeight="1">
      <c r="A1091" s="1" t="s">
        <v>1284</v>
      </c>
      <c r="B1091" s="63" t="s">
        <v>146</v>
      </c>
      <c r="C1091" s="63" t="s">
        <v>1272</v>
      </c>
      <c r="D1091" s="29">
        <v>2.22666549E7</v>
      </c>
      <c r="E1091" s="69">
        <v>0.9500262002</v>
      </c>
      <c r="F1091" s="23">
        <v>2.115390555E7</v>
      </c>
      <c r="G1091" s="23">
        <v>0.04</v>
      </c>
      <c r="H1091" s="1"/>
      <c r="I1091" s="1"/>
      <c r="J1091" s="2"/>
      <c r="K1091" s="2"/>
      <c r="L1091" s="53"/>
      <c r="M1091" s="12"/>
      <c r="N1091" s="2"/>
      <c r="O1091" s="2"/>
    </row>
    <row r="1092" ht="15.75" customHeight="1">
      <c r="A1092" s="1" t="s">
        <v>1285</v>
      </c>
      <c r="B1092" s="63" t="s">
        <v>140</v>
      </c>
      <c r="C1092" s="63" t="s">
        <v>1272</v>
      </c>
      <c r="D1092" s="23">
        <v>4190169.08</v>
      </c>
      <c r="E1092" s="69">
        <v>0.9839866701</v>
      </c>
      <c r="F1092" s="23">
        <v>4123070.52</v>
      </c>
      <c r="G1092" s="23">
        <v>0.01</v>
      </c>
      <c r="H1092" s="1"/>
      <c r="I1092" s="1"/>
      <c r="J1092" s="2"/>
      <c r="K1092" s="2"/>
      <c r="L1092" s="53"/>
      <c r="M1092" s="12"/>
      <c r="N1092" s="2"/>
      <c r="O1092" s="2"/>
    </row>
    <row r="1093" ht="15.75" customHeight="1">
      <c r="A1093" s="1" t="s">
        <v>1286</v>
      </c>
      <c r="B1093" s="63" t="s">
        <v>1122</v>
      </c>
      <c r="C1093" s="63" t="s">
        <v>1272</v>
      </c>
      <c r="D1093" s="24">
        <v>1.15E8</v>
      </c>
      <c r="E1093" s="70">
        <v>0.926278512</v>
      </c>
      <c r="F1093" s="23">
        <v>1.0652202888E8</v>
      </c>
      <c r="G1093" s="23">
        <v>0.22</v>
      </c>
      <c r="H1093" s="1"/>
      <c r="I1093" s="1"/>
      <c r="J1093" s="2"/>
      <c r="K1093" s="2"/>
      <c r="L1093" s="53"/>
      <c r="M1093" s="12"/>
      <c r="N1093" s="2"/>
      <c r="O1093" s="2"/>
    </row>
    <row r="1094" ht="15.75" customHeight="1">
      <c r="A1094" s="1" t="s">
        <v>1287</v>
      </c>
      <c r="B1094" s="63" t="s">
        <v>167</v>
      </c>
      <c r="C1094" s="63" t="s">
        <v>1272</v>
      </c>
      <c r="D1094" s="24">
        <v>2.68E8</v>
      </c>
      <c r="E1094" s="69">
        <v>0.9648428629</v>
      </c>
      <c r="F1094" s="23">
        <v>2.5857788726E8</v>
      </c>
      <c r="G1094" s="23">
        <v>0.53</v>
      </c>
      <c r="H1094" s="1"/>
      <c r="I1094" s="1"/>
      <c r="J1094" s="2"/>
      <c r="K1094" s="2"/>
      <c r="L1094" s="53"/>
      <c r="M1094" s="12"/>
      <c r="N1094" s="2"/>
      <c r="O1094" s="2"/>
    </row>
    <row r="1095" ht="15.75" customHeight="1">
      <c r="A1095" s="1" t="s">
        <v>1288</v>
      </c>
      <c r="B1095" s="63" t="s">
        <v>143</v>
      </c>
      <c r="C1095" s="63" t="s">
        <v>1272</v>
      </c>
      <c r="D1095" s="24">
        <v>4.2E7</v>
      </c>
      <c r="E1095" s="69">
        <v>0.9533511822</v>
      </c>
      <c r="F1095" s="23">
        <v>4.004074965E7</v>
      </c>
      <c r="G1095" s="23">
        <v>0.08</v>
      </c>
      <c r="H1095" s="1"/>
      <c r="I1095" s="1"/>
      <c r="J1095" s="2"/>
      <c r="K1095" s="2"/>
      <c r="L1095" s="53"/>
      <c r="M1095" s="12"/>
      <c r="N1095" s="2"/>
      <c r="O1095" s="2"/>
    </row>
    <row r="1096" ht="15.75" customHeight="1">
      <c r="A1096" s="1" t="s">
        <v>1289</v>
      </c>
      <c r="B1096" s="63" t="s">
        <v>297</v>
      </c>
      <c r="C1096" s="63" t="s">
        <v>1272</v>
      </c>
      <c r="D1096" s="24">
        <v>4.04E7</v>
      </c>
      <c r="E1096" s="69">
        <v>0.9524058258</v>
      </c>
      <c r="F1096" s="23">
        <v>3.847719536E7</v>
      </c>
      <c r="G1096" s="23">
        <v>0.08</v>
      </c>
      <c r="H1096" s="1"/>
      <c r="I1096" s="1"/>
      <c r="J1096" s="2"/>
      <c r="K1096" s="2"/>
      <c r="L1096" s="53"/>
      <c r="M1096" s="12"/>
      <c r="N1096" s="2"/>
      <c r="O1096" s="2"/>
    </row>
    <row r="1097" ht="15.75" customHeight="1">
      <c r="A1097" s="1" t="s">
        <v>1290</v>
      </c>
      <c r="B1097" s="63" t="s">
        <v>274</v>
      </c>
      <c r="C1097" s="63" t="s">
        <v>1272</v>
      </c>
      <c r="D1097" s="24">
        <v>4.04E7</v>
      </c>
      <c r="E1097" s="69">
        <v>0.9514625827</v>
      </c>
      <c r="F1097" s="23">
        <v>3.843908834E7</v>
      </c>
      <c r="G1097" s="23">
        <v>0.08</v>
      </c>
      <c r="H1097" s="1"/>
      <c r="I1097" s="1"/>
      <c r="J1097" s="2"/>
      <c r="K1097" s="2"/>
      <c r="L1097" s="53"/>
      <c r="M1097" s="12"/>
      <c r="N1097" s="2"/>
      <c r="O1097" s="2"/>
    </row>
    <row r="1098" ht="15.75" customHeight="1">
      <c r="A1098" s="1" t="s">
        <v>1291</v>
      </c>
      <c r="B1098" s="63" t="s">
        <v>549</v>
      </c>
      <c r="C1098" s="63" t="s">
        <v>1272</v>
      </c>
      <c r="D1098" s="24">
        <v>1.8E7</v>
      </c>
      <c r="E1098" s="69">
        <v>0.9658130414</v>
      </c>
      <c r="F1098" s="23">
        <v>1.738463475E7</v>
      </c>
      <c r="G1098" s="23">
        <v>0.04</v>
      </c>
      <c r="H1098" s="1"/>
      <c r="I1098" s="1"/>
      <c r="J1098" s="2"/>
      <c r="K1098" s="2"/>
      <c r="L1098" s="53"/>
      <c r="M1098" s="12"/>
      <c r="N1098" s="2"/>
      <c r="O1098" s="2"/>
    </row>
    <row r="1099" ht="15.75" customHeight="1">
      <c r="A1099" s="1" t="s">
        <v>1292</v>
      </c>
      <c r="B1099" s="63" t="s">
        <v>170</v>
      </c>
      <c r="C1099" s="63" t="s">
        <v>1272</v>
      </c>
      <c r="D1099" s="24">
        <v>1.0E7</v>
      </c>
      <c r="E1099" s="69">
        <v>0.9844113278</v>
      </c>
      <c r="F1099" s="23">
        <v>9844113.28</v>
      </c>
      <c r="G1099" s="23">
        <v>0.02</v>
      </c>
      <c r="H1099" s="1"/>
      <c r="I1099" s="1"/>
      <c r="J1099" s="2"/>
      <c r="K1099" s="2"/>
      <c r="L1099" s="53"/>
      <c r="M1099" s="12"/>
      <c r="N1099" s="2"/>
      <c r="O1099" s="2"/>
    </row>
    <row r="1100" ht="15.75" customHeight="1">
      <c r="A1100" s="1" t="s">
        <v>1293</v>
      </c>
      <c r="B1100" s="63" t="s">
        <v>132</v>
      </c>
      <c r="C1100" s="63" t="s">
        <v>1272</v>
      </c>
      <c r="D1100" s="24">
        <v>1.0E7</v>
      </c>
      <c r="E1100" s="69">
        <v>0.9719338948</v>
      </c>
      <c r="F1100" s="23">
        <v>9719338.95</v>
      </c>
      <c r="G1100" s="23">
        <v>0.02</v>
      </c>
      <c r="H1100" s="1"/>
      <c r="I1100" s="1"/>
      <c r="J1100" s="2"/>
      <c r="K1100" s="2"/>
      <c r="L1100" s="53"/>
      <c r="M1100" s="12"/>
      <c r="N1100" s="2"/>
      <c r="O1100" s="2"/>
    </row>
    <row r="1101" ht="15.75" customHeight="1">
      <c r="A1101" s="1" t="s">
        <v>1294</v>
      </c>
      <c r="B1101" s="63" t="s">
        <v>185</v>
      </c>
      <c r="C1101" s="63" t="s">
        <v>1272</v>
      </c>
      <c r="D1101" s="24">
        <v>8750000.0</v>
      </c>
      <c r="E1101" s="70">
        <v>0.984623689</v>
      </c>
      <c r="F1101" s="23">
        <v>8615457.28</v>
      </c>
      <c r="G1101" s="23">
        <v>0.02</v>
      </c>
      <c r="H1101" s="1"/>
      <c r="I1101" s="1"/>
      <c r="J1101" s="2"/>
      <c r="K1101" s="2"/>
      <c r="L1101" s="53"/>
      <c r="M1101" s="12"/>
      <c r="N1101" s="2"/>
      <c r="O1101" s="2"/>
    </row>
    <row r="1102" ht="15.75" customHeight="1">
      <c r="A1102" s="1" t="s">
        <v>1295</v>
      </c>
      <c r="B1102" s="63" t="s">
        <v>506</v>
      </c>
      <c r="C1102" s="63" t="s">
        <v>1272</v>
      </c>
      <c r="D1102" s="24">
        <v>8750000.0</v>
      </c>
      <c r="E1102" s="69">
        <v>0.9567497082</v>
      </c>
      <c r="F1102" s="23">
        <v>8371559.95</v>
      </c>
      <c r="G1102" s="23">
        <v>0.02</v>
      </c>
      <c r="H1102" s="1"/>
      <c r="I1102" s="1"/>
      <c r="J1102" s="2"/>
      <c r="K1102" s="2"/>
      <c r="L1102" s="53"/>
      <c r="M1102" s="12"/>
      <c r="N1102" s="2"/>
      <c r="O1102" s="2"/>
    </row>
    <row r="1103" ht="15.75" customHeight="1">
      <c r="A1103" s="1" t="s">
        <v>1296</v>
      </c>
      <c r="B1103" s="63" t="s">
        <v>549</v>
      </c>
      <c r="C1103" s="63" t="s">
        <v>1272</v>
      </c>
      <c r="D1103" s="24">
        <v>8750000.0</v>
      </c>
      <c r="E1103" s="70">
        <v>0.969713222</v>
      </c>
      <c r="F1103" s="23">
        <v>8484990.69</v>
      </c>
      <c r="G1103" s="23">
        <v>0.02</v>
      </c>
      <c r="H1103" s="1"/>
      <c r="I1103" s="1"/>
      <c r="J1103" s="2"/>
      <c r="K1103" s="2"/>
      <c r="L1103" s="53"/>
      <c r="M1103" s="12"/>
      <c r="N1103" s="2"/>
      <c r="O1103" s="2"/>
    </row>
    <row r="1104" ht="15.75" customHeight="1">
      <c r="A1104" s="1" t="s">
        <v>1297</v>
      </c>
      <c r="B1104" s="63" t="s">
        <v>159</v>
      </c>
      <c r="C1104" s="63" t="s">
        <v>1272</v>
      </c>
      <c r="D1104" s="24">
        <v>8750000.0</v>
      </c>
      <c r="E1104" s="69">
        <v>0.9902334194</v>
      </c>
      <c r="F1104" s="23">
        <v>8664542.42</v>
      </c>
      <c r="G1104" s="23">
        <v>0.02</v>
      </c>
      <c r="H1104" s="1"/>
      <c r="I1104" s="1"/>
      <c r="J1104" s="2"/>
      <c r="K1104" s="2"/>
      <c r="L1104" s="53"/>
      <c r="M1104" s="12"/>
      <c r="N1104" s="2"/>
      <c r="O1104" s="2"/>
    </row>
    <row r="1105" ht="15.75" customHeight="1">
      <c r="A1105" s="1" t="s">
        <v>1298</v>
      </c>
      <c r="B1105" s="63" t="s">
        <v>416</v>
      </c>
      <c r="C1105" s="63" t="s">
        <v>1272</v>
      </c>
      <c r="D1105" s="24">
        <v>9600000.0</v>
      </c>
      <c r="E1105" s="69">
        <v>0.9523809959</v>
      </c>
      <c r="F1105" s="23">
        <v>9142857.56</v>
      </c>
      <c r="G1105" s="23">
        <v>0.02</v>
      </c>
      <c r="H1105" s="1"/>
      <c r="I1105" s="1"/>
      <c r="J1105" s="2"/>
      <c r="K1105" s="2"/>
      <c r="L1105" s="53"/>
      <c r="M1105" s="12"/>
      <c r="N1105" s="2"/>
      <c r="O1105" s="2"/>
    </row>
    <row r="1106" ht="15.75" customHeight="1">
      <c r="A1106" s="1" t="s">
        <v>1299</v>
      </c>
      <c r="B1106" s="63" t="s">
        <v>282</v>
      </c>
      <c r="C1106" s="63" t="s">
        <v>1272</v>
      </c>
      <c r="D1106" s="24">
        <v>9600000.0</v>
      </c>
      <c r="E1106" s="69">
        <v>0.9511401878</v>
      </c>
      <c r="F1106" s="29">
        <v>9130945.8</v>
      </c>
      <c r="G1106" s="23">
        <v>0.02</v>
      </c>
      <c r="H1106" s="1"/>
      <c r="I1106" s="1"/>
      <c r="J1106" s="2"/>
      <c r="K1106" s="2"/>
      <c r="L1106" s="53"/>
      <c r="M1106" s="12"/>
      <c r="N1106" s="2"/>
      <c r="O1106" s="2"/>
    </row>
    <row r="1107" ht="15.75" customHeight="1">
      <c r="A1107" s="1" t="s">
        <v>1300</v>
      </c>
      <c r="B1107" s="63" t="s">
        <v>282</v>
      </c>
      <c r="C1107" s="63" t="s">
        <v>1272</v>
      </c>
      <c r="D1107" s="24">
        <v>9600000.0</v>
      </c>
      <c r="E1107" s="69">
        <v>0.9511401878</v>
      </c>
      <c r="F1107" s="29">
        <v>9130945.8</v>
      </c>
      <c r="G1107" s="23">
        <v>0.02</v>
      </c>
      <c r="H1107" s="1"/>
      <c r="I1107" s="1"/>
      <c r="J1107" s="2"/>
      <c r="K1107" s="2"/>
      <c r="L1107" s="53"/>
      <c r="M1107" s="12"/>
      <c r="N1107" s="2"/>
      <c r="O1107" s="2"/>
    </row>
    <row r="1108" ht="15.75" customHeight="1">
      <c r="A1108" s="1" t="s">
        <v>1301</v>
      </c>
      <c r="B1108" s="63" t="s">
        <v>159</v>
      </c>
      <c r="C1108" s="63" t="s">
        <v>1302</v>
      </c>
      <c r="D1108" s="23">
        <v>1297647.84</v>
      </c>
      <c r="E1108" s="70">
        <v>0.990233321</v>
      </c>
      <c r="F1108" s="23">
        <v>1284974.13</v>
      </c>
      <c r="G1108" s="24">
        <v>0.0</v>
      </c>
      <c r="H1108" s="1"/>
      <c r="I1108" s="1"/>
      <c r="J1108" s="2"/>
      <c r="K1108" s="2"/>
      <c r="L1108" s="53"/>
      <c r="M1108" s="12"/>
      <c r="N1108" s="2"/>
      <c r="O1108" s="2"/>
    </row>
    <row r="1109" ht="15.75" customHeight="1">
      <c r="A1109" s="1" t="s">
        <v>1303</v>
      </c>
      <c r="B1109" s="63" t="s">
        <v>113</v>
      </c>
      <c r="C1109" s="63" t="s">
        <v>1302</v>
      </c>
      <c r="D1109" s="24">
        <v>1606134.0</v>
      </c>
      <c r="E1109" s="69">
        <v>0.9537497057</v>
      </c>
      <c r="F1109" s="23">
        <v>1531849.83</v>
      </c>
      <c r="G1109" s="24">
        <v>0.0</v>
      </c>
      <c r="H1109" s="1"/>
      <c r="I1109" s="1"/>
      <c r="J1109" s="2"/>
      <c r="K1109" s="2"/>
      <c r="L1109" s="53"/>
      <c r="M1109" s="12"/>
      <c r="N1109" s="2"/>
      <c r="O1109" s="2"/>
    </row>
    <row r="1110" ht="15.75" customHeight="1">
      <c r="A1110" s="1" t="s">
        <v>1304</v>
      </c>
      <c r="B1110" s="63" t="s">
        <v>274</v>
      </c>
      <c r="C1110" s="63" t="s">
        <v>1302</v>
      </c>
      <c r="D1110" s="24">
        <v>1606134.0</v>
      </c>
      <c r="E1110" s="69">
        <v>0.9612854162</v>
      </c>
      <c r="F1110" s="23">
        <v>1543953.19</v>
      </c>
      <c r="G1110" s="24">
        <v>0.0</v>
      </c>
      <c r="H1110" s="1"/>
      <c r="I1110" s="1"/>
      <c r="J1110" s="2"/>
      <c r="K1110" s="2"/>
      <c r="L1110" s="53"/>
      <c r="M1110" s="12"/>
      <c r="N1110" s="2"/>
      <c r="O1110" s="2"/>
    </row>
    <row r="1111" ht="15.75" customHeight="1">
      <c r="A1111" s="1" t="s">
        <v>1305</v>
      </c>
      <c r="B1111" s="63" t="s">
        <v>185</v>
      </c>
      <c r="C1111" s="63" t="s">
        <v>1302</v>
      </c>
      <c r="D1111" s="24">
        <v>1606134.0</v>
      </c>
      <c r="E1111" s="69">
        <v>0.9846237051</v>
      </c>
      <c r="F1111" s="23">
        <v>1581437.61</v>
      </c>
      <c r="G1111" s="24">
        <v>0.0</v>
      </c>
      <c r="H1111" s="1"/>
      <c r="I1111" s="1"/>
      <c r="J1111" s="2"/>
      <c r="K1111" s="2"/>
      <c r="L1111" s="53"/>
      <c r="M1111" s="12"/>
      <c r="N1111" s="2"/>
      <c r="O1111" s="2"/>
    </row>
    <row r="1112" ht="15.75" customHeight="1">
      <c r="A1112" s="1" t="s">
        <v>1306</v>
      </c>
      <c r="B1112" s="63" t="s">
        <v>143</v>
      </c>
      <c r="C1112" s="63" t="s">
        <v>1302</v>
      </c>
      <c r="D1112" s="24">
        <v>2500000.0</v>
      </c>
      <c r="E1112" s="70">
        <v>0.962806744</v>
      </c>
      <c r="F1112" s="23">
        <v>2407016.86</v>
      </c>
      <c r="G1112" s="24">
        <v>0.0</v>
      </c>
      <c r="H1112" s="1"/>
      <c r="I1112" s="1"/>
      <c r="J1112" s="2"/>
      <c r="K1112" s="2"/>
      <c r="L1112" s="53"/>
      <c r="M1112" s="12"/>
      <c r="N1112" s="2"/>
      <c r="O1112" s="2"/>
    </row>
    <row r="1113" ht="15.75" customHeight="1">
      <c r="A1113" s="1" t="s">
        <v>1307</v>
      </c>
      <c r="B1113" s="63" t="s">
        <v>159</v>
      </c>
      <c r="C1113" s="63" t="s">
        <v>1302</v>
      </c>
      <c r="D1113" s="29">
        <v>1770042.5</v>
      </c>
      <c r="E1113" s="69">
        <v>0.9902333249</v>
      </c>
      <c r="F1113" s="23">
        <v>1752755.07</v>
      </c>
      <c r="G1113" s="24">
        <v>0.0</v>
      </c>
      <c r="H1113" s="1"/>
      <c r="I1113" s="1"/>
      <c r="J1113" s="2"/>
      <c r="K1113" s="2"/>
      <c r="L1113" s="53"/>
      <c r="M1113" s="12"/>
      <c r="N1113" s="2"/>
      <c r="O1113" s="2"/>
    </row>
    <row r="1114" ht="15.75" customHeight="1">
      <c r="A1114" s="1" t="s">
        <v>1308</v>
      </c>
      <c r="B1114" s="63" t="s">
        <v>175</v>
      </c>
      <c r="C1114" s="63" t="s">
        <v>1302</v>
      </c>
      <c r="D1114" s="29">
        <v>1770042.5</v>
      </c>
      <c r="E1114" s="69">
        <v>0.9790772874</v>
      </c>
      <c r="F1114" s="23">
        <v>1733008.41</v>
      </c>
      <c r="G1114" s="24">
        <v>0.0</v>
      </c>
      <c r="H1114" s="1"/>
      <c r="I1114" s="1"/>
      <c r="J1114" s="2"/>
      <c r="K1114" s="2"/>
      <c r="L1114" s="53"/>
      <c r="M1114" s="12"/>
      <c r="N1114" s="2"/>
      <c r="O1114" s="2"/>
    </row>
    <row r="1115" ht="15.75" customHeight="1">
      <c r="A1115" s="1" t="s">
        <v>1309</v>
      </c>
      <c r="B1115" s="63" t="s">
        <v>247</v>
      </c>
      <c r="C1115" s="63" t="s">
        <v>1302</v>
      </c>
      <c r="D1115" s="29">
        <v>1770042.5</v>
      </c>
      <c r="E1115" s="69">
        <v>0.9681698373</v>
      </c>
      <c r="F1115" s="23">
        <v>1713701.76</v>
      </c>
      <c r="G1115" s="24">
        <v>0.0</v>
      </c>
      <c r="H1115" s="1"/>
      <c r="I1115" s="1"/>
      <c r="J1115" s="2"/>
      <c r="K1115" s="2"/>
      <c r="L1115" s="53"/>
      <c r="M1115" s="12"/>
      <c r="N1115" s="2"/>
      <c r="O1115" s="2"/>
    </row>
    <row r="1116" ht="15.75" customHeight="1">
      <c r="A1116" s="1" t="s">
        <v>1310</v>
      </c>
      <c r="B1116" s="63" t="s">
        <v>506</v>
      </c>
      <c r="C1116" s="63" t="s">
        <v>1302</v>
      </c>
      <c r="D1116" s="23">
        <v>1770042.53</v>
      </c>
      <c r="E1116" s="69">
        <v>0.9567497234</v>
      </c>
      <c r="F1116" s="29">
        <v>1693487.7</v>
      </c>
      <c r="G1116" s="24">
        <v>0.0</v>
      </c>
      <c r="H1116" s="1"/>
      <c r="I1116" s="1"/>
      <c r="J1116" s="2"/>
      <c r="K1116" s="2"/>
      <c r="L1116" s="53"/>
      <c r="M1116" s="12"/>
      <c r="N1116" s="2"/>
      <c r="O1116" s="2"/>
    </row>
    <row r="1117" ht="15.75" customHeight="1">
      <c r="A1117" s="1" t="s">
        <v>1311</v>
      </c>
      <c r="B1117" s="63" t="s">
        <v>219</v>
      </c>
      <c r="C1117" s="63" t="s">
        <v>1302</v>
      </c>
      <c r="D1117" s="23">
        <v>3533450.77</v>
      </c>
      <c r="E1117" s="69">
        <v>0.9689409341</v>
      </c>
      <c r="F1117" s="23">
        <v>3423705.09</v>
      </c>
      <c r="G1117" s="23">
        <v>0.01</v>
      </c>
      <c r="H1117" s="1"/>
      <c r="I1117" s="1"/>
      <c r="J1117" s="2"/>
      <c r="K1117" s="2"/>
      <c r="L1117" s="53"/>
      <c r="M1117" s="12"/>
      <c r="N1117" s="2"/>
      <c r="O1117" s="2"/>
    </row>
    <row r="1118" ht="15.75" customHeight="1">
      <c r="A1118" s="1" t="s">
        <v>1312</v>
      </c>
      <c r="B1118" s="63" t="s">
        <v>185</v>
      </c>
      <c r="C1118" s="63" t="s">
        <v>1302</v>
      </c>
      <c r="D1118" s="23">
        <v>3533450.77</v>
      </c>
      <c r="E1118" s="69">
        <v>0.9846237081</v>
      </c>
      <c r="F1118" s="29">
        <v>3479119.4</v>
      </c>
      <c r="G1118" s="23">
        <v>0.01</v>
      </c>
      <c r="H1118" s="1"/>
      <c r="I1118" s="1"/>
      <c r="J1118" s="2"/>
      <c r="K1118" s="2"/>
      <c r="L1118" s="53"/>
      <c r="M1118" s="12"/>
      <c r="N1118" s="2"/>
      <c r="O1118" s="2"/>
    </row>
    <row r="1119" ht="15.75" customHeight="1">
      <c r="A1119" s="1" t="s">
        <v>1313</v>
      </c>
      <c r="B1119" s="63" t="s">
        <v>223</v>
      </c>
      <c r="C1119" s="63" t="s">
        <v>1302</v>
      </c>
      <c r="D1119" s="23">
        <v>3533450.77</v>
      </c>
      <c r="E1119" s="70">
        <v>0.958256931</v>
      </c>
      <c r="F1119" s="23">
        <v>3385953.69</v>
      </c>
      <c r="G1119" s="23">
        <v>0.01</v>
      </c>
      <c r="H1119" s="1"/>
      <c r="I1119" s="1"/>
      <c r="J1119" s="2"/>
      <c r="K1119" s="2"/>
      <c r="L1119" s="53"/>
      <c r="M1119" s="12"/>
      <c r="N1119" s="2"/>
      <c r="O1119" s="2"/>
    </row>
    <row r="1120" ht="15.75" customHeight="1">
      <c r="A1120" s="1" t="s">
        <v>1314</v>
      </c>
      <c r="B1120" s="63" t="s">
        <v>500</v>
      </c>
      <c r="C1120" s="63" t="s">
        <v>1302</v>
      </c>
      <c r="D1120" s="24">
        <v>7250000.0</v>
      </c>
      <c r="E1120" s="69">
        <v>0.9474367573</v>
      </c>
      <c r="F1120" s="23">
        <v>6868916.49</v>
      </c>
      <c r="G1120" s="23">
        <v>0.01</v>
      </c>
      <c r="H1120" s="1"/>
      <c r="I1120" s="1"/>
      <c r="J1120" s="2"/>
      <c r="K1120" s="2"/>
      <c r="L1120" s="53"/>
      <c r="M1120" s="12"/>
      <c r="N1120" s="2"/>
      <c r="O1120" s="2"/>
    </row>
    <row r="1121" ht="15.75" customHeight="1">
      <c r="A1121" s="1" t="s">
        <v>1315</v>
      </c>
      <c r="B1121" s="63" t="s">
        <v>493</v>
      </c>
      <c r="C1121" s="63" t="s">
        <v>1302</v>
      </c>
      <c r="D1121" s="24">
        <v>7250000.0</v>
      </c>
      <c r="E1121" s="69">
        <v>0.9455959146</v>
      </c>
      <c r="F1121" s="23">
        <v>6855570.38</v>
      </c>
      <c r="G1121" s="23">
        <v>0.01</v>
      </c>
      <c r="H1121" s="1"/>
      <c r="I1121" s="1"/>
      <c r="J1121" s="2"/>
      <c r="K1121" s="2"/>
      <c r="L1121" s="53"/>
      <c r="M1121" s="12"/>
      <c r="N1121" s="2"/>
      <c r="O1121" s="2"/>
    </row>
    <row r="1122" ht="15.75" customHeight="1">
      <c r="A1122" s="1" t="s">
        <v>1316</v>
      </c>
      <c r="B1122" s="63" t="s">
        <v>394</v>
      </c>
      <c r="C1122" s="63" t="s">
        <v>1302</v>
      </c>
      <c r="D1122" s="24">
        <v>1.0E7</v>
      </c>
      <c r="E1122" s="69">
        <v>0.9463314404</v>
      </c>
      <c r="F1122" s="29">
        <v>9463314.4</v>
      </c>
      <c r="G1122" s="23">
        <v>0.02</v>
      </c>
      <c r="H1122" s="1"/>
      <c r="I1122" s="1"/>
      <c r="J1122" s="2"/>
      <c r="K1122" s="2"/>
      <c r="L1122" s="53"/>
      <c r="M1122" s="12"/>
      <c r="N1122" s="2"/>
      <c r="O1122" s="2"/>
    </row>
    <row r="1123" ht="15.75" customHeight="1">
      <c r="A1123" s="1" t="s">
        <v>1317</v>
      </c>
      <c r="B1123" s="63" t="s">
        <v>289</v>
      </c>
      <c r="C1123" s="63" t="s">
        <v>1302</v>
      </c>
      <c r="D1123" s="24">
        <v>1.0E7</v>
      </c>
      <c r="E1123" s="69">
        <v>0.9426653037</v>
      </c>
      <c r="F1123" s="23">
        <v>9426653.04</v>
      </c>
      <c r="G1123" s="23">
        <v>0.02</v>
      </c>
      <c r="H1123" s="1"/>
      <c r="I1123" s="1"/>
      <c r="J1123" s="2"/>
      <c r="K1123" s="2"/>
      <c r="L1123" s="53"/>
      <c r="M1123" s="12"/>
      <c r="N1123" s="2"/>
      <c r="O1123" s="2"/>
    </row>
    <row r="1124" ht="15.75" customHeight="1">
      <c r="A1124" s="1" t="s">
        <v>1318</v>
      </c>
      <c r="B1124" s="63" t="s">
        <v>157</v>
      </c>
      <c r="C1124" s="63" t="s">
        <v>1302</v>
      </c>
      <c r="D1124" s="24">
        <v>1.0E7</v>
      </c>
      <c r="E1124" s="69">
        <v>0.9666315226</v>
      </c>
      <c r="F1124" s="23">
        <v>9666315.23</v>
      </c>
      <c r="G1124" s="23">
        <v>0.02</v>
      </c>
      <c r="H1124" s="1"/>
      <c r="I1124" s="1"/>
      <c r="J1124" s="2"/>
      <c r="K1124" s="2"/>
      <c r="L1124" s="53"/>
      <c r="M1124" s="12"/>
      <c r="N1124" s="2"/>
      <c r="O1124" s="2"/>
    </row>
    <row r="1125" ht="15.75" customHeight="1">
      <c r="A1125" s="1" t="s">
        <v>1319</v>
      </c>
      <c r="B1125" s="63" t="s">
        <v>157</v>
      </c>
      <c r="C1125" s="63" t="s">
        <v>1302</v>
      </c>
      <c r="D1125" s="24">
        <v>5000000.0</v>
      </c>
      <c r="E1125" s="69">
        <v>0.9666315258</v>
      </c>
      <c r="F1125" s="23">
        <v>4833157.63</v>
      </c>
      <c r="G1125" s="23">
        <v>0.01</v>
      </c>
      <c r="H1125" s="1"/>
      <c r="I1125" s="1"/>
      <c r="J1125" s="2"/>
      <c r="K1125" s="2"/>
      <c r="L1125" s="53"/>
      <c r="M1125" s="12"/>
      <c r="N1125" s="2"/>
      <c r="O1125" s="2"/>
    </row>
    <row r="1126" ht="15.75" customHeight="1">
      <c r="A1126" s="1" t="s">
        <v>1320</v>
      </c>
      <c r="B1126" s="63" t="s">
        <v>287</v>
      </c>
      <c r="C1126" s="63" t="s">
        <v>1302</v>
      </c>
      <c r="D1126" s="24">
        <v>1.0E7</v>
      </c>
      <c r="E1126" s="69">
        <v>0.9412069202</v>
      </c>
      <c r="F1126" s="29">
        <v>9412069.2</v>
      </c>
      <c r="G1126" s="23">
        <v>0.02</v>
      </c>
      <c r="H1126" s="1"/>
      <c r="I1126" s="1"/>
      <c r="J1126" s="2"/>
      <c r="K1126" s="2"/>
      <c r="L1126" s="53"/>
      <c r="M1126" s="12"/>
      <c r="N1126" s="2"/>
      <c r="O1126" s="2"/>
    </row>
    <row r="1127" ht="15.75" customHeight="1">
      <c r="A1127" s="1" t="s">
        <v>1321</v>
      </c>
      <c r="B1127" s="63" t="s">
        <v>506</v>
      </c>
      <c r="C1127" s="63" t="s">
        <v>1302</v>
      </c>
      <c r="D1127" s="24">
        <v>1.0E7</v>
      </c>
      <c r="E1127" s="69">
        <v>0.9567497303</v>
      </c>
      <c r="F1127" s="29">
        <v>9567497.3</v>
      </c>
      <c r="G1127" s="23">
        <v>0.02</v>
      </c>
      <c r="H1127" s="1"/>
      <c r="I1127" s="1"/>
      <c r="J1127" s="2"/>
      <c r="K1127" s="2"/>
      <c r="L1127" s="53"/>
      <c r="M1127" s="12"/>
      <c r="N1127" s="2"/>
      <c r="O1127" s="2"/>
    </row>
    <row r="1128" ht="15.75" customHeight="1">
      <c r="A1128" s="1" t="s">
        <v>1322</v>
      </c>
      <c r="B1128" s="63" t="s">
        <v>506</v>
      </c>
      <c r="C1128" s="63" t="s">
        <v>1302</v>
      </c>
      <c r="D1128" s="24">
        <v>5000000.0</v>
      </c>
      <c r="E1128" s="69">
        <v>0.9567497261</v>
      </c>
      <c r="F1128" s="23">
        <v>4783748.63</v>
      </c>
      <c r="G1128" s="23">
        <v>0.01</v>
      </c>
      <c r="H1128" s="1"/>
      <c r="I1128" s="1"/>
      <c r="J1128" s="2"/>
      <c r="K1128" s="2"/>
      <c r="L1128" s="53"/>
      <c r="M1128" s="12"/>
      <c r="N1128" s="2"/>
      <c r="O1128" s="2"/>
    </row>
    <row r="1129" ht="15.75" customHeight="1">
      <c r="A1129" s="1" t="s">
        <v>1323</v>
      </c>
      <c r="B1129" s="63" t="s">
        <v>382</v>
      </c>
      <c r="C1129" s="63" t="s">
        <v>1302</v>
      </c>
      <c r="D1129" s="24">
        <v>1.0E8</v>
      </c>
      <c r="E1129" s="69">
        <v>0.9304104908</v>
      </c>
      <c r="F1129" s="23">
        <v>9.304104908E7</v>
      </c>
      <c r="G1129" s="23">
        <v>0.19</v>
      </c>
      <c r="H1129" s="1"/>
      <c r="I1129" s="1"/>
      <c r="J1129" s="2"/>
      <c r="K1129" s="2"/>
      <c r="L1129" s="53"/>
      <c r="M1129" s="12"/>
      <c r="N1129" s="2"/>
      <c r="O1129" s="2"/>
    </row>
    <row r="1130" ht="15.75" customHeight="1">
      <c r="A1130" s="1" t="s">
        <v>1324</v>
      </c>
      <c r="B1130" s="63" t="s">
        <v>289</v>
      </c>
      <c r="C1130" s="63" t="s">
        <v>1302</v>
      </c>
      <c r="D1130" s="24">
        <v>1.9470985E7</v>
      </c>
      <c r="E1130" s="69">
        <v>0.9372913724</v>
      </c>
      <c r="F1130" s="23">
        <v>1.824998625E7</v>
      </c>
      <c r="G1130" s="23">
        <v>0.04</v>
      </c>
      <c r="H1130" s="1"/>
      <c r="I1130" s="1"/>
      <c r="J1130" s="2"/>
      <c r="K1130" s="2"/>
      <c r="L1130" s="53"/>
      <c r="M1130" s="12"/>
      <c r="N1130" s="2"/>
      <c r="O1130" s="2"/>
    </row>
    <row r="1131" ht="15.75" customHeight="1">
      <c r="A1131" s="1" t="s">
        <v>1325</v>
      </c>
      <c r="B1131" s="63" t="s">
        <v>337</v>
      </c>
      <c r="C1131" s="63" t="s">
        <v>1302</v>
      </c>
      <c r="D1131" s="24">
        <v>1.9470985E7</v>
      </c>
      <c r="E1131" s="69">
        <v>0.9325499222</v>
      </c>
      <c r="F1131" s="23">
        <v>1.815766555E7</v>
      </c>
      <c r="G1131" s="23">
        <v>0.04</v>
      </c>
      <c r="H1131" s="1"/>
      <c r="I1131" s="1"/>
      <c r="J1131" s="2"/>
      <c r="K1131" s="2"/>
      <c r="L1131" s="53"/>
      <c r="M1131" s="12"/>
      <c r="N1131" s="2"/>
      <c r="O1131" s="2"/>
    </row>
    <row r="1132" ht="15.75" customHeight="1">
      <c r="A1132" s="1" t="s">
        <v>1326</v>
      </c>
      <c r="B1132" s="63" t="s">
        <v>1132</v>
      </c>
      <c r="C1132" s="63" t="s">
        <v>1302</v>
      </c>
      <c r="D1132" s="23">
        <v>1.947098634E7</v>
      </c>
      <c r="E1132" s="69">
        <v>0.9270784272</v>
      </c>
      <c r="F1132" s="23">
        <v>1.805113139E7</v>
      </c>
      <c r="G1132" s="23">
        <v>0.04</v>
      </c>
      <c r="H1132" s="1"/>
      <c r="I1132" s="1"/>
      <c r="J1132" s="2"/>
      <c r="K1132" s="2"/>
      <c r="L1132" s="53"/>
      <c r="M1132" s="12"/>
      <c r="N1132" s="2"/>
      <c r="O1132" s="2"/>
    </row>
    <row r="1133" ht="15.75" customHeight="1">
      <c r="A1133" s="1" t="s">
        <v>1327</v>
      </c>
      <c r="B1133" s="63" t="s">
        <v>167</v>
      </c>
      <c r="C1133" s="63" t="s">
        <v>1302</v>
      </c>
      <c r="D1133" s="24">
        <v>3.205E8</v>
      </c>
      <c r="E1133" s="69">
        <v>0.9648428968</v>
      </c>
      <c r="F1133" s="23">
        <v>3.0923214842E8</v>
      </c>
      <c r="G1133" s="23">
        <v>0.63</v>
      </c>
      <c r="H1133" s="1"/>
      <c r="I1133" s="1"/>
      <c r="J1133" s="2"/>
      <c r="K1133" s="2"/>
      <c r="L1133" s="53"/>
      <c r="M1133" s="12"/>
      <c r="N1133" s="2"/>
      <c r="O1133" s="2"/>
    </row>
    <row r="1134" ht="15.75" customHeight="1">
      <c r="A1134" s="1" t="s">
        <v>1328</v>
      </c>
      <c r="B1134" s="63" t="s">
        <v>167</v>
      </c>
      <c r="C1134" s="63" t="s">
        <v>1302</v>
      </c>
      <c r="D1134" s="24">
        <v>1.365E8</v>
      </c>
      <c r="E1134" s="69">
        <v>0.9648428968</v>
      </c>
      <c r="F1134" s="23">
        <v>1.3170105541E8</v>
      </c>
      <c r="G1134" s="23">
        <v>0.27</v>
      </c>
      <c r="H1134" s="1"/>
      <c r="I1134" s="1"/>
      <c r="J1134" s="2"/>
      <c r="K1134" s="2"/>
      <c r="L1134" s="53"/>
      <c r="M1134" s="12"/>
      <c r="N1134" s="2"/>
      <c r="O1134" s="2"/>
    </row>
    <row r="1135" ht="15.75" customHeight="1">
      <c r="A1135" s="1" t="s">
        <v>1329</v>
      </c>
      <c r="B1135" s="63" t="s">
        <v>219</v>
      </c>
      <c r="C1135" s="63" t="s">
        <v>1302</v>
      </c>
      <c r="D1135" s="24">
        <v>1.362E8</v>
      </c>
      <c r="E1135" s="69">
        <v>0.9609816784</v>
      </c>
      <c r="F1135" s="29">
        <v>1.308857046E8</v>
      </c>
      <c r="G1135" s="23">
        <v>0.27</v>
      </c>
      <c r="H1135" s="1"/>
      <c r="I1135" s="1"/>
      <c r="J1135" s="2"/>
      <c r="K1135" s="2"/>
      <c r="L1135" s="53"/>
      <c r="M1135" s="12"/>
      <c r="N1135" s="2"/>
      <c r="O1135" s="2"/>
    </row>
    <row r="1136" ht="15.75" customHeight="1">
      <c r="A1136" s="1" t="s">
        <v>1330</v>
      </c>
      <c r="B1136" s="63" t="s">
        <v>421</v>
      </c>
      <c r="C1136" s="63" t="s">
        <v>1302</v>
      </c>
      <c r="D1136" s="24">
        <v>5.0E7</v>
      </c>
      <c r="E1136" s="70">
        <v>0.931241292</v>
      </c>
      <c r="F1136" s="29">
        <v>4.65620646E7</v>
      </c>
      <c r="G1136" s="29">
        <v>0.1</v>
      </c>
      <c r="H1136" s="1"/>
      <c r="I1136" s="1"/>
      <c r="J1136" s="2"/>
      <c r="K1136" s="2"/>
      <c r="L1136" s="53"/>
      <c r="M1136" s="12"/>
      <c r="N1136" s="2"/>
      <c r="O1136" s="2"/>
    </row>
    <row r="1137" ht="15.75" customHeight="1">
      <c r="A1137" s="1" t="s">
        <v>1331</v>
      </c>
      <c r="B1137" s="63" t="s">
        <v>285</v>
      </c>
      <c r="C1137" s="63" t="s">
        <v>1332</v>
      </c>
      <c r="D1137" s="24">
        <v>2.0E7</v>
      </c>
      <c r="E1137" s="69">
        <v>0.9378695382</v>
      </c>
      <c r="F1137" s="23">
        <v>1.875739076E7</v>
      </c>
      <c r="G1137" s="23">
        <v>0.04</v>
      </c>
      <c r="H1137" s="1"/>
      <c r="I1137" s="1"/>
      <c r="J1137" s="2"/>
      <c r="K1137" s="2"/>
      <c r="L1137" s="53"/>
      <c r="M1137" s="12"/>
      <c r="N1137" s="2"/>
      <c r="O1137" s="2"/>
    </row>
    <row r="1138" ht="15.75" customHeight="1">
      <c r="A1138" s="1" t="s">
        <v>1333</v>
      </c>
      <c r="B1138" s="63" t="s">
        <v>394</v>
      </c>
      <c r="C1138" s="63" t="s">
        <v>1332</v>
      </c>
      <c r="D1138" s="24">
        <v>2.0E7</v>
      </c>
      <c r="E1138" s="69">
        <v>0.9313364713</v>
      </c>
      <c r="F1138" s="23">
        <v>1.862672943E7</v>
      </c>
      <c r="G1138" s="23">
        <v>0.04</v>
      </c>
      <c r="H1138" s="1"/>
      <c r="I1138" s="1"/>
      <c r="J1138" s="2"/>
      <c r="K1138" s="2"/>
      <c r="L1138" s="53"/>
      <c r="M1138" s="12"/>
      <c r="N1138" s="2"/>
      <c r="O1138" s="2"/>
    </row>
    <row r="1139" ht="15.75" customHeight="1">
      <c r="A1139" s="1" t="s">
        <v>1334</v>
      </c>
      <c r="B1139" s="63" t="s">
        <v>285</v>
      </c>
      <c r="C1139" s="63" t="s">
        <v>1332</v>
      </c>
      <c r="D1139" s="24">
        <v>2700000.0</v>
      </c>
      <c r="E1139" s="69">
        <v>0.9515121301</v>
      </c>
      <c r="F1139" s="23">
        <v>2569082.75</v>
      </c>
      <c r="G1139" s="23">
        <v>0.01</v>
      </c>
      <c r="H1139" s="1"/>
      <c r="I1139" s="1"/>
      <c r="J1139" s="2"/>
      <c r="K1139" s="2"/>
      <c r="L1139" s="53"/>
      <c r="M1139" s="12"/>
      <c r="N1139" s="2"/>
      <c r="O1139" s="2"/>
    </row>
    <row r="1140" ht="15.75" customHeight="1">
      <c r="A1140" s="1" t="s">
        <v>1335</v>
      </c>
      <c r="B1140" s="63" t="s">
        <v>335</v>
      </c>
      <c r="C1140" s="63" t="s">
        <v>1332</v>
      </c>
      <c r="D1140" s="24">
        <v>2700000.0</v>
      </c>
      <c r="E1140" s="70">
        <v>0.973593067</v>
      </c>
      <c r="F1140" s="23">
        <v>2628701.28</v>
      </c>
      <c r="G1140" s="23">
        <v>0.01</v>
      </c>
      <c r="H1140" s="1"/>
      <c r="I1140" s="1"/>
      <c r="J1140" s="2"/>
      <c r="K1140" s="2"/>
      <c r="L1140" s="53"/>
      <c r="M1140" s="12"/>
      <c r="N1140" s="2"/>
      <c r="O1140" s="2"/>
    </row>
    <row r="1141" ht="15.75" customHeight="1">
      <c r="A1141" s="1" t="s">
        <v>1336</v>
      </c>
      <c r="B1141" s="63" t="s">
        <v>523</v>
      </c>
      <c r="C1141" s="63" t="s">
        <v>1332</v>
      </c>
      <c r="D1141" s="24">
        <v>2700000.0</v>
      </c>
      <c r="E1141" s="69">
        <v>0.9470682002</v>
      </c>
      <c r="F1141" s="23">
        <v>2557084.14</v>
      </c>
      <c r="G1141" s="23">
        <v>0.01</v>
      </c>
      <c r="H1141" s="1"/>
      <c r="I1141" s="1"/>
      <c r="J1141" s="2"/>
      <c r="K1141" s="2"/>
      <c r="L1141" s="53"/>
      <c r="M1141" s="12"/>
      <c r="N1141" s="2"/>
      <c r="O1141" s="2"/>
    </row>
    <row r="1142" ht="15.75" customHeight="1">
      <c r="A1142" s="1" t="s">
        <v>1337</v>
      </c>
      <c r="B1142" s="63" t="s">
        <v>219</v>
      </c>
      <c r="C1142" s="63" t="s">
        <v>1332</v>
      </c>
      <c r="D1142" s="24">
        <v>2700000.0</v>
      </c>
      <c r="E1142" s="69">
        <v>0.9689409893</v>
      </c>
      <c r="F1142" s="23">
        <v>2616140.67</v>
      </c>
      <c r="G1142" s="23">
        <v>0.01</v>
      </c>
      <c r="H1142" s="1"/>
      <c r="I1142" s="1"/>
      <c r="J1142" s="2"/>
      <c r="K1142" s="2"/>
      <c r="L1142" s="53"/>
      <c r="M1142" s="12"/>
      <c r="N1142" s="2"/>
      <c r="O1142" s="2"/>
    </row>
    <row r="1143" ht="15.75" customHeight="1">
      <c r="A1143" s="1" t="s">
        <v>1338</v>
      </c>
      <c r="B1143" s="63" t="s">
        <v>289</v>
      </c>
      <c r="C1143" s="63" t="s">
        <v>1332</v>
      </c>
      <c r="D1143" s="24">
        <v>2700000.0</v>
      </c>
      <c r="E1143" s="69">
        <v>0.9426653595</v>
      </c>
      <c r="F1143" s="23">
        <v>2545196.47</v>
      </c>
      <c r="G1143" s="23">
        <v>0.01</v>
      </c>
      <c r="H1143" s="1"/>
      <c r="I1143" s="1"/>
      <c r="J1143" s="2"/>
      <c r="K1143" s="2"/>
      <c r="L1143" s="53"/>
      <c r="M1143" s="12"/>
      <c r="N1143" s="2"/>
      <c r="O1143" s="2"/>
    </row>
    <row r="1144" ht="15.75" customHeight="1">
      <c r="A1144" s="1" t="s">
        <v>1339</v>
      </c>
      <c r="B1144" s="63" t="s">
        <v>157</v>
      </c>
      <c r="C1144" s="63" t="s">
        <v>1332</v>
      </c>
      <c r="D1144" s="24">
        <v>2700000.0</v>
      </c>
      <c r="E1144" s="69">
        <v>0.9666313774</v>
      </c>
      <c r="F1144" s="23">
        <v>2609904.72</v>
      </c>
      <c r="G1144" s="23">
        <v>0.01</v>
      </c>
      <c r="H1144" s="1"/>
      <c r="I1144" s="1"/>
      <c r="J1144" s="2"/>
      <c r="K1144" s="2"/>
      <c r="L1144" s="53"/>
      <c r="M1144" s="12"/>
      <c r="N1144" s="2"/>
      <c r="O1144" s="2"/>
    </row>
    <row r="1145" ht="15.75" customHeight="1">
      <c r="A1145" s="1" t="s">
        <v>1340</v>
      </c>
      <c r="B1145" s="63" t="s">
        <v>421</v>
      </c>
      <c r="C1145" s="63" t="s">
        <v>1332</v>
      </c>
      <c r="D1145" s="23">
        <v>2868835.67</v>
      </c>
      <c r="E1145" s="69">
        <v>0.9404793624</v>
      </c>
      <c r="F1145" s="23">
        <v>2698080.74</v>
      </c>
      <c r="G1145" s="23">
        <v>0.01</v>
      </c>
      <c r="H1145" s="1"/>
      <c r="I1145" s="1"/>
      <c r="J1145" s="2"/>
      <c r="K1145" s="2"/>
      <c r="L1145" s="53"/>
      <c r="M1145" s="12"/>
      <c r="N1145" s="2"/>
      <c r="O1145" s="2"/>
    </row>
    <row r="1146" ht="15.75" customHeight="1">
      <c r="A1146" s="1" t="s">
        <v>1341</v>
      </c>
      <c r="B1146" s="63" t="s">
        <v>297</v>
      </c>
      <c r="C1146" s="63" t="s">
        <v>1332</v>
      </c>
      <c r="D1146" s="24">
        <v>2700000.0</v>
      </c>
      <c r="E1146" s="69">
        <v>0.9620454333</v>
      </c>
      <c r="F1146" s="23">
        <v>2597522.67</v>
      </c>
      <c r="G1146" s="23">
        <v>0.01</v>
      </c>
      <c r="H1146" s="1"/>
      <c r="I1146" s="1"/>
      <c r="J1146" s="2"/>
      <c r="K1146" s="2"/>
      <c r="L1146" s="53"/>
      <c r="M1146" s="12"/>
      <c r="N1146" s="2"/>
      <c r="O1146" s="2"/>
    </row>
    <row r="1147" ht="15.75" customHeight="1">
      <c r="A1147" s="1" t="s">
        <v>1342</v>
      </c>
      <c r="B1147" s="63" t="s">
        <v>185</v>
      </c>
      <c r="C1147" s="63" t="s">
        <v>1332</v>
      </c>
      <c r="D1147" s="24">
        <v>2700000.0</v>
      </c>
      <c r="E1147" s="70">
        <v>0.984623752</v>
      </c>
      <c r="F1147" s="23">
        <v>2658484.13</v>
      </c>
      <c r="G1147" s="23">
        <v>0.01</v>
      </c>
      <c r="H1147" s="1"/>
      <c r="I1147" s="1"/>
      <c r="J1147" s="2"/>
      <c r="K1147" s="2"/>
      <c r="L1147" s="53"/>
      <c r="M1147" s="12"/>
      <c r="N1147" s="2"/>
      <c r="O1147" s="2"/>
    </row>
    <row r="1148" ht="15.75" customHeight="1">
      <c r="A1148" s="1" t="s">
        <v>1343</v>
      </c>
      <c r="B1148" s="63" t="s">
        <v>328</v>
      </c>
      <c r="C1148" s="63" t="s">
        <v>1332</v>
      </c>
      <c r="D1148" s="24">
        <v>2700000.0</v>
      </c>
      <c r="E1148" s="69">
        <v>0.9575027996</v>
      </c>
      <c r="F1148" s="23">
        <v>2585257.56</v>
      </c>
      <c r="G1148" s="23">
        <v>0.01</v>
      </c>
      <c r="H1148" s="1"/>
      <c r="I1148" s="1"/>
      <c r="J1148" s="2"/>
      <c r="K1148" s="2"/>
      <c r="L1148" s="53"/>
      <c r="M1148" s="12"/>
      <c r="N1148" s="2"/>
      <c r="O1148" s="2"/>
    </row>
    <row r="1149" ht="15.75" customHeight="1">
      <c r="A1149" s="1" t="s">
        <v>1344</v>
      </c>
      <c r="B1149" s="63" t="s">
        <v>182</v>
      </c>
      <c r="C1149" s="63" t="s">
        <v>1332</v>
      </c>
      <c r="D1149" s="24">
        <v>2700000.0</v>
      </c>
      <c r="E1149" s="69">
        <v>0.9806555704</v>
      </c>
      <c r="F1149" s="23">
        <v>2647770.04</v>
      </c>
      <c r="G1149" s="23">
        <v>0.01</v>
      </c>
      <c r="H1149" s="1"/>
      <c r="I1149" s="1"/>
      <c r="J1149" s="2"/>
      <c r="K1149" s="2"/>
      <c r="L1149" s="53"/>
      <c r="M1149" s="12"/>
      <c r="N1149" s="2"/>
      <c r="O1149" s="2"/>
    </row>
    <row r="1150" ht="15.75" customHeight="1">
      <c r="A1150" s="1" t="s">
        <v>1345</v>
      </c>
      <c r="B1150" s="63" t="s">
        <v>113</v>
      </c>
      <c r="C1150" s="63" t="s">
        <v>1332</v>
      </c>
      <c r="D1150" s="24">
        <v>2700000.0</v>
      </c>
      <c r="E1150" s="69">
        <v>0.9537497704</v>
      </c>
      <c r="F1150" s="23">
        <v>2575124.38</v>
      </c>
      <c r="G1150" s="23">
        <v>0.01</v>
      </c>
      <c r="H1150" s="1"/>
      <c r="I1150" s="1"/>
      <c r="J1150" s="2"/>
      <c r="K1150" s="2"/>
      <c r="L1150" s="53"/>
      <c r="M1150" s="12"/>
      <c r="N1150" s="2"/>
      <c r="O1150" s="2"/>
    </row>
    <row r="1151" ht="15.75" customHeight="1">
      <c r="A1151" s="1" t="s">
        <v>1346</v>
      </c>
      <c r="B1151" s="63" t="s">
        <v>150</v>
      </c>
      <c r="C1151" s="63" t="s">
        <v>1332</v>
      </c>
      <c r="D1151" s="24">
        <v>2700000.0</v>
      </c>
      <c r="E1151" s="69">
        <v>0.9782900444</v>
      </c>
      <c r="F1151" s="23">
        <v>2641383.12</v>
      </c>
      <c r="G1151" s="23">
        <v>0.01</v>
      </c>
      <c r="H1151" s="1"/>
      <c r="I1151" s="1"/>
      <c r="J1151" s="2"/>
      <c r="K1151" s="2"/>
      <c r="L1151" s="53"/>
      <c r="M1151" s="12"/>
      <c r="N1151" s="2"/>
      <c r="O1151" s="2"/>
    </row>
    <row r="1152" ht="15.75" customHeight="1">
      <c r="A1152" s="1" t="s">
        <v>1347</v>
      </c>
      <c r="B1152" s="63" t="s">
        <v>297</v>
      </c>
      <c r="C1152" s="63" t="s">
        <v>1332</v>
      </c>
      <c r="D1152" s="23">
        <v>1.473116433E7</v>
      </c>
      <c r="E1152" s="69">
        <v>0.9620454321</v>
      </c>
      <c r="F1152" s="23">
        <v>1.417204935E7</v>
      </c>
      <c r="G1152" s="23">
        <v>0.03</v>
      </c>
      <c r="H1152" s="1"/>
      <c r="I1152" s="1"/>
      <c r="J1152" s="2"/>
      <c r="K1152" s="2"/>
      <c r="L1152" s="53"/>
      <c r="M1152" s="12"/>
      <c r="N1152" s="2"/>
      <c r="O1152" s="2"/>
    </row>
    <row r="1153" ht="15.75" customHeight="1">
      <c r="A1153" s="1" t="s">
        <v>1348</v>
      </c>
      <c r="B1153" s="63" t="s">
        <v>129</v>
      </c>
      <c r="C1153" s="63" t="s">
        <v>1332</v>
      </c>
      <c r="D1153" s="29">
        <v>1381630.2</v>
      </c>
      <c r="E1153" s="69">
        <v>0.9975403475</v>
      </c>
      <c r="F1153" s="23">
        <v>1378231.87</v>
      </c>
      <c r="G1153" s="24">
        <v>0.0</v>
      </c>
      <c r="H1153" s="1"/>
      <c r="I1153" s="1"/>
      <c r="J1153" s="2"/>
      <c r="K1153" s="2"/>
      <c r="L1153" s="53"/>
      <c r="M1153" s="12"/>
      <c r="N1153" s="2"/>
      <c r="O1153" s="2"/>
    </row>
    <row r="1154" ht="15.75" customHeight="1">
      <c r="A1154" s="1" t="s">
        <v>1349</v>
      </c>
      <c r="B1154" s="63" t="s">
        <v>400</v>
      </c>
      <c r="C1154" s="63" t="s">
        <v>1332</v>
      </c>
      <c r="D1154" s="23">
        <v>3345657.98</v>
      </c>
      <c r="E1154" s="69">
        <v>0.9611334325</v>
      </c>
      <c r="F1154" s="23">
        <v>3215623.74</v>
      </c>
      <c r="G1154" s="23">
        <v>0.01</v>
      </c>
      <c r="H1154" s="1"/>
      <c r="I1154" s="1"/>
      <c r="J1154" s="2"/>
      <c r="K1154" s="2"/>
      <c r="L1154" s="53"/>
      <c r="M1154" s="12"/>
      <c r="N1154" s="2"/>
      <c r="O1154" s="2"/>
    </row>
    <row r="1155" ht="15.75" customHeight="1">
      <c r="A1155" s="1" t="s">
        <v>1350</v>
      </c>
      <c r="B1155" s="63" t="s">
        <v>157</v>
      </c>
      <c r="C1155" s="63" t="s">
        <v>1332</v>
      </c>
      <c r="D1155" s="23">
        <v>3345657.98</v>
      </c>
      <c r="E1155" s="69">
        <v>0.9602231065</v>
      </c>
      <c r="F1155" s="29">
        <v>3212578.1</v>
      </c>
      <c r="G1155" s="23">
        <v>0.01</v>
      </c>
      <c r="H1155" s="1"/>
      <c r="I1155" s="1"/>
      <c r="J1155" s="2"/>
      <c r="K1155" s="2"/>
      <c r="L1155" s="53"/>
      <c r="M1155" s="12"/>
      <c r="N1155" s="2"/>
      <c r="O1155" s="2"/>
    </row>
    <row r="1156" ht="15.75" customHeight="1">
      <c r="A1156" s="1" t="s">
        <v>1351</v>
      </c>
      <c r="B1156" s="63" t="s">
        <v>161</v>
      </c>
      <c r="C1156" s="63" t="s">
        <v>1332</v>
      </c>
      <c r="D1156" s="23">
        <v>3345657.98</v>
      </c>
      <c r="E1156" s="69">
        <v>0.9565992335</v>
      </c>
      <c r="F1156" s="23">
        <v>3200453.86</v>
      </c>
      <c r="G1156" s="23">
        <v>0.01</v>
      </c>
      <c r="H1156" s="1"/>
      <c r="I1156" s="1"/>
      <c r="J1156" s="2"/>
      <c r="K1156" s="2"/>
      <c r="L1156" s="53"/>
      <c r="M1156" s="12"/>
      <c r="N1156" s="2"/>
      <c r="O1156" s="2"/>
    </row>
    <row r="1157" ht="15.75" customHeight="1">
      <c r="A1157" s="1" t="s">
        <v>1352</v>
      </c>
      <c r="B1157" s="63" t="s">
        <v>143</v>
      </c>
      <c r="C1157" s="63" t="s">
        <v>1332</v>
      </c>
      <c r="D1157" s="23">
        <v>3345657.98</v>
      </c>
      <c r="E1157" s="70">
        <v>0.955697707</v>
      </c>
      <c r="F1157" s="23">
        <v>3197437.66</v>
      </c>
      <c r="G1157" s="23">
        <v>0.01</v>
      </c>
      <c r="H1157" s="1"/>
      <c r="I1157" s="1"/>
      <c r="J1157" s="2"/>
      <c r="K1157" s="2"/>
      <c r="L1157" s="53"/>
      <c r="M1157" s="12"/>
      <c r="N1157" s="2"/>
      <c r="O1157" s="2"/>
    </row>
    <row r="1158" ht="15.75" customHeight="1">
      <c r="A1158" s="1" t="s">
        <v>1353</v>
      </c>
      <c r="B1158" s="63" t="s">
        <v>297</v>
      </c>
      <c r="C1158" s="63" t="s">
        <v>1332</v>
      </c>
      <c r="D1158" s="23">
        <v>3345657.98</v>
      </c>
      <c r="E1158" s="69">
        <v>0.9547976481</v>
      </c>
      <c r="F1158" s="23">
        <v>3194426.37</v>
      </c>
      <c r="G1158" s="23">
        <v>0.01</v>
      </c>
      <c r="H1158" s="1"/>
      <c r="I1158" s="1"/>
      <c r="J1158" s="2"/>
      <c r="K1158" s="2"/>
      <c r="L1158" s="53"/>
      <c r="M1158" s="12"/>
      <c r="N1158" s="2"/>
      <c r="O1158" s="2"/>
    </row>
    <row r="1159" ht="15.75" customHeight="1">
      <c r="A1159" s="1" t="s">
        <v>1354</v>
      </c>
      <c r="B1159" s="63" t="s">
        <v>297</v>
      </c>
      <c r="C1159" s="63" t="s">
        <v>1332</v>
      </c>
      <c r="D1159" s="23">
        <v>3345657.98</v>
      </c>
      <c r="E1159" s="69">
        <v>0.9547976481</v>
      </c>
      <c r="F1159" s="23">
        <v>3194426.37</v>
      </c>
      <c r="G1159" s="23">
        <v>0.01</v>
      </c>
      <c r="H1159" s="1"/>
      <c r="I1159" s="1"/>
      <c r="J1159" s="2"/>
      <c r="K1159" s="2"/>
      <c r="L1159" s="53"/>
      <c r="M1159" s="12"/>
      <c r="N1159" s="2"/>
      <c r="O1159" s="2"/>
    </row>
    <row r="1160" ht="15.75" customHeight="1">
      <c r="A1160" s="1" t="s">
        <v>1355</v>
      </c>
      <c r="B1160" s="63" t="s">
        <v>274</v>
      </c>
      <c r="C1160" s="63" t="s">
        <v>1332</v>
      </c>
      <c r="D1160" s="23">
        <v>3345657.98</v>
      </c>
      <c r="E1160" s="69">
        <v>0.9538992716</v>
      </c>
      <c r="F1160" s="23">
        <v>3191420.71</v>
      </c>
      <c r="G1160" s="23">
        <v>0.01</v>
      </c>
      <c r="H1160" s="1"/>
      <c r="I1160" s="1"/>
      <c r="J1160" s="2"/>
      <c r="K1160" s="2"/>
      <c r="L1160" s="53"/>
      <c r="M1160" s="12"/>
      <c r="N1160" s="2"/>
      <c r="O1160" s="2"/>
    </row>
    <row r="1161" ht="15.75" customHeight="1">
      <c r="A1161" s="1" t="s">
        <v>1356</v>
      </c>
      <c r="B1161" s="63" t="s">
        <v>157</v>
      </c>
      <c r="C1161" s="63" t="s">
        <v>1332</v>
      </c>
      <c r="D1161" s="23">
        <v>2197564.35</v>
      </c>
      <c r="E1161" s="69">
        <v>0.9602231172</v>
      </c>
      <c r="F1161" s="23">
        <v>2110152.09</v>
      </c>
      <c r="G1161" s="24">
        <v>0.0</v>
      </c>
      <c r="H1161" s="1"/>
      <c r="I1161" s="1"/>
      <c r="J1161" s="2"/>
      <c r="K1161" s="2"/>
      <c r="L1161" s="53"/>
      <c r="M1161" s="12"/>
      <c r="N1161" s="2"/>
      <c r="O1161" s="2"/>
    </row>
    <row r="1162" ht="15.75" customHeight="1">
      <c r="A1162" s="1" t="s">
        <v>1357</v>
      </c>
      <c r="B1162" s="63" t="s">
        <v>161</v>
      </c>
      <c r="C1162" s="63" t="s">
        <v>1332</v>
      </c>
      <c r="D1162" s="24">
        <v>2304789.0</v>
      </c>
      <c r="E1162" s="69">
        <v>0.9565992289</v>
      </c>
      <c r="F1162" s="23">
        <v>2204759.38</v>
      </c>
      <c r="G1162" s="24">
        <v>0.0</v>
      </c>
      <c r="H1162" s="1"/>
      <c r="I1162" s="1"/>
      <c r="J1162" s="2"/>
      <c r="K1162" s="2"/>
      <c r="L1162" s="53"/>
      <c r="M1162" s="12"/>
      <c r="N1162" s="2"/>
      <c r="O1162" s="2"/>
    </row>
    <row r="1163" ht="15.75" customHeight="1">
      <c r="A1163" s="1" t="s">
        <v>1358</v>
      </c>
      <c r="B1163" s="63" t="s">
        <v>297</v>
      </c>
      <c r="C1163" s="63" t="s">
        <v>1332</v>
      </c>
      <c r="D1163" s="24">
        <v>2304789.0</v>
      </c>
      <c r="E1163" s="69">
        <v>0.9547976409</v>
      </c>
      <c r="F1163" s="29">
        <v>2200607.1</v>
      </c>
      <c r="G1163" s="24">
        <v>0.0</v>
      </c>
      <c r="H1163" s="1"/>
      <c r="I1163" s="1"/>
      <c r="J1163" s="2"/>
      <c r="K1163" s="2"/>
      <c r="L1163" s="53"/>
      <c r="M1163" s="12"/>
      <c r="N1163" s="2"/>
      <c r="O1163" s="2"/>
    </row>
    <row r="1164" ht="15.75" customHeight="1">
      <c r="A1164" s="1" t="s">
        <v>1359</v>
      </c>
      <c r="B1164" s="63" t="s">
        <v>297</v>
      </c>
      <c r="C1164" s="63" t="s">
        <v>1332</v>
      </c>
      <c r="D1164" s="24">
        <v>2304789.0</v>
      </c>
      <c r="E1164" s="69">
        <v>0.9547976409</v>
      </c>
      <c r="F1164" s="29">
        <v>2200607.1</v>
      </c>
      <c r="G1164" s="24">
        <v>0.0</v>
      </c>
      <c r="H1164" s="1"/>
      <c r="I1164" s="1"/>
      <c r="J1164" s="2"/>
      <c r="K1164" s="2"/>
      <c r="L1164" s="53"/>
      <c r="M1164" s="12"/>
      <c r="N1164" s="2"/>
      <c r="O1164" s="2"/>
    </row>
    <row r="1165" ht="15.75" customHeight="1">
      <c r="A1165" s="1" t="s">
        <v>1360</v>
      </c>
      <c r="B1165" s="63" t="s">
        <v>335</v>
      </c>
      <c r="C1165" s="63" t="s">
        <v>1332</v>
      </c>
      <c r="D1165" s="29">
        <v>2273100.5</v>
      </c>
      <c r="E1165" s="70">
        <v>0.968478165</v>
      </c>
      <c r="F1165" s="29">
        <v>2201448.2</v>
      </c>
      <c r="G1165" s="24">
        <v>0.0</v>
      </c>
      <c r="H1165" s="1"/>
      <c r="I1165" s="1"/>
      <c r="J1165" s="2"/>
      <c r="K1165" s="2"/>
      <c r="L1165" s="53"/>
      <c r="M1165" s="12"/>
      <c r="N1165" s="2"/>
      <c r="O1165" s="2"/>
    </row>
    <row r="1166" ht="15.75" customHeight="1">
      <c r="A1166" s="1" t="s">
        <v>1361</v>
      </c>
      <c r="B1166" s="63" t="s">
        <v>341</v>
      </c>
      <c r="C1166" s="63" t="s">
        <v>1332</v>
      </c>
      <c r="D1166" s="29">
        <v>2273100.5</v>
      </c>
      <c r="E1166" s="69">
        <v>0.9675538764</v>
      </c>
      <c r="F1166" s="29">
        <v>2199347.2</v>
      </c>
      <c r="G1166" s="24">
        <v>0.0</v>
      </c>
      <c r="H1166" s="1"/>
      <c r="I1166" s="1"/>
      <c r="J1166" s="2"/>
      <c r="K1166" s="2"/>
      <c r="L1166" s="53"/>
      <c r="M1166" s="12"/>
      <c r="N1166" s="2"/>
      <c r="O1166" s="2"/>
    </row>
    <row r="1167" ht="15.75" customHeight="1">
      <c r="A1167" s="1" t="s">
        <v>1362</v>
      </c>
      <c r="B1167" s="63" t="s">
        <v>167</v>
      </c>
      <c r="C1167" s="63" t="s">
        <v>1332</v>
      </c>
      <c r="D1167" s="29">
        <v>2273100.5</v>
      </c>
      <c r="E1167" s="69">
        <v>0.9666313694</v>
      </c>
      <c r="F1167" s="23">
        <v>2197250.25</v>
      </c>
      <c r="G1167" s="24">
        <v>0.0</v>
      </c>
      <c r="H1167" s="1"/>
      <c r="I1167" s="1"/>
      <c r="J1167" s="2"/>
      <c r="K1167" s="2"/>
      <c r="L1167" s="53"/>
      <c r="M1167" s="12"/>
      <c r="N1167" s="2"/>
      <c r="O1167" s="2"/>
    </row>
    <row r="1168" ht="15.75" customHeight="1">
      <c r="A1168" s="1" t="s">
        <v>1363</v>
      </c>
      <c r="B1168" s="63" t="s">
        <v>549</v>
      </c>
      <c r="C1168" s="63" t="s">
        <v>1332</v>
      </c>
      <c r="D1168" s="23">
        <v>2197564.35</v>
      </c>
      <c r="E1168" s="69">
        <v>0.9638745598</v>
      </c>
      <c r="F1168" s="23">
        <v>2118176.37</v>
      </c>
      <c r="G1168" s="24">
        <v>0.0</v>
      </c>
      <c r="H1168" s="1"/>
      <c r="I1168" s="1"/>
      <c r="J1168" s="2"/>
      <c r="K1168" s="2"/>
      <c r="L1168" s="53"/>
      <c r="M1168" s="12"/>
      <c r="N1168" s="2"/>
      <c r="O1168" s="2"/>
    </row>
    <row r="1169" ht="15.75" customHeight="1">
      <c r="A1169" s="1" t="s">
        <v>1364</v>
      </c>
      <c r="B1169" s="63" t="s">
        <v>219</v>
      </c>
      <c r="C1169" s="63" t="s">
        <v>1332</v>
      </c>
      <c r="D1169" s="23">
        <v>2197564.35</v>
      </c>
      <c r="E1169" s="69">
        <v>0.9629592784</v>
      </c>
      <c r="F1169" s="23">
        <v>2116164.98</v>
      </c>
      <c r="G1169" s="24">
        <v>0.0</v>
      </c>
      <c r="H1169" s="1"/>
      <c r="I1169" s="1"/>
      <c r="J1169" s="2"/>
      <c r="K1169" s="2"/>
      <c r="L1169" s="53"/>
      <c r="M1169" s="12"/>
      <c r="N1169" s="2"/>
      <c r="O1169" s="2"/>
    </row>
    <row r="1170" ht="15.75" customHeight="1">
      <c r="A1170" s="1" t="s">
        <v>1365</v>
      </c>
      <c r="B1170" s="63" t="s">
        <v>247</v>
      </c>
      <c r="C1170" s="63" t="s">
        <v>1332</v>
      </c>
      <c r="D1170" s="23">
        <v>2197564.35</v>
      </c>
      <c r="E1170" s="70">
        <v>0.962045494</v>
      </c>
      <c r="F1170" s="23">
        <v>2114156.88</v>
      </c>
      <c r="G1170" s="24">
        <v>0.0</v>
      </c>
      <c r="H1170" s="1"/>
      <c r="I1170" s="1"/>
      <c r="J1170" s="2"/>
      <c r="K1170" s="2"/>
      <c r="L1170" s="53"/>
      <c r="M1170" s="12"/>
      <c r="N1170" s="2"/>
      <c r="O1170" s="2"/>
    </row>
    <row r="1171" ht="15.75" customHeight="1">
      <c r="A1171" s="1" t="s">
        <v>1366</v>
      </c>
      <c r="B1171" s="63" t="s">
        <v>400</v>
      </c>
      <c r="C1171" s="63" t="s">
        <v>1332</v>
      </c>
      <c r="D1171" s="23">
        <v>2197564.35</v>
      </c>
      <c r="E1171" s="69">
        <v>0.9611334387</v>
      </c>
      <c r="F1171" s="23">
        <v>2112152.58</v>
      </c>
      <c r="G1171" s="24">
        <v>0.0</v>
      </c>
      <c r="H1171" s="1"/>
      <c r="I1171" s="1"/>
      <c r="J1171" s="2"/>
      <c r="K1171" s="2"/>
      <c r="L1171" s="53"/>
      <c r="M1171" s="12"/>
      <c r="N1171" s="2"/>
      <c r="O1171" s="2"/>
    </row>
    <row r="1172" ht="15.75" customHeight="1">
      <c r="A1172" s="1" t="s">
        <v>1367</v>
      </c>
      <c r="B1172" s="63" t="s">
        <v>175</v>
      </c>
      <c r="C1172" s="63" t="s">
        <v>1332</v>
      </c>
      <c r="D1172" s="29">
        <v>2502456.9</v>
      </c>
      <c r="E1172" s="69">
        <v>0.9749974317</v>
      </c>
      <c r="F1172" s="23">
        <v>2439889.05</v>
      </c>
      <c r="G1172" s="24">
        <v>0.0</v>
      </c>
      <c r="H1172" s="1"/>
      <c r="I1172" s="1"/>
      <c r="J1172" s="2"/>
      <c r="K1172" s="2"/>
      <c r="L1172" s="53"/>
      <c r="M1172" s="12"/>
      <c r="N1172" s="2"/>
      <c r="O1172" s="2"/>
    </row>
    <row r="1173" ht="15.75" customHeight="1">
      <c r="A1173" s="1" t="s">
        <v>1368</v>
      </c>
      <c r="B1173" s="63" t="s">
        <v>148</v>
      </c>
      <c r="C1173" s="63" t="s">
        <v>1332</v>
      </c>
      <c r="D1173" s="29">
        <v>2273100.5</v>
      </c>
      <c r="E1173" s="69">
        <v>0.9694042036</v>
      </c>
      <c r="F1173" s="23">
        <v>2203553.18</v>
      </c>
      <c r="G1173" s="24">
        <v>0.0</v>
      </c>
      <c r="H1173" s="1"/>
      <c r="I1173" s="1"/>
      <c r="J1173" s="2"/>
      <c r="K1173" s="2"/>
      <c r="L1173" s="53"/>
      <c r="M1173" s="12"/>
      <c r="N1173" s="2"/>
      <c r="O1173" s="2"/>
    </row>
    <row r="1174" ht="15.75" customHeight="1">
      <c r="A1174" s="1" t="s">
        <v>1369</v>
      </c>
      <c r="B1174" s="63" t="s">
        <v>211</v>
      </c>
      <c r="C1174" s="63" t="s">
        <v>1370</v>
      </c>
      <c r="D1174" s="23">
        <v>1.540272702E7</v>
      </c>
      <c r="E1174" s="69">
        <v>0.9916323564</v>
      </c>
      <c r="F1174" s="23">
        <v>1.527384249E7</v>
      </c>
      <c r="G1174" s="23">
        <v>0.03</v>
      </c>
      <c r="H1174" s="1"/>
      <c r="I1174" s="1"/>
      <c r="J1174" s="2"/>
      <c r="K1174" s="2"/>
      <c r="L1174" s="53"/>
      <c r="M1174" s="12"/>
      <c r="N1174" s="2"/>
      <c r="O1174" s="2"/>
    </row>
    <row r="1175" ht="15.75" customHeight="1">
      <c r="A1175" s="1" t="s">
        <v>1371</v>
      </c>
      <c r="B1175" s="63" t="s">
        <v>185</v>
      </c>
      <c r="C1175" s="63" t="s">
        <v>1370</v>
      </c>
      <c r="D1175" s="24">
        <v>7.0E7</v>
      </c>
      <c r="E1175" s="69">
        <v>0.9836155113</v>
      </c>
      <c r="F1175" s="23">
        <v>6.885308579E7</v>
      </c>
      <c r="G1175" s="23">
        <v>0.14</v>
      </c>
      <c r="H1175" s="1"/>
      <c r="I1175" s="1"/>
      <c r="J1175" s="2"/>
      <c r="K1175" s="2"/>
      <c r="L1175" s="53"/>
      <c r="M1175" s="12"/>
      <c r="N1175" s="2"/>
      <c r="O1175" s="2"/>
    </row>
    <row r="1176" ht="15.75" customHeight="1">
      <c r="A1176" s="1" t="s">
        <v>1372</v>
      </c>
      <c r="B1176" s="63" t="s">
        <v>423</v>
      </c>
      <c r="C1176" s="63" t="s">
        <v>1370</v>
      </c>
      <c r="D1176" s="24">
        <v>4.5E7</v>
      </c>
      <c r="E1176" s="70">
        <v>0.910292548</v>
      </c>
      <c r="F1176" s="23">
        <v>4.096316466E7</v>
      </c>
      <c r="G1176" s="23">
        <v>0.08</v>
      </c>
      <c r="H1176" s="1"/>
      <c r="I1176" s="1"/>
      <c r="J1176" s="2"/>
      <c r="K1176" s="2"/>
      <c r="L1176" s="53"/>
      <c r="M1176" s="12"/>
      <c r="N1176" s="2"/>
      <c r="O1176" s="2"/>
    </row>
    <row r="1177" ht="15.75" customHeight="1">
      <c r="A1177" s="1" t="s">
        <v>1373</v>
      </c>
      <c r="B1177" s="63" t="s">
        <v>330</v>
      </c>
      <c r="C1177" s="63" t="s">
        <v>1370</v>
      </c>
      <c r="D1177" s="24">
        <v>1.0E8</v>
      </c>
      <c r="E1177" s="69">
        <v>0.9838275617</v>
      </c>
      <c r="F1177" s="23">
        <v>9.838275617E7</v>
      </c>
      <c r="G1177" s="29">
        <v>0.2</v>
      </c>
      <c r="H1177" s="1"/>
      <c r="I1177" s="1"/>
      <c r="J1177" s="2"/>
      <c r="K1177" s="2"/>
      <c r="L1177" s="53"/>
      <c r="M1177" s="12"/>
      <c r="N1177" s="2"/>
      <c r="O1177" s="2"/>
    </row>
    <row r="1178" ht="15.75" customHeight="1">
      <c r="A1178" s="1" t="s">
        <v>1374</v>
      </c>
      <c r="B1178" s="63" t="s">
        <v>209</v>
      </c>
      <c r="C1178" s="63" t="s">
        <v>1375</v>
      </c>
      <c r="D1178" s="23">
        <v>1.561641337E7</v>
      </c>
      <c r="E1178" s="69">
        <v>0.9969408982</v>
      </c>
      <c r="F1178" s="23">
        <v>1.556864117E7</v>
      </c>
      <c r="G1178" s="23">
        <v>0.03</v>
      </c>
      <c r="H1178" s="1"/>
      <c r="I1178" s="1"/>
      <c r="J1178" s="2"/>
      <c r="K1178" s="2"/>
      <c r="L1178" s="53"/>
      <c r="M1178" s="12"/>
      <c r="N1178" s="2"/>
      <c r="O1178" s="2"/>
    </row>
    <row r="1179" ht="15.75" customHeight="1">
      <c r="A1179" s="1" t="s">
        <v>1376</v>
      </c>
      <c r="B1179" s="63" t="s">
        <v>500</v>
      </c>
      <c r="C1179" s="63" t="s">
        <v>1375</v>
      </c>
      <c r="D1179" s="24">
        <v>5.0E7</v>
      </c>
      <c r="E1179" s="69">
        <v>0.9279270331</v>
      </c>
      <c r="F1179" s="23">
        <v>4.639635166E7</v>
      </c>
      <c r="G1179" s="23">
        <v>0.09</v>
      </c>
      <c r="H1179" s="1"/>
      <c r="I1179" s="1"/>
      <c r="J1179" s="2"/>
      <c r="K1179" s="2"/>
      <c r="L1179" s="53"/>
      <c r="M1179" s="12"/>
      <c r="N1179" s="2"/>
      <c r="O1179" s="2"/>
    </row>
    <row r="1180" ht="15.75" customHeight="1">
      <c r="A1180" s="1" t="s">
        <v>1377</v>
      </c>
      <c r="B1180" s="63" t="s">
        <v>173</v>
      </c>
      <c r="C1180" s="63" t="s">
        <v>1375</v>
      </c>
      <c r="D1180" s="24">
        <v>1.0E8</v>
      </c>
      <c r="E1180" s="69">
        <v>0.9830326599</v>
      </c>
      <c r="F1180" s="23">
        <v>9.830326599E7</v>
      </c>
      <c r="G1180" s="29">
        <v>0.2</v>
      </c>
      <c r="H1180" s="1"/>
      <c r="I1180" s="1"/>
      <c r="J1180" s="2"/>
      <c r="K1180" s="2"/>
      <c r="L1180" s="53"/>
      <c r="M1180" s="12"/>
      <c r="N1180" s="2"/>
      <c r="O1180" s="2"/>
    </row>
    <row r="1181" ht="15.75" customHeight="1">
      <c r="A1181" s="1" t="s">
        <v>1378</v>
      </c>
      <c r="B1181" s="63" t="s">
        <v>301</v>
      </c>
      <c r="C1181" s="63" t="s">
        <v>1375</v>
      </c>
      <c r="D1181" s="24">
        <v>1.5E7</v>
      </c>
      <c r="E1181" s="69">
        <v>0.9512146631</v>
      </c>
      <c r="F1181" s="23">
        <v>1.426821995E7</v>
      </c>
      <c r="G1181" s="23">
        <v>0.03</v>
      </c>
      <c r="H1181" s="1"/>
      <c r="I1181" s="1"/>
      <c r="J1181" s="2"/>
      <c r="K1181" s="2"/>
      <c r="L1181" s="53"/>
      <c r="M1181" s="12"/>
      <c r="N1181" s="2"/>
      <c r="O1181" s="2"/>
    </row>
    <row r="1182" ht="15.75" customHeight="1">
      <c r="A1182" s="1" t="s">
        <v>1379</v>
      </c>
      <c r="B1182" s="63" t="s">
        <v>223</v>
      </c>
      <c r="C1182" s="63" t="s">
        <v>1375</v>
      </c>
      <c r="D1182" s="24">
        <v>1.5E7</v>
      </c>
      <c r="E1182" s="69">
        <v>0.9503230146</v>
      </c>
      <c r="F1182" s="23">
        <v>1.425484522E7</v>
      </c>
      <c r="G1182" s="23">
        <v>0.03</v>
      </c>
      <c r="H1182" s="1"/>
      <c r="I1182" s="1"/>
      <c r="J1182" s="2"/>
      <c r="K1182" s="2"/>
      <c r="L1182" s="53"/>
      <c r="M1182" s="12"/>
      <c r="N1182" s="2"/>
      <c r="O1182" s="2"/>
    </row>
    <row r="1183" ht="15.75" customHeight="1">
      <c r="A1183" s="1" t="s">
        <v>1380</v>
      </c>
      <c r="B1183" s="63" t="s">
        <v>271</v>
      </c>
      <c r="C1183" s="63" t="s">
        <v>1381</v>
      </c>
      <c r="D1183" s="24">
        <v>1.0E7</v>
      </c>
      <c r="E1183" s="69">
        <v>0.9570508576</v>
      </c>
      <c r="F1183" s="23">
        <v>9570508.58</v>
      </c>
      <c r="G1183" s="23">
        <v>0.02</v>
      </c>
      <c r="H1183" s="1"/>
      <c r="I1183" s="1"/>
      <c r="J1183" s="2"/>
      <c r="K1183" s="2"/>
      <c r="L1183" s="53"/>
      <c r="M1183" s="12"/>
      <c r="N1183" s="2"/>
      <c r="O1183" s="2"/>
    </row>
    <row r="1184" ht="15.75" customHeight="1">
      <c r="A1184" s="1" t="s">
        <v>1382</v>
      </c>
      <c r="B1184" s="63" t="s">
        <v>157</v>
      </c>
      <c r="C1184" s="63" t="s">
        <v>1381</v>
      </c>
      <c r="D1184" s="24">
        <v>1.0E7</v>
      </c>
      <c r="E1184" s="69">
        <v>0.9709513595</v>
      </c>
      <c r="F1184" s="29">
        <v>9709513.6</v>
      </c>
      <c r="G1184" s="23">
        <v>0.02</v>
      </c>
      <c r="H1184" s="1"/>
      <c r="I1184" s="1"/>
      <c r="J1184" s="2"/>
      <c r="K1184" s="2"/>
      <c r="L1184" s="53"/>
      <c r="M1184" s="12"/>
      <c r="N1184" s="2"/>
      <c r="O1184" s="2"/>
    </row>
    <row r="1185" ht="15.75" customHeight="1">
      <c r="A1185" s="1" t="s">
        <v>1383</v>
      </c>
      <c r="B1185" s="63" t="s">
        <v>1122</v>
      </c>
      <c r="C1185" s="63" t="s">
        <v>1381</v>
      </c>
      <c r="D1185" s="24">
        <v>5.0E7</v>
      </c>
      <c r="E1185" s="70">
        <v>0.922392729</v>
      </c>
      <c r="F1185" s="23">
        <v>4.611963645E7</v>
      </c>
      <c r="G1185" s="23">
        <v>0.09</v>
      </c>
      <c r="H1185" s="1"/>
      <c r="I1185" s="1"/>
      <c r="J1185" s="2"/>
      <c r="K1185" s="2"/>
      <c r="L1185" s="53"/>
      <c r="M1185" s="12"/>
      <c r="N1185" s="2"/>
      <c r="O1185" s="2"/>
    </row>
    <row r="1186" ht="15.75" customHeight="1">
      <c r="A1186" s="1" t="s">
        <v>1384</v>
      </c>
      <c r="B1186" s="63" t="s">
        <v>378</v>
      </c>
      <c r="C1186" s="63" t="s">
        <v>1381</v>
      </c>
      <c r="D1186" s="23">
        <v>603640.62</v>
      </c>
      <c r="E1186" s="69">
        <v>0.9570006231</v>
      </c>
      <c r="F1186" s="23">
        <v>577684.45</v>
      </c>
      <c r="G1186" s="24">
        <v>0.0</v>
      </c>
      <c r="H1186" s="1"/>
      <c r="I1186" s="1"/>
      <c r="J1186" s="2"/>
      <c r="K1186" s="2"/>
      <c r="L1186" s="53"/>
      <c r="M1186" s="12"/>
      <c r="N1186" s="2"/>
      <c r="O1186" s="2"/>
    </row>
    <row r="1187" ht="15.75" customHeight="1">
      <c r="A1187" s="1" t="s">
        <v>1385</v>
      </c>
      <c r="B1187" s="63" t="s">
        <v>469</v>
      </c>
      <c r="C1187" s="63" t="s">
        <v>1381</v>
      </c>
      <c r="D1187" s="24">
        <v>4.5E7</v>
      </c>
      <c r="E1187" s="69">
        <v>0.9087967968</v>
      </c>
      <c r="F1187" s="23">
        <v>4.089585586E7</v>
      </c>
      <c r="G1187" s="23">
        <v>0.08</v>
      </c>
      <c r="H1187" s="1"/>
      <c r="I1187" s="1"/>
      <c r="J1187" s="2"/>
      <c r="K1187" s="2"/>
      <c r="L1187" s="53"/>
      <c r="M1187" s="12"/>
      <c r="N1187" s="2"/>
      <c r="O1187" s="2"/>
    </row>
    <row r="1188" ht="15.75" customHeight="1">
      <c r="A1188" s="1" t="s">
        <v>1386</v>
      </c>
      <c r="B1188" s="63" t="s">
        <v>287</v>
      </c>
      <c r="C1188" s="63" t="s">
        <v>1381</v>
      </c>
      <c r="D1188" s="24">
        <v>8.5E7</v>
      </c>
      <c r="E1188" s="69">
        <v>0.9302681662</v>
      </c>
      <c r="F1188" s="23">
        <v>7.907279413E7</v>
      </c>
      <c r="G1188" s="23">
        <v>0.16</v>
      </c>
      <c r="H1188" s="1"/>
      <c r="I1188" s="1"/>
      <c r="J1188" s="2"/>
      <c r="K1188" s="2"/>
      <c r="L1188" s="53"/>
      <c r="M1188" s="12"/>
      <c r="N1188" s="2"/>
      <c r="O1188" s="2"/>
    </row>
    <row r="1189" ht="15.75" customHeight="1">
      <c r="A1189" s="1" t="s">
        <v>1387</v>
      </c>
      <c r="B1189" s="63" t="s">
        <v>289</v>
      </c>
      <c r="C1189" s="63" t="s">
        <v>1381</v>
      </c>
      <c r="D1189" s="24">
        <v>6.0E7</v>
      </c>
      <c r="E1189" s="69">
        <v>0.9284698812</v>
      </c>
      <c r="F1189" s="23">
        <v>5.570819287E7</v>
      </c>
      <c r="G1189" s="23">
        <v>0.11</v>
      </c>
      <c r="H1189" s="1"/>
      <c r="I1189" s="1"/>
      <c r="J1189" s="2"/>
      <c r="K1189" s="2"/>
      <c r="L1189" s="53"/>
      <c r="M1189" s="12"/>
      <c r="N1189" s="2"/>
      <c r="O1189" s="2"/>
    </row>
    <row r="1190" ht="15.75" customHeight="1">
      <c r="A1190" s="1" t="s">
        <v>1388</v>
      </c>
      <c r="B1190" s="63" t="s">
        <v>315</v>
      </c>
      <c r="C1190" s="63" t="s">
        <v>1381</v>
      </c>
      <c r="D1190" s="24">
        <v>6.0E7</v>
      </c>
      <c r="E1190" s="70">
        <v>0.934795037</v>
      </c>
      <c r="F1190" s="23">
        <v>5.608770222E7</v>
      </c>
      <c r="G1190" s="23">
        <v>0.11</v>
      </c>
      <c r="H1190" s="1"/>
      <c r="I1190" s="1"/>
      <c r="J1190" s="2"/>
      <c r="K1190" s="2"/>
      <c r="L1190" s="53"/>
      <c r="M1190" s="12"/>
      <c r="N1190" s="2"/>
      <c r="O1190" s="2"/>
    </row>
    <row r="1191" ht="15.75" customHeight="1">
      <c r="A1191" s="1" t="s">
        <v>1389</v>
      </c>
      <c r="B1191" s="63" t="s">
        <v>394</v>
      </c>
      <c r="C1191" s="63" t="s">
        <v>1381</v>
      </c>
      <c r="D1191" s="24">
        <v>6.0E7</v>
      </c>
      <c r="E1191" s="69">
        <v>0.9329789096</v>
      </c>
      <c r="F1191" s="23">
        <v>5.597873458E7</v>
      </c>
      <c r="G1191" s="23">
        <v>0.11</v>
      </c>
      <c r="H1191" s="1"/>
      <c r="I1191" s="1"/>
      <c r="J1191" s="2"/>
      <c r="K1191" s="2"/>
      <c r="L1191" s="53"/>
      <c r="M1191" s="12"/>
      <c r="N1191" s="2"/>
      <c r="O1191" s="2"/>
    </row>
    <row r="1192" ht="15.75" customHeight="1">
      <c r="A1192" s="1" t="s">
        <v>1390</v>
      </c>
      <c r="B1192" s="63" t="s">
        <v>421</v>
      </c>
      <c r="C1192" s="63" t="s">
        <v>1381</v>
      </c>
      <c r="D1192" s="24">
        <v>6.0E7</v>
      </c>
      <c r="E1192" s="69">
        <v>0.9257852681</v>
      </c>
      <c r="F1192" s="23">
        <v>5.554711609E7</v>
      </c>
      <c r="G1192" s="23">
        <v>0.11</v>
      </c>
      <c r="H1192" s="1"/>
      <c r="I1192" s="1"/>
      <c r="J1192" s="2"/>
      <c r="K1192" s="2"/>
      <c r="L1192" s="53"/>
      <c r="M1192" s="12"/>
      <c r="N1192" s="2"/>
      <c r="O1192" s="2"/>
    </row>
    <row r="1193" ht="15.75" customHeight="1">
      <c r="A1193" s="1" t="s">
        <v>1391</v>
      </c>
      <c r="B1193" s="63" t="s">
        <v>204</v>
      </c>
      <c r="C1193" s="63" t="s">
        <v>1381</v>
      </c>
      <c r="D1193" s="24">
        <v>4.0E7</v>
      </c>
      <c r="E1193" s="69">
        <v>0.9402855129</v>
      </c>
      <c r="F1193" s="23">
        <v>3.761142052E7</v>
      </c>
      <c r="G1193" s="23">
        <v>0.08</v>
      </c>
      <c r="H1193" s="1"/>
      <c r="I1193" s="1"/>
      <c r="J1193" s="2"/>
      <c r="K1193" s="2"/>
      <c r="L1193" s="53"/>
      <c r="M1193" s="12"/>
      <c r="N1193" s="2"/>
      <c r="O1193" s="2"/>
    </row>
    <row r="1194" ht="15.75" customHeight="1">
      <c r="A1194" s="1" t="s">
        <v>1392</v>
      </c>
      <c r="B1194" s="63" t="s">
        <v>563</v>
      </c>
      <c r="C1194" s="63" t="s">
        <v>1381</v>
      </c>
      <c r="D1194" s="24">
        <v>1.0E7</v>
      </c>
      <c r="E1194" s="69">
        <v>0.9404794615</v>
      </c>
      <c r="F1194" s="23">
        <v>9404794.62</v>
      </c>
      <c r="G1194" s="23">
        <v>0.02</v>
      </c>
      <c r="H1194" s="1"/>
      <c r="I1194" s="1"/>
      <c r="J1194" s="2"/>
      <c r="K1194" s="2"/>
      <c r="L1194" s="53"/>
      <c r="M1194" s="12"/>
      <c r="N1194" s="2"/>
      <c r="O1194" s="2"/>
    </row>
    <row r="1195" ht="15.75" customHeight="1">
      <c r="A1195" s="1" t="s">
        <v>1393</v>
      </c>
      <c r="B1195" s="63" t="s">
        <v>400</v>
      </c>
      <c r="C1195" s="63" t="s">
        <v>1381</v>
      </c>
      <c r="D1195" s="24">
        <v>1.0E7</v>
      </c>
      <c r="E1195" s="69">
        <v>0.9642566475</v>
      </c>
      <c r="F1195" s="23">
        <v>9642566.48</v>
      </c>
      <c r="G1195" s="23">
        <v>0.02</v>
      </c>
      <c r="H1195" s="1"/>
      <c r="I1195" s="1"/>
      <c r="J1195" s="2"/>
      <c r="K1195" s="2"/>
      <c r="L1195" s="53"/>
      <c r="M1195" s="12"/>
      <c r="N1195" s="2"/>
      <c r="O1195" s="2"/>
    </row>
    <row r="1196" ht="15.75" customHeight="1">
      <c r="A1196" s="1" t="s">
        <v>1394</v>
      </c>
      <c r="B1196" s="63" t="s">
        <v>297</v>
      </c>
      <c r="C1196" s="63" t="s">
        <v>1381</v>
      </c>
      <c r="D1196" s="24">
        <v>1.0E7</v>
      </c>
      <c r="E1196" s="69">
        <v>0.9584079356</v>
      </c>
      <c r="F1196" s="23">
        <v>9584079.36</v>
      </c>
      <c r="G1196" s="23">
        <v>0.02</v>
      </c>
      <c r="H1196" s="1"/>
      <c r="I1196" s="1"/>
      <c r="J1196" s="2"/>
      <c r="K1196" s="2"/>
      <c r="L1196" s="53"/>
      <c r="M1196" s="12"/>
      <c r="N1196" s="2"/>
      <c r="O1196" s="2"/>
    </row>
    <row r="1197" ht="15.75" customHeight="1">
      <c r="A1197" s="1" t="s">
        <v>1395</v>
      </c>
      <c r="B1197" s="63" t="s">
        <v>146</v>
      </c>
      <c r="C1197" s="63" t="s">
        <v>1381</v>
      </c>
      <c r="D1197" s="24">
        <v>1.0E7</v>
      </c>
      <c r="E1197" s="69">
        <v>0.9485448361</v>
      </c>
      <c r="F1197" s="23">
        <v>9485448.36</v>
      </c>
      <c r="G1197" s="23">
        <v>0.02</v>
      </c>
      <c r="H1197" s="1"/>
      <c r="I1197" s="1"/>
      <c r="J1197" s="2"/>
      <c r="K1197" s="2"/>
      <c r="L1197" s="53"/>
      <c r="M1197" s="12"/>
      <c r="N1197" s="2"/>
      <c r="O1197" s="2"/>
    </row>
    <row r="1198" ht="15.75" customHeight="1">
      <c r="A1198" s="1" t="s">
        <v>1396</v>
      </c>
      <c r="B1198" s="63" t="s">
        <v>287</v>
      </c>
      <c r="C1198" s="63" t="s">
        <v>1381</v>
      </c>
      <c r="D1198" s="24">
        <v>1.0E7</v>
      </c>
      <c r="E1198" s="69">
        <v>0.9357055382</v>
      </c>
      <c r="F1198" s="23">
        <v>9357055.38</v>
      </c>
      <c r="G1198" s="23">
        <v>0.02</v>
      </c>
      <c r="H1198" s="1"/>
      <c r="I1198" s="1"/>
      <c r="J1198" s="2"/>
      <c r="K1198" s="2"/>
      <c r="L1198" s="53"/>
      <c r="M1198" s="12"/>
      <c r="N1198" s="2"/>
      <c r="O1198" s="2"/>
    </row>
    <row r="1199" ht="15.75" customHeight="1">
      <c r="A1199" s="1" t="s">
        <v>1397</v>
      </c>
      <c r="B1199" s="63" t="s">
        <v>182</v>
      </c>
      <c r="C1199" s="63" t="s">
        <v>1381</v>
      </c>
      <c r="D1199" s="24">
        <v>1.0E8</v>
      </c>
      <c r="E1199" s="69">
        <v>0.9806556431</v>
      </c>
      <c r="F1199" s="23">
        <v>9.806556431E7</v>
      </c>
      <c r="G1199" s="29">
        <v>0.2</v>
      </c>
      <c r="H1199" s="1"/>
      <c r="I1199" s="1"/>
      <c r="J1199" s="2"/>
      <c r="K1199" s="2"/>
      <c r="L1199" s="53"/>
      <c r="M1199" s="12"/>
      <c r="N1199" s="2"/>
      <c r="O1199" s="2"/>
    </row>
    <row r="1200" ht="15.75" customHeight="1">
      <c r="A1200" s="1" t="s">
        <v>1398</v>
      </c>
      <c r="B1200" s="63" t="s">
        <v>187</v>
      </c>
      <c r="C1200" s="63" t="s">
        <v>1399</v>
      </c>
      <c r="D1200" s="24">
        <v>1.0E8</v>
      </c>
      <c r="E1200" s="69">
        <v>0.9798658566</v>
      </c>
      <c r="F1200" s="23">
        <v>9.798658566E7</v>
      </c>
      <c r="G1200" s="29">
        <v>0.2</v>
      </c>
      <c r="H1200" s="1"/>
      <c r="I1200" s="1"/>
      <c r="J1200" s="2"/>
      <c r="K1200" s="2"/>
      <c r="L1200" s="53"/>
      <c r="M1200" s="12"/>
      <c r="N1200" s="2"/>
      <c r="O1200" s="2"/>
    </row>
    <row r="1201" ht="15.75" customHeight="1">
      <c r="A1201" s="1" t="s">
        <v>1400</v>
      </c>
      <c r="B1201" s="63" t="s">
        <v>400</v>
      </c>
      <c r="C1201" s="63" t="s">
        <v>1399</v>
      </c>
      <c r="D1201" s="24">
        <v>1.0E7</v>
      </c>
      <c r="E1201" s="69">
        <v>0.9673999533</v>
      </c>
      <c r="F1201" s="23">
        <v>9673999.53</v>
      </c>
      <c r="G1201" s="23">
        <v>0.02</v>
      </c>
      <c r="H1201" s="1"/>
      <c r="I1201" s="1"/>
      <c r="J1201" s="2"/>
      <c r="K1201" s="2"/>
      <c r="L1201" s="53"/>
      <c r="M1201" s="12"/>
      <c r="N1201" s="2"/>
      <c r="O1201" s="2"/>
    </row>
    <row r="1202" ht="15.75" customHeight="1">
      <c r="A1202" s="1" t="s">
        <v>1401</v>
      </c>
      <c r="B1202" s="63" t="s">
        <v>394</v>
      </c>
      <c r="C1202" s="63" t="s">
        <v>1399</v>
      </c>
      <c r="D1202" s="24">
        <v>1.0E7</v>
      </c>
      <c r="E1202" s="69">
        <v>0.9463314286</v>
      </c>
      <c r="F1202" s="23">
        <v>9463314.29</v>
      </c>
      <c r="G1202" s="23">
        <v>0.02</v>
      </c>
      <c r="H1202" s="1"/>
      <c r="I1202" s="1"/>
      <c r="J1202" s="2"/>
      <c r="K1202" s="2"/>
      <c r="L1202" s="53"/>
      <c r="M1202" s="12"/>
      <c r="N1202" s="2"/>
      <c r="O1202" s="2"/>
    </row>
    <row r="1203" ht="15.75" customHeight="1">
      <c r="A1203" s="1" t="s">
        <v>1402</v>
      </c>
      <c r="B1203" s="63" t="s">
        <v>1132</v>
      </c>
      <c r="C1203" s="63" t="s">
        <v>1399</v>
      </c>
      <c r="D1203" s="24">
        <v>1.0E7</v>
      </c>
      <c r="E1203" s="69">
        <v>0.9332652492</v>
      </c>
      <c r="F1203" s="23">
        <v>9332652.49</v>
      </c>
      <c r="G1203" s="23">
        <v>0.02</v>
      </c>
      <c r="H1203" s="1"/>
      <c r="I1203" s="1"/>
      <c r="J1203" s="2"/>
      <c r="K1203" s="2"/>
      <c r="L1203" s="53"/>
      <c r="M1203" s="12"/>
      <c r="N1203" s="2"/>
      <c r="O1203" s="2"/>
    </row>
    <row r="1204" ht="15.75" customHeight="1">
      <c r="A1204" s="1" t="s">
        <v>1403</v>
      </c>
      <c r="B1204" s="63" t="s">
        <v>1404</v>
      </c>
      <c r="C1204" s="63" t="s">
        <v>1399</v>
      </c>
      <c r="D1204" s="24">
        <v>1.0E7</v>
      </c>
      <c r="E1204" s="69">
        <v>0.9311225901</v>
      </c>
      <c r="F1204" s="29">
        <v>9311225.9</v>
      </c>
      <c r="G1204" s="23">
        <v>0.02</v>
      </c>
      <c r="H1204" s="1"/>
      <c r="I1204" s="1"/>
      <c r="J1204" s="2"/>
      <c r="K1204" s="2"/>
      <c r="L1204" s="53"/>
      <c r="M1204" s="12"/>
      <c r="N1204" s="2"/>
      <c r="O1204" s="2"/>
    </row>
    <row r="1205" ht="15.75" customHeight="1">
      <c r="A1205" s="1" t="s">
        <v>1405</v>
      </c>
      <c r="B1205" s="63" t="s">
        <v>421</v>
      </c>
      <c r="C1205" s="63" t="s">
        <v>1399</v>
      </c>
      <c r="D1205" s="24">
        <v>1.0E7</v>
      </c>
      <c r="E1205" s="69">
        <v>0.9404792971</v>
      </c>
      <c r="F1205" s="23">
        <v>9404792.97</v>
      </c>
      <c r="G1205" s="23">
        <v>0.02</v>
      </c>
      <c r="H1205" s="1"/>
      <c r="I1205" s="1"/>
      <c r="J1205" s="2"/>
      <c r="K1205" s="2"/>
      <c r="L1205" s="53"/>
      <c r="M1205" s="12"/>
      <c r="N1205" s="2"/>
      <c r="O1205" s="2"/>
    </row>
    <row r="1206" ht="15.75" customHeight="1">
      <c r="A1206" s="1" t="s">
        <v>1406</v>
      </c>
      <c r="B1206" s="63" t="s">
        <v>297</v>
      </c>
      <c r="C1206" s="63" t="s">
        <v>1399</v>
      </c>
      <c r="D1206" s="24">
        <v>1.0E7</v>
      </c>
      <c r="E1206" s="69">
        <v>0.9620453603</v>
      </c>
      <c r="F1206" s="29">
        <v>9620453.6</v>
      </c>
      <c r="G1206" s="23">
        <v>0.02</v>
      </c>
      <c r="H1206" s="1"/>
      <c r="I1206" s="1"/>
      <c r="J1206" s="2"/>
      <c r="K1206" s="2"/>
      <c r="L1206" s="53"/>
      <c r="M1206" s="12"/>
      <c r="N1206" s="2"/>
      <c r="O1206" s="2"/>
    </row>
    <row r="1207" ht="15.75" customHeight="1">
      <c r="A1207" s="1" t="s">
        <v>1407</v>
      </c>
      <c r="B1207" s="63" t="s">
        <v>328</v>
      </c>
      <c r="C1207" s="63" t="s">
        <v>1399</v>
      </c>
      <c r="D1207" s="24">
        <v>1.0E7</v>
      </c>
      <c r="E1207" s="69">
        <v>0.9575027318</v>
      </c>
      <c r="F1207" s="23">
        <v>9575027.32</v>
      </c>
      <c r="G1207" s="23">
        <v>0.02</v>
      </c>
      <c r="H1207" s="1"/>
      <c r="I1207" s="1"/>
      <c r="J1207" s="2"/>
      <c r="K1207" s="2"/>
      <c r="L1207" s="53"/>
      <c r="M1207" s="12"/>
      <c r="N1207" s="2"/>
      <c r="O1207" s="2"/>
    </row>
    <row r="1208" ht="15.75" customHeight="1">
      <c r="A1208" s="1" t="s">
        <v>1408</v>
      </c>
      <c r="B1208" s="63" t="s">
        <v>113</v>
      </c>
      <c r="C1208" s="63" t="s">
        <v>1399</v>
      </c>
      <c r="D1208" s="24">
        <v>1.0E7</v>
      </c>
      <c r="E1208" s="69">
        <v>0.9537496954</v>
      </c>
      <c r="F1208" s="23">
        <v>9537496.95</v>
      </c>
      <c r="G1208" s="23">
        <v>0.02</v>
      </c>
      <c r="H1208" s="1"/>
      <c r="I1208" s="1"/>
      <c r="J1208" s="2"/>
      <c r="K1208" s="2"/>
      <c r="L1208" s="53"/>
      <c r="M1208" s="12"/>
      <c r="N1208" s="2"/>
      <c r="O1208" s="2"/>
    </row>
    <row r="1209" ht="15.75" customHeight="1">
      <c r="A1209" s="1" t="s">
        <v>1409</v>
      </c>
      <c r="B1209" s="63" t="s">
        <v>1410</v>
      </c>
      <c r="C1209" s="63" t="s">
        <v>1399</v>
      </c>
      <c r="D1209" s="24">
        <v>9.33333333E8</v>
      </c>
      <c r="E1209" s="69">
        <v>0.8991920304</v>
      </c>
      <c r="F1209" s="23">
        <v>8.3924589474E8</v>
      </c>
      <c r="G1209" s="23">
        <v>1.72</v>
      </c>
      <c r="H1209" s="1"/>
      <c r="I1209" s="1"/>
      <c r="J1209" s="2"/>
      <c r="K1209" s="2"/>
      <c r="L1209" s="53"/>
      <c r="M1209" s="12"/>
      <c r="N1209" s="2"/>
      <c r="O1209" s="2"/>
    </row>
    <row r="1210" ht="15.75" customHeight="1">
      <c r="A1210" s="1" t="s">
        <v>1411</v>
      </c>
      <c r="B1210" s="63" t="s">
        <v>285</v>
      </c>
      <c r="C1210" s="63" t="s">
        <v>1412</v>
      </c>
      <c r="D1210" s="23">
        <v>248941.88</v>
      </c>
      <c r="E1210" s="69">
        <v>0.9663499371</v>
      </c>
      <c r="F1210" s="23">
        <v>240564.97</v>
      </c>
      <c r="G1210" s="24">
        <v>0.0</v>
      </c>
      <c r="H1210" s="1"/>
      <c r="I1210" s="1"/>
      <c r="J1210" s="2"/>
      <c r="K1210" s="2"/>
      <c r="L1210" s="53"/>
      <c r="M1210" s="12"/>
      <c r="N1210" s="2"/>
      <c r="O1210" s="2"/>
    </row>
    <row r="1211" ht="15.75" customHeight="1">
      <c r="A1211" s="1" t="s">
        <v>1413</v>
      </c>
      <c r="B1211" s="63" t="s">
        <v>285</v>
      </c>
      <c r="C1211" s="63" t="s">
        <v>1412</v>
      </c>
      <c r="D1211" s="23">
        <v>1236587.72</v>
      </c>
      <c r="E1211" s="69">
        <v>0.9663499324</v>
      </c>
      <c r="F1211" s="23">
        <v>1194976.46</v>
      </c>
      <c r="G1211" s="24">
        <v>0.0</v>
      </c>
      <c r="H1211" s="1"/>
      <c r="I1211" s="1"/>
      <c r="J1211" s="2"/>
      <c r="K1211" s="2"/>
      <c r="L1211" s="53"/>
      <c r="M1211" s="12"/>
      <c r="N1211" s="2"/>
      <c r="O1211" s="2"/>
    </row>
    <row r="1212" ht="15.75" customHeight="1">
      <c r="A1212" s="1" t="s">
        <v>1414</v>
      </c>
      <c r="B1212" s="63" t="s">
        <v>783</v>
      </c>
      <c r="C1212" s="63" t="s">
        <v>1412</v>
      </c>
      <c r="D1212" s="24">
        <v>9.33333333E8</v>
      </c>
      <c r="E1212" s="69">
        <v>0.8948273917</v>
      </c>
      <c r="F1212" s="23">
        <v>8.3517223196E8</v>
      </c>
      <c r="G1212" s="23">
        <v>1.71</v>
      </c>
      <c r="H1212" s="1"/>
      <c r="I1212" s="1"/>
      <c r="J1212" s="2"/>
      <c r="K1212" s="2"/>
      <c r="L1212" s="53"/>
      <c r="M1212" s="12"/>
      <c r="N1212" s="2"/>
      <c r="O1212" s="2"/>
    </row>
    <row r="1213" ht="15.75" customHeight="1">
      <c r="A1213" s="1" t="s">
        <v>1415</v>
      </c>
      <c r="B1213" s="63" t="s">
        <v>274</v>
      </c>
      <c r="C1213" s="63" t="s">
        <v>1412</v>
      </c>
      <c r="D1213" s="24">
        <v>1.0E7</v>
      </c>
      <c r="E1213" s="69">
        <v>0.9612852512</v>
      </c>
      <c r="F1213" s="23">
        <v>9612852.51</v>
      </c>
      <c r="G1213" s="23">
        <v>0.02</v>
      </c>
      <c r="H1213" s="1"/>
      <c r="I1213" s="1"/>
      <c r="J1213" s="2"/>
      <c r="K1213" s="2"/>
      <c r="L1213" s="53"/>
      <c r="M1213" s="12"/>
      <c r="N1213" s="2"/>
      <c r="O1213" s="2"/>
    </row>
    <row r="1214" ht="15.75" customHeight="1">
      <c r="A1214" s="1" t="s">
        <v>1416</v>
      </c>
      <c r="B1214" s="63" t="s">
        <v>163</v>
      </c>
      <c r="C1214" s="63" t="s">
        <v>1412</v>
      </c>
      <c r="D1214" s="24">
        <v>5667008.0</v>
      </c>
      <c r="E1214" s="69">
        <v>0.9894281973</v>
      </c>
      <c r="F1214" s="23">
        <v>5607097.51</v>
      </c>
      <c r="G1214" s="23">
        <v>0.01</v>
      </c>
      <c r="H1214" s="1"/>
      <c r="I1214" s="1"/>
      <c r="J1214" s="2"/>
      <c r="K1214" s="2"/>
      <c r="L1214" s="53"/>
      <c r="M1214" s="12"/>
      <c r="N1214" s="2"/>
      <c r="O1214" s="2"/>
    </row>
    <row r="1215" ht="15.75" customHeight="1">
      <c r="A1215" s="1" t="s">
        <v>1417</v>
      </c>
      <c r="B1215" s="63" t="s">
        <v>219</v>
      </c>
      <c r="C1215" s="63" t="s">
        <v>1412</v>
      </c>
      <c r="D1215" s="24">
        <v>2000000.0</v>
      </c>
      <c r="E1215" s="69">
        <v>0.9659408798</v>
      </c>
      <c r="F1215" s="23">
        <v>1931881.76</v>
      </c>
      <c r="G1215" s="24">
        <v>0.0</v>
      </c>
      <c r="H1215" s="1"/>
      <c r="I1215" s="1"/>
      <c r="J1215" s="2"/>
      <c r="K1215" s="2"/>
      <c r="L1215" s="53"/>
      <c r="M1215" s="12"/>
      <c r="N1215" s="2"/>
      <c r="O1215" s="2"/>
    </row>
    <row r="1216" ht="15.75" customHeight="1">
      <c r="A1216" s="1" t="s">
        <v>1418</v>
      </c>
      <c r="B1216" s="63" t="s">
        <v>143</v>
      </c>
      <c r="C1216" s="63" t="s">
        <v>1412</v>
      </c>
      <c r="D1216" s="24">
        <v>2000000.0</v>
      </c>
      <c r="E1216" s="69">
        <v>0.9592390904</v>
      </c>
      <c r="F1216" s="23">
        <v>1918478.18</v>
      </c>
      <c r="G1216" s="24">
        <v>0.0</v>
      </c>
      <c r="H1216" s="1"/>
      <c r="I1216" s="1"/>
      <c r="J1216" s="2"/>
      <c r="K1216" s="2"/>
      <c r="L1216" s="53"/>
      <c r="M1216" s="12"/>
      <c r="N1216" s="2"/>
      <c r="O1216" s="2"/>
    </row>
    <row r="1217" ht="15.75" customHeight="1">
      <c r="A1217" s="1" t="s">
        <v>1419</v>
      </c>
      <c r="B1217" s="63" t="s">
        <v>223</v>
      </c>
      <c r="C1217" s="63" t="s">
        <v>1412</v>
      </c>
      <c r="D1217" s="24">
        <v>2000000.0</v>
      </c>
      <c r="E1217" s="69">
        <v>0.9542733143</v>
      </c>
      <c r="F1217" s="23">
        <v>1908546.63</v>
      </c>
      <c r="G1217" s="24">
        <v>0.0</v>
      </c>
      <c r="H1217" s="1"/>
      <c r="I1217" s="1"/>
      <c r="J1217" s="2"/>
      <c r="K1217" s="2"/>
      <c r="L1217" s="53"/>
      <c r="M1217" s="12"/>
      <c r="N1217" s="2"/>
      <c r="O1217" s="2"/>
    </row>
    <row r="1218" ht="15.75" customHeight="1">
      <c r="A1218" s="1" t="s">
        <v>1420</v>
      </c>
      <c r="B1218" s="63" t="s">
        <v>506</v>
      </c>
      <c r="C1218" s="63" t="s">
        <v>1412</v>
      </c>
      <c r="D1218" s="24">
        <v>2000000.0</v>
      </c>
      <c r="E1218" s="69">
        <v>0.9526296402</v>
      </c>
      <c r="F1218" s="23">
        <v>1905259.28</v>
      </c>
      <c r="G1218" s="24">
        <v>0.0</v>
      </c>
      <c r="H1218" s="1"/>
      <c r="I1218" s="1"/>
      <c r="J1218" s="2"/>
      <c r="K1218" s="2"/>
      <c r="L1218" s="53"/>
      <c r="M1218" s="12"/>
      <c r="N1218" s="2"/>
      <c r="O1218" s="2"/>
    </row>
    <row r="1219" ht="15.75" customHeight="1">
      <c r="A1219" s="1" t="s">
        <v>1421</v>
      </c>
      <c r="B1219" s="63" t="s">
        <v>161</v>
      </c>
      <c r="C1219" s="63" t="s">
        <v>1412</v>
      </c>
      <c r="D1219" s="24">
        <v>2.15E8</v>
      </c>
      <c r="E1219" s="69">
        <v>0.9542985337</v>
      </c>
      <c r="F1219" s="23">
        <v>2.0517418475E8</v>
      </c>
      <c r="G1219" s="23">
        <v>0.42</v>
      </c>
      <c r="H1219" s="1"/>
      <c r="I1219" s="1"/>
      <c r="J1219" s="2"/>
      <c r="K1219" s="2"/>
      <c r="L1219" s="53"/>
      <c r="M1219" s="12"/>
      <c r="N1219" s="2"/>
      <c r="O1219" s="2"/>
    </row>
    <row r="1220" ht="15.75" customHeight="1">
      <c r="A1220" s="1" t="s">
        <v>1422</v>
      </c>
      <c r="B1220" s="63" t="s">
        <v>297</v>
      </c>
      <c r="C1220" s="63" t="s">
        <v>1412</v>
      </c>
      <c r="D1220" s="24">
        <v>2.0E8</v>
      </c>
      <c r="E1220" s="69">
        <v>0.9632641001</v>
      </c>
      <c r="F1220" s="23">
        <v>1.9265282002E8</v>
      </c>
      <c r="G1220" s="23">
        <v>0.39</v>
      </c>
      <c r="H1220" s="1"/>
      <c r="I1220" s="1"/>
      <c r="J1220" s="2"/>
      <c r="K1220" s="2"/>
      <c r="L1220" s="53"/>
      <c r="M1220" s="12"/>
      <c r="N1220" s="2"/>
      <c r="O1220" s="2"/>
    </row>
    <row r="1221" ht="15.75" customHeight="1">
      <c r="A1221" s="1" t="s">
        <v>1423</v>
      </c>
      <c r="B1221" s="63" t="s">
        <v>301</v>
      </c>
      <c r="C1221" s="63" t="s">
        <v>1412</v>
      </c>
      <c r="D1221" s="24">
        <v>2.0E8</v>
      </c>
      <c r="E1221" s="70">
        <v>0.960324208</v>
      </c>
      <c r="F1221" s="29">
        <v>1.920648416E8</v>
      </c>
      <c r="G1221" s="23">
        <v>0.39</v>
      </c>
      <c r="H1221" s="1"/>
      <c r="I1221" s="1"/>
      <c r="J1221" s="2"/>
      <c r="K1221" s="2"/>
      <c r="L1221" s="53"/>
      <c r="M1221" s="12"/>
      <c r="N1221" s="2"/>
      <c r="O1221" s="2"/>
    </row>
    <row r="1222" ht="15.75" customHeight="1">
      <c r="A1222" s="1" t="s">
        <v>1424</v>
      </c>
      <c r="B1222" s="63" t="s">
        <v>506</v>
      </c>
      <c r="C1222" s="63" t="s">
        <v>1412</v>
      </c>
      <c r="D1222" s="24">
        <v>2.0E8</v>
      </c>
      <c r="E1222" s="69">
        <v>0.9581310948</v>
      </c>
      <c r="F1222" s="23">
        <v>1.9162621896E8</v>
      </c>
      <c r="G1222" s="23">
        <v>0.39</v>
      </c>
      <c r="H1222" s="1"/>
      <c r="I1222" s="1"/>
      <c r="J1222" s="2"/>
      <c r="K1222" s="2"/>
      <c r="L1222" s="53"/>
      <c r="M1222" s="12"/>
      <c r="N1222" s="2"/>
      <c r="O1222" s="2"/>
    </row>
    <row r="1223" ht="15.75" customHeight="1">
      <c r="A1223" s="1" t="s">
        <v>1425</v>
      </c>
      <c r="B1223" s="63" t="s">
        <v>108</v>
      </c>
      <c r="C1223" s="63" t="s">
        <v>1412</v>
      </c>
      <c r="D1223" s="24">
        <v>2.0E8</v>
      </c>
      <c r="E1223" s="70">
        <v>0.957402205</v>
      </c>
      <c r="F1223" s="24">
        <v>1.91480441E8</v>
      </c>
      <c r="G1223" s="23">
        <v>0.39</v>
      </c>
      <c r="H1223" s="1"/>
      <c r="I1223" s="1"/>
      <c r="J1223" s="2"/>
      <c r="K1223" s="2"/>
      <c r="L1223" s="53"/>
      <c r="M1223" s="12"/>
      <c r="N1223" s="2"/>
      <c r="O1223" s="2"/>
    </row>
    <row r="1224" ht="15.75" customHeight="1">
      <c r="A1224" s="1" t="s">
        <v>1426</v>
      </c>
      <c r="B1224" s="63" t="s">
        <v>328</v>
      </c>
      <c r="C1224" s="63" t="s">
        <v>1412</v>
      </c>
      <c r="D1224" s="24">
        <v>2.0E8</v>
      </c>
      <c r="E1224" s="69">
        <v>0.9588610944</v>
      </c>
      <c r="F1224" s="23">
        <v>1.9177221888E8</v>
      </c>
      <c r="G1224" s="23">
        <v>0.39</v>
      </c>
      <c r="H1224" s="1"/>
      <c r="I1224" s="1"/>
      <c r="J1224" s="2"/>
      <c r="K1224" s="2"/>
      <c r="L1224" s="53"/>
      <c r="M1224" s="12"/>
      <c r="N1224" s="2"/>
      <c r="O1224" s="2"/>
    </row>
    <row r="1225" ht="15.75" customHeight="1">
      <c r="A1225" s="1" t="s">
        <v>1427</v>
      </c>
      <c r="B1225" s="63" t="s">
        <v>482</v>
      </c>
      <c r="C1225" s="63" t="s">
        <v>1428</v>
      </c>
      <c r="D1225" s="24">
        <v>5.0E7</v>
      </c>
      <c r="E1225" s="69">
        <v>0.9209729565</v>
      </c>
      <c r="F1225" s="23">
        <v>4.604864783E7</v>
      </c>
      <c r="G1225" s="23">
        <v>0.09</v>
      </c>
      <c r="H1225" s="1"/>
      <c r="I1225" s="1"/>
      <c r="J1225" s="2"/>
      <c r="K1225" s="2"/>
      <c r="L1225" s="53"/>
      <c r="M1225" s="12"/>
      <c r="N1225" s="2"/>
      <c r="O1225" s="2"/>
    </row>
    <row r="1226" ht="15.75" customHeight="1">
      <c r="A1226" s="1" t="s">
        <v>1429</v>
      </c>
      <c r="B1226" s="63" t="s">
        <v>187</v>
      </c>
      <c r="C1226" s="63" t="s">
        <v>1428</v>
      </c>
      <c r="D1226" s="24">
        <v>5.0E7</v>
      </c>
      <c r="E1226" s="70">
        <v>0.981842825</v>
      </c>
      <c r="F1226" s="23">
        <v>4.909214125E7</v>
      </c>
      <c r="G1226" s="29">
        <v>0.1</v>
      </c>
      <c r="H1226" s="1"/>
      <c r="I1226" s="1"/>
      <c r="J1226" s="2"/>
      <c r="K1226" s="2"/>
      <c r="L1226" s="53"/>
      <c r="M1226" s="12"/>
      <c r="N1226" s="2"/>
      <c r="O1226" s="2"/>
    </row>
    <row r="1227" ht="15.75" customHeight="1">
      <c r="A1227" s="1" t="s">
        <v>1430</v>
      </c>
      <c r="B1227" s="63" t="s">
        <v>493</v>
      </c>
      <c r="C1227" s="63" t="s">
        <v>1428</v>
      </c>
      <c r="D1227" s="24">
        <v>3.5E7</v>
      </c>
      <c r="E1227" s="69">
        <v>0.9414983162</v>
      </c>
      <c r="F1227" s="23">
        <v>3.295244107E7</v>
      </c>
      <c r="G1227" s="23">
        <v>0.07</v>
      </c>
      <c r="H1227" s="1"/>
      <c r="I1227" s="1"/>
      <c r="J1227" s="2"/>
      <c r="K1227" s="2"/>
      <c r="L1227" s="53"/>
      <c r="M1227" s="12"/>
      <c r="N1227" s="2"/>
      <c r="O1227" s="2"/>
    </row>
    <row r="1228" ht="15.75" customHeight="1">
      <c r="A1228" s="1" t="s">
        <v>1431</v>
      </c>
      <c r="B1228" s="63" t="s">
        <v>378</v>
      </c>
      <c r="C1228" s="63" t="s">
        <v>1428</v>
      </c>
      <c r="D1228" s="24">
        <v>3.5E7</v>
      </c>
      <c r="E1228" s="69">
        <v>0.9428114599</v>
      </c>
      <c r="F1228" s="29">
        <v>3.29984011E7</v>
      </c>
      <c r="G1228" s="23">
        <v>0.07</v>
      </c>
      <c r="H1228" s="1"/>
      <c r="I1228" s="1"/>
      <c r="J1228" s="2"/>
      <c r="K1228" s="2"/>
      <c r="L1228" s="53"/>
      <c r="M1228" s="12"/>
      <c r="N1228" s="2"/>
      <c r="O1228" s="2"/>
    </row>
    <row r="1229" ht="15.75" customHeight="1">
      <c r="A1229" s="1" t="s">
        <v>1432</v>
      </c>
      <c r="B1229" s="63" t="s">
        <v>430</v>
      </c>
      <c r="C1229" s="63" t="s">
        <v>1428</v>
      </c>
      <c r="D1229" s="24">
        <v>3.0E7</v>
      </c>
      <c r="E1229" s="69">
        <v>0.9388827541</v>
      </c>
      <c r="F1229" s="23">
        <v>2.816648262E7</v>
      </c>
      <c r="G1229" s="23">
        <v>0.06</v>
      </c>
      <c r="H1229" s="1"/>
      <c r="I1229" s="1"/>
      <c r="J1229" s="2"/>
      <c r="K1229" s="2"/>
      <c r="L1229" s="53"/>
      <c r="M1229" s="12"/>
      <c r="N1229" s="2"/>
      <c r="O1229" s="2"/>
    </row>
    <row r="1230" ht="15.75" customHeight="1">
      <c r="A1230" s="1" t="s">
        <v>1433</v>
      </c>
      <c r="B1230" s="63" t="s">
        <v>335</v>
      </c>
      <c r="C1230" s="63" t="s">
        <v>1428</v>
      </c>
      <c r="D1230" s="24">
        <v>5800000.0</v>
      </c>
      <c r="E1230" s="69">
        <v>0.9761708931</v>
      </c>
      <c r="F1230" s="23">
        <v>5661791.18</v>
      </c>
      <c r="G1230" s="23">
        <v>0.01</v>
      </c>
      <c r="H1230" s="1"/>
      <c r="I1230" s="1"/>
      <c r="J1230" s="2"/>
      <c r="K1230" s="2"/>
      <c r="L1230" s="53"/>
      <c r="M1230" s="12"/>
      <c r="N1230" s="2"/>
      <c r="O1230" s="2"/>
    </row>
    <row r="1231" ht="15.75" customHeight="1">
      <c r="A1231" s="1" t="s">
        <v>1434</v>
      </c>
      <c r="B1231" s="63" t="s">
        <v>341</v>
      </c>
      <c r="C1231" s="63" t="s">
        <v>1428</v>
      </c>
      <c r="D1231" s="24">
        <v>5800000.0</v>
      </c>
      <c r="E1231" s="69">
        <v>0.9754664568</v>
      </c>
      <c r="F1231" s="23">
        <v>5657705.45</v>
      </c>
      <c r="G1231" s="23">
        <v>0.01</v>
      </c>
      <c r="H1231" s="1"/>
      <c r="I1231" s="1"/>
      <c r="J1231" s="2"/>
      <c r="K1231" s="2"/>
      <c r="L1231" s="53"/>
      <c r="M1231" s="12"/>
      <c r="N1231" s="2"/>
      <c r="O1231" s="2"/>
    </row>
    <row r="1232" ht="15.75" customHeight="1">
      <c r="A1232" s="1" t="s">
        <v>1435</v>
      </c>
      <c r="B1232" s="63" t="s">
        <v>549</v>
      </c>
      <c r="C1232" s="63" t="s">
        <v>1428</v>
      </c>
      <c r="D1232" s="24">
        <v>5800000.0</v>
      </c>
      <c r="E1232" s="69">
        <v>0.9726590392</v>
      </c>
      <c r="F1232" s="23">
        <v>5641422.43</v>
      </c>
      <c r="G1232" s="23">
        <v>0.01</v>
      </c>
      <c r="H1232" s="1"/>
      <c r="I1232" s="1"/>
      <c r="J1232" s="2"/>
      <c r="K1232" s="2"/>
      <c r="L1232" s="53"/>
      <c r="M1232" s="12"/>
      <c r="N1232" s="2"/>
      <c r="O1232" s="2"/>
    </row>
    <row r="1233" ht="15.75" customHeight="1">
      <c r="A1233" s="1" t="s">
        <v>1436</v>
      </c>
      <c r="B1233" s="63" t="s">
        <v>549</v>
      </c>
      <c r="C1233" s="63" t="s">
        <v>1428</v>
      </c>
      <c r="D1233" s="24">
        <v>5800000.0</v>
      </c>
      <c r="E1233" s="69">
        <v>0.9726590392</v>
      </c>
      <c r="F1233" s="23">
        <v>5641422.43</v>
      </c>
      <c r="G1233" s="23">
        <v>0.01</v>
      </c>
      <c r="H1233" s="1"/>
      <c r="I1233" s="1"/>
      <c r="J1233" s="2"/>
      <c r="K1233" s="2"/>
      <c r="L1233" s="53"/>
      <c r="M1233" s="12"/>
      <c r="N1233" s="2"/>
      <c r="O1233" s="2"/>
    </row>
    <row r="1234" ht="15.75" customHeight="1">
      <c r="A1234" s="1" t="s">
        <v>1437</v>
      </c>
      <c r="B1234" s="63" t="s">
        <v>247</v>
      </c>
      <c r="C1234" s="63" t="s">
        <v>1428</v>
      </c>
      <c r="D1234" s="24">
        <v>5900000.0</v>
      </c>
      <c r="E1234" s="69">
        <v>0.9712614901</v>
      </c>
      <c r="F1234" s="23">
        <v>5730442.79</v>
      </c>
      <c r="G1234" s="23">
        <v>0.01</v>
      </c>
      <c r="H1234" s="1"/>
      <c r="I1234" s="1"/>
      <c r="J1234" s="2"/>
      <c r="K1234" s="2"/>
      <c r="L1234" s="53"/>
      <c r="M1234" s="12"/>
      <c r="N1234" s="2"/>
      <c r="O1234" s="2"/>
    </row>
    <row r="1235" ht="15.75" customHeight="1">
      <c r="A1235" s="1" t="s">
        <v>1438</v>
      </c>
      <c r="B1235" s="63" t="s">
        <v>247</v>
      </c>
      <c r="C1235" s="63" t="s">
        <v>1428</v>
      </c>
      <c r="D1235" s="24">
        <v>5900000.0</v>
      </c>
      <c r="E1235" s="69">
        <v>0.9712614901</v>
      </c>
      <c r="F1235" s="23">
        <v>5730442.79</v>
      </c>
      <c r="G1235" s="23">
        <v>0.01</v>
      </c>
      <c r="H1235" s="1"/>
      <c r="I1235" s="1"/>
      <c r="J1235" s="2"/>
      <c r="K1235" s="2"/>
      <c r="L1235" s="53"/>
      <c r="M1235" s="12"/>
      <c r="N1235" s="2"/>
      <c r="O1235" s="2"/>
    </row>
    <row r="1236" ht="15.75" customHeight="1">
      <c r="A1236" s="1" t="s">
        <v>1439</v>
      </c>
      <c r="B1236" s="63" t="s">
        <v>274</v>
      </c>
      <c r="C1236" s="63" t="s">
        <v>1428</v>
      </c>
      <c r="D1236" s="24">
        <v>7250000.0</v>
      </c>
      <c r="E1236" s="69">
        <v>0.9650213659</v>
      </c>
      <c r="F1236" s="29">
        <v>6996404.9</v>
      </c>
      <c r="G1236" s="23">
        <v>0.01</v>
      </c>
      <c r="H1236" s="1"/>
      <c r="I1236" s="1"/>
      <c r="J1236" s="2"/>
      <c r="K1236" s="2"/>
      <c r="L1236" s="53"/>
      <c r="M1236" s="12"/>
      <c r="N1236" s="2"/>
      <c r="O1236" s="2"/>
    </row>
    <row r="1237" ht="15.75" customHeight="1">
      <c r="A1237" s="1" t="s">
        <v>1440</v>
      </c>
      <c r="B1237" s="63" t="s">
        <v>274</v>
      </c>
      <c r="C1237" s="63" t="s">
        <v>1428</v>
      </c>
      <c r="D1237" s="24">
        <v>7250000.0</v>
      </c>
      <c r="E1237" s="69">
        <v>0.9650213659</v>
      </c>
      <c r="F1237" s="29">
        <v>6996404.9</v>
      </c>
      <c r="G1237" s="23">
        <v>0.01</v>
      </c>
      <c r="H1237" s="1"/>
      <c r="I1237" s="1"/>
      <c r="J1237" s="2"/>
      <c r="K1237" s="2"/>
      <c r="L1237" s="53"/>
      <c r="M1237" s="12"/>
      <c r="N1237" s="2"/>
      <c r="O1237" s="2"/>
    </row>
    <row r="1238" ht="15.75" customHeight="1">
      <c r="A1238" s="1" t="s">
        <v>1441</v>
      </c>
      <c r="B1238" s="63" t="s">
        <v>274</v>
      </c>
      <c r="C1238" s="63" t="s">
        <v>1428</v>
      </c>
      <c r="D1238" s="24">
        <v>7250000.0</v>
      </c>
      <c r="E1238" s="69">
        <v>0.9650213659</v>
      </c>
      <c r="F1238" s="29">
        <v>6996404.9</v>
      </c>
      <c r="G1238" s="23">
        <v>0.01</v>
      </c>
      <c r="H1238" s="1"/>
      <c r="I1238" s="1"/>
      <c r="J1238" s="2"/>
      <c r="K1238" s="2"/>
      <c r="L1238" s="53"/>
      <c r="M1238" s="12"/>
      <c r="N1238" s="2"/>
      <c r="O1238" s="2"/>
    </row>
    <row r="1239" ht="15.75" customHeight="1">
      <c r="A1239" s="1" t="s">
        <v>1442</v>
      </c>
      <c r="B1239" s="63" t="s">
        <v>274</v>
      </c>
      <c r="C1239" s="63" t="s">
        <v>1428</v>
      </c>
      <c r="D1239" s="24">
        <v>7250000.0</v>
      </c>
      <c r="E1239" s="69">
        <v>0.9650213659</v>
      </c>
      <c r="F1239" s="29">
        <v>6996404.9</v>
      </c>
      <c r="G1239" s="23">
        <v>0.01</v>
      </c>
      <c r="H1239" s="1"/>
      <c r="I1239" s="1"/>
      <c r="J1239" s="2"/>
      <c r="K1239" s="2"/>
      <c r="L1239" s="53"/>
      <c r="M1239" s="12"/>
      <c r="N1239" s="2"/>
      <c r="O1239" s="2"/>
    </row>
    <row r="1240" ht="15.75" customHeight="1">
      <c r="A1240" s="1" t="s">
        <v>1443</v>
      </c>
      <c r="B1240" s="63" t="s">
        <v>204</v>
      </c>
      <c r="C1240" s="63" t="s">
        <v>1428</v>
      </c>
      <c r="D1240" s="24">
        <v>6250000.0</v>
      </c>
      <c r="E1240" s="69">
        <v>0.9568249356</v>
      </c>
      <c r="F1240" s="23">
        <v>5980155.85</v>
      </c>
      <c r="G1240" s="23">
        <v>0.01</v>
      </c>
      <c r="H1240" s="1"/>
      <c r="I1240" s="1"/>
      <c r="J1240" s="2"/>
      <c r="K1240" s="2"/>
      <c r="L1240" s="53"/>
      <c r="M1240" s="12"/>
      <c r="N1240" s="2"/>
      <c r="O1240" s="2"/>
    </row>
    <row r="1241" ht="15.75" customHeight="1">
      <c r="A1241" s="1" t="s">
        <v>1444</v>
      </c>
      <c r="B1241" s="63" t="s">
        <v>204</v>
      </c>
      <c r="C1241" s="63" t="s">
        <v>1428</v>
      </c>
      <c r="D1241" s="24">
        <v>6250000.0</v>
      </c>
      <c r="E1241" s="69">
        <v>0.9568249356</v>
      </c>
      <c r="F1241" s="23">
        <v>5980155.85</v>
      </c>
      <c r="G1241" s="23">
        <v>0.01</v>
      </c>
      <c r="H1241" s="1"/>
      <c r="I1241" s="1"/>
      <c r="J1241" s="2"/>
      <c r="K1241" s="2"/>
      <c r="L1241" s="53"/>
      <c r="M1241" s="12"/>
      <c r="N1241" s="2"/>
      <c r="O1241" s="2"/>
    </row>
    <row r="1242" ht="15.75" customHeight="1">
      <c r="A1242" s="1" t="s">
        <v>1445</v>
      </c>
      <c r="B1242" s="63" t="s">
        <v>204</v>
      </c>
      <c r="C1242" s="63" t="s">
        <v>1428</v>
      </c>
      <c r="D1242" s="24">
        <v>6250000.0</v>
      </c>
      <c r="E1242" s="69">
        <v>0.9568249356</v>
      </c>
      <c r="F1242" s="23">
        <v>5980155.85</v>
      </c>
      <c r="G1242" s="23">
        <v>0.01</v>
      </c>
      <c r="H1242" s="1"/>
      <c r="I1242" s="1"/>
      <c r="J1242" s="2"/>
      <c r="K1242" s="2"/>
      <c r="L1242" s="53"/>
      <c r="M1242" s="12"/>
      <c r="N1242" s="2"/>
      <c r="O1242" s="2"/>
    </row>
    <row r="1243" ht="15.75" customHeight="1">
      <c r="A1243" s="1" t="s">
        <v>1446</v>
      </c>
      <c r="B1243" s="63" t="s">
        <v>204</v>
      </c>
      <c r="C1243" s="63" t="s">
        <v>1428</v>
      </c>
      <c r="D1243" s="24">
        <v>6250000.0</v>
      </c>
      <c r="E1243" s="69">
        <v>0.9568249356</v>
      </c>
      <c r="F1243" s="23">
        <v>5980155.85</v>
      </c>
      <c r="G1243" s="23">
        <v>0.01</v>
      </c>
      <c r="H1243" s="1"/>
      <c r="I1243" s="1"/>
      <c r="J1243" s="2"/>
      <c r="K1243" s="2"/>
      <c r="L1243" s="53"/>
      <c r="M1243" s="12"/>
      <c r="N1243" s="2"/>
      <c r="O1243" s="2"/>
    </row>
    <row r="1244" ht="15.75" customHeight="1">
      <c r="A1244" s="1" t="s">
        <v>1447</v>
      </c>
      <c r="B1244" s="63" t="s">
        <v>416</v>
      </c>
      <c r="C1244" s="63" t="s">
        <v>1428</v>
      </c>
      <c r="D1244" s="24">
        <v>1.25E7</v>
      </c>
      <c r="E1244" s="69">
        <v>0.9487667798</v>
      </c>
      <c r="F1244" s="23">
        <v>1.185958475E7</v>
      </c>
      <c r="G1244" s="23">
        <v>0.02</v>
      </c>
      <c r="H1244" s="1"/>
      <c r="I1244" s="1"/>
      <c r="J1244" s="2"/>
      <c r="K1244" s="2"/>
      <c r="L1244" s="53"/>
      <c r="M1244" s="12"/>
      <c r="N1244" s="2"/>
      <c r="O1244" s="2"/>
    </row>
    <row r="1245" ht="15.75" customHeight="1">
      <c r="A1245" s="1" t="s">
        <v>1448</v>
      </c>
      <c r="B1245" s="63" t="s">
        <v>769</v>
      </c>
      <c r="C1245" s="63" t="s">
        <v>1428</v>
      </c>
      <c r="D1245" s="24">
        <v>4.0E7</v>
      </c>
      <c r="E1245" s="69">
        <v>0.9179159193</v>
      </c>
      <c r="F1245" s="23">
        <v>3.671663677E7</v>
      </c>
      <c r="G1245" s="23">
        <v>0.08</v>
      </c>
      <c r="H1245" s="1"/>
      <c r="I1245" s="1"/>
      <c r="J1245" s="2"/>
      <c r="K1245" s="2"/>
      <c r="L1245" s="53"/>
      <c r="M1245" s="12"/>
      <c r="N1245" s="2"/>
      <c r="O1245" s="2"/>
    </row>
    <row r="1246" ht="15.75" customHeight="1">
      <c r="A1246" s="1" t="s">
        <v>1449</v>
      </c>
      <c r="B1246" s="63" t="s">
        <v>414</v>
      </c>
      <c r="C1246" s="63" t="s">
        <v>1428</v>
      </c>
      <c r="D1246" s="24">
        <v>4.0E7</v>
      </c>
      <c r="E1246" s="70">
        <v>0.917177753</v>
      </c>
      <c r="F1246" s="23">
        <v>3.668711012E7</v>
      </c>
      <c r="G1246" s="23">
        <v>0.08</v>
      </c>
      <c r="H1246" s="1"/>
      <c r="I1246" s="1"/>
      <c r="J1246" s="2"/>
      <c r="K1246" s="2"/>
      <c r="L1246" s="53"/>
      <c r="M1246" s="12"/>
      <c r="N1246" s="2"/>
      <c r="O1246" s="2"/>
    </row>
    <row r="1247" ht="15.75" customHeight="1">
      <c r="A1247" s="1" t="s">
        <v>1450</v>
      </c>
      <c r="B1247" s="63" t="s">
        <v>771</v>
      </c>
      <c r="C1247" s="63" t="s">
        <v>1428</v>
      </c>
      <c r="D1247" s="24">
        <v>4.0E7</v>
      </c>
      <c r="E1247" s="70">
        <v>0.915704977</v>
      </c>
      <c r="F1247" s="23">
        <v>3.662819908E7</v>
      </c>
      <c r="G1247" s="23">
        <v>0.07</v>
      </c>
      <c r="H1247" s="1"/>
      <c r="I1247" s="1"/>
      <c r="J1247" s="2"/>
      <c r="K1247" s="2"/>
      <c r="L1247" s="53"/>
      <c r="M1247" s="12"/>
      <c r="N1247" s="2"/>
      <c r="O1247" s="2"/>
    </row>
    <row r="1248" ht="15.75" customHeight="1">
      <c r="A1248" s="1" t="s">
        <v>1451</v>
      </c>
      <c r="B1248" s="63" t="s">
        <v>493</v>
      </c>
      <c r="C1248" s="63" t="s">
        <v>1428</v>
      </c>
      <c r="D1248" s="24">
        <v>5.0E7</v>
      </c>
      <c r="E1248" s="69">
        <v>0.9314077754</v>
      </c>
      <c r="F1248" s="23">
        <v>4.657038877E7</v>
      </c>
      <c r="G1248" s="29">
        <v>0.1</v>
      </c>
      <c r="H1248" s="1"/>
      <c r="I1248" s="1"/>
      <c r="J1248" s="2"/>
      <c r="K1248" s="2"/>
      <c r="L1248" s="53"/>
      <c r="M1248" s="12"/>
      <c r="N1248" s="2"/>
      <c r="O1248" s="2"/>
    </row>
    <row r="1249" ht="15.75" customHeight="1">
      <c r="A1249" s="1" t="s">
        <v>1452</v>
      </c>
      <c r="B1249" s="63" t="s">
        <v>1122</v>
      </c>
      <c r="C1249" s="63" t="s">
        <v>1428</v>
      </c>
      <c r="D1249" s="24">
        <v>5.0E7</v>
      </c>
      <c r="E1249" s="69">
        <v>0.9462086986</v>
      </c>
      <c r="F1249" s="23">
        <v>4.731043493E7</v>
      </c>
      <c r="G1249" s="29">
        <v>0.1</v>
      </c>
      <c r="H1249" s="1"/>
      <c r="I1249" s="1"/>
      <c r="J1249" s="2"/>
      <c r="K1249" s="2"/>
      <c r="L1249" s="53"/>
      <c r="M1249" s="12"/>
      <c r="N1249" s="2"/>
      <c r="O1249" s="2"/>
    </row>
    <row r="1250" ht="15.75" customHeight="1">
      <c r="A1250" s="1" t="s">
        <v>1453</v>
      </c>
      <c r="B1250" s="63" t="s">
        <v>506</v>
      </c>
      <c r="C1250" s="63" t="s">
        <v>1428</v>
      </c>
      <c r="D1250" s="24">
        <v>5.0E7</v>
      </c>
      <c r="E1250" s="69">
        <v>0.9636965194</v>
      </c>
      <c r="F1250" s="23">
        <v>4.818482597E7</v>
      </c>
      <c r="G1250" s="29">
        <v>0.1</v>
      </c>
      <c r="H1250" s="1"/>
      <c r="I1250" s="1"/>
      <c r="J1250" s="2"/>
      <c r="K1250" s="2"/>
      <c r="L1250" s="53"/>
      <c r="M1250" s="12"/>
      <c r="N1250" s="2"/>
      <c r="O1250" s="2"/>
    </row>
    <row r="1251" ht="15.75" customHeight="1">
      <c r="A1251" s="1" t="s">
        <v>1454</v>
      </c>
      <c r="B1251" s="63" t="s">
        <v>157</v>
      </c>
      <c r="C1251" s="63" t="s">
        <v>1428</v>
      </c>
      <c r="D1251" s="24">
        <v>5.0E7</v>
      </c>
      <c r="E1251" s="69">
        <v>0.9720373434</v>
      </c>
      <c r="F1251" s="23">
        <v>4.860186717E7</v>
      </c>
      <c r="G1251" s="29">
        <v>0.1</v>
      </c>
      <c r="H1251" s="1"/>
      <c r="I1251" s="1"/>
      <c r="J1251" s="2"/>
      <c r="K1251" s="2"/>
      <c r="L1251" s="53"/>
      <c r="M1251" s="12"/>
      <c r="N1251" s="2"/>
      <c r="O1251" s="2"/>
    </row>
    <row r="1252" ht="15.75" customHeight="1">
      <c r="A1252" s="1" t="s">
        <v>1455</v>
      </c>
      <c r="B1252" s="63" t="s">
        <v>430</v>
      </c>
      <c r="C1252" s="63" t="s">
        <v>1428</v>
      </c>
      <c r="D1252" s="24">
        <v>5.0E7</v>
      </c>
      <c r="E1252" s="69">
        <v>0.9431525963</v>
      </c>
      <c r="F1252" s="23">
        <v>4.715762982E7</v>
      </c>
      <c r="G1252" s="29">
        <v>0.1</v>
      </c>
      <c r="H1252" s="1"/>
      <c r="I1252" s="1"/>
      <c r="J1252" s="2"/>
      <c r="K1252" s="2"/>
      <c r="L1252" s="53"/>
      <c r="M1252" s="12"/>
      <c r="N1252" s="2"/>
      <c r="O1252" s="2"/>
    </row>
    <row r="1253" ht="15.75" customHeight="1">
      <c r="A1253" s="1" t="s">
        <v>1456</v>
      </c>
      <c r="B1253" s="63" t="s">
        <v>140</v>
      </c>
      <c r="C1253" s="63" t="s">
        <v>1428</v>
      </c>
      <c r="D1253" s="23">
        <v>1.521978537E7</v>
      </c>
      <c r="E1253" s="69">
        <v>0.9844645318</v>
      </c>
      <c r="F1253" s="23">
        <v>1.498333888E7</v>
      </c>
      <c r="G1253" s="23">
        <v>0.03</v>
      </c>
      <c r="H1253" s="1"/>
      <c r="I1253" s="1"/>
      <c r="J1253" s="2"/>
      <c r="K1253" s="2"/>
      <c r="L1253" s="53"/>
      <c r="M1253" s="12"/>
      <c r="N1253" s="2"/>
      <c r="O1253" s="2"/>
    </row>
    <row r="1254" ht="15.75" customHeight="1">
      <c r="A1254" s="1" t="s">
        <v>1457</v>
      </c>
      <c r="B1254" s="63" t="s">
        <v>482</v>
      </c>
      <c r="C1254" s="63" t="s">
        <v>1458</v>
      </c>
      <c r="D1254" s="24">
        <v>1.9922304E7</v>
      </c>
      <c r="E1254" s="69">
        <v>0.9263959991</v>
      </c>
      <c r="F1254" s="23">
        <v>1.845594272E7</v>
      </c>
      <c r="G1254" s="23">
        <v>0.04</v>
      </c>
      <c r="H1254" s="1"/>
      <c r="I1254" s="1"/>
      <c r="J1254" s="2"/>
      <c r="K1254" s="2"/>
      <c r="L1254" s="53"/>
      <c r="M1254" s="12"/>
      <c r="N1254" s="2"/>
      <c r="O1254" s="2"/>
    </row>
    <row r="1255" ht="15.75" customHeight="1">
      <c r="A1255" s="1" t="s">
        <v>1459</v>
      </c>
      <c r="B1255" s="63" t="s">
        <v>1073</v>
      </c>
      <c r="C1255" s="63" t="s">
        <v>1458</v>
      </c>
      <c r="D1255" s="24">
        <v>1.9922304E7</v>
      </c>
      <c r="E1255" s="69">
        <v>0.9090909256</v>
      </c>
      <c r="F1255" s="23">
        <v>1.811118578E7</v>
      </c>
      <c r="G1255" s="23">
        <v>0.04</v>
      </c>
      <c r="H1255" s="1"/>
      <c r="I1255" s="1"/>
      <c r="J1255" s="2"/>
      <c r="K1255" s="2"/>
      <c r="L1255" s="53"/>
      <c r="M1255" s="12"/>
      <c r="N1255" s="2"/>
      <c r="O1255" s="2"/>
    </row>
    <row r="1256" ht="15.75" customHeight="1">
      <c r="A1256" s="1" t="s">
        <v>1460</v>
      </c>
      <c r="B1256" s="63" t="s">
        <v>421</v>
      </c>
      <c r="C1256" s="63" t="s">
        <v>1458</v>
      </c>
      <c r="D1256" s="24">
        <v>5000000.0</v>
      </c>
      <c r="E1256" s="69">
        <v>0.9404794986</v>
      </c>
      <c r="F1256" s="23">
        <v>4702397.49</v>
      </c>
      <c r="G1256" s="23">
        <v>0.01</v>
      </c>
      <c r="H1256" s="1"/>
      <c r="I1256" s="1"/>
      <c r="J1256" s="2"/>
      <c r="K1256" s="2"/>
      <c r="L1256" s="53"/>
      <c r="M1256" s="12"/>
      <c r="N1256" s="2"/>
      <c r="O1256" s="2"/>
    </row>
    <row r="1257" ht="15.75" customHeight="1">
      <c r="A1257" s="1" t="s">
        <v>1461</v>
      </c>
      <c r="B1257" s="63" t="s">
        <v>1122</v>
      </c>
      <c r="C1257" s="63" t="s">
        <v>1458</v>
      </c>
      <c r="D1257" s="24">
        <v>5000000.0</v>
      </c>
      <c r="E1257" s="69">
        <v>0.9361375548</v>
      </c>
      <c r="F1257" s="23">
        <v>4680687.77</v>
      </c>
      <c r="G1257" s="23">
        <v>0.01</v>
      </c>
      <c r="H1257" s="1"/>
      <c r="I1257" s="1"/>
      <c r="J1257" s="2"/>
      <c r="K1257" s="2"/>
      <c r="L1257" s="53"/>
      <c r="M1257" s="12"/>
      <c r="N1257" s="2"/>
      <c r="O1257" s="2"/>
    </row>
    <row r="1258" ht="15.75" customHeight="1">
      <c r="A1258" s="1" t="s">
        <v>1462</v>
      </c>
      <c r="B1258" s="63" t="s">
        <v>523</v>
      </c>
      <c r="C1258" s="63" t="s">
        <v>1458</v>
      </c>
      <c r="D1258" s="24">
        <v>5000000.0</v>
      </c>
      <c r="E1258" s="69">
        <v>0.9470680916</v>
      </c>
      <c r="F1258" s="23">
        <v>4735340.46</v>
      </c>
      <c r="G1258" s="23">
        <v>0.01</v>
      </c>
      <c r="H1258" s="1"/>
      <c r="I1258" s="1"/>
      <c r="J1258" s="2"/>
      <c r="K1258" s="2"/>
      <c r="L1258" s="53"/>
      <c r="M1258" s="12"/>
      <c r="N1258" s="2"/>
      <c r="O1258" s="2"/>
    </row>
    <row r="1259" ht="15.75" customHeight="1">
      <c r="A1259" s="1" t="s">
        <v>1463</v>
      </c>
      <c r="B1259" s="63" t="s">
        <v>506</v>
      </c>
      <c r="C1259" s="63" t="s">
        <v>1458</v>
      </c>
      <c r="D1259" s="24">
        <v>5000000.0</v>
      </c>
      <c r="E1259" s="69">
        <v>0.9567496765</v>
      </c>
      <c r="F1259" s="23">
        <v>4783748.38</v>
      </c>
      <c r="G1259" s="23">
        <v>0.01</v>
      </c>
      <c r="H1259" s="1"/>
      <c r="I1259" s="1"/>
      <c r="J1259" s="2"/>
      <c r="K1259" s="2"/>
      <c r="L1259" s="53"/>
      <c r="M1259" s="12"/>
      <c r="N1259" s="2"/>
      <c r="O1259" s="2"/>
    </row>
    <row r="1260" ht="15.75" customHeight="1">
      <c r="A1260" s="1" t="s">
        <v>1464</v>
      </c>
      <c r="B1260" s="63" t="s">
        <v>223</v>
      </c>
      <c r="C1260" s="63" t="s">
        <v>1458</v>
      </c>
      <c r="D1260" s="24">
        <v>1.5E7</v>
      </c>
      <c r="E1260" s="69">
        <v>0.9477074967</v>
      </c>
      <c r="F1260" s="23">
        <v>1.421561245E7</v>
      </c>
      <c r="G1260" s="23">
        <v>0.03</v>
      </c>
      <c r="H1260" s="1"/>
      <c r="I1260" s="1"/>
      <c r="J1260" s="2"/>
      <c r="K1260" s="2"/>
      <c r="L1260" s="53"/>
      <c r="M1260" s="12"/>
      <c r="N1260" s="2"/>
      <c r="O1260" s="2"/>
    </row>
    <row r="1261" ht="15.75" customHeight="1">
      <c r="A1261" s="1" t="s">
        <v>1465</v>
      </c>
      <c r="B1261" s="63" t="s">
        <v>175</v>
      </c>
      <c r="C1261" s="63" t="s">
        <v>1458</v>
      </c>
      <c r="D1261" s="24">
        <v>7.0E8</v>
      </c>
      <c r="E1261" s="69">
        <v>0.9756752048</v>
      </c>
      <c r="F1261" s="23">
        <v>6.8297264336E8</v>
      </c>
      <c r="G1261" s="29">
        <v>1.4</v>
      </c>
      <c r="H1261" s="1"/>
      <c r="I1261" s="1"/>
      <c r="J1261" s="2"/>
      <c r="K1261" s="2"/>
      <c r="L1261" s="53"/>
      <c r="M1261" s="12"/>
      <c r="N1261" s="2"/>
      <c r="O1261" s="2"/>
    </row>
    <row r="1262" ht="15.75" customHeight="1">
      <c r="A1262" s="1" t="s">
        <v>1466</v>
      </c>
      <c r="B1262" s="63" t="s">
        <v>430</v>
      </c>
      <c r="C1262" s="63" t="s">
        <v>1458</v>
      </c>
      <c r="D1262" s="24">
        <v>6.5E7</v>
      </c>
      <c r="E1262" s="69">
        <v>0.9283754656</v>
      </c>
      <c r="F1262" s="23">
        <v>6.034440526E7</v>
      </c>
      <c r="G1262" s="23">
        <v>0.12</v>
      </c>
      <c r="H1262" s="1"/>
      <c r="I1262" s="1"/>
      <c r="J1262" s="2"/>
      <c r="K1262" s="2"/>
      <c r="L1262" s="53"/>
      <c r="M1262" s="12"/>
      <c r="N1262" s="2"/>
      <c r="O1262" s="2"/>
    </row>
    <row r="1263" ht="15.75" customHeight="1">
      <c r="A1263" s="1" t="s">
        <v>1467</v>
      </c>
      <c r="B1263" s="63" t="s">
        <v>108</v>
      </c>
      <c r="C1263" s="63" t="s">
        <v>1458</v>
      </c>
      <c r="D1263" s="24">
        <v>6.5E7</v>
      </c>
      <c r="E1263" s="69">
        <v>0.9532019041</v>
      </c>
      <c r="F1263" s="23">
        <v>6.195812377E7</v>
      </c>
      <c r="G1263" s="23">
        <v>0.13</v>
      </c>
      <c r="H1263" s="1"/>
      <c r="I1263" s="1"/>
      <c r="J1263" s="2"/>
      <c r="K1263" s="2"/>
      <c r="L1263" s="53"/>
      <c r="M1263" s="12"/>
      <c r="N1263" s="2"/>
      <c r="O1263" s="2"/>
    </row>
    <row r="1264" ht="15.75" customHeight="1">
      <c r="A1264" s="1" t="s">
        <v>1468</v>
      </c>
      <c r="B1264" s="63" t="s">
        <v>274</v>
      </c>
      <c r="C1264" s="63" t="s">
        <v>1458</v>
      </c>
      <c r="D1264" s="24">
        <v>2.0E8</v>
      </c>
      <c r="E1264" s="69">
        <v>0.9650214284</v>
      </c>
      <c r="F1264" s="23">
        <v>1.9300428568E8</v>
      </c>
      <c r="G1264" s="23">
        <v>0.39</v>
      </c>
      <c r="H1264" s="1"/>
      <c r="I1264" s="1"/>
      <c r="J1264" s="2"/>
      <c r="K1264" s="2"/>
      <c r="L1264" s="53"/>
      <c r="M1264" s="12"/>
      <c r="N1264" s="2"/>
      <c r="O1264" s="2"/>
    </row>
    <row r="1265" ht="15.75" customHeight="1">
      <c r="A1265" s="1" t="s">
        <v>1469</v>
      </c>
      <c r="B1265" s="63" t="s">
        <v>113</v>
      </c>
      <c r="C1265" s="63" t="s">
        <v>1458</v>
      </c>
      <c r="D1265" s="24">
        <v>2.0E8</v>
      </c>
      <c r="E1265" s="69">
        <v>0.9581814965</v>
      </c>
      <c r="F1265" s="29">
        <v>1.916362993E8</v>
      </c>
      <c r="G1265" s="23">
        <v>0.39</v>
      </c>
      <c r="H1265" s="1"/>
      <c r="I1265" s="1"/>
      <c r="J1265" s="2"/>
      <c r="K1265" s="2"/>
      <c r="L1265" s="53"/>
      <c r="M1265" s="12"/>
      <c r="N1265" s="2"/>
      <c r="O1265" s="2"/>
    </row>
    <row r="1266" ht="15.75" customHeight="1">
      <c r="A1266" s="1" t="s">
        <v>1470</v>
      </c>
      <c r="B1266" s="63" t="s">
        <v>146</v>
      </c>
      <c r="C1266" s="63" t="s">
        <v>1458</v>
      </c>
      <c r="D1266" s="24">
        <v>2.0E8</v>
      </c>
      <c r="E1266" s="69">
        <v>0.9575027665</v>
      </c>
      <c r="F1266" s="29">
        <v>1.915005533E8</v>
      </c>
      <c r="G1266" s="23">
        <v>0.39</v>
      </c>
      <c r="H1266" s="1"/>
      <c r="I1266" s="1"/>
      <c r="J1266" s="2"/>
      <c r="K1266" s="2"/>
      <c r="L1266" s="53"/>
      <c r="M1266" s="12"/>
      <c r="N1266" s="2"/>
      <c r="O1266" s="2"/>
    </row>
    <row r="1267" ht="15.75" customHeight="1">
      <c r="A1267" s="1" t="s">
        <v>1471</v>
      </c>
      <c r="B1267" s="63" t="s">
        <v>204</v>
      </c>
      <c r="C1267" s="63" t="s">
        <v>1458</v>
      </c>
      <c r="D1267" s="24">
        <v>2.0E8</v>
      </c>
      <c r="E1267" s="69">
        <v>0.9568249968</v>
      </c>
      <c r="F1267" s="23">
        <v>1.9136499936E8</v>
      </c>
      <c r="G1267" s="23">
        <v>0.39</v>
      </c>
      <c r="H1267" s="1"/>
      <c r="I1267" s="1"/>
      <c r="J1267" s="2"/>
      <c r="K1267" s="2"/>
      <c r="L1267" s="53"/>
      <c r="M1267" s="12"/>
      <c r="N1267" s="2"/>
      <c r="O1267" s="2"/>
    </row>
    <row r="1268" ht="15.75" customHeight="1">
      <c r="A1268" s="1" t="s">
        <v>1472</v>
      </c>
      <c r="B1268" s="63" t="s">
        <v>328</v>
      </c>
      <c r="C1268" s="63" t="s">
        <v>1473</v>
      </c>
      <c r="D1268" s="24">
        <v>1.5E7</v>
      </c>
      <c r="E1268" s="69">
        <v>0.9467732239</v>
      </c>
      <c r="F1268" s="23">
        <v>1.420159836E7</v>
      </c>
      <c r="G1268" s="23">
        <v>0.03</v>
      </c>
      <c r="H1268" s="1"/>
      <c r="I1268" s="1"/>
      <c r="J1268" s="2"/>
      <c r="K1268" s="2"/>
      <c r="L1268" s="53"/>
      <c r="M1268" s="12"/>
      <c r="N1268" s="2"/>
      <c r="O1268" s="2"/>
    </row>
    <row r="1269" ht="15.75" customHeight="1">
      <c r="A1269" s="1" t="s">
        <v>1474</v>
      </c>
      <c r="B1269" s="63" t="s">
        <v>491</v>
      </c>
      <c r="C1269" s="63" t="s">
        <v>1473</v>
      </c>
      <c r="D1269" s="29">
        <v>6.472242221E8</v>
      </c>
      <c r="E1269" s="69">
        <v>0.9910399511</v>
      </c>
      <c r="F1269" s="23">
        <v>6.4142506142E8</v>
      </c>
      <c r="G1269" s="23">
        <v>1.31</v>
      </c>
      <c r="H1269" s="1"/>
      <c r="I1269" s="1"/>
      <c r="J1269" s="2"/>
      <c r="K1269" s="2"/>
      <c r="L1269" s="53"/>
      <c r="M1269" s="12"/>
      <c r="N1269" s="2"/>
      <c r="O1269" s="2"/>
    </row>
    <row r="1270" ht="15.75" customHeight="1">
      <c r="A1270" s="1" t="s">
        <v>1475</v>
      </c>
      <c r="B1270" s="63" t="s">
        <v>337</v>
      </c>
      <c r="C1270" s="63" t="s">
        <v>1473</v>
      </c>
      <c r="D1270" s="24">
        <v>1.0E7</v>
      </c>
      <c r="E1270" s="69">
        <v>0.9383035889</v>
      </c>
      <c r="F1270" s="23">
        <v>9383035.89</v>
      </c>
      <c r="G1270" s="23">
        <v>0.02</v>
      </c>
      <c r="H1270" s="1"/>
      <c r="I1270" s="1"/>
      <c r="J1270" s="2"/>
      <c r="K1270" s="2"/>
      <c r="L1270" s="53"/>
      <c r="M1270" s="12"/>
      <c r="N1270" s="2"/>
      <c r="O1270" s="2"/>
    </row>
    <row r="1271" ht="15.75" customHeight="1">
      <c r="A1271" s="1" t="s">
        <v>1476</v>
      </c>
      <c r="B1271" s="63" t="s">
        <v>108</v>
      </c>
      <c r="C1271" s="63" t="s">
        <v>1473</v>
      </c>
      <c r="D1271" s="24">
        <v>1.0E7</v>
      </c>
      <c r="E1271" s="69">
        <v>0.9559980477</v>
      </c>
      <c r="F1271" s="23">
        <v>9559980.48</v>
      </c>
      <c r="G1271" s="23">
        <v>0.02</v>
      </c>
      <c r="H1271" s="1"/>
      <c r="I1271" s="1"/>
      <c r="J1271" s="2"/>
      <c r="K1271" s="2"/>
      <c r="L1271" s="53"/>
      <c r="M1271" s="12"/>
      <c r="N1271" s="2"/>
      <c r="O1271" s="2"/>
    </row>
    <row r="1272" ht="15.75" customHeight="1">
      <c r="A1272" s="1" t="s">
        <v>1477</v>
      </c>
      <c r="B1272" s="63" t="s">
        <v>416</v>
      </c>
      <c r="C1272" s="63" t="s">
        <v>1473</v>
      </c>
      <c r="D1272" s="24">
        <v>1.0E7</v>
      </c>
      <c r="E1272" s="70">
        <v>0.943396456</v>
      </c>
      <c r="F1272" s="23">
        <v>9433964.56</v>
      </c>
      <c r="G1272" s="23">
        <v>0.02</v>
      </c>
      <c r="H1272" s="1"/>
      <c r="I1272" s="1"/>
      <c r="J1272" s="2"/>
      <c r="K1272" s="2"/>
      <c r="L1272" s="53"/>
      <c r="M1272" s="12"/>
      <c r="N1272" s="2"/>
      <c r="O1272" s="2"/>
    </row>
    <row r="1273" ht="15.75" customHeight="1">
      <c r="A1273" s="1" t="s">
        <v>1478</v>
      </c>
      <c r="B1273" s="63" t="s">
        <v>159</v>
      </c>
      <c r="C1273" s="63" t="s">
        <v>1473</v>
      </c>
      <c r="D1273" s="24">
        <v>5000000.0</v>
      </c>
      <c r="E1273" s="70">
        <v>0.989911186</v>
      </c>
      <c r="F1273" s="23">
        <v>4949555.93</v>
      </c>
      <c r="G1273" s="23">
        <v>0.01</v>
      </c>
      <c r="H1273" s="1"/>
      <c r="I1273" s="1"/>
      <c r="J1273" s="2"/>
      <c r="K1273" s="2"/>
      <c r="L1273" s="53"/>
      <c r="M1273" s="12"/>
      <c r="N1273" s="2"/>
      <c r="O1273" s="2"/>
    </row>
    <row r="1274" ht="15.75" customHeight="1">
      <c r="A1274" s="1" t="s">
        <v>1479</v>
      </c>
      <c r="B1274" s="63" t="s">
        <v>159</v>
      </c>
      <c r="C1274" s="63" t="s">
        <v>1473</v>
      </c>
      <c r="D1274" s="24">
        <v>5000000.0</v>
      </c>
      <c r="E1274" s="70">
        <v>0.989911186</v>
      </c>
      <c r="F1274" s="23">
        <v>4949555.93</v>
      </c>
      <c r="G1274" s="23">
        <v>0.01</v>
      </c>
      <c r="H1274" s="1"/>
      <c r="I1274" s="1"/>
      <c r="J1274" s="2"/>
      <c r="K1274" s="2"/>
      <c r="L1274" s="53"/>
      <c r="M1274" s="12"/>
      <c r="N1274" s="2"/>
      <c r="O1274" s="2"/>
    </row>
    <row r="1275" ht="15.75" customHeight="1">
      <c r="A1275" s="1" t="s">
        <v>1480</v>
      </c>
      <c r="B1275" s="63" t="s">
        <v>289</v>
      </c>
      <c r="C1275" s="63" t="s">
        <v>1473</v>
      </c>
      <c r="D1275" s="24">
        <v>2.0E7</v>
      </c>
      <c r="E1275" s="69">
        <v>0.9481013459</v>
      </c>
      <c r="F1275" s="23">
        <v>1.896202692E7</v>
      </c>
      <c r="G1275" s="23">
        <v>0.04</v>
      </c>
      <c r="H1275" s="1"/>
      <c r="I1275" s="1"/>
      <c r="J1275" s="2"/>
      <c r="K1275" s="2"/>
      <c r="L1275" s="53"/>
      <c r="M1275" s="12"/>
      <c r="N1275" s="2"/>
      <c r="O1275" s="2"/>
    </row>
    <row r="1276" ht="15.75" customHeight="1">
      <c r="A1276" s="1" t="s">
        <v>1481</v>
      </c>
      <c r="B1276" s="63" t="s">
        <v>500</v>
      </c>
      <c r="C1276" s="63" t="s">
        <v>1473</v>
      </c>
      <c r="D1276" s="24">
        <v>2.0E7</v>
      </c>
      <c r="E1276" s="69">
        <v>0.9434695464</v>
      </c>
      <c r="F1276" s="23">
        <v>1.886939093E7</v>
      </c>
      <c r="G1276" s="23">
        <v>0.04</v>
      </c>
      <c r="H1276" s="1"/>
      <c r="I1276" s="1"/>
      <c r="J1276" s="2"/>
      <c r="K1276" s="2"/>
      <c r="L1276" s="53"/>
      <c r="M1276" s="12"/>
      <c r="N1276" s="2"/>
      <c r="O1276" s="2"/>
    </row>
    <row r="1277" ht="15.75" customHeight="1">
      <c r="A1277" s="1" t="s">
        <v>1482</v>
      </c>
      <c r="B1277" s="63" t="s">
        <v>430</v>
      </c>
      <c r="C1277" s="63" t="s">
        <v>1473</v>
      </c>
      <c r="D1277" s="24">
        <v>2.0E7</v>
      </c>
      <c r="E1277" s="69">
        <v>0.9388827817</v>
      </c>
      <c r="F1277" s="23">
        <v>1.877765563E7</v>
      </c>
      <c r="G1277" s="23">
        <v>0.04</v>
      </c>
      <c r="H1277" s="1"/>
      <c r="I1277" s="1"/>
      <c r="J1277" s="2"/>
      <c r="K1277" s="2"/>
      <c r="L1277" s="53"/>
      <c r="M1277" s="12"/>
      <c r="N1277" s="2"/>
      <c r="O1277" s="2"/>
    </row>
    <row r="1278" ht="15.75" customHeight="1">
      <c r="A1278" s="1" t="s">
        <v>1483</v>
      </c>
      <c r="B1278" s="63" t="s">
        <v>523</v>
      </c>
      <c r="C1278" s="63" t="s">
        <v>1473</v>
      </c>
      <c r="D1278" s="24">
        <v>1.0E7</v>
      </c>
      <c r="E1278" s="70">
        <v>0.952107742</v>
      </c>
      <c r="F1278" s="23">
        <v>9521077.42</v>
      </c>
      <c r="G1278" s="23">
        <v>0.02</v>
      </c>
      <c r="H1278" s="1"/>
      <c r="I1278" s="1"/>
      <c r="J1278" s="2"/>
      <c r="K1278" s="2"/>
      <c r="L1278" s="53"/>
      <c r="M1278" s="12"/>
      <c r="N1278" s="2"/>
      <c r="O1278" s="2"/>
    </row>
    <row r="1279" ht="15.75" customHeight="1">
      <c r="A1279" s="1" t="s">
        <v>1484</v>
      </c>
      <c r="B1279" s="63" t="s">
        <v>563</v>
      </c>
      <c r="C1279" s="63" t="s">
        <v>1473</v>
      </c>
      <c r="D1279" s="24">
        <v>1.0E7</v>
      </c>
      <c r="E1279" s="69">
        <v>0.9507685974</v>
      </c>
      <c r="F1279" s="23">
        <v>9507685.97</v>
      </c>
      <c r="G1279" s="23">
        <v>0.02</v>
      </c>
      <c r="H1279" s="1"/>
      <c r="I1279" s="1"/>
      <c r="J1279" s="2"/>
      <c r="K1279" s="2"/>
      <c r="L1279" s="53"/>
      <c r="M1279" s="12"/>
      <c r="N1279" s="2"/>
      <c r="O1279" s="2"/>
    </row>
    <row r="1280" ht="15.75" customHeight="1">
      <c r="A1280" s="1" t="s">
        <v>1485</v>
      </c>
      <c r="B1280" s="63" t="s">
        <v>416</v>
      </c>
      <c r="C1280" s="63" t="s">
        <v>1473</v>
      </c>
      <c r="D1280" s="24">
        <v>1.0E7</v>
      </c>
      <c r="E1280" s="69">
        <v>0.9487668123</v>
      </c>
      <c r="F1280" s="23">
        <v>9487668.12</v>
      </c>
      <c r="G1280" s="23">
        <v>0.02</v>
      </c>
      <c r="H1280" s="1"/>
      <c r="I1280" s="1"/>
      <c r="J1280" s="2"/>
      <c r="K1280" s="2"/>
      <c r="L1280" s="53"/>
      <c r="M1280" s="12"/>
      <c r="N1280" s="2"/>
      <c r="O1280" s="2"/>
    </row>
    <row r="1281" ht="15.75" customHeight="1">
      <c r="A1281" s="1" t="s">
        <v>1486</v>
      </c>
      <c r="B1281" s="63" t="s">
        <v>289</v>
      </c>
      <c r="C1281" s="63" t="s">
        <v>1473</v>
      </c>
      <c r="D1281" s="24">
        <v>1.0E7</v>
      </c>
      <c r="E1281" s="69">
        <v>0.9481013459</v>
      </c>
      <c r="F1281" s="23">
        <v>9481013.46</v>
      </c>
      <c r="G1281" s="23">
        <v>0.02</v>
      </c>
      <c r="H1281" s="1"/>
      <c r="I1281" s="1"/>
      <c r="J1281" s="2"/>
      <c r="K1281" s="2"/>
      <c r="L1281" s="53"/>
      <c r="M1281" s="12"/>
      <c r="N1281" s="2"/>
      <c r="O1281" s="2"/>
    </row>
    <row r="1282" ht="15.75" customHeight="1">
      <c r="A1282" s="1" t="s">
        <v>1487</v>
      </c>
      <c r="B1282" s="63" t="s">
        <v>173</v>
      </c>
      <c r="C1282" s="63" t="s">
        <v>1488</v>
      </c>
      <c r="D1282" s="24">
        <v>1754500.0</v>
      </c>
      <c r="E1282" s="69">
        <v>0.9858204844</v>
      </c>
      <c r="F1282" s="23">
        <v>1729622.04</v>
      </c>
      <c r="G1282" s="24">
        <v>0.0</v>
      </c>
      <c r="H1282" s="1"/>
      <c r="I1282" s="1"/>
      <c r="J1282" s="2"/>
      <c r="K1282" s="2"/>
      <c r="L1282" s="53"/>
      <c r="M1282" s="12"/>
      <c r="N1282" s="2"/>
      <c r="O1282" s="2"/>
    </row>
    <row r="1283" ht="15.75" customHeight="1">
      <c r="A1283" s="1" t="s">
        <v>1489</v>
      </c>
      <c r="B1283" s="63" t="s">
        <v>173</v>
      </c>
      <c r="C1283" s="63" t="s">
        <v>1488</v>
      </c>
      <c r="D1283" s="24">
        <v>1000000.0</v>
      </c>
      <c r="E1283" s="68">
        <v>0.98582048</v>
      </c>
      <c r="F1283" s="23">
        <v>985820.48</v>
      </c>
      <c r="G1283" s="24">
        <v>0.0</v>
      </c>
      <c r="H1283" s="1"/>
      <c r="I1283" s="1"/>
      <c r="J1283" s="2"/>
      <c r="K1283" s="2"/>
      <c r="L1283" s="53"/>
      <c r="M1283" s="12"/>
      <c r="N1283" s="2"/>
      <c r="O1283" s="2"/>
    </row>
    <row r="1284" ht="15.75" customHeight="1">
      <c r="A1284" s="1" t="s">
        <v>1490</v>
      </c>
      <c r="B1284" s="63" t="s">
        <v>182</v>
      </c>
      <c r="C1284" s="63" t="s">
        <v>1488</v>
      </c>
      <c r="D1284" s="24">
        <v>250000.0</v>
      </c>
      <c r="E1284" s="69">
        <v>0.9838276396</v>
      </c>
      <c r="F1284" s="23">
        <v>245956.91</v>
      </c>
      <c r="G1284" s="24">
        <v>0.0</v>
      </c>
      <c r="H1284" s="1"/>
      <c r="I1284" s="1"/>
      <c r="J1284" s="2"/>
      <c r="K1284" s="2"/>
      <c r="L1284" s="53"/>
      <c r="M1284" s="12"/>
      <c r="N1284" s="2"/>
      <c r="O1284" s="2"/>
    </row>
    <row r="1285" ht="15.75" customHeight="1">
      <c r="A1285" s="1" t="s">
        <v>1491</v>
      </c>
      <c r="B1285" s="63" t="s">
        <v>175</v>
      </c>
      <c r="C1285" s="63" t="s">
        <v>1488</v>
      </c>
      <c r="D1285" s="24">
        <v>1.029126E7</v>
      </c>
      <c r="E1285" s="69">
        <v>0.9825033764</v>
      </c>
      <c r="F1285" s="29">
        <v>1.01111977E7</v>
      </c>
      <c r="G1285" s="23">
        <v>0.02</v>
      </c>
      <c r="H1285" s="1"/>
      <c r="I1285" s="1"/>
      <c r="J1285" s="2"/>
      <c r="K1285" s="2"/>
      <c r="L1285" s="53"/>
      <c r="M1285" s="12"/>
      <c r="N1285" s="2"/>
      <c r="O1285" s="2"/>
    </row>
    <row r="1286" ht="15.75" customHeight="1">
      <c r="A1286" s="1" t="s">
        <v>1492</v>
      </c>
      <c r="B1286" s="63" t="s">
        <v>175</v>
      </c>
      <c r="C1286" s="63" t="s">
        <v>1488</v>
      </c>
      <c r="D1286" s="24">
        <v>1.0E7</v>
      </c>
      <c r="E1286" s="69">
        <v>0.9825033771</v>
      </c>
      <c r="F1286" s="23">
        <v>9825033.77</v>
      </c>
      <c r="G1286" s="23">
        <v>0.02</v>
      </c>
      <c r="H1286" s="1"/>
      <c r="I1286" s="1"/>
      <c r="J1286" s="2"/>
      <c r="K1286" s="2"/>
      <c r="L1286" s="53"/>
      <c r="M1286" s="12"/>
      <c r="N1286" s="2"/>
      <c r="O1286" s="2"/>
    </row>
    <row r="1287" ht="15.75" customHeight="1">
      <c r="A1287" s="1" t="s">
        <v>1493</v>
      </c>
      <c r="B1287" s="63" t="s">
        <v>187</v>
      </c>
      <c r="C1287" s="63" t="s">
        <v>1488</v>
      </c>
      <c r="D1287" s="23">
        <v>2.178985733E7</v>
      </c>
      <c r="E1287" s="70">
        <v>0.983165054</v>
      </c>
      <c r="F1287" s="23">
        <v>2.142302626E7</v>
      </c>
      <c r="G1287" s="23">
        <v>0.04</v>
      </c>
      <c r="H1287" s="1"/>
      <c r="I1287" s="1"/>
      <c r="J1287" s="2"/>
      <c r="K1287" s="2"/>
      <c r="L1287" s="53"/>
      <c r="M1287" s="12"/>
      <c r="N1287" s="2"/>
      <c r="O1287" s="2"/>
    </row>
    <row r="1288" ht="15.75" customHeight="1">
      <c r="A1288" s="1" t="s">
        <v>1494</v>
      </c>
      <c r="B1288" s="63" t="s">
        <v>185</v>
      </c>
      <c r="C1288" s="63" t="s">
        <v>1488</v>
      </c>
      <c r="D1288" s="23">
        <v>4.263481359E7</v>
      </c>
      <c r="E1288" s="70">
        <v>0.987153687</v>
      </c>
      <c r="F1288" s="23">
        <v>4.208711343E7</v>
      </c>
      <c r="G1288" s="23">
        <v>0.09</v>
      </c>
      <c r="H1288" s="1"/>
      <c r="I1288" s="1"/>
      <c r="J1288" s="2"/>
      <c r="K1288" s="2"/>
      <c r="L1288" s="53"/>
      <c r="M1288" s="12"/>
      <c r="N1288" s="2"/>
      <c r="O1288" s="2"/>
    </row>
    <row r="1289" ht="15.75" customHeight="1">
      <c r="A1289" s="1" t="s">
        <v>1495</v>
      </c>
      <c r="B1289" s="63" t="s">
        <v>140</v>
      </c>
      <c r="C1289" s="63" t="s">
        <v>1488</v>
      </c>
      <c r="D1289" s="23">
        <v>464617.82</v>
      </c>
      <c r="E1289" s="69">
        <v>0.9878214529</v>
      </c>
      <c r="F1289" s="23">
        <v>458959.45</v>
      </c>
      <c r="G1289" s="24">
        <v>0.0</v>
      </c>
      <c r="H1289" s="1"/>
      <c r="I1289" s="1"/>
      <c r="J1289" s="2"/>
      <c r="K1289" s="2"/>
      <c r="L1289" s="53"/>
      <c r="M1289" s="12"/>
      <c r="N1289" s="2"/>
      <c r="O1289" s="2"/>
    </row>
    <row r="1290" ht="15.75" customHeight="1">
      <c r="A1290" s="1" t="s">
        <v>1496</v>
      </c>
      <c r="B1290" s="63" t="s">
        <v>140</v>
      </c>
      <c r="C1290" s="63" t="s">
        <v>1488</v>
      </c>
      <c r="D1290" s="29">
        <v>2931229.1</v>
      </c>
      <c r="E1290" s="69">
        <v>0.9878214332</v>
      </c>
      <c r="F1290" s="23">
        <v>2895530.93</v>
      </c>
      <c r="G1290" s="23">
        <v>0.01</v>
      </c>
      <c r="H1290" s="1"/>
      <c r="I1290" s="1"/>
      <c r="J1290" s="2"/>
      <c r="K1290" s="2"/>
      <c r="L1290" s="53"/>
      <c r="M1290" s="12"/>
      <c r="N1290" s="2"/>
      <c r="O1290" s="2"/>
    </row>
    <row r="1291" ht="15.75" customHeight="1">
      <c r="A1291" s="1" t="s">
        <v>1497</v>
      </c>
      <c r="B1291" s="63" t="s">
        <v>140</v>
      </c>
      <c r="C1291" s="63" t="s">
        <v>1488</v>
      </c>
      <c r="D1291" s="23">
        <v>1.638948037E7</v>
      </c>
      <c r="E1291" s="69">
        <v>0.9878214313</v>
      </c>
      <c r="F1291" s="23">
        <v>1.618987996E7</v>
      </c>
      <c r="G1291" s="23">
        <v>0.03</v>
      </c>
      <c r="H1291" s="1"/>
      <c r="I1291" s="1"/>
      <c r="J1291" s="2"/>
      <c r="K1291" s="2"/>
      <c r="L1291" s="53"/>
      <c r="M1291" s="12"/>
      <c r="N1291" s="2"/>
      <c r="O1291" s="2"/>
    </row>
    <row r="1292" ht="15.75" customHeight="1">
      <c r="A1292" s="1" t="s">
        <v>1498</v>
      </c>
      <c r="B1292" s="63" t="s">
        <v>140</v>
      </c>
      <c r="C1292" s="63" t="s">
        <v>1488</v>
      </c>
      <c r="D1292" s="23">
        <v>1.687762205E7</v>
      </c>
      <c r="E1292" s="69">
        <v>0.9878214317</v>
      </c>
      <c r="F1292" s="23">
        <v>1.667207678E7</v>
      </c>
      <c r="G1292" s="23">
        <v>0.03</v>
      </c>
      <c r="H1292" s="1"/>
      <c r="I1292" s="1"/>
      <c r="J1292" s="2"/>
      <c r="K1292" s="2"/>
      <c r="L1292" s="53"/>
      <c r="M1292" s="12"/>
      <c r="N1292" s="2"/>
      <c r="O1292" s="2"/>
    </row>
    <row r="1293" ht="15.75" customHeight="1">
      <c r="A1293" s="1" t="s">
        <v>1499</v>
      </c>
      <c r="B1293" s="63" t="s">
        <v>140</v>
      </c>
      <c r="C1293" s="63" t="s">
        <v>1488</v>
      </c>
      <c r="D1293" s="24">
        <v>600000.0</v>
      </c>
      <c r="E1293" s="68">
        <v>0.98782145</v>
      </c>
      <c r="F1293" s="23">
        <v>592692.87</v>
      </c>
      <c r="G1293" s="24">
        <v>0.0</v>
      </c>
      <c r="H1293" s="1"/>
      <c r="I1293" s="1"/>
      <c r="J1293" s="2"/>
      <c r="K1293" s="2"/>
      <c r="L1293" s="53"/>
      <c r="M1293" s="12"/>
      <c r="N1293" s="2"/>
      <c r="O1293" s="2"/>
    </row>
    <row r="1294" ht="15.75" customHeight="1">
      <c r="A1294" s="1" t="s">
        <v>1500</v>
      </c>
      <c r="B1294" s="63" t="s">
        <v>140</v>
      </c>
      <c r="C1294" s="63" t="s">
        <v>1488</v>
      </c>
      <c r="D1294" s="23">
        <v>121501.73</v>
      </c>
      <c r="E1294" s="69">
        <v>0.9878214082</v>
      </c>
      <c r="F1294" s="23">
        <v>120022.01</v>
      </c>
      <c r="G1294" s="24">
        <v>0.0</v>
      </c>
      <c r="H1294" s="1"/>
      <c r="I1294" s="1"/>
      <c r="J1294" s="2"/>
      <c r="K1294" s="2"/>
      <c r="L1294" s="53"/>
      <c r="M1294" s="12"/>
      <c r="N1294" s="2"/>
      <c r="O1294" s="2"/>
    </row>
    <row r="1295" ht="15.75" customHeight="1">
      <c r="A1295" s="1" t="s">
        <v>1501</v>
      </c>
      <c r="B1295" s="63" t="s">
        <v>140</v>
      </c>
      <c r="C1295" s="63" t="s">
        <v>1488</v>
      </c>
      <c r="D1295" s="24">
        <v>1500000.0</v>
      </c>
      <c r="E1295" s="69">
        <v>0.9878214332</v>
      </c>
      <c r="F1295" s="23">
        <v>1481732.15</v>
      </c>
      <c r="G1295" s="24">
        <v>0.0</v>
      </c>
      <c r="H1295" s="1"/>
      <c r="I1295" s="1"/>
      <c r="J1295" s="2"/>
      <c r="K1295" s="2"/>
      <c r="L1295" s="53"/>
      <c r="M1295" s="12"/>
      <c r="N1295" s="2"/>
      <c r="O1295" s="2"/>
    </row>
    <row r="1296" ht="15.75" customHeight="1">
      <c r="A1296" s="1" t="s">
        <v>1502</v>
      </c>
      <c r="B1296" s="63" t="s">
        <v>170</v>
      </c>
      <c r="C1296" s="63" t="s">
        <v>1488</v>
      </c>
      <c r="D1296" s="24">
        <v>1500000.0</v>
      </c>
      <c r="E1296" s="69">
        <v>0.9884902866</v>
      </c>
      <c r="F1296" s="23">
        <v>1482735.43</v>
      </c>
      <c r="G1296" s="24">
        <v>0.0</v>
      </c>
      <c r="H1296" s="1"/>
      <c r="I1296" s="1"/>
      <c r="J1296" s="2"/>
      <c r="K1296" s="2"/>
      <c r="L1296" s="53"/>
      <c r="M1296" s="12"/>
      <c r="N1296" s="2"/>
      <c r="O1296" s="2"/>
    </row>
    <row r="1297" ht="15.75" customHeight="1">
      <c r="A1297" s="1" t="s">
        <v>1503</v>
      </c>
      <c r="B1297" s="63" t="s">
        <v>170</v>
      </c>
      <c r="C1297" s="63" t="s">
        <v>1488</v>
      </c>
      <c r="D1297" s="24">
        <v>2360000.0</v>
      </c>
      <c r="E1297" s="69">
        <v>0.9884902925</v>
      </c>
      <c r="F1297" s="23">
        <v>2332837.09</v>
      </c>
      <c r="G1297" s="24">
        <v>0.0</v>
      </c>
      <c r="H1297" s="1"/>
      <c r="I1297" s="1"/>
      <c r="J1297" s="2"/>
      <c r="K1297" s="2"/>
      <c r="L1297" s="53"/>
      <c r="M1297" s="12"/>
      <c r="N1297" s="2"/>
      <c r="O1297" s="2"/>
    </row>
    <row r="1298" ht="15.75" customHeight="1">
      <c r="A1298" s="1" t="s">
        <v>1504</v>
      </c>
      <c r="B1298" s="63" t="s">
        <v>153</v>
      </c>
      <c r="C1298" s="63" t="s">
        <v>1488</v>
      </c>
      <c r="D1298" s="23">
        <v>2224137.97</v>
      </c>
      <c r="E1298" s="67">
        <v>0.9905021</v>
      </c>
      <c r="F1298" s="23">
        <v>2203013.33</v>
      </c>
      <c r="G1298" s="24">
        <v>0.0</v>
      </c>
      <c r="H1298" s="1"/>
      <c r="I1298" s="1"/>
      <c r="J1298" s="2"/>
      <c r="K1298" s="2"/>
      <c r="L1298" s="53"/>
      <c r="M1298" s="12"/>
      <c r="N1298" s="2"/>
      <c r="O1298" s="2"/>
    </row>
    <row r="1299" ht="15.75" customHeight="1">
      <c r="A1299" s="1" t="s">
        <v>1505</v>
      </c>
      <c r="B1299" s="63" t="s">
        <v>153</v>
      </c>
      <c r="C1299" s="63" t="s">
        <v>1488</v>
      </c>
      <c r="D1299" s="24">
        <v>2275297.0</v>
      </c>
      <c r="E1299" s="70">
        <v>0.990502106</v>
      </c>
      <c r="F1299" s="23">
        <v>2253686.47</v>
      </c>
      <c r="G1299" s="24">
        <v>0.0</v>
      </c>
      <c r="H1299" s="1"/>
      <c r="I1299" s="1"/>
      <c r="J1299" s="2"/>
      <c r="K1299" s="2"/>
      <c r="L1299" s="53"/>
      <c r="M1299" s="12"/>
      <c r="N1299" s="2"/>
      <c r="O1299" s="2"/>
    </row>
    <row r="1300" ht="15.75" customHeight="1">
      <c r="A1300" s="1" t="s">
        <v>1506</v>
      </c>
      <c r="B1300" s="63" t="s">
        <v>163</v>
      </c>
      <c r="C1300" s="63" t="s">
        <v>1488</v>
      </c>
      <c r="D1300" s="24">
        <v>562500.0</v>
      </c>
      <c r="E1300" s="69">
        <v>0.9911745956</v>
      </c>
      <c r="F1300" s="23">
        <v>557535.71</v>
      </c>
      <c r="G1300" s="24">
        <v>0.0</v>
      </c>
      <c r="H1300" s="1"/>
      <c r="I1300" s="1"/>
      <c r="J1300" s="2"/>
      <c r="K1300" s="2"/>
      <c r="L1300" s="53"/>
      <c r="M1300" s="12"/>
      <c r="N1300" s="2"/>
      <c r="O1300" s="2"/>
    </row>
    <row r="1301" ht="15.75" customHeight="1">
      <c r="A1301" s="1" t="s">
        <v>1507</v>
      </c>
      <c r="B1301" s="63" t="s">
        <v>159</v>
      </c>
      <c r="C1301" s="63" t="s">
        <v>1488</v>
      </c>
      <c r="D1301" s="24">
        <v>500000.0</v>
      </c>
      <c r="E1301" s="69">
        <v>0.9918480001</v>
      </c>
      <c r="F1301" s="24">
        <v>495924.0</v>
      </c>
      <c r="G1301" s="24">
        <v>0.0</v>
      </c>
      <c r="H1301" s="1"/>
      <c r="I1301" s="1"/>
      <c r="J1301" s="2"/>
      <c r="K1301" s="2"/>
      <c r="L1301" s="53"/>
      <c r="M1301" s="12"/>
      <c r="N1301" s="2"/>
      <c r="O1301" s="2"/>
    </row>
    <row r="1302" ht="15.75" customHeight="1">
      <c r="A1302" s="1" t="s">
        <v>1508</v>
      </c>
      <c r="B1302" s="63" t="s">
        <v>159</v>
      </c>
      <c r="C1302" s="63" t="s">
        <v>1488</v>
      </c>
      <c r="D1302" s="24">
        <v>3500000.0</v>
      </c>
      <c r="E1302" s="69">
        <v>0.9918479972</v>
      </c>
      <c r="F1302" s="23">
        <v>3471467.99</v>
      </c>
      <c r="G1302" s="23">
        <v>0.01</v>
      </c>
      <c r="H1302" s="1"/>
      <c r="I1302" s="1"/>
      <c r="J1302" s="2"/>
      <c r="K1302" s="2"/>
      <c r="L1302" s="53"/>
      <c r="M1302" s="12"/>
      <c r="N1302" s="2"/>
      <c r="O1302" s="2"/>
    </row>
    <row r="1303" ht="15.75" customHeight="1">
      <c r="A1303" s="1" t="s">
        <v>1509</v>
      </c>
      <c r="B1303" s="63" t="s">
        <v>159</v>
      </c>
      <c r="C1303" s="63" t="s">
        <v>1488</v>
      </c>
      <c r="D1303" s="24">
        <v>3500000.0</v>
      </c>
      <c r="E1303" s="69">
        <v>0.9918479972</v>
      </c>
      <c r="F1303" s="23">
        <v>3471467.99</v>
      </c>
      <c r="G1303" s="23">
        <v>0.01</v>
      </c>
      <c r="H1303" s="1"/>
      <c r="I1303" s="1"/>
      <c r="J1303" s="2"/>
      <c r="K1303" s="2"/>
      <c r="L1303" s="53"/>
      <c r="M1303" s="12"/>
      <c r="N1303" s="2"/>
      <c r="O1303" s="2"/>
    </row>
    <row r="1304" ht="15.75" customHeight="1">
      <c r="A1304" s="1" t="s">
        <v>1510</v>
      </c>
      <c r="B1304" s="63" t="s">
        <v>159</v>
      </c>
      <c r="C1304" s="63" t="s">
        <v>1488</v>
      </c>
      <c r="D1304" s="23">
        <v>686799.72</v>
      </c>
      <c r="E1304" s="70">
        <v>0.991848002</v>
      </c>
      <c r="F1304" s="23">
        <v>681200.93</v>
      </c>
      <c r="G1304" s="24">
        <v>0.0</v>
      </c>
      <c r="H1304" s="1"/>
      <c r="I1304" s="1"/>
      <c r="J1304" s="2"/>
      <c r="K1304" s="2"/>
      <c r="L1304" s="53"/>
      <c r="M1304" s="12"/>
      <c r="N1304" s="2"/>
      <c r="O1304" s="2"/>
    </row>
    <row r="1305" ht="15.75" customHeight="1">
      <c r="A1305" s="1" t="s">
        <v>1511</v>
      </c>
      <c r="B1305" s="63" t="s">
        <v>159</v>
      </c>
      <c r="C1305" s="63" t="s">
        <v>1488</v>
      </c>
      <c r="D1305" s="24">
        <v>500000.0</v>
      </c>
      <c r="E1305" s="69">
        <v>0.9918480001</v>
      </c>
      <c r="F1305" s="24">
        <v>495924.0</v>
      </c>
      <c r="G1305" s="24">
        <v>0.0</v>
      </c>
      <c r="H1305" s="1"/>
      <c r="I1305" s="1"/>
      <c r="J1305" s="2"/>
      <c r="K1305" s="2"/>
      <c r="L1305" s="53"/>
      <c r="M1305" s="12"/>
      <c r="N1305" s="2"/>
      <c r="O1305" s="2"/>
    </row>
    <row r="1306" ht="15.75" customHeight="1">
      <c r="A1306" s="1" t="s">
        <v>1512</v>
      </c>
      <c r="B1306" s="63" t="s">
        <v>159</v>
      </c>
      <c r="C1306" s="63" t="s">
        <v>1488</v>
      </c>
      <c r="D1306" s="24">
        <v>1050000.0</v>
      </c>
      <c r="E1306" s="69">
        <v>0.9918480001</v>
      </c>
      <c r="F1306" s="29">
        <v>1041440.4</v>
      </c>
      <c r="G1306" s="24">
        <v>0.0</v>
      </c>
      <c r="H1306" s="1"/>
      <c r="I1306" s="1"/>
      <c r="J1306" s="2"/>
      <c r="K1306" s="2"/>
      <c r="L1306" s="53"/>
      <c r="M1306" s="12"/>
      <c r="N1306" s="2"/>
      <c r="O1306" s="2"/>
    </row>
    <row r="1307" ht="15.75" customHeight="1">
      <c r="A1307" s="1" t="s">
        <v>1513</v>
      </c>
      <c r="B1307" s="63" t="s">
        <v>159</v>
      </c>
      <c r="C1307" s="63" t="s">
        <v>1488</v>
      </c>
      <c r="D1307" s="24">
        <v>1.65758E7</v>
      </c>
      <c r="E1307" s="69">
        <v>0.9918480014</v>
      </c>
      <c r="F1307" s="29">
        <v>1.64406741E7</v>
      </c>
      <c r="G1307" s="23">
        <v>0.03</v>
      </c>
      <c r="H1307" s="1"/>
      <c r="I1307" s="1"/>
      <c r="J1307" s="2"/>
      <c r="K1307" s="2"/>
      <c r="L1307" s="53"/>
      <c r="M1307" s="12"/>
      <c r="N1307" s="2"/>
      <c r="O1307" s="2"/>
    </row>
    <row r="1308" ht="15.75" customHeight="1">
      <c r="A1308" s="1" t="s">
        <v>1514</v>
      </c>
      <c r="B1308" s="63" t="s">
        <v>491</v>
      </c>
      <c r="C1308" s="63" t="s">
        <v>1488</v>
      </c>
      <c r="D1308" s="23">
        <v>262329.78</v>
      </c>
      <c r="E1308" s="69">
        <v>0.9931973792</v>
      </c>
      <c r="F1308" s="23">
        <v>260545.25</v>
      </c>
      <c r="G1308" s="24">
        <v>0.0</v>
      </c>
      <c r="H1308" s="1"/>
      <c r="I1308" s="1"/>
      <c r="J1308" s="2"/>
      <c r="K1308" s="2"/>
      <c r="L1308" s="53"/>
      <c r="M1308" s="12"/>
      <c r="N1308" s="2"/>
      <c r="O1308" s="2"/>
    </row>
    <row r="1309" ht="15.75" customHeight="1">
      <c r="A1309" s="1" t="s">
        <v>1515</v>
      </c>
      <c r="B1309" s="63" t="s">
        <v>228</v>
      </c>
      <c r="C1309" s="63" t="s">
        <v>1488</v>
      </c>
      <c r="D1309" s="29">
        <v>8527469.2</v>
      </c>
      <c r="E1309" s="69">
        <v>0.9965871551</v>
      </c>
      <c r="F1309" s="23">
        <v>8498366.27</v>
      </c>
      <c r="G1309" s="23">
        <v>0.02</v>
      </c>
      <c r="H1309" s="1"/>
      <c r="I1309" s="1"/>
      <c r="J1309" s="2"/>
      <c r="K1309" s="2"/>
      <c r="L1309" s="53"/>
      <c r="M1309" s="12"/>
      <c r="N1309" s="2"/>
      <c r="O1309" s="2"/>
    </row>
    <row r="1310" ht="15.75" customHeight="1">
      <c r="A1310" s="1" t="s">
        <v>1516</v>
      </c>
      <c r="B1310" s="63" t="s">
        <v>148</v>
      </c>
      <c r="C1310" s="63" t="s">
        <v>1488</v>
      </c>
      <c r="D1310" s="24">
        <v>9000000.0</v>
      </c>
      <c r="E1310" s="69">
        <v>0.9785523686</v>
      </c>
      <c r="F1310" s="23">
        <v>8806971.32</v>
      </c>
      <c r="G1310" s="23">
        <v>0.02</v>
      </c>
      <c r="H1310" s="1"/>
      <c r="I1310" s="1"/>
      <c r="J1310" s="2"/>
      <c r="K1310" s="2"/>
      <c r="L1310" s="53"/>
      <c r="M1310" s="12"/>
      <c r="N1310" s="2"/>
      <c r="O1310" s="2"/>
    </row>
    <row r="1311" ht="15.75" customHeight="1">
      <c r="A1311" s="1" t="s">
        <v>1517</v>
      </c>
      <c r="B1311" s="63" t="s">
        <v>150</v>
      </c>
      <c r="C1311" s="63" t="s">
        <v>1488</v>
      </c>
      <c r="D1311" s="23">
        <v>548019.59</v>
      </c>
      <c r="E1311" s="69">
        <v>0.9818428023</v>
      </c>
      <c r="F1311" s="23">
        <v>538069.09</v>
      </c>
      <c r="G1311" s="24">
        <v>0.0</v>
      </c>
      <c r="H1311" s="1"/>
      <c r="I1311" s="1"/>
      <c r="J1311" s="2"/>
      <c r="K1311" s="2"/>
      <c r="L1311" s="53"/>
      <c r="M1311" s="12"/>
      <c r="N1311" s="2"/>
      <c r="O1311" s="2"/>
    </row>
    <row r="1312" ht="15.75" customHeight="1">
      <c r="A1312" s="1" t="s">
        <v>1518</v>
      </c>
      <c r="B1312" s="63" t="s">
        <v>175</v>
      </c>
      <c r="C1312" s="63" t="s">
        <v>1488</v>
      </c>
      <c r="D1312" s="23">
        <v>6666666.67</v>
      </c>
      <c r="E1312" s="69">
        <v>0.9825033757</v>
      </c>
      <c r="F1312" s="23">
        <v>6550022.51</v>
      </c>
      <c r="G1312" s="23">
        <v>0.01</v>
      </c>
      <c r="H1312" s="1"/>
      <c r="I1312" s="1"/>
      <c r="J1312" s="2"/>
      <c r="K1312" s="2"/>
      <c r="L1312" s="53"/>
      <c r="M1312" s="12"/>
      <c r="N1312" s="2"/>
      <c r="O1312" s="2"/>
    </row>
    <row r="1313" ht="15.75" customHeight="1">
      <c r="A1313" s="1" t="s">
        <v>1519</v>
      </c>
      <c r="B1313" s="63" t="s">
        <v>506</v>
      </c>
      <c r="C1313" s="63" t="s">
        <v>1488</v>
      </c>
      <c r="D1313" s="23">
        <v>456527.78</v>
      </c>
      <c r="E1313" s="69">
        <v>0.9636963822</v>
      </c>
      <c r="F1313" s="23">
        <v>439954.17</v>
      </c>
      <c r="G1313" s="24">
        <v>0.0</v>
      </c>
      <c r="H1313" s="1"/>
      <c r="I1313" s="1"/>
      <c r="J1313" s="2"/>
      <c r="K1313" s="2"/>
      <c r="L1313" s="53"/>
      <c r="M1313" s="12"/>
      <c r="N1313" s="2"/>
      <c r="O1313" s="2"/>
    </row>
    <row r="1314" ht="15.75" customHeight="1">
      <c r="A1314" s="1" t="s">
        <v>1520</v>
      </c>
      <c r="B1314" s="63" t="s">
        <v>187</v>
      </c>
      <c r="C1314" s="63" t="s">
        <v>1488</v>
      </c>
      <c r="D1314" s="23">
        <v>456527.78</v>
      </c>
      <c r="E1314" s="69">
        <v>0.9831650553</v>
      </c>
      <c r="F1314" s="23">
        <v>448842.16</v>
      </c>
      <c r="G1314" s="24">
        <v>0.0</v>
      </c>
      <c r="H1314" s="1"/>
      <c r="I1314" s="1"/>
      <c r="J1314" s="2"/>
      <c r="K1314" s="2"/>
      <c r="L1314" s="53"/>
      <c r="M1314" s="12"/>
      <c r="N1314" s="2"/>
      <c r="O1314" s="2"/>
    </row>
    <row r="1315" ht="15.75" customHeight="1">
      <c r="A1315" s="1" t="s">
        <v>1521</v>
      </c>
      <c r="B1315" s="63" t="s">
        <v>182</v>
      </c>
      <c r="C1315" s="63" t="s">
        <v>1488</v>
      </c>
      <c r="D1315" s="23">
        <v>2874076.13</v>
      </c>
      <c r="E1315" s="69">
        <v>0.9838276237</v>
      </c>
      <c r="F1315" s="23">
        <v>2827595.49</v>
      </c>
      <c r="G1315" s="23">
        <v>0.01</v>
      </c>
      <c r="H1315" s="1"/>
      <c r="I1315" s="1"/>
      <c r="J1315" s="2"/>
      <c r="K1315" s="2"/>
      <c r="L1315" s="53"/>
      <c r="M1315" s="12"/>
      <c r="N1315" s="2"/>
      <c r="O1315" s="2"/>
    </row>
    <row r="1316" ht="15.75" customHeight="1">
      <c r="A1316" s="1" t="s">
        <v>1522</v>
      </c>
      <c r="B1316" s="63" t="s">
        <v>182</v>
      </c>
      <c r="C1316" s="63" t="s">
        <v>1488</v>
      </c>
      <c r="D1316" s="23">
        <v>323998.16</v>
      </c>
      <c r="E1316" s="69">
        <v>0.9838275932</v>
      </c>
      <c r="F1316" s="23">
        <v>318758.33</v>
      </c>
      <c r="G1316" s="24">
        <v>0.0</v>
      </c>
      <c r="H1316" s="1"/>
      <c r="I1316" s="1"/>
      <c r="J1316" s="2"/>
      <c r="K1316" s="2"/>
      <c r="L1316" s="53"/>
      <c r="M1316" s="12"/>
      <c r="N1316" s="2"/>
      <c r="O1316" s="2"/>
    </row>
    <row r="1317" ht="15.75" customHeight="1">
      <c r="A1317" s="1" t="s">
        <v>1523</v>
      </c>
      <c r="B1317" s="63" t="s">
        <v>185</v>
      </c>
      <c r="C1317" s="63" t="s">
        <v>1488</v>
      </c>
      <c r="D1317" s="29">
        <v>9902875.5</v>
      </c>
      <c r="E1317" s="70">
        <v>0.987153687</v>
      </c>
      <c r="F1317" s="23">
        <v>9775660.06</v>
      </c>
      <c r="G1317" s="23">
        <v>0.02</v>
      </c>
      <c r="H1317" s="1"/>
      <c r="I1317" s="1"/>
      <c r="J1317" s="2"/>
      <c r="K1317" s="2"/>
      <c r="L1317" s="53"/>
      <c r="M1317" s="12"/>
      <c r="N1317" s="2"/>
      <c r="O1317" s="2"/>
    </row>
    <row r="1318" ht="15.75" customHeight="1">
      <c r="A1318" s="1" t="s">
        <v>1524</v>
      </c>
      <c r="B1318" s="63" t="s">
        <v>341</v>
      </c>
      <c r="C1318" s="63" t="s">
        <v>1488</v>
      </c>
      <c r="D1318" s="24">
        <v>2125000.0</v>
      </c>
      <c r="E1318" s="69">
        <v>0.9772424991</v>
      </c>
      <c r="F1318" s="23">
        <v>2076640.31</v>
      </c>
      <c r="G1318" s="24">
        <v>0.0</v>
      </c>
      <c r="H1318" s="1"/>
      <c r="I1318" s="1"/>
      <c r="J1318" s="2"/>
      <c r="K1318" s="2"/>
      <c r="L1318" s="53"/>
      <c r="M1318" s="12"/>
      <c r="N1318" s="2"/>
      <c r="O1318" s="2"/>
    </row>
    <row r="1319" ht="15.75" customHeight="1">
      <c r="A1319" s="1" t="s">
        <v>1525</v>
      </c>
      <c r="B1319" s="63" t="s">
        <v>185</v>
      </c>
      <c r="C1319" s="63" t="s">
        <v>1488</v>
      </c>
      <c r="D1319" s="24">
        <v>1000000.0</v>
      </c>
      <c r="E1319" s="69">
        <v>0.9871536901</v>
      </c>
      <c r="F1319" s="23">
        <v>987153.69</v>
      </c>
      <c r="G1319" s="24">
        <v>0.0</v>
      </c>
      <c r="H1319" s="1"/>
      <c r="I1319" s="1"/>
      <c r="J1319" s="2"/>
      <c r="K1319" s="2"/>
      <c r="L1319" s="53"/>
      <c r="M1319" s="12"/>
      <c r="N1319" s="2"/>
      <c r="O1319" s="2"/>
    </row>
    <row r="1320" ht="15.75" customHeight="1">
      <c r="A1320" s="1" t="s">
        <v>1526</v>
      </c>
      <c r="B1320" s="63" t="s">
        <v>185</v>
      </c>
      <c r="C1320" s="63" t="s">
        <v>1488</v>
      </c>
      <c r="D1320" s="23">
        <v>2008734.21</v>
      </c>
      <c r="E1320" s="69">
        <v>0.9871536911</v>
      </c>
      <c r="F1320" s="23">
        <v>1982929.39</v>
      </c>
      <c r="G1320" s="24">
        <v>0.0</v>
      </c>
      <c r="H1320" s="1"/>
      <c r="I1320" s="1"/>
      <c r="J1320" s="2"/>
      <c r="K1320" s="2"/>
      <c r="L1320" s="53"/>
      <c r="M1320" s="12"/>
      <c r="N1320" s="2"/>
      <c r="O1320" s="2"/>
    </row>
    <row r="1321" ht="15.75" customHeight="1">
      <c r="A1321" s="1" t="s">
        <v>1527</v>
      </c>
      <c r="B1321" s="63" t="s">
        <v>185</v>
      </c>
      <c r="C1321" s="63" t="s">
        <v>1488</v>
      </c>
      <c r="D1321" s="24">
        <v>1000000.0</v>
      </c>
      <c r="E1321" s="69">
        <v>0.9871536901</v>
      </c>
      <c r="F1321" s="23">
        <v>987153.69</v>
      </c>
      <c r="G1321" s="24">
        <v>0.0</v>
      </c>
      <c r="H1321" s="1"/>
      <c r="I1321" s="1"/>
      <c r="J1321" s="2"/>
      <c r="K1321" s="2"/>
      <c r="L1321" s="53"/>
      <c r="M1321" s="12"/>
      <c r="N1321" s="2"/>
      <c r="O1321" s="2"/>
    </row>
    <row r="1322" ht="15.75" customHeight="1">
      <c r="A1322" s="1" t="s">
        <v>1528</v>
      </c>
      <c r="B1322" s="63" t="s">
        <v>185</v>
      </c>
      <c r="C1322" s="63" t="s">
        <v>1488</v>
      </c>
      <c r="D1322" s="24">
        <v>1948054.0</v>
      </c>
      <c r="E1322" s="69">
        <v>0.9871536875</v>
      </c>
      <c r="F1322" s="23">
        <v>1923028.69</v>
      </c>
      <c r="G1322" s="24">
        <v>0.0</v>
      </c>
      <c r="H1322" s="1"/>
      <c r="I1322" s="1"/>
      <c r="J1322" s="2"/>
      <c r="K1322" s="2"/>
      <c r="L1322" s="53"/>
      <c r="M1322" s="12"/>
      <c r="N1322" s="2"/>
      <c r="O1322" s="2"/>
    </row>
    <row r="1323" ht="15.75" customHeight="1">
      <c r="A1323" s="1" t="s">
        <v>1529</v>
      </c>
      <c r="B1323" s="63" t="s">
        <v>274</v>
      </c>
      <c r="C1323" s="63" t="s">
        <v>1488</v>
      </c>
      <c r="D1323" s="23">
        <v>966441.68</v>
      </c>
      <c r="E1323" s="69">
        <v>0.9675283252</v>
      </c>
      <c r="F1323" s="29">
        <v>935059.7</v>
      </c>
      <c r="G1323" s="24">
        <v>0.0</v>
      </c>
      <c r="H1323" s="1"/>
      <c r="I1323" s="1"/>
      <c r="J1323" s="2"/>
      <c r="K1323" s="2"/>
      <c r="L1323" s="53"/>
      <c r="M1323" s="12"/>
      <c r="N1323" s="2"/>
      <c r="O1323" s="2"/>
    </row>
    <row r="1324" ht="15.75" customHeight="1">
      <c r="A1324" s="1" t="s">
        <v>1530</v>
      </c>
      <c r="B1324" s="63" t="s">
        <v>274</v>
      </c>
      <c r="C1324" s="63" t="s">
        <v>1488</v>
      </c>
      <c r="D1324" s="23">
        <v>639790.28</v>
      </c>
      <c r="E1324" s="69">
        <v>0.9675283277</v>
      </c>
      <c r="F1324" s="23">
        <v>619015.22</v>
      </c>
      <c r="G1324" s="24">
        <v>0.0</v>
      </c>
      <c r="H1324" s="1"/>
      <c r="I1324" s="1"/>
      <c r="J1324" s="2"/>
      <c r="K1324" s="2"/>
      <c r="L1324" s="53"/>
      <c r="M1324" s="12"/>
      <c r="N1324" s="2"/>
      <c r="O1324" s="2"/>
    </row>
    <row r="1325" ht="15.75" customHeight="1">
      <c r="A1325" s="1" t="s">
        <v>1531</v>
      </c>
      <c r="B1325" s="63" t="s">
        <v>185</v>
      </c>
      <c r="C1325" s="63" t="s">
        <v>1488</v>
      </c>
      <c r="D1325" s="24">
        <v>500000.0</v>
      </c>
      <c r="E1325" s="69">
        <v>0.9871536799</v>
      </c>
      <c r="F1325" s="23">
        <v>493576.84</v>
      </c>
      <c r="G1325" s="24">
        <v>0.0</v>
      </c>
      <c r="H1325" s="1"/>
      <c r="I1325" s="1"/>
      <c r="J1325" s="2"/>
      <c r="K1325" s="2"/>
      <c r="L1325" s="53"/>
      <c r="M1325" s="12"/>
      <c r="N1325" s="2"/>
      <c r="O1325" s="2"/>
    </row>
    <row r="1326" ht="15.75" customHeight="1">
      <c r="A1326" s="1" t="s">
        <v>1532</v>
      </c>
      <c r="B1326" s="63" t="s">
        <v>185</v>
      </c>
      <c r="C1326" s="63" t="s">
        <v>1488</v>
      </c>
      <c r="D1326" s="24">
        <v>5000000.0</v>
      </c>
      <c r="E1326" s="70">
        <v>0.987153688</v>
      </c>
      <c r="F1326" s="23">
        <v>4935768.44</v>
      </c>
      <c r="G1326" s="23">
        <v>0.01</v>
      </c>
      <c r="H1326" s="1"/>
      <c r="I1326" s="1"/>
      <c r="J1326" s="2"/>
      <c r="K1326" s="2"/>
      <c r="L1326" s="53"/>
      <c r="M1326" s="12"/>
      <c r="N1326" s="2"/>
      <c r="O1326" s="2"/>
    </row>
    <row r="1327" ht="15.75" customHeight="1">
      <c r="A1327" s="1" t="s">
        <v>1533</v>
      </c>
      <c r="B1327" s="63" t="s">
        <v>330</v>
      </c>
      <c r="C1327" s="63" t="s">
        <v>1488</v>
      </c>
      <c r="D1327" s="24">
        <v>500000.0</v>
      </c>
      <c r="E1327" s="69">
        <v>0.9864866198</v>
      </c>
      <c r="F1327" s="23">
        <v>493243.31</v>
      </c>
      <c r="G1327" s="24">
        <v>0.0</v>
      </c>
      <c r="H1327" s="1"/>
      <c r="I1327" s="1"/>
      <c r="J1327" s="2"/>
      <c r="K1327" s="2"/>
      <c r="L1327" s="53"/>
      <c r="M1327" s="12"/>
      <c r="N1327" s="2"/>
      <c r="O1327" s="2"/>
    </row>
    <row r="1328" ht="15.75" customHeight="1">
      <c r="A1328" s="1" t="s">
        <v>1534</v>
      </c>
      <c r="B1328" s="63" t="s">
        <v>173</v>
      </c>
      <c r="C1328" s="63" t="s">
        <v>1488</v>
      </c>
      <c r="D1328" s="23">
        <v>755183.27</v>
      </c>
      <c r="E1328" s="69">
        <v>0.9858204749</v>
      </c>
      <c r="F1328" s="23">
        <v>744475.13</v>
      </c>
      <c r="G1328" s="24">
        <v>0.0</v>
      </c>
      <c r="H1328" s="1"/>
      <c r="I1328" s="1"/>
      <c r="J1328" s="2"/>
      <c r="K1328" s="2"/>
      <c r="L1328" s="53"/>
      <c r="M1328" s="12"/>
      <c r="N1328" s="2"/>
      <c r="O1328" s="2"/>
    </row>
    <row r="1329" ht="15.75" customHeight="1">
      <c r="A1329" s="1" t="s">
        <v>1535</v>
      </c>
      <c r="B1329" s="63" t="s">
        <v>173</v>
      </c>
      <c r="C1329" s="63" t="s">
        <v>1488</v>
      </c>
      <c r="D1329" s="24">
        <v>700000.0</v>
      </c>
      <c r="E1329" s="69">
        <v>0.9858204856</v>
      </c>
      <c r="F1329" s="23">
        <v>690074.34</v>
      </c>
      <c r="G1329" s="24">
        <v>0.0</v>
      </c>
      <c r="H1329" s="1"/>
      <c r="I1329" s="1"/>
      <c r="J1329" s="2"/>
      <c r="K1329" s="2"/>
      <c r="L1329" s="53"/>
      <c r="M1329" s="12"/>
      <c r="N1329" s="2"/>
      <c r="O1329" s="2"/>
    </row>
    <row r="1330" ht="15.75" customHeight="1">
      <c r="A1330" s="1" t="s">
        <v>1536</v>
      </c>
      <c r="B1330" s="63" t="s">
        <v>163</v>
      </c>
      <c r="C1330" s="63" t="s">
        <v>1488</v>
      </c>
      <c r="D1330" s="29">
        <v>250772.5</v>
      </c>
      <c r="E1330" s="69">
        <v>0.9894281869</v>
      </c>
      <c r="F1330" s="23">
        <v>248121.38</v>
      </c>
      <c r="G1330" s="24">
        <v>0.0</v>
      </c>
      <c r="H1330" s="1"/>
      <c r="I1330" s="1"/>
      <c r="J1330" s="2"/>
      <c r="K1330" s="2"/>
      <c r="L1330" s="53"/>
      <c r="M1330" s="12"/>
      <c r="N1330" s="2"/>
      <c r="O1330" s="2"/>
    </row>
    <row r="1331" ht="15.75" customHeight="1">
      <c r="A1331" s="1" t="s">
        <v>1537</v>
      </c>
      <c r="B1331" s="63" t="s">
        <v>330</v>
      </c>
      <c r="C1331" s="63" t="s">
        <v>1488</v>
      </c>
      <c r="D1331" s="24">
        <v>330000.0</v>
      </c>
      <c r="E1331" s="69">
        <v>0.9838276667</v>
      </c>
      <c r="F1331" s="23">
        <v>324663.13</v>
      </c>
      <c r="G1331" s="24">
        <v>0.0</v>
      </c>
      <c r="H1331" s="1"/>
      <c r="I1331" s="1"/>
      <c r="J1331" s="2"/>
      <c r="K1331" s="2"/>
      <c r="L1331" s="53"/>
      <c r="M1331" s="12"/>
      <c r="N1331" s="2"/>
      <c r="O1331" s="2"/>
    </row>
    <row r="1332" ht="15.75" customHeight="1">
      <c r="A1332" s="1" t="s">
        <v>1538</v>
      </c>
      <c r="B1332" s="63" t="s">
        <v>341</v>
      </c>
      <c r="C1332" s="63" t="s">
        <v>1488</v>
      </c>
      <c r="D1332" s="24">
        <v>415000.0</v>
      </c>
      <c r="E1332" s="69">
        <v>0.9728147228</v>
      </c>
      <c r="F1332" s="23">
        <v>403718.11</v>
      </c>
      <c r="G1332" s="24">
        <v>0.0</v>
      </c>
      <c r="H1332" s="1"/>
      <c r="I1332" s="1"/>
      <c r="J1332" s="2"/>
      <c r="K1332" s="2"/>
      <c r="L1332" s="53"/>
      <c r="M1332" s="12"/>
      <c r="N1332" s="2"/>
      <c r="O1332" s="2"/>
    </row>
    <row r="1333" ht="15.75" customHeight="1">
      <c r="A1333" s="1" t="s">
        <v>1539</v>
      </c>
      <c r="B1333" s="63" t="s">
        <v>163</v>
      </c>
      <c r="C1333" s="63" t="s">
        <v>1488</v>
      </c>
      <c r="D1333" s="24">
        <v>830000.0</v>
      </c>
      <c r="E1333" s="69">
        <v>0.9894281806</v>
      </c>
      <c r="F1333" s="23">
        <v>821225.39</v>
      </c>
      <c r="G1333" s="24">
        <v>0.0</v>
      </c>
      <c r="H1333" s="1"/>
      <c r="I1333" s="1"/>
      <c r="J1333" s="2"/>
      <c r="K1333" s="2"/>
      <c r="L1333" s="53"/>
      <c r="M1333" s="12"/>
      <c r="N1333" s="2"/>
      <c r="O1333" s="2"/>
    </row>
    <row r="1334" ht="15.75" customHeight="1">
      <c r="A1334" s="1" t="s">
        <v>1540</v>
      </c>
      <c r="B1334" s="63" t="s">
        <v>330</v>
      </c>
      <c r="C1334" s="63" t="s">
        <v>1488</v>
      </c>
      <c r="D1334" s="24">
        <v>415000.0</v>
      </c>
      <c r="E1334" s="69">
        <v>0.9838276624</v>
      </c>
      <c r="F1334" s="23">
        <v>408288.48</v>
      </c>
      <c r="G1334" s="24">
        <v>0.0</v>
      </c>
      <c r="H1334" s="1"/>
      <c r="I1334" s="1"/>
      <c r="J1334" s="2"/>
      <c r="K1334" s="2"/>
      <c r="L1334" s="53"/>
      <c r="M1334" s="12"/>
      <c r="N1334" s="2"/>
      <c r="O1334" s="2"/>
    </row>
    <row r="1335" ht="15.75" customHeight="1">
      <c r="A1335" s="1" t="s">
        <v>1541</v>
      </c>
      <c r="B1335" s="63" t="s">
        <v>182</v>
      </c>
      <c r="C1335" s="63" t="s">
        <v>1488</v>
      </c>
      <c r="D1335" s="24">
        <v>330000.0</v>
      </c>
      <c r="E1335" s="69">
        <v>0.9806557272</v>
      </c>
      <c r="F1335" s="23">
        <v>323616.39</v>
      </c>
      <c r="G1335" s="24">
        <v>0.0</v>
      </c>
      <c r="H1335" s="1"/>
      <c r="I1335" s="1"/>
      <c r="J1335" s="2"/>
      <c r="K1335" s="2"/>
      <c r="L1335" s="53"/>
      <c r="M1335" s="12"/>
      <c r="N1335" s="2"/>
      <c r="O1335" s="2"/>
    </row>
    <row r="1336" ht="15.75" customHeight="1">
      <c r="A1336" s="1" t="s">
        <v>1542</v>
      </c>
      <c r="B1336" s="63" t="s">
        <v>182</v>
      </c>
      <c r="C1336" s="63" t="s">
        <v>1488</v>
      </c>
      <c r="D1336" s="24">
        <v>415000.0</v>
      </c>
      <c r="E1336" s="69">
        <v>0.9806557108</v>
      </c>
      <c r="F1336" s="23">
        <v>406972.12</v>
      </c>
      <c r="G1336" s="24">
        <v>0.0</v>
      </c>
      <c r="H1336" s="1"/>
      <c r="I1336" s="1"/>
      <c r="J1336" s="2"/>
      <c r="K1336" s="2"/>
      <c r="L1336" s="53"/>
      <c r="M1336" s="12"/>
      <c r="N1336" s="2"/>
      <c r="O1336" s="2"/>
    </row>
    <row r="1337" ht="15.75" customHeight="1">
      <c r="A1337" s="1" t="s">
        <v>1543</v>
      </c>
      <c r="B1337" s="63" t="s">
        <v>150</v>
      </c>
      <c r="C1337" s="63" t="s">
        <v>1488</v>
      </c>
      <c r="D1337" s="24">
        <v>330000.0</v>
      </c>
      <c r="E1337" s="69">
        <v>0.9782902122</v>
      </c>
      <c r="F1337" s="23">
        <v>322835.77</v>
      </c>
      <c r="G1337" s="24">
        <v>0.0</v>
      </c>
      <c r="H1337" s="1"/>
      <c r="I1337" s="1"/>
      <c r="J1337" s="2"/>
      <c r="K1337" s="2"/>
      <c r="L1337" s="53"/>
      <c r="M1337" s="12"/>
      <c r="N1337" s="2"/>
      <c r="O1337" s="2"/>
    </row>
    <row r="1338" ht="15.75" customHeight="1">
      <c r="A1338" s="1" t="s">
        <v>1544</v>
      </c>
      <c r="B1338" s="63" t="s">
        <v>150</v>
      </c>
      <c r="C1338" s="63" t="s">
        <v>1488</v>
      </c>
      <c r="D1338" s="24">
        <v>415000.0</v>
      </c>
      <c r="E1338" s="69">
        <v>0.9782901924</v>
      </c>
      <c r="F1338" s="23">
        <v>405990.43</v>
      </c>
      <c r="G1338" s="24">
        <v>0.0</v>
      </c>
      <c r="H1338" s="1"/>
      <c r="I1338" s="1"/>
      <c r="J1338" s="2"/>
      <c r="K1338" s="2"/>
      <c r="L1338" s="53"/>
      <c r="M1338" s="12"/>
      <c r="N1338" s="2"/>
      <c r="O1338" s="2"/>
    </row>
    <row r="1339" ht="15.75" customHeight="1">
      <c r="A1339" s="1" t="s">
        <v>1545</v>
      </c>
      <c r="B1339" s="63" t="s">
        <v>132</v>
      </c>
      <c r="C1339" s="63" t="s">
        <v>1488</v>
      </c>
      <c r="D1339" s="24">
        <v>330000.0</v>
      </c>
      <c r="E1339" s="69">
        <v>0.9751537881</v>
      </c>
      <c r="F1339" s="23">
        <v>321800.75</v>
      </c>
      <c r="G1339" s="24">
        <v>0.0</v>
      </c>
      <c r="H1339" s="1"/>
      <c r="I1339" s="1"/>
      <c r="J1339" s="2"/>
      <c r="K1339" s="2"/>
      <c r="L1339" s="53"/>
      <c r="M1339" s="12"/>
      <c r="N1339" s="2"/>
      <c r="O1339" s="2"/>
    </row>
    <row r="1340" ht="15.75" customHeight="1">
      <c r="A1340" s="1" t="s">
        <v>1546</v>
      </c>
      <c r="B1340" s="63" t="s">
        <v>132</v>
      </c>
      <c r="C1340" s="63" t="s">
        <v>1488</v>
      </c>
      <c r="D1340" s="24">
        <v>415000.0</v>
      </c>
      <c r="E1340" s="69">
        <v>0.9751538075</v>
      </c>
      <c r="F1340" s="23">
        <v>404688.83</v>
      </c>
      <c r="G1340" s="24">
        <v>0.0</v>
      </c>
      <c r="H1340" s="1"/>
      <c r="I1340" s="1"/>
      <c r="J1340" s="2"/>
      <c r="K1340" s="2"/>
      <c r="L1340" s="53"/>
      <c r="M1340" s="12"/>
      <c r="N1340" s="2"/>
      <c r="O1340" s="2"/>
    </row>
    <row r="1341" ht="15.75" customHeight="1">
      <c r="A1341" s="1" t="s">
        <v>1547</v>
      </c>
      <c r="B1341" s="63" t="s">
        <v>341</v>
      </c>
      <c r="C1341" s="63" t="s">
        <v>1488</v>
      </c>
      <c r="D1341" s="24">
        <v>330000.0</v>
      </c>
      <c r="E1341" s="69">
        <v>0.9728147273</v>
      </c>
      <c r="F1341" s="23">
        <v>321028.86</v>
      </c>
      <c r="G1341" s="24">
        <v>0.0</v>
      </c>
      <c r="H1341" s="1"/>
      <c r="I1341" s="1"/>
      <c r="J1341" s="2"/>
      <c r="K1341" s="2"/>
      <c r="L1341" s="53"/>
      <c r="M1341" s="12"/>
      <c r="N1341" s="2"/>
      <c r="O1341" s="2"/>
    </row>
    <row r="1342" ht="15.75" customHeight="1">
      <c r="A1342" s="1" t="s">
        <v>1548</v>
      </c>
      <c r="B1342" s="63" t="s">
        <v>549</v>
      </c>
      <c r="C1342" s="63" t="s">
        <v>1488</v>
      </c>
      <c r="D1342" s="24">
        <v>330000.0</v>
      </c>
      <c r="E1342" s="69">
        <v>0.9697132729</v>
      </c>
      <c r="F1342" s="23">
        <v>320005.38</v>
      </c>
      <c r="G1342" s="24">
        <v>0.0</v>
      </c>
      <c r="H1342" s="1"/>
      <c r="I1342" s="1"/>
      <c r="J1342" s="2"/>
      <c r="K1342" s="2"/>
      <c r="L1342" s="53"/>
      <c r="M1342" s="12"/>
      <c r="N1342" s="2"/>
      <c r="O1342" s="2"/>
    </row>
    <row r="1343" ht="15.75" customHeight="1">
      <c r="A1343" s="1" t="s">
        <v>1549</v>
      </c>
      <c r="B1343" s="63" t="s">
        <v>549</v>
      </c>
      <c r="C1343" s="63" t="s">
        <v>1488</v>
      </c>
      <c r="D1343" s="24">
        <v>415000.0</v>
      </c>
      <c r="E1343" s="69">
        <v>0.9697132768</v>
      </c>
      <c r="F1343" s="23">
        <v>402431.01</v>
      </c>
      <c r="G1343" s="24">
        <v>0.0</v>
      </c>
      <c r="H1343" s="1"/>
      <c r="I1343" s="1"/>
      <c r="J1343" s="2"/>
      <c r="K1343" s="2"/>
      <c r="L1343" s="53"/>
      <c r="M1343" s="12"/>
      <c r="N1343" s="2"/>
      <c r="O1343" s="2"/>
    </row>
    <row r="1344" ht="15.75" customHeight="1">
      <c r="A1344" s="1" t="s">
        <v>1550</v>
      </c>
      <c r="B1344" s="63" t="s">
        <v>157</v>
      </c>
      <c r="C1344" s="63" t="s">
        <v>1488</v>
      </c>
      <c r="D1344" s="24">
        <v>330000.0</v>
      </c>
      <c r="E1344" s="69">
        <v>0.9666315452</v>
      </c>
      <c r="F1344" s="23">
        <v>318988.41</v>
      </c>
      <c r="G1344" s="24">
        <v>0.0</v>
      </c>
      <c r="H1344" s="1"/>
      <c r="I1344" s="1"/>
      <c r="J1344" s="2"/>
      <c r="K1344" s="2"/>
      <c r="L1344" s="53"/>
      <c r="M1344" s="12"/>
      <c r="N1344" s="2"/>
      <c r="O1344" s="2"/>
    </row>
    <row r="1345" ht="15.75" customHeight="1">
      <c r="A1345" s="1" t="s">
        <v>1551</v>
      </c>
      <c r="B1345" s="63" t="s">
        <v>247</v>
      </c>
      <c r="C1345" s="63" t="s">
        <v>1488</v>
      </c>
      <c r="D1345" s="24">
        <v>330000.0</v>
      </c>
      <c r="E1345" s="69">
        <v>0.9681698178</v>
      </c>
      <c r="F1345" s="23">
        <v>319496.04</v>
      </c>
      <c r="G1345" s="24">
        <v>0.0</v>
      </c>
      <c r="H1345" s="1"/>
      <c r="I1345" s="1"/>
      <c r="J1345" s="2"/>
      <c r="K1345" s="2"/>
      <c r="L1345" s="53"/>
      <c r="M1345" s="12"/>
      <c r="N1345" s="2"/>
      <c r="O1345" s="2"/>
    </row>
    <row r="1346" ht="15.75" customHeight="1">
      <c r="A1346" s="1" t="s">
        <v>1552</v>
      </c>
      <c r="B1346" s="63" t="s">
        <v>247</v>
      </c>
      <c r="C1346" s="63" t="s">
        <v>1488</v>
      </c>
      <c r="D1346" s="23">
        <v>5586280.87</v>
      </c>
      <c r="E1346" s="69">
        <v>0.9681698188</v>
      </c>
      <c r="F1346" s="23">
        <v>5408468.54</v>
      </c>
      <c r="G1346" s="23">
        <v>0.01</v>
      </c>
      <c r="H1346" s="1"/>
      <c r="I1346" s="1"/>
      <c r="J1346" s="2"/>
      <c r="K1346" s="2"/>
      <c r="L1346" s="53"/>
      <c r="M1346" s="12"/>
      <c r="N1346" s="2"/>
      <c r="O1346" s="2"/>
    </row>
    <row r="1347" ht="15.75" customHeight="1">
      <c r="A1347" s="1" t="s">
        <v>1553</v>
      </c>
      <c r="B1347" s="63" t="s">
        <v>173</v>
      </c>
      <c r="C1347" s="63" t="s">
        <v>1488</v>
      </c>
      <c r="D1347" s="24">
        <v>2734537.0</v>
      </c>
      <c r="E1347" s="69">
        <v>0.9830326927</v>
      </c>
      <c r="F1347" s="23">
        <v>2688139.27</v>
      </c>
      <c r="G1347" s="23">
        <v>0.01</v>
      </c>
      <c r="H1347" s="1"/>
      <c r="I1347" s="1"/>
      <c r="J1347" s="2"/>
      <c r="K1347" s="2"/>
      <c r="L1347" s="53"/>
      <c r="M1347" s="12"/>
      <c r="N1347" s="2"/>
      <c r="O1347" s="2"/>
    </row>
    <row r="1348" ht="15.75" customHeight="1">
      <c r="A1348" s="1" t="s">
        <v>1554</v>
      </c>
      <c r="B1348" s="63" t="s">
        <v>148</v>
      </c>
      <c r="C1348" s="63" t="s">
        <v>1488</v>
      </c>
      <c r="D1348" s="23">
        <v>3666380.87</v>
      </c>
      <c r="E1348" s="70">
        <v>0.974372774</v>
      </c>
      <c r="F1348" s="29">
        <v>3572421.7</v>
      </c>
      <c r="G1348" s="23">
        <v>0.01</v>
      </c>
      <c r="H1348" s="1"/>
      <c r="I1348" s="1"/>
      <c r="J1348" s="2"/>
      <c r="K1348" s="2"/>
      <c r="L1348" s="53"/>
      <c r="M1348" s="12"/>
      <c r="N1348" s="2"/>
      <c r="O1348" s="2"/>
    </row>
    <row r="1349" ht="15.75" customHeight="1">
      <c r="A1349" s="1" t="s">
        <v>1555</v>
      </c>
      <c r="B1349" s="63" t="s">
        <v>153</v>
      </c>
      <c r="C1349" s="63" t="s">
        <v>1488</v>
      </c>
      <c r="D1349" s="23">
        <v>1278434.35</v>
      </c>
      <c r="E1349" s="69">
        <v>0.9886241401</v>
      </c>
      <c r="F1349" s="23">
        <v>1263891.06</v>
      </c>
      <c r="G1349" s="24">
        <v>0.0</v>
      </c>
      <c r="H1349" s="1"/>
      <c r="I1349" s="1"/>
      <c r="J1349" s="2"/>
      <c r="K1349" s="2"/>
      <c r="L1349" s="53"/>
      <c r="M1349" s="12"/>
      <c r="N1349" s="2"/>
      <c r="O1349" s="2"/>
    </row>
    <row r="1350" ht="15.75" customHeight="1">
      <c r="A1350" s="1" t="s">
        <v>1556</v>
      </c>
      <c r="B1350" s="63" t="s">
        <v>132</v>
      </c>
      <c r="C1350" s="63" t="s">
        <v>1488</v>
      </c>
      <c r="D1350" s="23">
        <v>1278434.36</v>
      </c>
      <c r="E1350" s="70">
        <v>0.975153797</v>
      </c>
      <c r="F1350" s="23">
        <v>1246670.12</v>
      </c>
      <c r="G1350" s="24">
        <v>0.0</v>
      </c>
      <c r="H1350" s="1"/>
      <c r="I1350" s="1"/>
      <c r="J1350" s="2"/>
      <c r="K1350" s="2"/>
      <c r="L1350" s="53"/>
      <c r="M1350" s="12"/>
      <c r="N1350" s="2"/>
      <c r="O1350" s="2"/>
    </row>
    <row r="1351" ht="15.75" customHeight="1">
      <c r="A1351" s="1" t="s">
        <v>1557</v>
      </c>
      <c r="B1351" s="63" t="s">
        <v>1558</v>
      </c>
      <c r="C1351" s="63" t="s">
        <v>1488</v>
      </c>
      <c r="D1351" s="23">
        <v>2.936236171E7</v>
      </c>
      <c r="E1351" s="70">
        <v>0.873373137</v>
      </c>
      <c r="F1351" s="23">
        <v>2.564429796E7</v>
      </c>
      <c r="G1351" s="23">
        <v>0.05</v>
      </c>
      <c r="H1351" s="1"/>
      <c r="I1351" s="1"/>
      <c r="J1351" s="2"/>
      <c r="K1351" s="2"/>
      <c r="L1351" s="53"/>
      <c r="M1351" s="12"/>
      <c r="N1351" s="2"/>
      <c r="O1351" s="2"/>
    </row>
    <row r="1352" ht="15.75" customHeight="1">
      <c r="A1352" s="1" t="s">
        <v>1559</v>
      </c>
      <c r="B1352" s="63" t="s">
        <v>1410</v>
      </c>
      <c r="C1352" s="63" t="s">
        <v>1488</v>
      </c>
      <c r="D1352" s="23">
        <v>2.040824114E7</v>
      </c>
      <c r="E1352" s="69">
        <v>0.8910263236</v>
      </c>
      <c r="F1352" s="23">
        <v>1.818428007E7</v>
      </c>
      <c r="G1352" s="23">
        <v>0.04</v>
      </c>
      <c r="H1352" s="1"/>
      <c r="I1352" s="1"/>
      <c r="J1352" s="2"/>
      <c r="K1352" s="2"/>
      <c r="L1352" s="53"/>
      <c r="M1352" s="12"/>
      <c r="N1352" s="2"/>
      <c r="O1352" s="2"/>
    </row>
    <row r="1353" ht="15.75" customHeight="1">
      <c r="A1353" s="1" t="s">
        <v>1560</v>
      </c>
      <c r="B1353" s="63" t="s">
        <v>1122</v>
      </c>
      <c r="C1353" s="63" t="s">
        <v>1488</v>
      </c>
      <c r="D1353" s="24">
        <v>1.0E7</v>
      </c>
      <c r="E1353" s="69">
        <v>0.9361375827</v>
      </c>
      <c r="F1353" s="23">
        <v>9361375.83</v>
      </c>
      <c r="G1353" s="23">
        <v>0.02</v>
      </c>
      <c r="H1353" s="1"/>
      <c r="I1353" s="1"/>
      <c r="J1353" s="2"/>
      <c r="K1353" s="2"/>
      <c r="L1353" s="53"/>
      <c r="M1353" s="12"/>
      <c r="N1353" s="2"/>
      <c r="O1353" s="2"/>
    </row>
    <row r="1354" ht="15.75" customHeight="1">
      <c r="A1354" s="1" t="s">
        <v>1561</v>
      </c>
      <c r="B1354" s="63" t="s">
        <v>416</v>
      </c>
      <c r="C1354" s="63" t="s">
        <v>1488</v>
      </c>
      <c r="D1354" s="24">
        <v>1.0E7</v>
      </c>
      <c r="E1354" s="69">
        <v>0.9433962727</v>
      </c>
      <c r="F1354" s="23">
        <v>9433962.73</v>
      </c>
      <c r="G1354" s="23">
        <v>0.02</v>
      </c>
      <c r="H1354" s="1"/>
      <c r="I1354" s="1"/>
      <c r="J1354" s="2"/>
      <c r="K1354" s="2"/>
      <c r="L1354" s="53"/>
      <c r="M1354" s="12"/>
      <c r="N1354" s="2"/>
      <c r="O1354" s="2"/>
    </row>
    <row r="1355" ht="15.75" customHeight="1">
      <c r="A1355" s="1" t="s">
        <v>1562</v>
      </c>
      <c r="B1355" s="63" t="s">
        <v>484</v>
      </c>
      <c r="C1355" s="63" t="s">
        <v>1488</v>
      </c>
      <c r="D1355" s="24">
        <v>1.0E7</v>
      </c>
      <c r="E1355" s="69">
        <v>0.9184702001</v>
      </c>
      <c r="F1355" s="24">
        <v>9184702.0</v>
      </c>
      <c r="G1355" s="23">
        <v>0.02</v>
      </c>
      <c r="H1355" s="1"/>
      <c r="I1355" s="1"/>
      <c r="J1355" s="2"/>
      <c r="K1355" s="2"/>
      <c r="L1355" s="53"/>
      <c r="M1355" s="12"/>
      <c r="N1355" s="2"/>
      <c r="O1355" s="2"/>
    </row>
    <row r="1356" ht="15.75" customHeight="1">
      <c r="A1356" s="1" t="s">
        <v>1563</v>
      </c>
      <c r="B1356" s="63" t="s">
        <v>421</v>
      </c>
      <c r="C1356" s="63" t="s">
        <v>1488</v>
      </c>
      <c r="D1356" s="24">
        <v>1.0E7</v>
      </c>
      <c r="E1356" s="69">
        <v>0.9404792784</v>
      </c>
      <c r="F1356" s="23">
        <v>9404792.78</v>
      </c>
      <c r="G1356" s="23">
        <v>0.02</v>
      </c>
      <c r="H1356" s="1"/>
      <c r="I1356" s="1"/>
      <c r="J1356" s="2"/>
      <c r="K1356" s="2"/>
      <c r="L1356" s="53"/>
      <c r="M1356" s="12"/>
      <c r="N1356" s="2"/>
      <c r="O1356" s="2"/>
    </row>
    <row r="1357" ht="15.75" customHeight="1">
      <c r="A1357" s="1" t="s">
        <v>1564</v>
      </c>
      <c r="B1357" s="63" t="s">
        <v>469</v>
      </c>
      <c r="C1357" s="63" t="s">
        <v>1488</v>
      </c>
      <c r="D1357" s="24">
        <v>1.0E7</v>
      </c>
      <c r="E1357" s="69">
        <v>0.9163948664</v>
      </c>
      <c r="F1357" s="23">
        <v>9163948.66</v>
      </c>
      <c r="G1357" s="23">
        <v>0.02</v>
      </c>
      <c r="H1357" s="1"/>
      <c r="I1357" s="1"/>
      <c r="J1357" s="2"/>
      <c r="K1357" s="2"/>
      <c r="L1357" s="53"/>
      <c r="M1357" s="12"/>
      <c r="N1357" s="2"/>
      <c r="O1357" s="2"/>
    </row>
    <row r="1358" ht="15.75" customHeight="1">
      <c r="A1358" s="1" t="s">
        <v>1565</v>
      </c>
      <c r="B1358" s="63" t="s">
        <v>477</v>
      </c>
      <c r="C1358" s="63" t="s">
        <v>1488</v>
      </c>
      <c r="D1358" s="24">
        <v>1.0E7</v>
      </c>
      <c r="E1358" s="69">
        <v>0.9115886184</v>
      </c>
      <c r="F1358" s="23">
        <v>9115886.18</v>
      </c>
      <c r="G1358" s="23">
        <v>0.02</v>
      </c>
      <c r="H1358" s="1"/>
      <c r="I1358" s="1"/>
      <c r="J1358" s="2"/>
      <c r="K1358" s="2"/>
      <c r="L1358" s="53"/>
      <c r="M1358" s="12"/>
      <c r="N1358" s="2"/>
      <c r="O1358" s="2"/>
    </row>
    <row r="1359" ht="15.75" customHeight="1">
      <c r="A1359" s="1" t="s">
        <v>1566</v>
      </c>
      <c r="B1359" s="63" t="s">
        <v>115</v>
      </c>
      <c r="C1359" s="63" t="s">
        <v>1488</v>
      </c>
      <c r="D1359" s="24">
        <v>3.0E7</v>
      </c>
      <c r="E1359" s="70">
        <v>0.917246992</v>
      </c>
      <c r="F1359" s="23">
        <v>2.751740976E7</v>
      </c>
      <c r="G1359" s="23">
        <v>0.06</v>
      </c>
      <c r="H1359" s="1"/>
      <c r="I1359" s="1"/>
      <c r="J1359" s="2"/>
      <c r="K1359" s="2"/>
      <c r="L1359" s="53"/>
      <c r="M1359" s="12"/>
      <c r="N1359" s="2"/>
      <c r="O1359" s="2"/>
    </row>
    <row r="1360" ht="15.75" customHeight="1">
      <c r="A1360" s="1" t="s">
        <v>1567</v>
      </c>
      <c r="B1360" s="63" t="s">
        <v>477</v>
      </c>
      <c r="C1360" s="63" t="s">
        <v>1488</v>
      </c>
      <c r="D1360" s="24">
        <v>1.3E7</v>
      </c>
      <c r="E1360" s="70">
        <v>0.933599503</v>
      </c>
      <c r="F1360" s="23">
        <v>1.213679354E7</v>
      </c>
      <c r="G1360" s="23">
        <v>0.02</v>
      </c>
      <c r="H1360" s="1"/>
      <c r="I1360" s="1"/>
      <c r="J1360" s="2"/>
      <c r="K1360" s="2"/>
      <c r="L1360" s="53"/>
      <c r="M1360" s="12"/>
      <c r="N1360" s="2"/>
      <c r="O1360" s="2"/>
    </row>
    <row r="1361" ht="15.75" customHeight="1">
      <c r="A1361" s="1" t="s">
        <v>1568</v>
      </c>
      <c r="B1361" s="63" t="s">
        <v>411</v>
      </c>
      <c r="C1361" s="63" t="s">
        <v>1488</v>
      </c>
      <c r="D1361" s="24">
        <v>1.3E7</v>
      </c>
      <c r="E1361" s="69">
        <v>0.9458409194</v>
      </c>
      <c r="F1361" s="23">
        <v>1.229593195E7</v>
      </c>
      <c r="G1361" s="23">
        <v>0.03</v>
      </c>
      <c r="H1361" s="1"/>
      <c r="I1361" s="1"/>
      <c r="J1361" s="2"/>
      <c r="K1361" s="2"/>
      <c r="L1361" s="53"/>
      <c r="M1361" s="12"/>
      <c r="N1361" s="2"/>
      <c r="O1361" s="2"/>
    </row>
    <row r="1362" ht="15.75" customHeight="1">
      <c r="A1362" s="1" t="s">
        <v>1569</v>
      </c>
      <c r="B1362" s="63" t="s">
        <v>1079</v>
      </c>
      <c r="C1362" s="63" t="s">
        <v>1488</v>
      </c>
      <c r="D1362" s="24">
        <v>1.3E7</v>
      </c>
      <c r="E1362" s="69">
        <v>0.9309800426</v>
      </c>
      <c r="F1362" s="23">
        <v>1.210274055E7</v>
      </c>
      <c r="G1362" s="23">
        <v>0.02</v>
      </c>
      <c r="H1362" s="1"/>
      <c r="I1362" s="1"/>
      <c r="J1362" s="2"/>
      <c r="K1362" s="2"/>
      <c r="L1362" s="53"/>
      <c r="M1362" s="12"/>
      <c r="N1362" s="2"/>
      <c r="O1362" s="2"/>
    </row>
    <row r="1363" ht="15.75" customHeight="1">
      <c r="A1363" s="1" t="s">
        <v>1570</v>
      </c>
      <c r="B1363" s="63" t="s">
        <v>285</v>
      </c>
      <c r="C1363" s="63" t="s">
        <v>1571</v>
      </c>
      <c r="D1363" s="23">
        <v>2.508888433E7</v>
      </c>
      <c r="E1363" s="69">
        <v>0.9561482755</v>
      </c>
      <c r="F1363" s="23">
        <v>2.398869349E7</v>
      </c>
      <c r="G1363" s="23">
        <v>0.05</v>
      </c>
      <c r="H1363" s="1"/>
      <c r="I1363" s="1"/>
      <c r="J1363" s="2"/>
      <c r="K1363" s="2"/>
      <c r="L1363" s="53"/>
      <c r="M1363" s="12"/>
      <c r="N1363" s="2"/>
      <c r="O1363" s="2"/>
    </row>
    <row r="1364" ht="15.75" customHeight="1">
      <c r="A1364" s="1" t="s">
        <v>1572</v>
      </c>
      <c r="B1364" s="63" t="s">
        <v>146</v>
      </c>
      <c r="C1364" s="63" t="s">
        <v>1571</v>
      </c>
      <c r="D1364" s="23">
        <v>5.260273924E7</v>
      </c>
      <c r="E1364" s="69">
        <v>0.9575026263</v>
      </c>
      <c r="F1364" s="23">
        <v>5.036726097E7</v>
      </c>
      <c r="G1364" s="29">
        <v>0.1</v>
      </c>
      <c r="H1364" s="1"/>
      <c r="I1364" s="1"/>
      <c r="J1364" s="2"/>
      <c r="K1364" s="2"/>
      <c r="L1364" s="53"/>
      <c r="M1364" s="12"/>
      <c r="N1364" s="2"/>
      <c r="O1364" s="2"/>
    </row>
    <row r="1365" ht="15.75" customHeight="1">
      <c r="A1365" s="1" t="s">
        <v>1573</v>
      </c>
      <c r="B1365" s="63" t="s">
        <v>163</v>
      </c>
      <c r="C1365" s="63" t="s">
        <v>1571</v>
      </c>
      <c r="D1365" s="24">
        <v>4118080.0</v>
      </c>
      <c r="E1365" s="69">
        <v>0.9894282556</v>
      </c>
      <c r="F1365" s="23">
        <v>4074544.71</v>
      </c>
      <c r="G1365" s="23">
        <v>0.01</v>
      </c>
      <c r="H1365" s="1"/>
      <c r="I1365" s="1"/>
      <c r="J1365" s="2"/>
      <c r="K1365" s="2"/>
      <c r="L1365" s="53"/>
      <c r="M1365" s="12"/>
      <c r="N1365" s="2"/>
      <c r="O1365" s="2"/>
    </row>
    <row r="1366" ht="15.75" customHeight="1">
      <c r="A1366" s="1" t="s">
        <v>1574</v>
      </c>
      <c r="B1366" s="63" t="s">
        <v>187</v>
      </c>
      <c r="C1366" s="63" t="s">
        <v>1571</v>
      </c>
      <c r="D1366" s="24">
        <v>7012899.0</v>
      </c>
      <c r="E1366" s="69">
        <v>0.9798659329</v>
      </c>
      <c r="F1366" s="23">
        <v>6871700.82</v>
      </c>
      <c r="G1366" s="23">
        <v>0.01</v>
      </c>
      <c r="H1366" s="1"/>
      <c r="I1366" s="1"/>
      <c r="J1366" s="2"/>
      <c r="K1366" s="2"/>
      <c r="L1366" s="53"/>
      <c r="M1366" s="12"/>
      <c r="N1366" s="2"/>
      <c r="O1366" s="2"/>
    </row>
    <row r="1367" ht="15.75" customHeight="1">
      <c r="A1367" s="1" t="s">
        <v>1575</v>
      </c>
      <c r="B1367" s="63" t="s">
        <v>167</v>
      </c>
      <c r="C1367" s="63" t="s">
        <v>1571</v>
      </c>
      <c r="D1367" s="24">
        <v>7938273.0</v>
      </c>
      <c r="E1367" s="69">
        <v>0.9720375147</v>
      </c>
      <c r="F1367" s="23">
        <v>7716299.16</v>
      </c>
      <c r="G1367" s="23">
        <v>0.02</v>
      </c>
      <c r="H1367" s="1"/>
      <c r="I1367" s="1"/>
      <c r="J1367" s="2"/>
      <c r="K1367" s="2"/>
      <c r="L1367" s="53"/>
      <c r="M1367" s="12"/>
      <c r="N1367" s="2"/>
      <c r="O1367" s="2"/>
    </row>
    <row r="1368" ht="15.75" customHeight="1">
      <c r="A1368" s="1" t="s">
        <v>1576</v>
      </c>
      <c r="B1368" s="63" t="s">
        <v>1132</v>
      </c>
      <c r="C1368" s="63" t="s">
        <v>1571</v>
      </c>
      <c r="D1368" s="24">
        <v>1.0E8</v>
      </c>
      <c r="E1368" s="69">
        <v>0.9395352662</v>
      </c>
      <c r="F1368" s="23">
        <v>9.395352662E7</v>
      </c>
      <c r="G1368" s="23">
        <v>0.19</v>
      </c>
      <c r="H1368" s="1"/>
      <c r="I1368" s="1"/>
      <c r="J1368" s="2"/>
      <c r="K1368" s="2"/>
      <c r="L1368" s="53"/>
      <c r="M1368" s="12"/>
      <c r="N1368" s="2"/>
      <c r="O1368" s="2"/>
    </row>
    <row r="1369" ht="15.75" customHeight="1">
      <c r="A1369" s="1" t="s">
        <v>1577</v>
      </c>
      <c r="B1369" s="63" t="s">
        <v>1578</v>
      </c>
      <c r="C1369" s="63" t="s">
        <v>1571</v>
      </c>
      <c r="D1369" s="23">
        <v>2.257893703E7</v>
      </c>
      <c r="E1369" s="68">
        <v>0.85785477</v>
      </c>
      <c r="F1369" s="23">
        <v>1.936944883E7</v>
      </c>
      <c r="G1369" s="23">
        <v>0.04</v>
      </c>
      <c r="H1369" s="1"/>
      <c r="I1369" s="1"/>
      <c r="J1369" s="2"/>
      <c r="K1369" s="2"/>
      <c r="L1369" s="53"/>
      <c r="M1369" s="12"/>
      <c r="N1369" s="2"/>
      <c r="O1369" s="2"/>
    </row>
    <row r="1370" ht="15.75" customHeight="1">
      <c r="A1370" s="1" t="s">
        <v>1579</v>
      </c>
      <c r="B1370" s="63" t="s">
        <v>1132</v>
      </c>
      <c r="C1370" s="63" t="s">
        <v>1571</v>
      </c>
      <c r="D1370" s="24">
        <v>1.0E7</v>
      </c>
      <c r="E1370" s="69">
        <v>0.9332653074</v>
      </c>
      <c r="F1370" s="23">
        <v>9332653.07</v>
      </c>
      <c r="G1370" s="23">
        <v>0.02</v>
      </c>
      <c r="H1370" s="1"/>
      <c r="I1370" s="1"/>
      <c r="J1370" s="2"/>
      <c r="K1370" s="2"/>
      <c r="L1370" s="53"/>
      <c r="M1370" s="12"/>
      <c r="N1370" s="2"/>
      <c r="O1370" s="2"/>
    </row>
    <row r="1371" ht="15.75" customHeight="1">
      <c r="A1371" s="1" t="s">
        <v>1580</v>
      </c>
      <c r="B1371" s="63" t="s">
        <v>1581</v>
      </c>
      <c r="C1371" s="63" t="s">
        <v>1571</v>
      </c>
      <c r="D1371" s="24">
        <v>7.449558E7</v>
      </c>
      <c r="E1371" s="69">
        <v>0.8539210894</v>
      </c>
      <c r="F1371" s="23">
        <v>6.361334683E7</v>
      </c>
      <c r="G1371" s="23">
        <v>0.13</v>
      </c>
      <c r="H1371" s="1"/>
      <c r="I1371" s="1"/>
      <c r="J1371" s="2"/>
      <c r="K1371" s="2"/>
      <c r="L1371" s="53"/>
      <c r="M1371" s="12"/>
      <c r="N1371" s="2"/>
      <c r="O1371" s="2"/>
    </row>
    <row r="1372" ht="15.75" customHeight="1">
      <c r="A1372" s="1" t="s">
        <v>1582</v>
      </c>
      <c r="B1372" s="63" t="s">
        <v>1583</v>
      </c>
      <c r="C1372" s="63" t="s">
        <v>1571</v>
      </c>
      <c r="D1372" s="24">
        <v>7.138929E7</v>
      </c>
      <c r="E1372" s="69">
        <v>0.8710386847</v>
      </c>
      <c r="F1372" s="23">
        <v>6.218283326E7</v>
      </c>
      <c r="G1372" s="23">
        <v>0.13</v>
      </c>
      <c r="H1372" s="1"/>
      <c r="I1372" s="1"/>
      <c r="J1372" s="2"/>
      <c r="K1372" s="2"/>
      <c r="L1372" s="53"/>
      <c r="M1372" s="12"/>
      <c r="N1372" s="2"/>
      <c r="O1372" s="2"/>
    </row>
    <row r="1373" ht="15.75" customHeight="1">
      <c r="A1373" s="1" t="s">
        <v>1584</v>
      </c>
      <c r="B1373" s="63" t="s">
        <v>1068</v>
      </c>
      <c r="C1373" s="63" t="s">
        <v>1571</v>
      </c>
      <c r="D1373" s="24">
        <v>6.954223E7</v>
      </c>
      <c r="E1373" s="69">
        <v>0.8900703036</v>
      </c>
      <c r="F1373" s="23">
        <v>6.189747377E7</v>
      </c>
      <c r="G1373" s="23">
        <v>0.13</v>
      </c>
      <c r="H1373" s="1"/>
      <c r="I1373" s="1"/>
      <c r="J1373" s="2"/>
      <c r="K1373" s="2"/>
      <c r="L1373" s="53"/>
      <c r="M1373" s="12"/>
      <c r="N1373" s="2"/>
      <c r="O1373" s="2"/>
    </row>
    <row r="1374" ht="15.75" customHeight="1">
      <c r="A1374" s="1" t="s">
        <v>1585</v>
      </c>
      <c r="B1374" s="63" t="s">
        <v>549</v>
      </c>
      <c r="C1374" s="63" t="s">
        <v>1571</v>
      </c>
      <c r="D1374" s="24">
        <v>4.0E7</v>
      </c>
      <c r="E1374" s="70">
        <v>0.967759053</v>
      </c>
      <c r="F1374" s="23">
        <v>3.871036212E7</v>
      </c>
      <c r="G1374" s="23">
        <v>0.08</v>
      </c>
      <c r="H1374" s="1"/>
      <c r="I1374" s="1"/>
      <c r="J1374" s="2"/>
      <c r="K1374" s="2"/>
      <c r="L1374" s="53"/>
      <c r="M1374" s="12"/>
      <c r="N1374" s="2"/>
      <c r="O1374" s="2"/>
    </row>
    <row r="1375" ht="15.75" customHeight="1">
      <c r="A1375" s="1" t="s">
        <v>1586</v>
      </c>
      <c r="B1375" s="63" t="s">
        <v>450</v>
      </c>
      <c r="C1375" s="63" t="s">
        <v>1571</v>
      </c>
      <c r="D1375" s="24">
        <v>2500000.0</v>
      </c>
      <c r="E1375" s="69">
        <v>0.8950906475</v>
      </c>
      <c r="F1375" s="23">
        <v>2237726.62</v>
      </c>
      <c r="G1375" s="24">
        <v>0.0</v>
      </c>
      <c r="H1375" s="1"/>
      <c r="I1375" s="1"/>
      <c r="J1375" s="2"/>
      <c r="K1375" s="2"/>
      <c r="L1375" s="53"/>
      <c r="M1375" s="12"/>
      <c r="N1375" s="2"/>
      <c r="O1375" s="2"/>
    </row>
    <row r="1376" ht="15.75" customHeight="1">
      <c r="A1376" s="1" t="s">
        <v>1587</v>
      </c>
      <c r="B1376" s="63" t="s">
        <v>414</v>
      </c>
      <c r="C1376" s="63" t="s">
        <v>1571</v>
      </c>
      <c r="D1376" s="24">
        <v>1.0E7</v>
      </c>
      <c r="E1376" s="69">
        <v>0.9243549064</v>
      </c>
      <c r="F1376" s="23">
        <v>9243549.06</v>
      </c>
      <c r="G1376" s="23">
        <v>0.02</v>
      </c>
      <c r="H1376" s="1"/>
      <c r="I1376" s="1"/>
      <c r="J1376" s="2"/>
      <c r="K1376" s="2"/>
      <c r="L1376" s="53"/>
      <c r="M1376" s="12"/>
      <c r="N1376" s="2"/>
      <c r="O1376" s="2"/>
    </row>
    <row r="1377" ht="15.75" customHeight="1">
      <c r="A1377" s="1" t="s">
        <v>1588</v>
      </c>
      <c r="B1377" s="63" t="s">
        <v>1132</v>
      </c>
      <c r="C1377" s="63" t="s">
        <v>1589</v>
      </c>
      <c r="D1377" s="24">
        <v>2.5E7</v>
      </c>
      <c r="E1377" s="69">
        <v>0.9437623155</v>
      </c>
      <c r="F1377" s="23">
        <v>2.359405789E7</v>
      </c>
      <c r="G1377" s="23">
        <v>0.05</v>
      </c>
      <c r="H1377" s="1"/>
      <c r="I1377" s="1"/>
      <c r="J1377" s="2"/>
      <c r="K1377" s="2"/>
      <c r="L1377" s="53"/>
      <c r="M1377" s="12"/>
      <c r="N1377" s="2"/>
      <c r="O1377" s="2"/>
    </row>
    <row r="1378" ht="15.75" customHeight="1">
      <c r="A1378" s="1" t="s">
        <v>1590</v>
      </c>
      <c r="B1378" s="63" t="s">
        <v>465</v>
      </c>
      <c r="C1378" s="63" t="s">
        <v>1589</v>
      </c>
      <c r="D1378" s="24">
        <v>2.5E7</v>
      </c>
      <c r="E1378" s="69">
        <v>0.9370990357</v>
      </c>
      <c r="F1378" s="23">
        <v>2.342747589E7</v>
      </c>
      <c r="G1378" s="23">
        <v>0.05</v>
      </c>
      <c r="H1378" s="1"/>
      <c r="I1378" s="1"/>
      <c r="J1378" s="2"/>
      <c r="K1378" s="2"/>
      <c r="L1378" s="53"/>
      <c r="M1378" s="12"/>
      <c r="N1378" s="2"/>
      <c r="O1378" s="2"/>
    </row>
    <row r="1379" ht="15.75" customHeight="1">
      <c r="A1379" s="1" t="s">
        <v>1591</v>
      </c>
      <c r="B1379" s="63" t="s">
        <v>1592</v>
      </c>
      <c r="C1379" s="63" t="s">
        <v>1589</v>
      </c>
      <c r="D1379" s="24">
        <v>2.0E7</v>
      </c>
      <c r="E1379" s="70">
        <v>0.879857502</v>
      </c>
      <c r="F1379" s="23">
        <v>1.759715004E7</v>
      </c>
      <c r="G1379" s="23">
        <v>0.04</v>
      </c>
      <c r="H1379" s="1"/>
      <c r="I1379" s="1"/>
      <c r="J1379" s="2"/>
      <c r="K1379" s="2"/>
      <c r="L1379" s="53"/>
      <c r="M1379" s="12"/>
      <c r="N1379" s="2"/>
      <c r="O1379" s="2"/>
    </row>
    <row r="1380" ht="15.75" customHeight="1">
      <c r="A1380" s="1" t="s">
        <v>1593</v>
      </c>
      <c r="B1380" s="63" t="s">
        <v>274</v>
      </c>
      <c r="C1380" s="63" t="s">
        <v>1589</v>
      </c>
      <c r="D1380" s="24">
        <v>2.83E8</v>
      </c>
      <c r="E1380" s="69">
        <v>0.9551224285</v>
      </c>
      <c r="F1380" s="23">
        <v>2.7029964727E8</v>
      </c>
      <c r="G1380" s="23">
        <v>0.55</v>
      </c>
      <c r="H1380" s="1"/>
      <c r="I1380" s="1"/>
      <c r="J1380" s="2"/>
      <c r="K1380" s="2"/>
      <c r="L1380" s="53"/>
      <c r="M1380" s="12"/>
      <c r="N1380" s="2"/>
      <c r="O1380" s="2"/>
    </row>
    <row r="1381" ht="15.75" customHeight="1">
      <c r="A1381" s="1" t="s">
        <v>1594</v>
      </c>
      <c r="B1381" s="63" t="s">
        <v>445</v>
      </c>
      <c r="C1381" s="63" t="s">
        <v>1589</v>
      </c>
      <c r="D1381" s="24">
        <v>1.1E7</v>
      </c>
      <c r="E1381" s="69">
        <v>0.9050784908</v>
      </c>
      <c r="F1381" s="29">
        <v>9955863.4</v>
      </c>
      <c r="G1381" s="23">
        <v>0.02</v>
      </c>
      <c r="H1381" s="1"/>
      <c r="I1381" s="1"/>
      <c r="J1381" s="2"/>
      <c r="K1381" s="2"/>
      <c r="L1381" s="53"/>
      <c r="M1381" s="12"/>
      <c r="N1381" s="2"/>
      <c r="O1381" s="2"/>
    </row>
    <row r="1382" ht="15.75" customHeight="1">
      <c r="A1382" s="1" t="s">
        <v>1595</v>
      </c>
      <c r="B1382" s="63" t="s">
        <v>1596</v>
      </c>
      <c r="C1382" s="63" t="s">
        <v>1589</v>
      </c>
      <c r="D1382" s="24">
        <v>1.25E7</v>
      </c>
      <c r="E1382" s="69">
        <v>0.8456906455</v>
      </c>
      <c r="F1382" s="23">
        <v>1.057113307E7</v>
      </c>
      <c r="G1382" s="23">
        <v>0.02</v>
      </c>
      <c r="H1382" s="1"/>
      <c r="I1382" s="1"/>
      <c r="J1382" s="2"/>
      <c r="K1382" s="2"/>
      <c r="L1382" s="53"/>
      <c r="M1382" s="12"/>
      <c r="N1382" s="2"/>
      <c r="O1382" s="2"/>
    </row>
    <row r="1383" ht="15.75" customHeight="1">
      <c r="A1383" s="1" t="s">
        <v>1597</v>
      </c>
      <c r="B1383" s="63" t="s">
        <v>1598</v>
      </c>
      <c r="C1383" s="63" t="s">
        <v>1589</v>
      </c>
      <c r="D1383" s="24">
        <v>1.25E7</v>
      </c>
      <c r="E1383" s="69">
        <v>0.8421781796</v>
      </c>
      <c r="F1383" s="23">
        <v>1.052722725E7</v>
      </c>
      <c r="G1383" s="23">
        <v>0.02</v>
      </c>
      <c r="H1383" s="1"/>
      <c r="I1383" s="1"/>
      <c r="J1383" s="2"/>
      <c r="K1383" s="2"/>
      <c r="L1383" s="53"/>
      <c r="M1383" s="12"/>
      <c r="N1383" s="2"/>
      <c r="O1383" s="2"/>
    </row>
    <row r="1384" ht="15.75" customHeight="1">
      <c r="A1384" s="1" t="s">
        <v>1599</v>
      </c>
      <c r="B1384" s="63" t="s">
        <v>1600</v>
      </c>
      <c r="C1384" s="63" t="s">
        <v>1589</v>
      </c>
      <c r="D1384" s="24">
        <v>1.87E7</v>
      </c>
      <c r="E1384" s="69">
        <v>0.8876460407</v>
      </c>
      <c r="F1384" s="23">
        <v>1.659898096E7</v>
      </c>
      <c r="G1384" s="23">
        <v>0.03</v>
      </c>
      <c r="H1384" s="1"/>
      <c r="I1384" s="1"/>
      <c r="J1384" s="2"/>
      <c r="K1384" s="2"/>
      <c r="L1384" s="53"/>
      <c r="M1384" s="12"/>
      <c r="N1384" s="2"/>
      <c r="O1384" s="2"/>
    </row>
    <row r="1385" ht="15.75" customHeight="1">
      <c r="A1385" s="1" t="s">
        <v>1601</v>
      </c>
      <c r="B1385" s="63" t="s">
        <v>1602</v>
      </c>
      <c r="C1385" s="63" t="s">
        <v>1589</v>
      </c>
      <c r="D1385" s="24">
        <v>5600000.0</v>
      </c>
      <c r="E1385" s="69">
        <v>0.8667775992</v>
      </c>
      <c r="F1385" s="23">
        <v>4853954.56</v>
      </c>
      <c r="G1385" s="23">
        <v>0.01</v>
      </c>
      <c r="H1385" s="1"/>
      <c r="I1385" s="1"/>
      <c r="J1385" s="2"/>
      <c r="K1385" s="2"/>
      <c r="L1385" s="53"/>
      <c r="M1385" s="12"/>
      <c r="N1385" s="2"/>
      <c r="O1385" s="2"/>
    </row>
    <row r="1386" ht="15.75" customHeight="1">
      <c r="A1386" s="1" t="s">
        <v>1603</v>
      </c>
      <c r="B1386" s="63" t="s">
        <v>1410</v>
      </c>
      <c r="C1386" s="63" t="s">
        <v>1589</v>
      </c>
      <c r="D1386" s="24">
        <v>1.09E7</v>
      </c>
      <c r="E1386" s="69">
        <v>0.9075088868</v>
      </c>
      <c r="F1386" s="23">
        <v>9891846.87</v>
      </c>
      <c r="G1386" s="23">
        <v>0.02</v>
      </c>
      <c r="H1386" s="1"/>
      <c r="I1386" s="1"/>
      <c r="J1386" s="2"/>
      <c r="K1386" s="2"/>
      <c r="L1386" s="53"/>
      <c r="M1386" s="12"/>
      <c r="N1386" s="2"/>
      <c r="O1386" s="2"/>
    </row>
    <row r="1387" ht="15.75" customHeight="1">
      <c r="A1387" s="1" t="s">
        <v>1604</v>
      </c>
      <c r="B1387" s="63" t="s">
        <v>223</v>
      </c>
      <c r="C1387" s="63" t="s">
        <v>1589</v>
      </c>
      <c r="D1387" s="24">
        <v>5.0E7</v>
      </c>
      <c r="E1387" s="69">
        <v>0.9516360962</v>
      </c>
      <c r="F1387" s="23">
        <v>4.758180481E7</v>
      </c>
      <c r="G1387" s="29">
        <v>0.1</v>
      </c>
      <c r="H1387" s="1"/>
      <c r="I1387" s="1"/>
      <c r="J1387" s="2"/>
      <c r="K1387" s="2"/>
      <c r="L1387" s="53"/>
      <c r="M1387" s="12"/>
      <c r="N1387" s="2"/>
      <c r="O1387" s="2"/>
    </row>
    <row r="1388" ht="15.75" customHeight="1">
      <c r="A1388" s="1" t="s">
        <v>1605</v>
      </c>
      <c r="B1388" s="63" t="s">
        <v>204</v>
      </c>
      <c r="C1388" s="63" t="s">
        <v>1589</v>
      </c>
      <c r="D1388" s="24">
        <v>1.5E7</v>
      </c>
      <c r="E1388" s="70">
        <v>0.940285439</v>
      </c>
      <c r="F1388" s="23">
        <v>1.410428159E7</v>
      </c>
      <c r="G1388" s="23">
        <v>0.03</v>
      </c>
      <c r="H1388" s="1"/>
      <c r="I1388" s="1"/>
      <c r="J1388" s="2"/>
      <c r="K1388" s="2"/>
      <c r="L1388" s="53"/>
      <c r="M1388" s="12"/>
      <c r="N1388" s="2"/>
      <c r="O1388" s="2"/>
    </row>
    <row r="1389" ht="15.75" customHeight="1">
      <c r="A1389" s="1" t="s">
        <v>1606</v>
      </c>
      <c r="B1389" s="63" t="s">
        <v>204</v>
      </c>
      <c r="C1389" s="63" t="s">
        <v>1589</v>
      </c>
      <c r="D1389" s="24">
        <v>2.5E7</v>
      </c>
      <c r="E1389" s="70">
        <v>0.940285439</v>
      </c>
      <c r="F1389" s="23">
        <v>2.350713598E7</v>
      </c>
      <c r="G1389" s="23">
        <v>0.05</v>
      </c>
      <c r="H1389" s="1"/>
      <c r="I1389" s="1"/>
      <c r="J1389" s="2"/>
      <c r="K1389" s="2"/>
      <c r="L1389" s="53"/>
      <c r="M1389" s="12"/>
      <c r="N1389" s="2"/>
      <c r="O1389" s="2"/>
    </row>
    <row r="1390" ht="15.75" customHeight="1">
      <c r="A1390" s="1" t="s">
        <v>1607</v>
      </c>
      <c r="B1390" s="63" t="s">
        <v>394</v>
      </c>
      <c r="C1390" s="63" t="s">
        <v>1589</v>
      </c>
      <c r="D1390" s="24">
        <v>2.5E7</v>
      </c>
      <c r="E1390" s="69">
        <v>0.9329791548</v>
      </c>
      <c r="F1390" s="23">
        <v>2.332447887E7</v>
      </c>
      <c r="G1390" s="23">
        <v>0.05</v>
      </c>
      <c r="H1390" s="1"/>
      <c r="I1390" s="1"/>
      <c r="J1390" s="2"/>
      <c r="K1390" s="2"/>
      <c r="L1390" s="53"/>
      <c r="M1390" s="12"/>
      <c r="N1390" s="2"/>
      <c r="O1390" s="2"/>
    </row>
    <row r="1391" ht="15.75" customHeight="1">
      <c r="A1391" s="1" t="s">
        <v>1608</v>
      </c>
      <c r="B1391" s="63" t="s">
        <v>271</v>
      </c>
      <c r="C1391" s="63" t="s">
        <v>1589</v>
      </c>
      <c r="D1391" s="24">
        <v>4.2E7</v>
      </c>
      <c r="E1391" s="69">
        <v>0.9384482432</v>
      </c>
      <c r="F1391" s="23">
        <v>3.941482621E7</v>
      </c>
      <c r="G1391" s="23">
        <v>0.08</v>
      </c>
      <c r="H1391" s="1"/>
      <c r="I1391" s="1"/>
      <c r="J1391" s="2"/>
      <c r="K1391" s="2"/>
      <c r="L1391" s="53"/>
      <c r="M1391" s="12"/>
      <c r="N1391" s="2"/>
      <c r="O1391" s="2"/>
    </row>
    <row r="1392" ht="15.75" customHeight="1">
      <c r="A1392" s="1" t="s">
        <v>1609</v>
      </c>
      <c r="B1392" s="63" t="s">
        <v>285</v>
      </c>
      <c r="C1392" s="63" t="s">
        <v>1589</v>
      </c>
      <c r="D1392" s="24">
        <v>4.35E7</v>
      </c>
      <c r="E1392" s="70">
        <v>0.939366108</v>
      </c>
      <c r="F1392" s="29">
        <v>4.08624257E7</v>
      </c>
      <c r="G1392" s="23">
        <v>0.08</v>
      </c>
      <c r="H1392" s="1"/>
      <c r="I1392" s="1"/>
      <c r="J1392" s="2"/>
      <c r="K1392" s="2"/>
      <c r="L1392" s="53"/>
      <c r="M1392" s="12"/>
      <c r="N1392" s="2"/>
      <c r="O1392" s="2"/>
    </row>
    <row r="1393" ht="15.75" customHeight="1">
      <c r="A1393" s="1" t="s">
        <v>1610</v>
      </c>
      <c r="B1393" s="63" t="s">
        <v>493</v>
      </c>
      <c r="C1393" s="63" t="s">
        <v>1589</v>
      </c>
      <c r="D1393" s="29">
        <v>3076923.1</v>
      </c>
      <c r="E1393" s="69">
        <v>0.9215312266</v>
      </c>
      <c r="F1393" s="23">
        <v>2835480.72</v>
      </c>
      <c r="G1393" s="23">
        <v>0.01</v>
      </c>
      <c r="H1393" s="1"/>
      <c r="I1393" s="1"/>
      <c r="J1393" s="2"/>
      <c r="K1393" s="2"/>
      <c r="L1393" s="53"/>
      <c r="M1393" s="12"/>
      <c r="N1393" s="2"/>
      <c r="O1393" s="2"/>
    </row>
    <row r="1394" ht="15.75" customHeight="1">
      <c r="A1394" s="1" t="s">
        <v>1611</v>
      </c>
      <c r="B1394" s="63" t="s">
        <v>1122</v>
      </c>
      <c r="C1394" s="63" t="s">
        <v>1589</v>
      </c>
      <c r="D1394" s="29">
        <v>3076923.1</v>
      </c>
      <c r="E1394" s="70">
        <v>0.922392967</v>
      </c>
      <c r="F1394" s="23">
        <v>2838132.23</v>
      </c>
      <c r="G1394" s="23">
        <v>0.01</v>
      </c>
      <c r="H1394" s="1"/>
      <c r="I1394" s="1"/>
      <c r="J1394" s="2"/>
      <c r="K1394" s="2"/>
      <c r="L1394" s="53"/>
      <c r="M1394" s="12"/>
      <c r="N1394" s="2"/>
      <c r="O1394" s="2"/>
    </row>
    <row r="1395" ht="15.75" customHeight="1">
      <c r="A1395" s="1" t="s">
        <v>1612</v>
      </c>
      <c r="B1395" s="63" t="s">
        <v>289</v>
      </c>
      <c r="C1395" s="63" t="s">
        <v>1589</v>
      </c>
      <c r="D1395" s="23">
        <v>2687954.26</v>
      </c>
      <c r="E1395" s="69">
        <v>0.9302208483</v>
      </c>
      <c r="F1395" s="23">
        <v>2500391.09</v>
      </c>
      <c r="G1395" s="23">
        <v>0.01</v>
      </c>
      <c r="H1395" s="1"/>
      <c r="I1395" s="1"/>
      <c r="J1395" s="2"/>
      <c r="K1395" s="2"/>
      <c r="L1395" s="53"/>
      <c r="M1395" s="12"/>
      <c r="N1395" s="2"/>
      <c r="O1395" s="2"/>
    </row>
    <row r="1396" ht="15.75" customHeight="1">
      <c r="A1396" s="1" t="s">
        <v>1613</v>
      </c>
      <c r="B1396" s="63" t="s">
        <v>1132</v>
      </c>
      <c r="C1396" s="63" t="s">
        <v>1589</v>
      </c>
      <c r="D1396" s="29">
        <v>3076923.1</v>
      </c>
      <c r="E1396" s="69">
        <v>0.9189559373</v>
      </c>
      <c r="F1396" s="23">
        <v>2827556.75</v>
      </c>
      <c r="G1396" s="23">
        <v>0.01</v>
      </c>
      <c r="H1396" s="1"/>
      <c r="I1396" s="1"/>
      <c r="J1396" s="2"/>
      <c r="K1396" s="2"/>
      <c r="L1396" s="53"/>
      <c r="M1396" s="12"/>
      <c r="N1396" s="2"/>
      <c r="O1396" s="2"/>
    </row>
    <row r="1397" ht="15.75" customHeight="1">
      <c r="A1397" s="1" t="s">
        <v>1614</v>
      </c>
      <c r="B1397" s="63" t="s">
        <v>416</v>
      </c>
      <c r="C1397" s="63" t="s">
        <v>1589</v>
      </c>
      <c r="D1397" s="23">
        <v>2687954.26</v>
      </c>
      <c r="E1397" s="69">
        <v>0.9310989236</v>
      </c>
      <c r="F1397" s="23">
        <v>2502751.32</v>
      </c>
      <c r="G1397" s="23">
        <v>0.01</v>
      </c>
      <c r="H1397" s="1"/>
      <c r="I1397" s="1"/>
      <c r="J1397" s="2"/>
      <c r="K1397" s="2"/>
      <c r="L1397" s="53"/>
      <c r="M1397" s="12"/>
      <c r="N1397" s="2"/>
      <c r="O1397" s="2"/>
    </row>
    <row r="1398" ht="15.75" customHeight="1">
      <c r="A1398" s="1" t="s">
        <v>1615</v>
      </c>
      <c r="B1398" s="63" t="s">
        <v>337</v>
      </c>
      <c r="C1398" s="63" t="s">
        <v>1589</v>
      </c>
      <c r="D1398" s="23">
        <v>3345657.98</v>
      </c>
      <c r="E1398" s="70">
        <v>0.924987584</v>
      </c>
      <c r="F1398" s="23">
        <v>3094692.09</v>
      </c>
      <c r="G1398" s="23">
        <v>0.01</v>
      </c>
      <c r="H1398" s="1"/>
      <c r="I1398" s="1"/>
      <c r="J1398" s="2"/>
      <c r="K1398" s="2"/>
      <c r="L1398" s="53"/>
      <c r="M1398" s="12"/>
      <c r="N1398" s="2"/>
      <c r="O1398" s="2"/>
    </row>
    <row r="1399" ht="15.75" customHeight="1">
      <c r="A1399" s="1" t="s">
        <v>1616</v>
      </c>
      <c r="B1399" s="63" t="s">
        <v>378</v>
      </c>
      <c r="C1399" s="63" t="s">
        <v>1589</v>
      </c>
      <c r="D1399" s="23">
        <v>3345657.98</v>
      </c>
      <c r="E1399" s="69">
        <v>0.9232560101</v>
      </c>
      <c r="F1399" s="23">
        <v>3088898.84</v>
      </c>
      <c r="G1399" s="23">
        <v>0.01</v>
      </c>
      <c r="H1399" s="1"/>
      <c r="I1399" s="1"/>
      <c r="J1399" s="2"/>
      <c r="K1399" s="2"/>
      <c r="L1399" s="53"/>
      <c r="M1399" s="12"/>
      <c r="N1399" s="2"/>
      <c r="O1399" s="2"/>
    </row>
    <row r="1400" ht="15.75" customHeight="1">
      <c r="A1400" s="1" t="s">
        <v>1617</v>
      </c>
      <c r="B1400" s="63" t="s">
        <v>1132</v>
      </c>
      <c r="C1400" s="63" t="s">
        <v>1589</v>
      </c>
      <c r="D1400" s="23">
        <v>3345657.98</v>
      </c>
      <c r="E1400" s="69">
        <v>0.9189559393</v>
      </c>
      <c r="F1400" s="23">
        <v>3074512.27</v>
      </c>
      <c r="G1400" s="23">
        <v>0.01</v>
      </c>
      <c r="H1400" s="1"/>
      <c r="I1400" s="1"/>
      <c r="J1400" s="2"/>
      <c r="K1400" s="2"/>
      <c r="L1400" s="53"/>
      <c r="M1400" s="12"/>
      <c r="N1400" s="2"/>
      <c r="O1400" s="2"/>
    </row>
    <row r="1401" ht="15.75" customHeight="1">
      <c r="A1401" s="1" t="s">
        <v>1618</v>
      </c>
      <c r="B1401" s="63" t="s">
        <v>500</v>
      </c>
      <c r="C1401" s="63" t="s">
        <v>1589</v>
      </c>
      <c r="D1401" s="23">
        <v>3345657.98</v>
      </c>
      <c r="E1401" s="69">
        <v>0.9241209861</v>
      </c>
      <c r="F1401" s="23">
        <v>3091792.75</v>
      </c>
      <c r="G1401" s="23">
        <v>0.01</v>
      </c>
      <c r="H1401" s="1"/>
      <c r="I1401" s="1"/>
      <c r="J1401" s="2"/>
      <c r="K1401" s="2"/>
      <c r="L1401" s="53"/>
      <c r="M1401" s="12"/>
      <c r="N1401" s="2"/>
      <c r="O1401" s="2"/>
    </row>
    <row r="1402" ht="15.75" customHeight="1">
      <c r="A1402" s="1" t="s">
        <v>1619</v>
      </c>
      <c r="B1402" s="63" t="s">
        <v>287</v>
      </c>
      <c r="C1402" s="63" t="s">
        <v>1589</v>
      </c>
      <c r="D1402" s="23">
        <v>3345657.98</v>
      </c>
      <c r="E1402" s="69">
        <v>0.9284699621</v>
      </c>
      <c r="F1402" s="23">
        <v>3106342.94</v>
      </c>
      <c r="G1402" s="23">
        <v>0.01</v>
      </c>
      <c r="H1402" s="1"/>
      <c r="I1402" s="1"/>
      <c r="J1402" s="2"/>
      <c r="K1402" s="2"/>
      <c r="L1402" s="53"/>
      <c r="M1402" s="12"/>
      <c r="N1402" s="2"/>
      <c r="O1402" s="2"/>
    </row>
    <row r="1403" ht="15.75" customHeight="1">
      <c r="A1403" s="1" t="s">
        <v>1620</v>
      </c>
      <c r="B1403" s="63" t="s">
        <v>421</v>
      </c>
      <c r="C1403" s="63" t="s">
        <v>1589</v>
      </c>
      <c r="D1403" s="23">
        <v>3345657.98</v>
      </c>
      <c r="E1403" s="69">
        <v>0.9275968349</v>
      </c>
      <c r="F1403" s="23">
        <v>3103421.75</v>
      </c>
      <c r="G1403" s="23">
        <v>0.01</v>
      </c>
      <c r="H1403" s="1"/>
      <c r="I1403" s="1"/>
      <c r="J1403" s="2"/>
      <c r="K1403" s="2"/>
      <c r="L1403" s="53"/>
      <c r="M1403" s="12"/>
      <c r="N1403" s="2"/>
      <c r="O1403" s="2"/>
    </row>
    <row r="1404" ht="15.75" customHeight="1">
      <c r="A1404" s="1" t="s">
        <v>1621</v>
      </c>
      <c r="B1404" s="63" t="s">
        <v>411</v>
      </c>
      <c r="C1404" s="63" t="s">
        <v>1589</v>
      </c>
      <c r="D1404" s="24">
        <v>1.0E8</v>
      </c>
      <c r="E1404" s="69">
        <v>0.9143288662</v>
      </c>
      <c r="F1404" s="23">
        <v>9.143288662E7</v>
      </c>
      <c r="G1404" s="23">
        <v>0.19</v>
      </c>
      <c r="H1404" s="1"/>
      <c r="I1404" s="1"/>
      <c r="J1404" s="2"/>
      <c r="K1404" s="2"/>
      <c r="L1404" s="53"/>
      <c r="M1404" s="12"/>
      <c r="N1404" s="2"/>
      <c r="O1404" s="2"/>
    </row>
    <row r="1405" ht="15.75" customHeight="1">
      <c r="A1405" s="1" t="s">
        <v>1622</v>
      </c>
      <c r="B1405" s="63" t="s">
        <v>475</v>
      </c>
      <c r="C1405" s="63" t="s">
        <v>1589</v>
      </c>
      <c r="D1405" s="24">
        <v>1.5E7</v>
      </c>
      <c r="E1405" s="69">
        <v>0.9203461013</v>
      </c>
      <c r="F1405" s="23">
        <v>1.380519152E7</v>
      </c>
      <c r="G1405" s="23">
        <v>0.03</v>
      </c>
      <c r="H1405" s="1"/>
      <c r="I1405" s="1"/>
      <c r="J1405" s="2"/>
      <c r="K1405" s="2"/>
      <c r="L1405" s="53"/>
      <c r="M1405" s="12"/>
      <c r="N1405" s="2"/>
      <c r="O1405" s="2"/>
    </row>
    <row r="1406" ht="15.75" customHeight="1">
      <c r="A1406" s="1" t="s">
        <v>1623</v>
      </c>
      <c r="B1406" s="63" t="s">
        <v>479</v>
      </c>
      <c r="C1406" s="63" t="s">
        <v>1589</v>
      </c>
      <c r="D1406" s="24">
        <v>1.5E7</v>
      </c>
      <c r="E1406" s="69">
        <v>0.9172237696</v>
      </c>
      <c r="F1406" s="23">
        <v>1.375835654E7</v>
      </c>
      <c r="G1406" s="23">
        <v>0.03</v>
      </c>
      <c r="H1406" s="1"/>
      <c r="I1406" s="1"/>
      <c r="J1406" s="2"/>
      <c r="K1406" s="2"/>
      <c r="L1406" s="53"/>
      <c r="M1406" s="12"/>
      <c r="N1406" s="2"/>
      <c r="O1406" s="2"/>
    </row>
    <row r="1407" ht="15.75" customHeight="1">
      <c r="A1407" s="1" t="s">
        <v>1624</v>
      </c>
      <c r="B1407" s="63" t="s">
        <v>738</v>
      </c>
      <c r="C1407" s="63" t="s">
        <v>1589</v>
      </c>
      <c r="D1407" s="24">
        <v>1.5E7</v>
      </c>
      <c r="E1407" s="69">
        <v>0.9153606077</v>
      </c>
      <c r="F1407" s="23">
        <v>1.373040912E7</v>
      </c>
      <c r="G1407" s="23">
        <v>0.03</v>
      </c>
      <c r="H1407" s="1"/>
      <c r="I1407" s="1"/>
      <c r="J1407" s="2"/>
      <c r="K1407" s="2"/>
      <c r="L1407" s="53"/>
      <c r="M1407" s="12"/>
      <c r="N1407" s="2"/>
      <c r="O1407" s="2"/>
    </row>
    <row r="1408" ht="15.75" customHeight="1">
      <c r="A1408" s="1" t="s">
        <v>1625</v>
      </c>
      <c r="B1408" s="63" t="s">
        <v>484</v>
      </c>
      <c r="C1408" s="63" t="s">
        <v>130</v>
      </c>
      <c r="D1408" s="24">
        <v>2.12E8</v>
      </c>
      <c r="E1408" s="69">
        <v>0.9234896238</v>
      </c>
      <c r="F1408" s="23">
        <v>1.9577980025E8</v>
      </c>
      <c r="G1408" s="29">
        <v>0.4</v>
      </c>
      <c r="H1408" s="1"/>
      <c r="I1408" s="1"/>
      <c r="J1408" s="2"/>
      <c r="K1408" s="2"/>
      <c r="L1408" s="53"/>
      <c r="M1408" s="12"/>
      <c r="N1408" s="2"/>
      <c r="O1408" s="2"/>
    </row>
    <row r="1409" ht="15.75" customHeight="1">
      <c r="A1409" s="1" t="s">
        <v>1626</v>
      </c>
      <c r="B1409" s="63" t="s">
        <v>430</v>
      </c>
      <c r="C1409" s="63" t="s">
        <v>130</v>
      </c>
      <c r="D1409" s="24">
        <v>1.25E7</v>
      </c>
      <c r="E1409" s="69">
        <v>0.9367623573</v>
      </c>
      <c r="F1409" s="23">
        <v>1.170952947E7</v>
      </c>
      <c r="G1409" s="23">
        <v>0.02</v>
      </c>
      <c r="H1409" s="1"/>
      <c r="I1409" s="1"/>
      <c r="J1409" s="2"/>
      <c r="K1409" s="2"/>
      <c r="L1409" s="53"/>
      <c r="M1409" s="12"/>
      <c r="N1409" s="2"/>
      <c r="O1409" s="2"/>
    </row>
    <row r="1410" ht="15.75" customHeight="1">
      <c r="A1410" s="1" t="s">
        <v>1627</v>
      </c>
      <c r="B1410" s="63" t="s">
        <v>187</v>
      </c>
      <c r="C1410" s="63" t="s">
        <v>130</v>
      </c>
      <c r="D1410" s="23">
        <v>3.095831778E7</v>
      </c>
      <c r="E1410" s="69">
        <v>0.9831650196</v>
      </c>
      <c r="F1410" s="23">
        <v>3.043713511E7</v>
      </c>
      <c r="G1410" s="23">
        <v>0.06</v>
      </c>
      <c r="H1410" s="1"/>
      <c r="I1410" s="1"/>
      <c r="J1410" s="2"/>
      <c r="K1410" s="2"/>
      <c r="L1410" s="53"/>
      <c r="M1410" s="12"/>
      <c r="N1410" s="2"/>
      <c r="O1410" s="2"/>
    </row>
    <row r="1411" ht="15.75" customHeight="1">
      <c r="A1411" s="1" t="s">
        <v>1628</v>
      </c>
      <c r="B1411" s="63" t="s">
        <v>159</v>
      </c>
      <c r="C1411" s="63" t="s">
        <v>130</v>
      </c>
      <c r="D1411" s="24">
        <v>2.0E8</v>
      </c>
      <c r="E1411" s="69">
        <v>0.9918480014</v>
      </c>
      <c r="F1411" s="23">
        <v>1.9836960028E8</v>
      </c>
      <c r="G1411" s="23">
        <v>0.41</v>
      </c>
      <c r="H1411" s="1"/>
      <c r="I1411" s="1"/>
      <c r="J1411" s="2"/>
      <c r="K1411" s="2"/>
      <c r="L1411" s="53"/>
      <c r="M1411" s="12"/>
      <c r="N1411" s="2"/>
      <c r="O1411" s="2"/>
    </row>
    <row r="1412" ht="15.75" customHeight="1">
      <c r="A1412" s="1" t="s">
        <v>1629</v>
      </c>
      <c r="B1412" s="63" t="s">
        <v>173</v>
      </c>
      <c r="C1412" s="63" t="s">
        <v>130</v>
      </c>
      <c r="D1412" s="24">
        <v>1.0E8</v>
      </c>
      <c r="E1412" s="69">
        <v>0.9858204515</v>
      </c>
      <c r="F1412" s="23">
        <v>9.858204515E7</v>
      </c>
      <c r="G1412" s="29">
        <v>0.2</v>
      </c>
      <c r="H1412" s="1"/>
      <c r="I1412" s="1"/>
      <c r="J1412" s="2"/>
      <c r="K1412" s="2"/>
      <c r="L1412" s="53"/>
      <c r="M1412" s="12"/>
      <c r="N1412" s="2"/>
      <c r="O1412" s="2"/>
    </row>
    <row r="1413" ht="15.75" customHeight="1">
      <c r="A1413" s="1" t="s">
        <v>1630</v>
      </c>
      <c r="B1413" s="63" t="s">
        <v>143</v>
      </c>
      <c r="C1413" s="63" t="s">
        <v>130</v>
      </c>
      <c r="D1413" s="24">
        <v>2900000.0</v>
      </c>
      <c r="E1413" s="70">
        <v>0.966401048</v>
      </c>
      <c r="F1413" s="23">
        <v>2802563.04</v>
      </c>
      <c r="G1413" s="23">
        <v>0.01</v>
      </c>
      <c r="H1413" s="1"/>
      <c r="I1413" s="1"/>
      <c r="J1413" s="2"/>
      <c r="K1413" s="2"/>
      <c r="L1413" s="53"/>
      <c r="M1413" s="12"/>
      <c r="N1413" s="2"/>
      <c r="O1413" s="2"/>
    </row>
    <row r="1414" ht="15.75" customHeight="1">
      <c r="A1414" s="1" t="s">
        <v>1631</v>
      </c>
      <c r="B1414" s="63" t="s">
        <v>493</v>
      </c>
      <c r="C1414" s="63" t="s">
        <v>130</v>
      </c>
      <c r="D1414" s="24">
        <v>3.0E7</v>
      </c>
      <c r="E1414" s="69">
        <v>0.9414983794</v>
      </c>
      <c r="F1414" s="23">
        <v>2.824495138E7</v>
      </c>
      <c r="G1414" s="23">
        <v>0.06</v>
      </c>
      <c r="H1414" s="1"/>
      <c r="I1414" s="1"/>
      <c r="J1414" s="2"/>
      <c r="K1414" s="2"/>
      <c r="L1414" s="53"/>
      <c r="M1414" s="12"/>
      <c r="N1414" s="2"/>
      <c r="O1414" s="2"/>
    </row>
    <row r="1415" ht="15.75" customHeight="1">
      <c r="A1415" s="1" t="s">
        <v>1632</v>
      </c>
      <c r="B1415" s="63" t="s">
        <v>493</v>
      </c>
      <c r="C1415" s="63" t="s">
        <v>130</v>
      </c>
      <c r="D1415" s="24">
        <v>2.2E7</v>
      </c>
      <c r="E1415" s="69">
        <v>0.9414983794</v>
      </c>
      <c r="F1415" s="23">
        <v>2.071296435E7</v>
      </c>
      <c r="G1415" s="23">
        <v>0.04</v>
      </c>
      <c r="H1415" s="1"/>
      <c r="I1415" s="1"/>
      <c r="J1415" s="2"/>
      <c r="K1415" s="2"/>
      <c r="L1415" s="53"/>
      <c r="M1415" s="12"/>
      <c r="N1415" s="2"/>
      <c r="O1415" s="2"/>
    </row>
    <row r="1416" ht="15.75" customHeight="1">
      <c r="A1416" s="1" t="s">
        <v>1633</v>
      </c>
      <c r="B1416" s="63" t="s">
        <v>493</v>
      </c>
      <c r="C1416" s="63" t="s">
        <v>130</v>
      </c>
      <c r="D1416" s="24">
        <v>1.0E7</v>
      </c>
      <c r="E1416" s="69">
        <v>0.9414983794</v>
      </c>
      <c r="F1416" s="23">
        <v>9414983.79</v>
      </c>
      <c r="G1416" s="23">
        <v>0.02</v>
      </c>
      <c r="H1416" s="1"/>
      <c r="I1416" s="1"/>
      <c r="J1416" s="2"/>
      <c r="K1416" s="2"/>
      <c r="L1416" s="53"/>
      <c r="M1416" s="12"/>
      <c r="N1416" s="2"/>
      <c r="O1416" s="2"/>
    </row>
    <row r="1417" ht="15.75" customHeight="1">
      <c r="A1417" s="1" t="s">
        <v>1634</v>
      </c>
      <c r="B1417" s="63" t="s">
        <v>493</v>
      </c>
      <c r="C1417" s="63" t="s">
        <v>130</v>
      </c>
      <c r="D1417" s="24">
        <v>2.46E7</v>
      </c>
      <c r="E1417" s="69">
        <v>0.9414983794</v>
      </c>
      <c r="F1417" s="23">
        <v>2.316086013E7</v>
      </c>
      <c r="G1417" s="23">
        <v>0.05</v>
      </c>
      <c r="H1417" s="1"/>
      <c r="I1417" s="1"/>
      <c r="J1417" s="2"/>
      <c r="K1417" s="2"/>
      <c r="L1417" s="53"/>
      <c r="M1417" s="12"/>
      <c r="N1417" s="2"/>
      <c r="O1417" s="2"/>
    </row>
    <row r="1418" ht="15.75" customHeight="1">
      <c r="A1418" s="1" t="s">
        <v>1635</v>
      </c>
      <c r="B1418" s="63" t="s">
        <v>493</v>
      </c>
      <c r="C1418" s="63" t="s">
        <v>130</v>
      </c>
      <c r="D1418" s="24">
        <v>1.8E7</v>
      </c>
      <c r="E1418" s="69">
        <v>0.9414983794</v>
      </c>
      <c r="F1418" s="23">
        <v>1.694697083E7</v>
      </c>
      <c r="G1418" s="23">
        <v>0.03</v>
      </c>
      <c r="H1418" s="1"/>
      <c r="I1418" s="1"/>
      <c r="J1418" s="2"/>
      <c r="K1418" s="2"/>
      <c r="L1418" s="53"/>
      <c r="M1418" s="12"/>
      <c r="N1418" s="2"/>
      <c r="O1418" s="2"/>
    </row>
    <row r="1419" ht="15.75" customHeight="1">
      <c r="A1419" s="1" t="s">
        <v>1636</v>
      </c>
      <c r="B1419" s="63" t="s">
        <v>330</v>
      </c>
      <c r="C1419" s="63" t="s">
        <v>130</v>
      </c>
      <c r="D1419" s="24">
        <v>7.5E8</v>
      </c>
      <c r="E1419" s="70">
        <v>0.979602981</v>
      </c>
      <c r="F1419" s="23">
        <v>7.3470223575E8</v>
      </c>
      <c r="G1419" s="29">
        <v>1.5</v>
      </c>
      <c r="H1419" s="1"/>
      <c r="I1419" s="1"/>
      <c r="J1419" s="2"/>
      <c r="K1419" s="2"/>
      <c r="L1419" s="53"/>
      <c r="M1419" s="12"/>
      <c r="N1419" s="2"/>
      <c r="O1419" s="2"/>
    </row>
    <row r="1420" ht="15.75" customHeight="1">
      <c r="A1420" s="1" t="s">
        <v>1637</v>
      </c>
      <c r="B1420" s="63" t="s">
        <v>1638</v>
      </c>
      <c r="C1420" s="63" t="s">
        <v>130</v>
      </c>
      <c r="D1420" s="23">
        <v>4396334.17</v>
      </c>
      <c r="E1420" s="69">
        <v>0.8834778729</v>
      </c>
      <c r="F1420" s="23">
        <v>3884063.96</v>
      </c>
      <c r="G1420" s="23">
        <v>0.01</v>
      </c>
      <c r="H1420" s="1"/>
      <c r="I1420" s="1"/>
      <c r="J1420" s="2"/>
      <c r="K1420" s="2"/>
      <c r="L1420" s="53"/>
      <c r="M1420" s="12"/>
      <c r="N1420" s="2"/>
      <c r="O1420" s="2"/>
    </row>
    <row r="1421" ht="15.75" customHeight="1">
      <c r="A1421" s="1" t="s">
        <v>1639</v>
      </c>
      <c r="B1421" s="63" t="s">
        <v>1068</v>
      </c>
      <c r="C1421" s="63" t="s">
        <v>130</v>
      </c>
      <c r="D1421" s="23">
        <v>5311841.87</v>
      </c>
      <c r="E1421" s="69">
        <v>0.8865896252</v>
      </c>
      <c r="F1421" s="23">
        <v>4709423.89</v>
      </c>
      <c r="G1421" s="23">
        <v>0.01</v>
      </c>
      <c r="H1421" s="1"/>
      <c r="I1421" s="1"/>
      <c r="J1421" s="2"/>
      <c r="K1421" s="2"/>
      <c r="L1421" s="53"/>
      <c r="M1421" s="12"/>
      <c r="N1421" s="2"/>
      <c r="O1421" s="2"/>
    </row>
    <row r="1422" ht="15.75" customHeight="1">
      <c r="A1422" s="1" t="s">
        <v>1640</v>
      </c>
      <c r="B1422" s="63" t="s">
        <v>769</v>
      </c>
      <c r="C1422" s="63" t="s">
        <v>130</v>
      </c>
      <c r="D1422" s="23">
        <v>8106418.25</v>
      </c>
      <c r="E1422" s="69">
        <v>0.9250342279</v>
      </c>
      <c r="F1422" s="23">
        <v>7498714.35</v>
      </c>
      <c r="G1422" s="23">
        <v>0.02</v>
      </c>
      <c r="H1422" s="1"/>
      <c r="I1422" s="1"/>
      <c r="J1422" s="2"/>
      <c r="K1422" s="2"/>
      <c r="L1422" s="53"/>
      <c r="M1422" s="12"/>
      <c r="N1422" s="2"/>
      <c r="O1422" s="2"/>
    </row>
    <row r="1423" ht="15.75" customHeight="1">
      <c r="A1423" s="1" t="s">
        <v>1641</v>
      </c>
      <c r="B1423" s="63" t="s">
        <v>473</v>
      </c>
      <c r="C1423" s="63" t="s">
        <v>130</v>
      </c>
      <c r="D1423" s="23">
        <v>7511409.47</v>
      </c>
      <c r="E1423" s="69">
        <v>0.9162797726</v>
      </c>
      <c r="F1423" s="23">
        <v>6882552.56</v>
      </c>
      <c r="G1423" s="23">
        <v>0.01</v>
      </c>
      <c r="H1423" s="1"/>
      <c r="I1423" s="1"/>
      <c r="J1423" s="2"/>
      <c r="K1423" s="2"/>
      <c r="L1423" s="53"/>
      <c r="M1423" s="12"/>
      <c r="N1423" s="2"/>
      <c r="O1423" s="2"/>
    </row>
    <row r="1424" ht="15.75" customHeight="1">
      <c r="A1424" s="1" t="s">
        <v>1642</v>
      </c>
      <c r="B1424" s="63" t="s">
        <v>1643</v>
      </c>
      <c r="C1424" s="63" t="s">
        <v>130</v>
      </c>
      <c r="D1424" s="23">
        <v>4103981.39</v>
      </c>
      <c r="E1424" s="69">
        <v>0.8922460983</v>
      </c>
      <c r="F1424" s="23">
        <v>3661761.38</v>
      </c>
      <c r="G1424" s="23">
        <v>0.01</v>
      </c>
      <c r="H1424" s="1"/>
      <c r="I1424" s="1"/>
      <c r="J1424" s="2"/>
      <c r="K1424" s="2"/>
      <c r="L1424" s="53"/>
      <c r="M1424" s="12"/>
      <c r="N1424" s="2"/>
      <c r="O1424" s="2"/>
    </row>
    <row r="1425" ht="15.75" customHeight="1">
      <c r="A1425" s="1" t="s">
        <v>1644</v>
      </c>
      <c r="B1425" s="63" t="s">
        <v>1064</v>
      </c>
      <c r="C1425" s="63" t="s">
        <v>130</v>
      </c>
      <c r="D1425" s="23">
        <v>8106418.25</v>
      </c>
      <c r="E1425" s="70">
        <v>0.887840337</v>
      </c>
      <c r="F1425" s="23">
        <v>7197205.11</v>
      </c>
      <c r="G1425" s="23">
        <v>0.01</v>
      </c>
      <c r="H1425" s="1"/>
      <c r="I1425" s="1"/>
      <c r="J1425" s="2"/>
      <c r="K1425" s="2"/>
      <c r="L1425" s="53"/>
      <c r="M1425" s="12"/>
      <c r="N1425" s="2"/>
      <c r="O1425" s="2"/>
    </row>
    <row r="1426" ht="15.75" customHeight="1">
      <c r="A1426" s="1" t="s">
        <v>1645</v>
      </c>
      <c r="B1426" s="63" t="s">
        <v>454</v>
      </c>
      <c r="C1426" s="63" t="s">
        <v>130</v>
      </c>
      <c r="D1426" s="23">
        <v>5109127.71</v>
      </c>
      <c r="E1426" s="69">
        <v>0.9057296972</v>
      </c>
      <c r="F1426" s="23">
        <v>4627488.69</v>
      </c>
      <c r="G1426" s="23">
        <v>0.01</v>
      </c>
      <c r="H1426" s="1"/>
      <c r="I1426" s="1"/>
      <c r="J1426" s="2"/>
      <c r="K1426" s="2"/>
      <c r="L1426" s="53"/>
      <c r="M1426" s="12"/>
      <c r="N1426" s="2"/>
      <c r="O1426" s="2"/>
    </row>
    <row r="1427" ht="15.75" customHeight="1">
      <c r="A1427" s="1" t="s">
        <v>1646</v>
      </c>
      <c r="B1427" s="63" t="s">
        <v>163</v>
      </c>
      <c r="C1427" s="63" t="s">
        <v>130</v>
      </c>
      <c r="D1427" s="23">
        <v>4.003169351E7</v>
      </c>
      <c r="E1427" s="69">
        <v>0.9922253981</v>
      </c>
      <c r="F1427" s="23">
        <v>3.972046303E7</v>
      </c>
      <c r="G1427" s="23">
        <v>0.08</v>
      </c>
      <c r="H1427" s="1"/>
      <c r="I1427" s="1"/>
      <c r="J1427" s="2"/>
      <c r="K1427" s="2"/>
      <c r="L1427" s="53"/>
      <c r="M1427" s="12"/>
      <c r="N1427" s="2"/>
      <c r="O1427" s="2"/>
    </row>
    <row r="1428" ht="15.75" customHeight="1">
      <c r="A1428" s="1" t="s">
        <v>1647</v>
      </c>
      <c r="B1428" s="63" t="s">
        <v>170</v>
      </c>
      <c r="C1428" s="63" t="s">
        <v>130</v>
      </c>
      <c r="D1428" s="23">
        <v>3.914177544E7</v>
      </c>
      <c r="E1428" s="70">
        <v>0.989857426</v>
      </c>
      <c r="F1428" s="23">
        <v>3.874477709E7</v>
      </c>
      <c r="G1428" s="23">
        <v>0.08</v>
      </c>
      <c r="H1428" s="1"/>
      <c r="I1428" s="1"/>
      <c r="J1428" s="2"/>
      <c r="K1428" s="2"/>
      <c r="L1428" s="53"/>
      <c r="M1428" s="12"/>
      <c r="N1428" s="2"/>
      <c r="O1428" s="2"/>
    </row>
    <row r="1429" ht="15.75" customHeight="1">
      <c r="A1429" s="1" t="s">
        <v>1648</v>
      </c>
      <c r="B1429" s="63" t="s">
        <v>185</v>
      </c>
      <c r="C1429" s="63" t="s">
        <v>130</v>
      </c>
      <c r="D1429" s="23">
        <v>3.914177544E7</v>
      </c>
      <c r="E1429" s="69">
        <v>0.9886777808</v>
      </c>
      <c r="F1429" s="23">
        <v>3.869860368E7</v>
      </c>
      <c r="G1429" s="23">
        <v>0.08</v>
      </c>
      <c r="H1429" s="1"/>
      <c r="I1429" s="1"/>
      <c r="J1429" s="2"/>
      <c r="K1429" s="2"/>
      <c r="L1429" s="53"/>
      <c r="M1429" s="12"/>
      <c r="N1429" s="2"/>
      <c r="O1429" s="2"/>
    </row>
    <row r="1430" ht="15.75" customHeight="1">
      <c r="A1430" s="1" t="s">
        <v>1649</v>
      </c>
      <c r="B1430" s="63" t="s">
        <v>159</v>
      </c>
      <c r="C1430" s="63" t="s">
        <v>130</v>
      </c>
      <c r="D1430" s="23">
        <v>4.003169352E7</v>
      </c>
      <c r="E1430" s="69">
        <v>0.9928192167</v>
      </c>
      <c r="F1430" s="29">
        <v>3.97442346E7</v>
      </c>
      <c r="G1430" s="23">
        <v>0.08</v>
      </c>
      <c r="H1430" s="1"/>
      <c r="I1430" s="1"/>
      <c r="J1430" s="2"/>
      <c r="K1430" s="2"/>
      <c r="L1430" s="53"/>
      <c r="M1430" s="12"/>
      <c r="N1430" s="2"/>
      <c r="O1430" s="2"/>
    </row>
    <row r="1431" ht="15.75" customHeight="1">
      <c r="A1431" s="1" t="s">
        <v>1650</v>
      </c>
      <c r="B1431" s="63" t="s">
        <v>479</v>
      </c>
      <c r="C1431" s="63" t="s">
        <v>130</v>
      </c>
      <c r="D1431" s="24">
        <v>3.33534247E8</v>
      </c>
      <c r="E1431" s="69">
        <v>0.9006565233</v>
      </c>
      <c r="F1431" s="29">
        <v>3.003997953E8</v>
      </c>
      <c r="G1431" s="23">
        <v>0.61</v>
      </c>
      <c r="H1431" s="1"/>
      <c r="I1431" s="1"/>
      <c r="J1431" s="2"/>
      <c r="K1431" s="2"/>
      <c r="L1431" s="53"/>
      <c r="M1431" s="12"/>
      <c r="N1431" s="2"/>
      <c r="O1431" s="2"/>
    </row>
    <row r="1432" ht="15.75" customHeight="1">
      <c r="A1432" s="1" t="s">
        <v>1651</v>
      </c>
      <c r="B1432" s="63" t="s">
        <v>328</v>
      </c>
      <c r="C1432" s="63" t="s">
        <v>130</v>
      </c>
      <c r="D1432" s="24">
        <v>1.0E7</v>
      </c>
      <c r="E1432" s="69">
        <v>0.9534507698</v>
      </c>
      <c r="F1432" s="29">
        <v>9534507.7</v>
      </c>
      <c r="G1432" s="23">
        <v>0.02</v>
      </c>
      <c r="H1432" s="1"/>
      <c r="I1432" s="1"/>
      <c r="J1432" s="2"/>
      <c r="K1432" s="2"/>
      <c r="L1432" s="53"/>
      <c r="M1432" s="12"/>
      <c r="N1432" s="2"/>
      <c r="O1432" s="2"/>
    </row>
    <row r="1433" ht="15.75" customHeight="1">
      <c r="A1433" s="1" t="s">
        <v>1652</v>
      </c>
      <c r="B1433" s="63" t="s">
        <v>506</v>
      </c>
      <c r="C1433" s="63" t="s">
        <v>130</v>
      </c>
      <c r="D1433" s="24">
        <v>1.0E7</v>
      </c>
      <c r="E1433" s="69">
        <v>0.9526297974</v>
      </c>
      <c r="F1433" s="23">
        <v>9526297.97</v>
      </c>
      <c r="G1433" s="23">
        <v>0.02</v>
      </c>
      <c r="H1433" s="1"/>
      <c r="I1433" s="1"/>
      <c r="J1433" s="2"/>
      <c r="K1433" s="2"/>
      <c r="L1433" s="53"/>
      <c r="M1433" s="12"/>
      <c r="N1433" s="2"/>
      <c r="O1433" s="2"/>
    </row>
    <row r="1434" ht="15.75" customHeight="1">
      <c r="A1434" s="1" t="s">
        <v>1653</v>
      </c>
      <c r="B1434" s="63" t="s">
        <v>108</v>
      </c>
      <c r="C1434" s="63" t="s">
        <v>130</v>
      </c>
      <c r="D1434" s="24">
        <v>9000000.0</v>
      </c>
      <c r="E1434" s="69">
        <v>0.9518099383</v>
      </c>
      <c r="F1434" s="23">
        <v>8566289.44</v>
      </c>
      <c r="G1434" s="23">
        <v>0.02</v>
      </c>
      <c r="H1434" s="1"/>
      <c r="I1434" s="1"/>
      <c r="J1434" s="2"/>
      <c r="K1434" s="2"/>
      <c r="L1434" s="53"/>
      <c r="M1434" s="12"/>
      <c r="N1434" s="2"/>
      <c r="O1434" s="2"/>
    </row>
    <row r="1435" ht="15.75" customHeight="1">
      <c r="A1435" s="1" t="s">
        <v>1654</v>
      </c>
      <c r="B1435" s="63" t="s">
        <v>549</v>
      </c>
      <c r="C1435" s="63" t="s">
        <v>130</v>
      </c>
      <c r="D1435" s="23">
        <v>8091449.26</v>
      </c>
      <c r="E1435" s="69">
        <v>0.9687352428</v>
      </c>
      <c r="F1435" s="23">
        <v>7838472.06</v>
      </c>
      <c r="G1435" s="23">
        <v>0.02</v>
      </c>
      <c r="H1435" s="1"/>
      <c r="I1435" s="1"/>
      <c r="J1435" s="2"/>
      <c r="K1435" s="2"/>
      <c r="L1435" s="53"/>
      <c r="M1435" s="12"/>
      <c r="N1435" s="2"/>
      <c r="O1435" s="2"/>
    </row>
    <row r="1436" ht="15.75" customHeight="1">
      <c r="A1436" s="1" t="s">
        <v>1655</v>
      </c>
      <c r="B1436" s="63" t="s">
        <v>148</v>
      </c>
      <c r="C1436" s="63" t="s">
        <v>130</v>
      </c>
      <c r="D1436" s="24">
        <v>1.195712E7</v>
      </c>
      <c r="E1436" s="69">
        <v>0.9735410902</v>
      </c>
      <c r="F1436" s="23">
        <v>1.164074764E7</v>
      </c>
      <c r="G1436" s="23">
        <v>0.02</v>
      </c>
      <c r="H1436" s="1"/>
      <c r="I1436" s="1"/>
      <c r="J1436" s="2"/>
      <c r="K1436" s="2"/>
      <c r="L1436" s="53"/>
      <c r="M1436" s="12"/>
      <c r="N1436" s="2"/>
      <c r="O1436" s="2"/>
    </row>
    <row r="1437" ht="15.75" customHeight="1">
      <c r="A1437" s="1" t="s">
        <v>1656</v>
      </c>
      <c r="B1437" s="63" t="s">
        <v>1079</v>
      </c>
      <c r="C1437" s="63" t="s">
        <v>130</v>
      </c>
      <c r="D1437" s="23">
        <v>1.086774235E7</v>
      </c>
      <c r="E1437" s="69">
        <v>0.8944983068</v>
      </c>
      <c r="F1437" s="23">
        <v>9721177.13</v>
      </c>
      <c r="G1437" s="23">
        <v>0.02</v>
      </c>
      <c r="H1437" s="1"/>
      <c r="I1437" s="1"/>
      <c r="J1437" s="2"/>
      <c r="K1437" s="2"/>
      <c r="L1437" s="53"/>
      <c r="M1437" s="12"/>
      <c r="N1437" s="2"/>
      <c r="O1437" s="2"/>
    </row>
    <row r="1438" ht="15.75" customHeight="1">
      <c r="A1438" s="1" t="s">
        <v>1657</v>
      </c>
      <c r="B1438" s="63" t="s">
        <v>285</v>
      </c>
      <c r="C1438" s="63" t="s">
        <v>130</v>
      </c>
      <c r="D1438" s="24">
        <v>2.5E7</v>
      </c>
      <c r="E1438" s="70">
        <v>0.946920567</v>
      </c>
      <c r="F1438" s="23">
        <v>2.367301418E7</v>
      </c>
      <c r="G1438" s="23">
        <v>0.05</v>
      </c>
      <c r="H1438" s="1"/>
      <c r="I1438" s="1"/>
      <c r="J1438" s="2"/>
      <c r="K1438" s="2"/>
      <c r="L1438" s="53"/>
      <c r="M1438" s="12"/>
      <c r="N1438" s="2"/>
      <c r="O1438" s="2"/>
    </row>
    <row r="1439" ht="15.75" customHeight="1">
      <c r="A1439" s="1" t="s">
        <v>1658</v>
      </c>
      <c r="B1439" s="63" t="s">
        <v>337</v>
      </c>
      <c r="C1439" s="63" t="s">
        <v>130</v>
      </c>
      <c r="D1439" s="24">
        <v>1.5E8</v>
      </c>
      <c r="E1439" s="70">
        <v>0.932549844</v>
      </c>
      <c r="F1439" s="29">
        <v>1.398824766E8</v>
      </c>
      <c r="G1439" s="23">
        <v>0.29</v>
      </c>
      <c r="H1439" s="1"/>
      <c r="I1439" s="1"/>
      <c r="J1439" s="2"/>
      <c r="K1439" s="2"/>
      <c r="L1439" s="53"/>
      <c r="M1439" s="12"/>
      <c r="N1439" s="2"/>
      <c r="O1439" s="2"/>
    </row>
    <row r="1440" ht="15.75" customHeight="1">
      <c r="A1440" s="1" t="s">
        <v>1659</v>
      </c>
      <c r="B1440" s="63" t="s">
        <v>560</v>
      </c>
      <c r="C1440" s="63" t="s">
        <v>130</v>
      </c>
      <c r="D1440" s="24">
        <v>1.75E8</v>
      </c>
      <c r="E1440" s="69">
        <v>0.9436891877</v>
      </c>
      <c r="F1440" s="23">
        <v>1.6514560785E8</v>
      </c>
      <c r="G1440" s="23">
        <v>0.34</v>
      </c>
      <c r="H1440" s="1"/>
      <c r="I1440" s="1"/>
      <c r="J1440" s="2"/>
      <c r="K1440" s="2"/>
      <c r="L1440" s="53"/>
      <c r="M1440" s="12"/>
      <c r="N1440" s="2"/>
      <c r="O1440" s="2"/>
    </row>
    <row r="1441" ht="15.75" customHeight="1">
      <c r="A1441" s="1" t="s">
        <v>1660</v>
      </c>
      <c r="B1441" s="63" t="s">
        <v>301</v>
      </c>
      <c r="C1441" s="63" t="s">
        <v>130</v>
      </c>
      <c r="D1441" s="24">
        <v>1.75E8</v>
      </c>
      <c r="E1441" s="69">
        <v>0.9550975689</v>
      </c>
      <c r="F1441" s="23">
        <v>1.6714207456E8</v>
      </c>
      <c r="G1441" s="23">
        <v>0.34</v>
      </c>
      <c r="H1441" s="1"/>
      <c r="I1441" s="1"/>
      <c r="J1441" s="2"/>
      <c r="K1441" s="2"/>
      <c r="L1441" s="53"/>
      <c r="M1441" s="12"/>
      <c r="N1441" s="2"/>
      <c r="O1441" s="2"/>
    </row>
    <row r="1442" ht="15.75" customHeight="1">
      <c r="A1442" s="1"/>
      <c r="B1442" s="1"/>
      <c r="C1442" s="1" t="s">
        <v>13</v>
      </c>
      <c r="D1442" s="1" t="s">
        <v>13</v>
      </c>
      <c r="E1442" s="1" t="s">
        <v>13</v>
      </c>
      <c r="F1442" s="23">
        <v>3.642175951853E10</v>
      </c>
      <c r="G1442" s="29">
        <v>74.5</v>
      </c>
      <c r="H1442" s="1"/>
      <c r="I1442" s="1"/>
      <c r="J1442" s="2"/>
      <c r="K1442" s="2"/>
      <c r="L1442" s="53"/>
      <c r="M1442" s="12"/>
      <c r="N1442" s="2"/>
      <c r="O1442" s="2"/>
    </row>
    <row r="1443" ht="15.75" customHeight="1">
      <c r="A1443" s="1" t="s">
        <v>13</v>
      </c>
      <c r="B1443" s="1"/>
      <c r="C1443" s="1"/>
      <c r="D1443" s="1"/>
      <c r="E1443" s="1"/>
      <c r="F1443" s="1"/>
      <c r="G1443" s="1"/>
      <c r="H1443" s="1"/>
      <c r="I1443" s="1"/>
      <c r="J1443" s="2"/>
      <c r="K1443" s="2"/>
      <c r="L1443" s="53"/>
      <c r="M1443" s="12"/>
      <c r="N1443" s="2"/>
      <c r="O1443" s="2"/>
    </row>
    <row r="1444" ht="15.75" customHeight="1">
      <c r="A1444" s="1" t="s">
        <v>1661</v>
      </c>
      <c r="B1444" s="1"/>
      <c r="C1444" s="1"/>
      <c r="D1444" s="1"/>
      <c r="E1444" s="1"/>
      <c r="F1444" s="1"/>
      <c r="G1444" s="1"/>
      <c r="H1444" s="1"/>
      <c r="I1444" s="1"/>
      <c r="J1444" s="2"/>
      <c r="K1444" s="2"/>
      <c r="L1444" s="53"/>
      <c r="M1444" s="12"/>
      <c r="N1444" s="2"/>
      <c r="O1444" s="2"/>
    </row>
    <row r="1445" ht="15.75" customHeight="1">
      <c r="A1445" s="18" t="s">
        <v>134</v>
      </c>
      <c r="B1445" s="18" t="s">
        <v>67</v>
      </c>
      <c r="C1445" s="18" t="s">
        <v>135</v>
      </c>
      <c r="D1445" s="18" t="s">
        <v>136</v>
      </c>
      <c r="E1445" s="18" t="s">
        <v>137</v>
      </c>
      <c r="F1445" s="18" t="s">
        <v>138</v>
      </c>
      <c r="G1445" s="18" t="s">
        <v>64</v>
      </c>
      <c r="H1445" s="18"/>
      <c r="I1445" s="18"/>
      <c r="J1445" s="2"/>
      <c r="K1445" s="2"/>
      <c r="L1445" s="53"/>
      <c r="M1445" s="12"/>
      <c r="N1445" s="2"/>
      <c r="O1445" s="2"/>
    </row>
    <row r="1446" ht="15.75" customHeight="1">
      <c r="A1446" s="1" t="s">
        <v>1662</v>
      </c>
      <c r="B1446" s="63" t="s">
        <v>1663</v>
      </c>
      <c r="C1446" s="63" t="s">
        <v>1664</v>
      </c>
      <c r="D1446" s="24">
        <v>20856.0</v>
      </c>
      <c r="E1446" s="69">
        <v>1286.6054366134</v>
      </c>
      <c r="F1446" s="23">
        <v>2.683344287E7</v>
      </c>
      <c r="G1446" s="23">
        <v>0.05</v>
      </c>
      <c r="H1446" s="1"/>
      <c r="I1446" s="1"/>
      <c r="J1446" s="2"/>
      <c r="K1446" s="2"/>
      <c r="L1446" s="53"/>
      <c r="M1446" s="12"/>
      <c r="N1446" s="2"/>
      <c r="O1446" s="2"/>
    </row>
    <row r="1447" ht="15.75" customHeight="1">
      <c r="A1447" s="1" t="s">
        <v>1665</v>
      </c>
      <c r="B1447" s="63" t="s">
        <v>1666</v>
      </c>
      <c r="C1447" s="63" t="s">
        <v>1664</v>
      </c>
      <c r="D1447" s="24">
        <v>20856.0</v>
      </c>
      <c r="E1447" s="70">
        <v>1344.884824239</v>
      </c>
      <c r="F1447" s="23">
        <v>2.804891791E7</v>
      </c>
      <c r="G1447" s="23">
        <v>0.06</v>
      </c>
      <c r="H1447" s="1"/>
      <c r="I1447" s="1"/>
      <c r="J1447" s="2"/>
      <c r="K1447" s="2"/>
      <c r="L1447" s="53"/>
      <c r="M1447" s="12"/>
      <c r="N1447" s="2"/>
      <c r="O1447" s="2"/>
    </row>
    <row r="1448" ht="15.75" customHeight="1">
      <c r="A1448" s="1" t="s">
        <v>1667</v>
      </c>
      <c r="B1448" s="63" t="s">
        <v>1668</v>
      </c>
      <c r="C1448" s="63" t="s">
        <v>1664</v>
      </c>
      <c r="D1448" s="24">
        <v>20856.0</v>
      </c>
      <c r="E1448" s="69">
        <v>1233.4507238621</v>
      </c>
      <c r="F1448" s="23">
        <v>2.572484829E7</v>
      </c>
      <c r="G1448" s="23">
        <v>0.05</v>
      </c>
      <c r="H1448" s="1"/>
      <c r="I1448" s="1"/>
      <c r="J1448" s="2"/>
      <c r="K1448" s="2"/>
      <c r="L1448" s="53"/>
      <c r="M1448" s="12"/>
      <c r="N1448" s="2"/>
      <c r="O1448" s="2"/>
    </row>
    <row r="1449" ht="15.75" customHeight="1">
      <c r="A1449" s="1" t="s">
        <v>1669</v>
      </c>
      <c r="B1449" s="63" t="s">
        <v>1670</v>
      </c>
      <c r="C1449" s="63" t="s">
        <v>1664</v>
      </c>
      <c r="D1449" s="24">
        <v>13904.0</v>
      </c>
      <c r="E1449" s="69">
        <v>1408.3303041107</v>
      </c>
      <c r="F1449" s="23">
        <v>1.958142453E7</v>
      </c>
      <c r="G1449" s="23">
        <v>0.04</v>
      </c>
      <c r="H1449" s="1"/>
      <c r="I1449" s="1"/>
      <c r="J1449" s="2"/>
      <c r="K1449" s="2"/>
      <c r="L1449" s="53"/>
      <c r="M1449" s="12"/>
      <c r="N1449" s="2"/>
      <c r="O1449" s="2"/>
    </row>
    <row r="1450" ht="15.75" customHeight="1">
      <c r="A1450" s="1" t="s">
        <v>1671</v>
      </c>
      <c r="B1450" s="63" t="s">
        <v>335</v>
      </c>
      <c r="C1450" s="63" t="s">
        <v>205</v>
      </c>
      <c r="D1450" s="24">
        <v>50000.0</v>
      </c>
      <c r="E1450" s="70">
        <v>1477.896658348</v>
      </c>
      <c r="F1450" s="29">
        <v>7.38948329E7</v>
      </c>
      <c r="G1450" s="23">
        <v>0.15</v>
      </c>
      <c r="H1450" s="1"/>
      <c r="I1450" s="1"/>
      <c r="J1450" s="2"/>
      <c r="K1450" s="2"/>
      <c r="L1450" s="53"/>
      <c r="M1450" s="12"/>
      <c r="N1450" s="2"/>
      <c r="O1450" s="2"/>
    </row>
    <row r="1451" ht="15.75" customHeight="1">
      <c r="A1451" s="1" t="s">
        <v>1672</v>
      </c>
      <c r="B1451" s="63" t="s">
        <v>335</v>
      </c>
      <c r="C1451" s="63" t="s">
        <v>230</v>
      </c>
      <c r="D1451" s="24">
        <v>50000.0</v>
      </c>
      <c r="E1451" s="69">
        <v>1476.5709233029</v>
      </c>
      <c r="F1451" s="23">
        <v>7.382854617E7</v>
      </c>
      <c r="G1451" s="23">
        <v>0.15</v>
      </c>
      <c r="H1451" s="1"/>
      <c r="I1451" s="1"/>
      <c r="J1451" s="2"/>
      <c r="K1451" s="2"/>
      <c r="L1451" s="53"/>
      <c r="M1451" s="12"/>
      <c r="N1451" s="2"/>
      <c r="O1451" s="2"/>
    </row>
    <row r="1452" ht="15.75" customHeight="1">
      <c r="A1452" s="1" t="s">
        <v>1673</v>
      </c>
      <c r="B1452" s="63" t="s">
        <v>448</v>
      </c>
      <c r="C1452" s="63" t="s">
        <v>307</v>
      </c>
      <c r="D1452" s="24">
        <v>18230.0</v>
      </c>
      <c r="E1452" s="69">
        <v>1445.1890828599</v>
      </c>
      <c r="F1452" s="23">
        <v>2.634579701E7</v>
      </c>
      <c r="G1452" s="23">
        <v>0.05</v>
      </c>
      <c r="H1452" s="1"/>
      <c r="I1452" s="1"/>
      <c r="J1452" s="2"/>
      <c r="K1452" s="2"/>
      <c r="L1452" s="53"/>
      <c r="M1452" s="12"/>
      <c r="N1452" s="2"/>
      <c r="O1452" s="2"/>
    </row>
    <row r="1453" ht="15.75" customHeight="1">
      <c r="A1453" s="1" t="s">
        <v>1674</v>
      </c>
      <c r="B1453" s="63" t="s">
        <v>771</v>
      </c>
      <c r="C1453" s="63" t="s">
        <v>307</v>
      </c>
      <c r="D1453" s="24">
        <v>18230.0</v>
      </c>
      <c r="E1453" s="69">
        <v>1455.0972033193</v>
      </c>
      <c r="F1453" s="23">
        <v>2.652642203E7</v>
      </c>
      <c r="G1453" s="23">
        <v>0.05</v>
      </c>
      <c r="H1453" s="1"/>
      <c r="I1453" s="1"/>
      <c r="J1453" s="2"/>
      <c r="K1453" s="2"/>
      <c r="L1453" s="53"/>
      <c r="M1453" s="12"/>
      <c r="N1453" s="2"/>
      <c r="O1453" s="2"/>
    </row>
    <row r="1454" ht="15.75" customHeight="1">
      <c r="A1454" s="1" t="s">
        <v>1675</v>
      </c>
      <c r="B1454" s="63" t="s">
        <v>1638</v>
      </c>
      <c r="C1454" s="63" t="s">
        <v>307</v>
      </c>
      <c r="D1454" s="24">
        <v>18230.0</v>
      </c>
      <c r="E1454" s="69">
        <v>1436.3253433982</v>
      </c>
      <c r="F1454" s="23">
        <v>2.618421102E7</v>
      </c>
      <c r="G1454" s="23">
        <v>0.05</v>
      </c>
      <c r="H1454" s="1"/>
      <c r="I1454" s="1"/>
      <c r="J1454" s="2"/>
      <c r="K1454" s="2"/>
      <c r="L1454" s="53"/>
      <c r="M1454" s="12"/>
      <c r="N1454" s="2"/>
      <c r="O1454" s="2"/>
    </row>
    <row r="1455" ht="15.75" customHeight="1">
      <c r="A1455" s="1" t="s">
        <v>1676</v>
      </c>
      <c r="B1455" s="63" t="s">
        <v>1677</v>
      </c>
      <c r="C1455" s="63" t="s">
        <v>307</v>
      </c>
      <c r="D1455" s="24">
        <v>18230.0</v>
      </c>
      <c r="E1455" s="69">
        <v>1383.3748056837</v>
      </c>
      <c r="F1455" s="23">
        <v>2.521892261E7</v>
      </c>
      <c r="G1455" s="23">
        <v>0.05</v>
      </c>
      <c r="H1455" s="1"/>
      <c r="I1455" s="1"/>
      <c r="J1455" s="2"/>
      <c r="K1455" s="2"/>
      <c r="L1455" s="53"/>
      <c r="M1455" s="12"/>
      <c r="N1455" s="2"/>
      <c r="O1455" s="2"/>
    </row>
    <row r="1456" ht="15.75" customHeight="1">
      <c r="A1456" s="1" t="s">
        <v>1678</v>
      </c>
      <c r="B1456" s="63" t="s">
        <v>1679</v>
      </c>
      <c r="C1456" s="63" t="s">
        <v>307</v>
      </c>
      <c r="D1456" s="24">
        <v>18230.0</v>
      </c>
      <c r="E1456" s="69">
        <v>1409.2115206128</v>
      </c>
      <c r="F1456" s="23">
        <v>2.568992607E7</v>
      </c>
      <c r="G1456" s="23">
        <v>0.05</v>
      </c>
      <c r="H1456" s="1"/>
      <c r="I1456" s="1"/>
      <c r="J1456" s="2"/>
      <c r="K1456" s="2"/>
      <c r="L1456" s="53"/>
      <c r="M1456" s="12"/>
      <c r="N1456" s="2"/>
      <c r="O1456" s="2"/>
    </row>
    <row r="1457" ht="15.75" customHeight="1">
      <c r="A1457" s="1" t="s">
        <v>1680</v>
      </c>
      <c r="B1457" s="63" t="s">
        <v>1681</v>
      </c>
      <c r="C1457" s="63" t="s">
        <v>307</v>
      </c>
      <c r="D1457" s="24">
        <v>18230.0</v>
      </c>
      <c r="E1457" s="69">
        <v>1392.4492187529</v>
      </c>
      <c r="F1457" s="23">
        <v>2.538434916E7</v>
      </c>
      <c r="G1457" s="23">
        <v>0.05</v>
      </c>
      <c r="H1457" s="1"/>
      <c r="I1457" s="1"/>
      <c r="J1457" s="2"/>
      <c r="K1457" s="2"/>
      <c r="L1457" s="53"/>
      <c r="M1457" s="12"/>
      <c r="N1457" s="2"/>
      <c r="O1457" s="2"/>
    </row>
    <row r="1458" ht="15.75" customHeight="1">
      <c r="A1458" s="1" t="s">
        <v>1682</v>
      </c>
      <c r="B1458" s="63" t="s">
        <v>1683</v>
      </c>
      <c r="C1458" s="63" t="s">
        <v>307</v>
      </c>
      <c r="D1458" s="24">
        <v>18230.0</v>
      </c>
      <c r="E1458" s="69">
        <v>1401.0696189295</v>
      </c>
      <c r="F1458" s="23">
        <v>2.554149917E7</v>
      </c>
      <c r="G1458" s="23">
        <v>0.05</v>
      </c>
      <c r="H1458" s="1"/>
      <c r="I1458" s="1"/>
      <c r="J1458" s="2"/>
      <c r="K1458" s="2"/>
      <c r="L1458" s="53"/>
      <c r="M1458" s="12"/>
      <c r="N1458" s="2"/>
      <c r="O1458" s="2"/>
    </row>
    <row r="1459" ht="15.75" customHeight="1">
      <c r="A1459" s="1" t="s">
        <v>1684</v>
      </c>
      <c r="B1459" s="63" t="s">
        <v>1685</v>
      </c>
      <c r="C1459" s="63" t="s">
        <v>307</v>
      </c>
      <c r="D1459" s="24">
        <v>18230.0</v>
      </c>
      <c r="E1459" s="69">
        <v>1427.5726549748</v>
      </c>
      <c r="F1459" s="23">
        <v>2.602464949E7</v>
      </c>
      <c r="G1459" s="23">
        <v>0.05</v>
      </c>
      <c r="H1459" s="1"/>
      <c r="I1459" s="1"/>
      <c r="J1459" s="2"/>
      <c r="K1459" s="2"/>
      <c r="L1459" s="53"/>
      <c r="M1459" s="12"/>
      <c r="N1459" s="2"/>
      <c r="O1459" s="2"/>
    </row>
    <row r="1460" ht="15.75" customHeight="1">
      <c r="A1460" s="1" t="s">
        <v>1686</v>
      </c>
      <c r="B1460" s="63" t="s">
        <v>1687</v>
      </c>
      <c r="C1460" s="63" t="s">
        <v>307</v>
      </c>
      <c r="D1460" s="24">
        <v>18230.0</v>
      </c>
      <c r="E1460" s="69">
        <v>1418.0311666718</v>
      </c>
      <c r="F1460" s="23">
        <v>2.585070823E7</v>
      </c>
      <c r="G1460" s="23">
        <v>0.05</v>
      </c>
      <c r="H1460" s="1"/>
      <c r="I1460" s="1"/>
      <c r="J1460" s="2"/>
      <c r="K1460" s="2"/>
      <c r="L1460" s="53"/>
      <c r="M1460" s="12"/>
      <c r="N1460" s="2"/>
      <c r="O1460" s="2"/>
    </row>
    <row r="1461" ht="15.75" customHeight="1">
      <c r="A1461" s="1" t="s">
        <v>1688</v>
      </c>
      <c r="B1461" s="63" t="s">
        <v>335</v>
      </c>
      <c r="C1461" s="63" t="s">
        <v>532</v>
      </c>
      <c r="D1461" s="24">
        <v>100000.0</v>
      </c>
      <c r="E1461" s="69">
        <v>1479.2240305398</v>
      </c>
      <c r="F1461" s="23">
        <v>1.4792240299E8</v>
      </c>
      <c r="G1461" s="29">
        <v>0.3</v>
      </c>
      <c r="H1461" s="1"/>
      <c r="I1461" s="1"/>
      <c r="J1461" s="2"/>
      <c r="K1461" s="2"/>
      <c r="L1461" s="53"/>
      <c r="M1461" s="12"/>
      <c r="N1461" s="2"/>
      <c r="O1461" s="2"/>
    </row>
    <row r="1462" ht="15.75" customHeight="1">
      <c r="A1462" s="1" t="s">
        <v>1689</v>
      </c>
      <c r="B1462" s="63" t="s">
        <v>285</v>
      </c>
      <c r="C1462" s="63" t="s">
        <v>532</v>
      </c>
      <c r="D1462" s="24">
        <v>100000.0</v>
      </c>
      <c r="E1462" s="69">
        <v>1471.0939686221</v>
      </c>
      <c r="F1462" s="23">
        <v>1.4710939692E8</v>
      </c>
      <c r="G1462" s="29">
        <v>0.3</v>
      </c>
      <c r="H1462" s="1"/>
      <c r="I1462" s="1"/>
      <c r="J1462" s="2"/>
      <c r="K1462" s="2"/>
      <c r="L1462" s="53"/>
      <c r="M1462" s="12"/>
      <c r="N1462" s="2"/>
      <c r="O1462" s="2"/>
    </row>
    <row r="1463" ht="15.75" customHeight="1">
      <c r="A1463" s="1" t="s">
        <v>1690</v>
      </c>
      <c r="B1463" s="63" t="s">
        <v>355</v>
      </c>
      <c r="C1463" s="63" t="s">
        <v>807</v>
      </c>
      <c r="D1463" s="24">
        <v>50000.0</v>
      </c>
      <c r="E1463" s="69">
        <v>1462.2263144772</v>
      </c>
      <c r="F1463" s="23">
        <v>7.311131571E7</v>
      </c>
      <c r="G1463" s="23">
        <v>0.15</v>
      </c>
      <c r="H1463" s="1"/>
      <c r="I1463" s="1"/>
      <c r="J1463" s="2"/>
      <c r="K1463" s="2"/>
      <c r="L1463" s="53"/>
      <c r="M1463" s="12"/>
      <c r="N1463" s="2"/>
      <c r="O1463" s="2"/>
    </row>
    <row r="1464" ht="15.75" customHeight="1">
      <c r="A1464" s="1" t="s">
        <v>1691</v>
      </c>
      <c r="B1464" s="63" t="s">
        <v>335</v>
      </c>
      <c r="C1464" s="63" t="s">
        <v>827</v>
      </c>
      <c r="D1464" s="24">
        <v>25000.0</v>
      </c>
      <c r="E1464" s="69">
        <v>1475.2475699952</v>
      </c>
      <c r="F1464" s="23">
        <v>3.688118926E7</v>
      </c>
      <c r="G1464" s="23">
        <v>0.08</v>
      </c>
      <c r="H1464" s="1"/>
      <c r="I1464" s="1"/>
      <c r="J1464" s="2"/>
      <c r="K1464" s="2"/>
      <c r="L1464" s="53"/>
      <c r="M1464" s="12"/>
      <c r="N1464" s="2"/>
      <c r="O1464" s="2"/>
    </row>
    <row r="1465" ht="15.75" customHeight="1">
      <c r="A1465" s="1" t="s">
        <v>1692</v>
      </c>
      <c r="B1465" s="63" t="s">
        <v>285</v>
      </c>
      <c r="C1465" s="63" t="s">
        <v>827</v>
      </c>
      <c r="D1465" s="24">
        <v>25000.0</v>
      </c>
      <c r="E1465" s="69">
        <v>1466.1725550907</v>
      </c>
      <c r="F1465" s="23">
        <v>3.665431388E7</v>
      </c>
      <c r="G1465" s="23">
        <v>0.07</v>
      </c>
      <c r="H1465" s="1"/>
      <c r="I1465" s="1"/>
      <c r="J1465" s="2"/>
      <c r="K1465" s="2"/>
      <c r="L1465" s="53"/>
      <c r="M1465" s="12"/>
      <c r="N1465" s="2"/>
      <c r="O1465" s="2"/>
    </row>
    <row r="1466" ht="15.75" customHeight="1">
      <c r="A1466" s="1" t="s">
        <v>1693</v>
      </c>
      <c r="B1466" s="63" t="s">
        <v>355</v>
      </c>
      <c r="C1466" s="63" t="s">
        <v>827</v>
      </c>
      <c r="D1466" s="24">
        <v>25000.0</v>
      </c>
      <c r="E1466" s="69">
        <v>1454.8652573728</v>
      </c>
      <c r="F1466" s="23">
        <v>3.637163142E7</v>
      </c>
      <c r="G1466" s="23">
        <v>0.07</v>
      </c>
      <c r="H1466" s="1"/>
      <c r="I1466" s="1"/>
      <c r="J1466" s="2"/>
      <c r="K1466" s="2"/>
      <c r="L1466" s="53"/>
      <c r="M1466" s="12"/>
      <c r="N1466" s="2"/>
      <c r="O1466" s="2"/>
    </row>
    <row r="1467" ht="15.75" customHeight="1">
      <c r="A1467" s="1" t="s">
        <v>1694</v>
      </c>
      <c r="B1467" s="63" t="s">
        <v>285</v>
      </c>
      <c r="C1467" s="63" t="s">
        <v>1039</v>
      </c>
      <c r="D1467" s="24">
        <v>40000.0</v>
      </c>
      <c r="E1467" s="69">
        <v>1463.7224168383</v>
      </c>
      <c r="F1467" s="29">
        <v>5.85488967E7</v>
      </c>
      <c r="G1467" s="23">
        <v>0.12</v>
      </c>
      <c r="H1467" s="1"/>
      <c r="I1467" s="1"/>
      <c r="J1467" s="2"/>
      <c r="K1467" s="2"/>
      <c r="L1467" s="53"/>
      <c r="M1467" s="12"/>
      <c r="N1467" s="2"/>
      <c r="O1467" s="2"/>
    </row>
    <row r="1468" ht="15.75" customHeight="1">
      <c r="A1468" s="1" t="s">
        <v>1695</v>
      </c>
      <c r="B1468" s="63" t="s">
        <v>1410</v>
      </c>
      <c r="C1468" s="63" t="s">
        <v>1118</v>
      </c>
      <c r="D1468" s="24">
        <v>500000.0</v>
      </c>
      <c r="E1468" s="70">
        <v>1449.199429425</v>
      </c>
      <c r="F1468" s="23">
        <v>7.2459971553E8</v>
      </c>
      <c r="G1468" s="23">
        <v>1.48</v>
      </c>
      <c r="H1468" s="1"/>
      <c r="I1468" s="1"/>
      <c r="J1468" s="2"/>
      <c r="K1468" s="2"/>
      <c r="L1468" s="53"/>
      <c r="M1468" s="12"/>
      <c r="N1468" s="2"/>
      <c r="O1468" s="2"/>
    </row>
    <row r="1469" ht="15.75" customHeight="1">
      <c r="A1469" s="1" t="s">
        <v>1696</v>
      </c>
      <c r="B1469" s="63" t="s">
        <v>285</v>
      </c>
      <c r="C1469" s="63" t="s">
        <v>1370</v>
      </c>
      <c r="D1469" s="24">
        <v>70000.0</v>
      </c>
      <c r="E1469" s="69">
        <v>1471.0939489728</v>
      </c>
      <c r="F1469" s="23">
        <v>1.0297657636E8</v>
      </c>
      <c r="G1469" s="23">
        <v>0.21</v>
      </c>
      <c r="H1469" s="1"/>
      <c r="I1469" s="1"/>
      <c r="J1469" s="2"/>
      <c r="K1469" s="2"/>
      <c r="L1469" s="53"/>
      <c r="M1469" s="12"/>
      <c r="N1469" s="2"/>
      <c r="O1469" s="2"/>
    </row>
    <row r="1470" ht="15.75" customHeight="1">
      <c r="A1470" s="1" t="s">
        <v>1697</v>
      </c>
      <c r="B1470" s="63" t="s">
        <v>1410</v>
      </c>
      <c r="C1470" s="63" t="s">
        <v>1589</v>
      </c>
      <c r="D1470" s="24">
        <v>100000.0</v>
      </c>
      <c r="E1470" s="69">
        <v>1444.4222303929</v>
      </c>
      <c r="F1470" s="23">
        <v>1.4444222314E8</v>
      </c>
      <c r="G1470" s="29">
        <v>0.3</v>
      </c>
      <c r="H1470" s="1"/>
      <c r="I1470" s="1"/>
      <c r="J1470" s="2"/>
      <c r="K1470" s="2"/>
      <c r="L1470" s="53"/>
      <c r="M1470" s="12"/>
      <c r="N1470" s="2"/>
      <c r="O1470" s="2"/>
    </row>
    <row r="1471" ht="15.75" customHeight="1">
      <c r="A1471" s="1"/>
      <c r="B1471" s="1"/>
      <c r="C1471" s="1" t="s">
        <v>13</v>
      </c>
      <c r="D1471" s="1" t="s">
        <v>13</v>
      </c>
      <c r="E1471" s="1" t="s">
        <v>13</v>
      </c>
      <c r="F1471" s="23">
        <v>1.98929615937E9</v>
      </c>
      <c r="G1471" s="23">
        <v>4.07</v>
      </c>
      <c r="H1471" s="1"/>
      <c r="I1471" s="1"/>
      <c r="J1471" s="2"/>
      <c r="K1471" s="2"/>
      <c r="L1471" s="53"/>
      <c r="M1471" s="12"/>
      <c r="N1471" s="2"/>
      <c r="O1471" s="2"/>
    </row>
    <row r="1472" ht="15.75" customHeight="1">
      <c r="A1472" s="1" t="s">
        <v>13</v>
      </c>
      <c r="B1472" s="1"/>
      <c r="C1472" s="1"/>
      <c r="D1472" s="1"/>
      <c r="E1472" s="1"/>
      <c r="F1472" s="1"/>
      <c r="G1472" s="1"/>
      <c r="H1472" s="1"/>
      <c r="I1472" s="1"/>
      <c r="J1472" s="2"/>
      <c r="K1472" s="2"/>
      <c r="L1472" s="53"/>
      <c r="M1472" s="12"/>
      <c r="N1472" s="2"/>
      <c r="O1472" s="2"/>
    </row>
    <row r="1473" ht="15.75" customHeight="1">
      <c r="A1473" s="1" t="s">
        <v>1698</v>
      </c>
      <c r="B1473" s="1"/>
      <c r="C1473" s="1"/>
      <c r="D1473" s="1"/>
      <c r="E1473" s="1"/>
      <c r="F1473" s="1"/>
      <c r="G1473" s="1"/>
      <c r="H1473" s="1"/>
      <c r="I1473" s="1"/>
      <c r="J1473" s="2"/>
      <c r="K1473" s="2"/>
      <c r="L1473" s="53"/>
      <c r="M1473" s="12"/>
      <c r="N1473" s="2"/>
      <c r="O1473" s="2"/>
    </row>
    <row r="1474" ht="15.75" customHeight="1">
      <c r="A1474" s="18" t="s">
        <v>59</v>
      </c>
      <c r="B1474" s="18" t="s">
        <v>63</v>
      </c>
      <c r="C1474" s="18" t="s">
        <v>64</v>
      </c>
      <c r="D1474" s="18"/>
      <c r="E1474" s="18"/>
      <c r="F1474" s="18"/>
      <c r="G1474" s="18"/>
      <c r="H1474" s="18"/>
      <c r="I1474" s="18"/>
      <c r="J1474" s="2"/>
      <c r="K1474" s="2"/>
      <c r="L1474" s="53"/>
      <c r="M1474" s="12"/>
      <c r="N1474" s="2"/>
      <c r="O1474" s="2"/>
    </row>
    <row r="1475" ht="15.75" customHeight="1">
      <c r="A1475" s="1" t="s">
        <v>1699</v>
      </c>
      <c r="B1475" s="23">
        <v>2914463.73</v>
      </c>
      <c r="C1475" s="23">
        <v>0.01</v>
      </c>
      <c r="D1475" s="1"/>
      <c r="E1475" s="1"/>
      <c r="F1475" s="1"/>
      <c r="G1475" s="1"/>
      <c r="H1475" s="1"/>
      <c r="I1475" s="1"/>
      <c r="J1475" s="2"/>
      <c r="K1475" s="2"/>
      <c r="L1475" s="53"/>
      <c r="M1475" s="12"/>
      <c r="N1475" s="2"/>
      <c r="O1475" s="2"/>
    </row>
    <row r="1476" ht="15.75" customHeight="1">
      <c r="A1476" s="1" t="s">
        <v>13</v>
      </c>
      <c r="B1476" s="23">
        <v>2914463.73</v>
      </c>
      <c r="C1476" s="23">
        <v>0.01</v>
      </c>
      <c r="D1476" s="1"/>
      <c r="E1476" s="1"/>
      <c r="F1476" s="1"/>
      <c r="G1476" s="1"/>
      <c r="H1476" s="1"/>
      <c r="I1476" s="1"/>
      <c r="J1476" s="2"/>
      <c r="K1476" s="2"/>
      <c r="L1476" s="53"/>
      <c r="M1476" s="12"/>
      <c r="N1476" s="2"/>
      <c r="O1476" s="2"/>
    </row>
    <row r="1477" ht="15.75" customHeight="1">
      <c r="A1477" s="1" t="s">
        <v>13</v>
      </c>
      <c r="B1477" s="1"/>
      <c r="C1477" s="1"/>
      <c r="D1477" s="1"/>
      <c r="E1477" s="1"/>
      <c r="F1477" s="1"/>
      <c r="G1477" s="1"/>
      <c r="H1477" s="1"/>
      <c r="I1477" s="1"/>
      <c r="J1477" s="2"/>
      <c r="K1477" s="2"/>
      <c r="L1477" s="53"/>
      <c r="M1477" s="12"/>
      <c r="N1477" s="2"/>
      <c r="O1477" s="2"/>
    </row>
    <row r="1478" ht="15.75" customHeight="1">
      <c r="A1478" s="1" t="s">
        <v>1700</v>
      </c>
      <c r="B1478" s="1"/>
      <c r="C1478" s="1"/>
      <c r="D1478" s="1"/>
      <c r="E1478" s="1"/>
      <c r="F1478" s="1"/>
      <c r="G1478" s="1"/>
      <c r="H1478" s="1"/>
      <c r="I1478" s="1"/>
      <c r="J1478" s="2"/>
      <c r="K1478" s="2"/>
      <c r="L1478" s="53"/>
      <c r="M1478" s="12"/>
      <c r="N1478" s="2"/>
      <c r="O1478" s="2"/>
    </row>
    <row r="1479" ht="15.75" customHeight="1">
      <c r="A1479" s="1" t="s">
        <v>13</v>
      </c>
      <c r="B1479" s="1"/>
      <c r="C1479" s="1"/>
      <c r="D1479" s="1"/>
      <c r="E1479" s="1"/>
      <c r="F1479" s="1"/>
      <c r="G1479" s="1"/>
      <c r="H1479" s="1"/>
      <c r="I1479" s="1"/>
      <c r="J1479" s="2"/>
      <c r="K1479" s="2"/>
      <c r="L1479" s="53"/>
      <c r="M1479" s="12"/>
      <c r="N1479" s="2"/>
      <c r="O1479" s="2"/>
    </row>
    <row r="1480" ht="15.75" customHeight="1">
      <c r="A1480" s="1" t="s">
        <v>1701</v>
      </c>
      <c r="B1480" s="1"/>
      <c r="C1480" s="1"/>
      <c r="D1480" s="1"/>
      <c r="E1480" s="1"/>
      <c r="F1480" s="1"/>
      <c r="G1480" s="1"/>
      <c r="H1480" s="1"/>
      <c r="I1480" s="1"/>
      <c r="J1480" s="2"/>
      <c r="K1480" s="2"/>
      <c r="L1480" s="53"/>
      <c r="M1480" s="12"/>
      <c r="N1480" s="2"/>
      <c r="O1480" s="2"/>
    </row>
    <row r="1481" ht="15.75" customHeight="1">
      <c r="A1481" s="1" t="s">
        <v>1702</v>
      </c>
      <c r="B1481" s="1"/>
      <c r="C1481" s="1"/>
      <c r="D1481" s="1"/>
      <c r="E1481" s="1"/>
      <c r="F1481" s="1"/>
      <c r="G1481" s="1"/>
      <c r="H1481" s="1"/>
      <c r="I1481" s="1"/>
      <c r="J1481" s="2"/>
      <c r="K1481" s="2"/>
      <c r="L1481" s="53"/>
      <c r="M1481" s="12"/>
      <c r="N1481" s="2"/>
      <c r="O1481" s="2"/>
    </row>
    <row r="1482" ht="15.75" customHeight="1">
      <c r="A1482" s="18" t="s">
        <v>59</v>
      </c>
      <c r="B1482" s="18" t="s">
        <v>1703</v>
      </c>
      <c r="C1482" s="18" t="s">
        <v>1704</v>
      </c>
      <c r="D1482" s="18"/>
      <c r="E1482" s="18"/>
      <c r="F1482" s="18"/>
      <c r="G1482" s="18"/>
      <c r="H1482" s="18"/>
      <c r="I1482" s="18"/>
      <c r="J1482" s="2"/>
      <c r="K1482" s="2"/>
      <c r="L1482" s="53"/>
      <c r="M1482" s="12"/>
      <c r="N1482" s="2"/>
      <c r="O1482" s="2"/>
    </row>
    <row r="1483" ht="15.75" customHeight="1">
      <c r="A1483" s="1" t="s">
        <v>120</v>
      </c>
      <c r="B1483" s="24">
        <v>3.0E8</v>
      </c>
      <c r="C1483" s="24">
        <v>2.95167942E8</v>
      </c>
      <c r="D1483" s="1"/>
      <c r="E1483" s="1"/>
      <c r="F1483" s="1"/>
      <c r="G1483" s="1"/>
      <c r="H1483" s="1"/>
      <c r="I1483" s="1"/>
      <c r="J1483" s="2"/>
      <c r="K1483" s="2"/>
      <c r="L1483" s="53"/>
      <c r="M1483" s="12"/>
      <c r="N1483" s="2"/>
      <c r="O1483" s="2"/>
    </row>
    <row r="1484" ht="15.75" customHeight="1">
      <c r="A1484" s="1" t="s">
        <v>68</v>
      </c>
      <c r="B1484" s="24">
        <v>2.0E8</v>
      </c>
      <c r="C1484" s="24">
        <v>2.38183006E8</v>
      </c>
      <c r="D1484" s="1"/>
      <c r="E1484" s="1"/>
      <c r="F1484" s="1"/>
      <c r="G1484" s="1"/>
      <c r="H1484" s="1"/>
      <c r="I1484" s="1"/>
      <c r="J1484" s="2"/>
      <c r="K1484" s="2"/>
      <c r="L1484" s="53"/>
      <c r="M1484" s="12"/>
      <c r="N1484" s="2"/>
      <c r="O1484" s="2"/>
    </row>
    <row r="1485" ht="15.75" customHeight="1">
      <c r="A1485" s="1" t="s">
        <v>13</v>
      </c>
      <c r="B1485" s="1"/>
      <c r="C1485" s="1"/>
      <c r="D1485" s="1"/>
      <c r="E1485" s="1"/>
      <c r="F1485" s="1"/>
      <c r="G1485" s="1"/>
      <c r="H1485" s="1"/>
      <c r="I1485" s="1"/>
      <c r="J1485" s="2"/>
      <c r="K1485" s="2"/>
      <c r="L1485" s="53"/>
      <c r="M1485" s="12"/>
      <c r="N1485" s="2"/>
      <c r="O1485" s="2"/>
    </row>
    <row r="1486" ht="15.75" customHeight="1">
      <c r="A1486" s="1" t="s">
        <v>8</v>
      </c>
      <c r="B1486" s="1"/>
      <c r="C1486" s="1"/>
      <c r="D1486" s="1"/>
      <c r="E1486" s="1"/>
      <c r="F1486" s="1"/>
      <c r="G1486" s="1"/>
      <c r="H1486" s="1"/>
      <c r="I1486" s="1"/>
      <c r="J1486" s="2"/>
      <c r="K1486" s="2"/>
      <c r="L1486" s="53"/>
      <c r="M1486" s="12"/>
      <c r="N1486" s="2"/>
      <c r="O1486" s="2"/>
    </row>
    <row r="1487" ht="15.75" customHeight="1">
      <c r="A1487" s="1" t="s">
        <v>1705</v>
      </c>
      <c r="B1487" s="1"/>
      <c r="C1487" s="1"/>
      <c r="D1487" s="1"/>
      <c r="E1487" s="1"/>
      <c r="F1487" s="1"/>
      <c r="G1487" s="1"/>
      <c r="H1487" s="1"/>
      <c r="I1487" s="1"/>
      <c r="J1487" s="2"/>
      <c r="K1487" s="2"/>
      <c r="L1487" s="53"/>
      <c r="M1487" s="12"/>
      <c r="N1487" s="2"/>
      <c r="O1487" s="2"/>
    </row>
    <row r="1488" ht="15.75" customHeight="1">
      <c r="A1488" s="18" t="s">
        <v>134</v>
      </c>
      <c r="B1488" s="18" t="s">
        <v>1706</v>
      </c>
      <c r="C1488" s="18" t="s">
        <v>1707</v>
      </c>
      <c r="D1488" s="18" t="s">
        <v>1708</v>
      </c>
      <c r="E1488" s="18"/>
      <c r="F1488" s="18"/>
      <c r="G1488" s="18"/>
      <c r="H1488" s="18"/>
      <c r="I1488" s="18"/>
      <c r="J1488" s="2"/>
      <c r="K1488" s="2"/>
      <c r="L1488" s="53"/>
      <c r="M1488" s="12"/>
      <c r="N1488" s="2"/>
      <c r="O1488" s="2"/>
    </row>
    <row r="1489" ht="15.75" customHeight="1">
      <c r="A1489" s="1" t="s">
        <v>1709</v>
      </c>
      <c r="B1489" s="63" t="s">
        <v>130</v>
      </c>
      <c r="C1489" s="65">
        <v>1427.783</v>
      </c>
      <c r="D1489" s="1" t="s">
        <v>13</v>
      </c>
      <c r="E1489" s="1"/>
      <c r="F1489" s="1"/>
      <c r="G1489" s="1"/>
      <c r="H1489" s="1"/>
      <c r="I1489" s="1"/>
      <c r="J1489" s="2"/>
      <c r="K1489" s="2"/>
      <c r="L1489" s="53"/>
      <c r="M1489" s="12"/>
      <c r="N1489" s="2"/>
      <c r="O1489" s="2"/>
    </row>
    <row r="1490" ht="15.75" customHeight="1">
      <c r="A1490" s="1" t="s">
        <v>1710</v>
      </c>
      <c r="B1490" s="63" t="s">
        <v>1589</v>
      </c>
      <c r="C1490" s="65">
        <v>1426.698</v>
      </c>
      <c r="D1490" s="23">
        <v>0.08</v>
      </c>
      <c r="E1490" s="1"/>
      <c r="F1490" s="1"/>
      <c r="G1490" s="1"/>
      <c r="H1490" s="1"/>
      <c r="I1490" s="1"/>
      <c r="J1490" s="2"/>
      <c r="K1490" s="2"/>
      <c r="L1490" s="53"/>
      <c r="M1490" s="12"/>
      <c r="N1490" s="2"/>
      <c r="O1490" s="2"/>
    </row>
    <row r="1491" ht="15.75" customHeight="1">
      <c r="A1491" s="1" t="s">
        <v>1711</v>
      </c>
      <c r="B1491" s="63" t="s">
        <v>1488</v>
      </c>
      <c r="C1491" s="65">
        <v>1424.557</v>
      </c>
      <c r="D1491" s="23">
        <v>0.23</v>
      </c>
      <c r="E1491" s="1"/>
      <c r="F1491" s="1"/>
      <c r="G1491" s="1"/>
      <c r="H1491" s="1"/>
      <c r="I1491" s="1"/>
      <c r="J1491" s="2"/>
      <c r="K1491" s="2"/>
      <c r="L1491" s="53"/>
      <c r="M1491" s="12"/>
      <c r="N1491" s="2"/>
      <c r="O1491" s="2"/>
    </row>
    <row r="1492" ht="15.75" customHeight="1">
      <c r="A1492" s="1" t="s">
        <v>1712</v>
      </c>
      <c r="B1492" s="63" t="s">
        <v>1664</v>
      </c>
      <c r="C1492" s="65">
        <v>1231.227</v>
      </c>
      <c r="D1492" s="23">
        <v>15.96</v>
      </c>
      <c r="E1492" s="1"/>
      <c r="F1492" s="1"/>
      <c r="G1492" s="1"/>
      <c r="H1492" s="1"/>
      <c r="I1492" s="1"/>
      <c r="J1492" s="2"/>
      <c r="K1492" s="2"/>
      <c r="L1492" s="53"/>
      <c r="M1492" s="12"/>
      <c r="N1492" s="2"/>
      <c r="O1492" s="2"/>
    </row>
    <row r="1493" ht="15.75" customHeight="1">
      <c r="A1493" s="1" t="s">
        <v>1713</v>
      </c>
      <c r="B1493" s="63" t="s">
        <v>1714</v>
      </c>
      <c r="C1493" s="24">
        <v>1000.0</v>
      </c>
      <c r="D1493" s="23">
        <v>42.78</v>
      </c>
      <c r="E1493" s="1"/>
      <c r="F1493" s="1"/>
      <c r="G1493" s="1"/>
      <c r="H1493" s="1"/>
      <c r="I1493" s="1"/>
      <c r="J1493" s="2"/>
      <c r="K1493" s="2"/>
      <c r="L1493" s="53"/>
      <c r="M1493" s="12"/>
      <c r="N1493" s="2"/>
      <c r="O1493" s="2"/>
    </row>
    <row r="1494" ht="15.75" customHeight="1">
      <c r="A1494" s="1" t="s">
        <v>13</v>
      </c>
      <c r="B1494" s="1"/>
      <c r="C1494" s="1"/>
      <c r="D1494" s="1"/>
      <c r="E1494" s="1"/>
      <c r="F1494" s="1"/>
      <c r="G1494" s="1"/>
      <c r="H1494" s="1"/>
      <c r="I1494" s="1"/>
      <c r="J1494" s="2"/>
      <c r="K1494" s="2"/>
      <c r="L1494" s="53"/>
      <c r="M1494" s="12"/>
      <c r="N1494" s="2"/>
      <c r="O1494" s="2"/>
    </row>
    <row r="1495" ht="15.75" customHeight="1">
      <c r="A1495" s="1" t="s">
        <v>1715</v>
      </c>
      <c r="B1495" s="1"/>
      <c r="C1495" s="1"/>
      <c r="D1495" s="1"/>
      <c r="E1495" s="1"/>
      <c r="F1495" s="1"/>
      <c r="G1495" s="1"/>
      <c r="H1495" s="1"/>
      <c r="I1495" s="1"/>
      <c r="J1495" s="2"/>
      <c r="K1495" s="2"/>
      <c r="L1495" s="53"/>
      <c r="M1495" s="12"/>
      <c r="N1495" s="2"/>
      <c r="O1495" s="2"/>
    </row>
    <row r="1496" ht="15.75" customHeight="1">
      <c r="A1496" s="18" t="s">
        <v>134</v>
      </c>
      <c r="B1496" s="18" t="s">
        <v>1706</v>
      </c>
      <c r="C1496" s="18" t="s">
        <v>1707</v>
      </c>
      <c r="D1496" s="18" t="s">
        <v>1708</v>
      </c>
      <c r="E1496" s="18"/>
      <c r="F1496" s="18"/>
      <c r="G1496" s="18"/>
      <c r="H1496" s="18"/>
      <c r="I1496" s="18"/>
      <c r="J1496" s="2"/>
      <c r="K1496" s="2"/>
      <c r="L1496" s="53"/>
      <c r="M1496" s="12"/>
      <c r="N1496" s="2"/>
      <c r="O1496" s="2"/>
    </row>
    <row r="1497" ht="15.75" customHeight="1">
      <c r="A1497" s="1" t="s">
        <v>1709</v>
      </c>
      <c r="B1497" s="63" t="s">
        <v>130</v>
      </c>
      <c r="C1497" s="65">
        <v>1710.869</v>
      </c>
      <c r="D1497" s="1" t="s">
        <v>13</v>
      </c>
      <c r="E1497" s="1"/>
      <c r="F1497" s="1"/>
      <c r="G1497" s="1"/>
      <c r="H1497" s="1"/>
      <c r="I1497" s="1"/>
      <c r="J1497" s="2"/>
      <c r="K1497" s="2"/>
      <c r="L1497" s="53"/>
      <c r="M1497" s="12"/>
      <c r="N1497" s="2"/>
      <c r="O1497" s="2"/>
    </row>
    <row r="1498" ht="15.75" customHeight="1">
      <c r="A1498" s="1" t="s">
        <v>1710</v>
      </c>
      <c r="B1498" s="63" t="s">
        <v>1589</v>
      </c>
      <c r="C1498" s="65">
        <v>1709.569</v>
      </c>
      <c r="D1498" s="23">
        <v>0.08</v>
      </c>
      <c r="E1498" s="1"/>
      <c r="F1498" s="1"/>
      <c r="G1498" s="1"/>
      <c r="H1498" s="1"/>
      <c r="I1498" s="1"/>
      <c r="J1498" s="2"/>
      <c r="K1498" s="2"/>
      <c r="L1498" s="53"/>
      <c r="M1498" s="12"/>
      <c r="N1498" s="2"/>
      <c r="O1498" s="2"/>
    </row>
    <row r="1499" ht="15.75" customHeight="1">
      <c r="A1499" s="1" t="s">
        <v>1711</v>
      </c>
      <c r="B1499" s="63" t="s">
        <v>1488</v>
      </c>
      <c r="C1499" s="65">
        <v>1707.003</v>
      </c>
      <c r="D1499" s="23">
        <v>0.23</v>
      </c>
      <c r="E1499" s="1"/>
      <c r="F1499" s="1"/>
      <c r="G1499" s="1"/>
      <c r="H1499" s="1"/>
      <c r="I1499" s="1"/>
      <c r="J1499" s="2"/>
      <c r="K1499" s="2"/>
      <c r="L1499" s="53"/>
      <c r="M1499" s="12"/>
      <c r="N1499" s="2"/>
      <c r="O1499" s="2"/>
    </row>
    <row r="1500" ht="15.75" customHeight="1">
      <c r="A1500" s="1" t="s">
        <v>1712</v>
      </c>
      <c r="B1500" s="63" t="s">
        <v>1664</v>
      </c>
      <c r="C1500" s="65">
        <v>1475.339</v>
      </c>
      <c r="D1500" s="23">
        <v>15.96</v>
      </c>
      <c r="E1500" s="1"/>
      <c r="F1500" s="1"/>
      <c r="G1500" s="1"/>
      <c r="H1500" s="1"/>
      <c r="I1500" s="1"/>
      <c r="J1500" s="2"/>
      <c r="K1500" s="2"/>
      <c r="L1500" s="53"/>
      <c r="M1500" s="12"/>
      <c r="N1500" s="2"/>
      <c r="O1500" s="2"/>
    </row>
    <row r="1501" ht="15.75" customHeight="1">
      <c r="A1501" s="1" t="s">
        <v>1713</v>
      </c>
      <c r="B1501" s="63" t="s">
        <v>1714</v>
      </c>
      <c r="C1501" s="24">
        <v>1000.0</v>
      </c>
      <c r="D1501" s="23">
        <v>71.09</v>
      </c>
      <c r="E1501" s="1"/>
      <c r="F1501" s="1"/>
      <c r="G1501" s="1"/>
      <c r="H1501" s="1"/>
      <c r="I1501" s="1"/>
      <c r="J1501" s="2"/>
      <c r="K1501" s="2"/>
      <c r="L1501" s="53"/>
      <c r="M1501" s="12"/>
      <c r="N1501" s="2"/>
      <c r="O1501" s="2"/>
    </row>
    <row r="1502" ht="15.75" customHeight="1">
      <c r="A1502" s="1" t="s">
        <v>13</v>
      </c>
      <c r="B1502" s="1"/>
      <c r="C1502" s="1"/>
      <c r="D1502" s="1"/>
      <c r="E1502" s="1"/>
      <c r="F1502" s="1"/>
      <c r="G1502" s="1"/>
      <c r="H1502" s="1"/>
      <c r="I1502" s="1"/>
      <c r="J1502" s="2"/>
      <c r="K1502" s="2"/>
      <c r="L1502" s="53"/>
      <c r="M1502" s="12"/>
      <c r="N1502" s="2"/>
      <c r="O1502" s="2"/>
    </row>
    <row r="1503" ht="15.75" customHeight="1">
      <c r="A1503" s="1" t="s">
        <v>1716</v>
      </c>
      <c r="B1503" s="1"/>
      <c r="C1503" s="1"/>
      <c r="D1503" s="1"/>
      <c r="E1503" s="1"/>
      <c r="F1503" s="1"/>
      <c r="G1503" s="1"/>
      <c r="H1503" s="1"/>
      <c r="I1503" s="1"/>
      <c r="J1503" s="2"/>
      <c r="K1503" s="2"/>
      <c r="L1503" s="53"/>
      <c r="M1503" s="12"/>
      <c r="N1503" s="2"/>
      <c r="O1503" s="2"/>
    </row>
    <row r="1504" ht="15.75" customHeight="1">
      <c r="A1504" s="18" t="s">
        <v>134</v>
      </c>
      <c r="B1504" s="18" t="s">
        <v>1706</v>
      </c>
      <c r="C1504" s="18" t="s">
        <v>1707</v>
      </c>
      <c r="D1504" s="18" t="s">
        <v>1708</v>
      </c>
      <c r="E1504" s="18"/>
      <c r="F1504" s="18"/>
      <c r="G1504" s="18"/>
      <c r="H1504" s="18"/>
      <c r="I1504" s="18"/>
      <c r="J1504" s="2"/>
      <c r="K1504" s="2"/>
      <c r="L1504" s="53"/>
      <c r="M1504" s="12"/>
      <c r="N1504" s="2"/>
      <c r="O1504" s="2"/>
    </row>
    <row r="1505" ht="15.75" customHeight="1">
      <c r="A1505" s="1" t="s">
        <v>1709</v>
      </c>
      <c r="B1505" s="63" t="s">
        <v>130</v>
      </c>
      <c r="C1505" s="65">
        <v>1723.575</v>
      </c>
      <c r="D1505" s="1" t="s">
        <v>13</v>
      </c>
      <c r="E1505" s="1"/>
      <c r="F1505" s="1"/>
      <c r="G1505" s="1"/>
      <c r="H1505" s="1"/>
      <c r="I1505" s="1"/>
      <c r="J1505" s="2"/>
      <c r="K1505" s="2"/>
      <c r="L1505" s="53"/>
      <c r="M1505" s="12"/>
      <c r="N1505" s="2"/>
      <c r="O1505" s="2"/>
    </row>
    <row r="1506" ht="15.75" customHeight="1">
      <c r="A1506" s="1" t="s">
        <v>1710</v>
      </c>
      <c r="B1506" s="63" t="s">
        <v>1589</v>
      </c>
      <c r="C1506" s="65">
        <v>1722.265</v>
      </c>
      <c r="D1506" s="23">
        <v>0.08</v>
      </c>
      <c r="E1506" s="1"/>
      <c r="F1506" s="1"/>
      <c r="G1506" s="1"/>
      <c r="H1506" s="1"/>
      <c r="I1506" s="1"/>
      <c r="J1506" s="2"/>
      <c r="K1506" s="2"/>
      <c r="L1506" s="53"/>
      <c r="M1506" s="12"/>
      <c r="N1506" s="2"/>
      <c r="O1506" s="2"/>
    </row>
    <row r="1507" ht="15.75" customHeight="1">
      <c r="A1507" s="1" t="s">
        <v>1711</v>
      </c>
      <c r="B1507" s="63" t="s">
        <v>1488</v>
      </c>
      <c r="C1507" s="23">
        <v>1719.68</v>
      </c>
      <c r="D1507" s="23">
        <v>0.23</v>
      </c>
      <c r="E1507" s="1"/>
      <c r="F1507" s="1"/>
      <c r="G1507" s="1"/>
      <c r="H1507" s="1"/>
      <c r="I1507" s="1"/>
      <c r="J1507" s="2"/>
      <c r="K1507" s="2"/>
      <c r="L1507" s="53"/>
      <c r="M1507" s="12"/>
      <c r="N1507" s="2"/>
      <c r="O1507" s="2"/>
    </row>
    <row r="1508" ht="15.75" customHeight="1">
      <c r="A1508" s="1" t="s">
        <v>1712</v>
      </c>
      <c r="B1508" s="63" t="s">
        <v>1664</v>
      </c>
      <c r="C1508" s="29">
        <v>1486.3</v>
      </c>
      <c r="D1508" s="23">
        <v>15.96</v>
      </c>
      <c r="E1508" s="1"/>
      <c r="F1508" s="1"/>
      <c r="G1508" s="1"/>
      <c r="H1508" s="1"/>
      <c r="I1508" s="1"/>
      <c r="J1508" s="2"/>
      <c r="K1508" s="2"/>
      <c r="L1508" s="53"/>
      <c r="M1508" s="12"/>
      <c r="N1508" s="2"/>
      <c r="O1508" s="2"/>
    </row>
    <row r="1509" ht="15.75" customHeight="1">
      <c r="A1509" s="1" t="s">
        <v>1713</v>
      </c>
      <c r="B1509" s="63" t="s">
        <v>1714</v>
      </c>
      <c r="C1509" s="24">
        <v>1000.0</v>
      </c>
      <c r="D1509" s="23">
        <v>72.36</v>
      </c>
      <c r="E1509" s="1"/>
      <c r="F1509" s="1"/>
      <c r="G1509" s="1"/>
      <c r="H1509" s="1"/>
      <c r="I1509" s="1"/>
      <c r="J1509" s="2"/>
      <c r="K1509" s="2"/>
      <c r="L1509" s="53"/>
      <c r="M1509" s="12"/>
      <c r="N1509" s="2"/>
      <c r="O1509" s="2"/>
    </row>
    <row r="1510" ht="15.75" customHeight="1">
      <c r="A1510" s="1" t="s">
        <v>13</v>
      </c>
      <c r="B1510" s="1"/>
      <c r="C1510" s="1"/>
      <c r="D1510" s="1"/>
      <c r="E1510" s="1"/>
      <c r="F1510" s="1"/>
      <c r="G1510" s="1"/>
      <c r="H1510" s="1"/>
      <c r="I1510" s="1"/>
      <c r="J1510" s="2"/>
      <c r="K1510" s="2"/>
      <c r="L1510" s="53"/>
      <c r="M1510" s="12"/>
      <c r="N1510" s="2"/>
      <c r="O1510" s="2"/>
    </row>
    <row r="1511" ht="15.75" customHeight="1">
      <c r="A1511" s="1" t="s">
        <v>1717</v>
      </c>
      <c r="B1511" s="1"/>
      <c r="C1511" s="1"/>
      <c r="D1511" s="1"/>
      <c r="E1511" s="1"/>
      <c r="F1511" s="1"/>
      <c r="G1511" s="1"/>
      <c r="H1511" s="1"/>
      <c r="I1511" s="1"/>
      <c r="J1511" s="2"/>
      <c r="K1511" s="2"/>
      <c r="L1511" s="53"/>
      <c r="M1511" s="12"/>
      <c r="N1511" s="2"/>
      <c r="O1511" s="2"/>
    </row>
    <row r="1512" ht="15.75" customHeight="1">
      <c r="A1512" s="18" t="s">
        <v>134</v>
      </c>
      <c r="B1512" s="18" t="s">
        <v>1706</v>
      </c>
      <c r="C1512" s="18" t="s">
        <v>1707</v>
      </c>
      <c r="D1512" s="18" t="s">
        <v>1708</v>
      </c>
      <c r="E1512" s="18"/>
      <c r="F1512" s="18"/>
      <c r="G1512" s="18"/>
      <c r="H1512" s="18"/>
      <c r="I1512" s="18"/>
      <c r="J1512" s="2"/>
      <c r="K1512" s="2"/>
      <c r="L1512" s="53"/>
      <c r="M1512" s="12"/>
      <c r="N1512" s="2"/>
      <c r="O1512" s="2"/>
    </row>
    <row r="1513" ht="15.75" customHeight="1">
      <c r="A1513" s="1" t="s">
        <v>1709</v>
      </c>
      <c r="B1513" s="63" t="s">
        <v>130</v>
      </c>
      <c r="C1513" s="65">
        <v>1102.488</v>
      </c>
      <c r="D1513" s="1" t="s">
        <v>13</v>
      </c>
      <c r="E1513" s="1"/>
      <c r="F1513" s="1"/>
      <c r="G1513" s="1"/>
      <c r="H1513" s="1"/>
      <c r="I1513" s="1"/>
      <c r="J1513" s="2"/>
      <c r="K1513" s="2"/>
      <c r="L1513" s="53"/>
      <c r="M1513" s="12"/>
      <c r="N1513" s="2"/>
      <c r="O1513" s="2"/>
    </row>
    <row r="1514" ht="15.75" customHeight="1">
      <c r="A1514" s="1" t="s">
        <v>1710</v>
      </c>
      <c r="B1514" s="63" t="s">
        <v>1589</v>
      </c>
      <c r="C1514" s="65">
        <v>1102.488</v>
      </c>
      <c r="D1514" s="24">
        <v>0.0</v>
      </c>
      <c r="E1514" s="1"/>
      <c r="F1514" s="1"/>
      <c r="G1514" s="1"/>
      <c r="H1514" s="1"/>
      <c r="I1514" s="1"/>
      <c r="J1514" s="2"/>
      <c r="K1514" s="2"/>
      <c r="L1514" s="53"/>
      <c r="M1514" s="12"/>
      <c r="N1514" s="2"/>
      <c r="O1514" s="2"/>
    </row>
    <row r="1515" ht="15.75" customHeight="1">
      <c r="A1515" s="1" t="s">
        <v>1711</v>
      </c>
      <c r="B1515" s="63" t="s">
        <v>1488</v>
      </c>
      <c r="C1515" s="65">
        <v>1102.488</v>
      </c>
      <c r="D1515" s="24">
        <v>0.0</v>
      </c>
      <c r="E1515" s="1"/>
      <c r="F1515" s="1"/>
      <c r="G1515" s="1"/>
      <c r="H1515" s="1"/>
      <c r="I1515" s="1"/>
      <c r="J1515" s="2"/>
      <c r="K1515" s="2"/>
      <c r="L1515" s="53"/>
      <c r="M1515" s="12"/>
      <c r="N1515" s="2"/>
      <c r="O1515" s="2"/>
    </row>
    <row r="1516" ht="15.75" customHeight="1">
      <c r="A1516" s="1" t="s">
        <v>1712</v>
      </c>
      <c r="B1516" s="63" t="s">
        <v>1664</v>
      </c>
      <c r="C1516" s="23">
        <v>1047.33</v>
      </c>
      <c r="D1516" s="23">
        <v>5.27</v>
      </c>
      <c r="E1516" s="1"/>
      <c r="F1516" s="1"/>
      <c r="G1516" s="1"/>
      <c r="H1516" s="1"/>
      <c r="I1516" s="1"/>
      <c r="J1516" s="2"/>
      <c r="K1516" s="2"/>
      <c r="L1516" s="53"/>
      <c r="M1516" s="12"/>
      <c r="N1516" s="2"/>
      <c r="O1516" s="2"/>
    </row>
    <row r="1517" ht="15.75" customHeight="1">
      <c r="A1517" s="1" t="s">
        <v>1713</v>
      </c>
      <c r="B1517" s="63" t="s">
        <v>1718</v>
      </c>
      <c r="C1517" s="24">
        <v>1000.0</v>
      </c>
      <c r="D1517" s="23">
        <v>10.25</v>
      </c>
      <c r="E1517" s="1"/>
      <c r="F1517" s="1"/>
      <c r="G1517" s="1"/>
      <c r="H1517" s="1"/>
      <c r="I1517" s="1"/>
      <c r="J1517" s="2"/>
      <c r="K1517" s="2"/>
      <c r="L1517" s="53"/>
      <c r="M1517" s="12"/>
      <c r="N1517" s="2"/>
      <c r="O1517" s="2"/>
    </row>
    <row r="1518" ht="15.75" customHeight="1">
      <c r="A1518" s="1" t="s">
        <v>13</v>
      </c>
      <c r="B1518" s="1"/>
      <c r="C1518" s="1"/>
      <c r="D1518" s="1"/>
      <c r="E1518" s="1"/>
      <c r="F1518" s="1"/>
      <c r="G1518" s="1"/>
      <c r="H1518" s="1"/>
      <c r="I1518" s="1"/>
      <c r="J1518" s="2"/>
      <c r="K1518" s="2"/>
      <c r="L1518" s="53"/>
      <c r="M1518" s="12"/>
      <c r="N1518" s="2"/>
      <c r="O1518" s="2"/>
    </row>
    <row r="1519" ht="15.75" customHeight="1">
      <c r="A1519" s="1" t="s">
        <v>8</v>
      </c>
      <c r="B1519" s="1"/>
      <c r="C1519" s="1"/>
      <c r="D1519" s="1"/>
      <c r="E1519" s="1"/>
      <c r="F1519" s="1"/>
      <c r="G1519" s="1"/>
      <c r="H1519" s="1"/>
      <c r="I1519" s="1"/>
      <c r="J1519" s="2"/>
      <c r="K1519" s="2"/>
      <c r="L1519" s="53"/>
      <c r="M1519" s="12"/>
      <c r="N1519" s="2"/>
      <c r="O1519" s="2"/>
    </row>
    <row r="1520" ht="15.75" customHeight="1">
      <c r="A1520" s="1"/>
      <c r="B1520" s="1"/>
      <c r="C1520" s="1"/>
      <c r="D1520" s="1"/>
      <c r="E1520" s="1"/>
      <c r="F1520" s="1"/>
      <c r="G1520" s="1"/>
      <c r="H1520" s="1"/>
      <c r="I1520" s="1"/>
      <c r="J1520" s="2"/>
      <c r="K1520" s="2"/>
      <c r="L1520" s="53"/>
      <c r="M1520" s="12"/>
      <c r="N1520" s="2"/>
      <c r="O1520" s="2"/>
    </row>
    <row r="1521" ht="15.75" customHeight="1">
      <c r="A1521" s="1" t="s">
        <v>1719</v>
      </c>
      <c r="B1521" s="24">
        <v>6.3E7</v>
      </c>
      <c r="C1521" s="24">
        <v>1.0</v>
      </c>
      <c r="D1521" s="1"/>
      <c r="E1521" s="1"/>
      <c r="F1521" s="1"/>
      <c r="G1521" s="1"/>
      <c r="H1521" s="1"/>
      <c r="I1521" s="1"/>
      <c r="J1521" s="2"/>
      <c r="K1521" s="2"/>
      <c r="L1521" s="53"/>
      <c r="M1521" s="12"/>
      <c r="N1521" s="2"/>
      <c r="O1521" s="2"/>
    </row>
    <row r="1522" ht="15.75" customHeight="1">
      <c r="A1522" s="1" t="s">
        <v>1720</v>
      </c>
      <c r="B1522" s="24">
        <v>2984357.0</v>
      </c>
      <c r="C1522" s="24">
        <v>1.0</v>
      </c>
      <c r="D1522" s="1"/>
      <c r="E1522" s="1"/>
      <c r="F1522" s="1"/>
      <c r="G1522" s="1"/>
      <c r="H1522" s="1"/>
      <c r="I1522" s="1"/>
      <c r="J1522" s="2"/>
      <c r="K1522" s="2"/>
      <c r="L1522" s="53"/>
      <c r="M1522" s="12"/>
      <c r="N1522" s="2"/>
      <c r="O1522" s="2"/>
    </row>
    <row r="1523" ht="15.75" customHeight="1">
      <c r="A1523" s="1" t="s">
        <v>1721</v>
      </c>
      <c r="B1523" s="72">
        <v>4.532861186971068E9</v>
      </c>
      <c r="C1523" s="1" t="s">
        <v>13</v>
      </c>
      <c r="D1523" s="1"/>
      <c r="E1523" s="1"/>
      <c r="F1523" s="1"/>
      <c r="G1523" s="1"/>
      <c r="H1523" s="1"/>
      <c r="I1523" s="1"/>
      <c r="J1523" s="2"/>
      <c r="K1523" s="2"/>
      <c r="L1523" s="53"/>
      <c r="M1523" s="12"/>
      <c r="N1523" s="2"/>
      <c r="O1523" s="2"/>
    </row>
    <row r="1524" ht="15.75" customHeight="1">
      <c r="A1524" s="1" t="s">
        <v>1722</v>
      </c>
      <c r="B1524" s="24">
        <v>0.0</v>
      </c>
      <c r="C1524" s="24">
        <v>0.0</v>
      </c>
      <c r="D1524" s="1"/>
      <c r="E1524" s="1"/>
      <c r="F1524" s="1"/>
      <c r="G1524" s="1"/>
      <c r="H1524" s="1"/>
      <c r="I1524" s="1"/>
      <c r="J1524" s="2"/>
      <c r="K1524" s="2"/>
      <c r="L1524" s="53"/>
      <c r="M1524" s="12"/>
      <c r="N1524" s="2"/>
      <c r="O1524" s="2"/>
    </row>
    <row r="1525" ht="15.75" customHeight="1">
      <c r="A1525" s="1" t="s">
        <v>41</v>
      </c>
      <c r="B1525" s="24">
        <v>5071670.0</v>
      </c>
      <c r="C1525" s="24">
        <v>1.0</v>
      </c>
      <c r="D1525" s="1"/>
      <c r="E1525" s="1"/>
      <c r="F1525" s="1"/>
      <c r="G1525" s="1"/>
      <c r="H1525" s="1"/>
      <c r="I1525" s="1"/>
      <c r="J1525" s="2"/>
      <c r="K1525" s="2"/>
      <c r="L1525" s="53"/>
      <c r="M1525" s="12"/>
      <c r="N1525" s="2"/>
      <c r="O1525" s="2"/>
    </row>
    <row r="1526" ht="15.75" customHeight="1">
      <c r="A1526" s="1" t="s">
        <v>1723</v>
      </c>
      <c r="B1526" s="72">
        <v>3.433250345654111E9</v>
      </c>
      <c r="C1526" s="1" t="s">
        <v>13</v>
      </c>
      <c r="D1526" s="1"/>
      <c r="E1526" s="1"/>
      <c r="F1526" s="1"/>
      <c r="G1526" s="1"/>
      <c r="H1526" s="1"/>
      <c r="I1526" s="1"/>
      <c r="J1526" s="2"/>
      <c r="K1526" s="2"/>
      <c r="L1526" s="53"/>
      <c r="M1526" s="12"/>
      <c r="N1526" s="2"/>
      <c r="O1526" s="2"/>
    </row>
    <row r="1527" ht="15.75" customHeight="1">
      <c r="A1527" s="1" t="s">
        <v>1724</v>
      </c>
      <c r="B1527" s="24">
        <v>8.9E8</v>
      </c>
      <c r="C1527" s="24">
        <v>1.0</v>
      </c>
      <c r="D1527" s="1"/>
      <c r="E1527" s="1"/>
      <c r="F1527" s="1"/>
      <c r="G1527" s="1"/>
      <c r="H1527" s="1"/>
      <c r="I1527" s="1"/>
      <c r="J1527" s="2"/>
      <c r="K1527" s="2"/>
      <c r="L1527" s="53"/>
      <c r="M1527" s="12"/>
      <c r="N1527" s="2"/>
      <c r="O1527" s="2"/>
    </row>
    <row r="1528" ht="15.75" customHeight="1">
      <c r="A1528" s="1" t="s">
        <v>1725</v>
      </c>
      <c r="B1528" s="24">
        <v>0.0</v>
      </c>
      <c r="C1528" s="24">
        <v>0.0</v>
      </c>
      <c r="D1528" s="1"/>
      <c r="E1528" s="1"/>
      <c r="F1528" s="1"/>
      <c r="G1528" s="1"/>
      <c r="H1528" s="1"/>
      <c r="I1528" s="1"/>
      <c r="J1528" s="2"/>
      <c r="K1528" s="2"/>
      <c r="L1528" s="53"/>
      <c r="M1528" s="12"/>
      <c r="N1528" s="2"/>
      <c r="O1528" s="2"/>
    </row>
    <row r="1529" ht="15.75" customHeight="1">
      <c r="A1529" s="1" t="s">
        <v>1726</v>
      </c>
      <c r="B1529" s="72">
        <v>2.1199892476999847E10</v>
      </c>
      <c r="C1529" s="1" t="s">
        <v>13</v>
      </c>
      <c r="D1529" s="1"/>
      <c r="E1529" s="1"/>
      <c r="F1529" s="1"/>
      <c r="G1529" s="1"/>
      <c r="H1529" s="1"/>
      <c r="I1529" s="1"/>
      <c r="J1529" s="2"/>
      <c r="K1529" s="2"/>
      <c r="L1529" s="53"/>
      <c r="M1529" s="12"/>
      <c r="N1529" s="2"/>
      <c r="O1529" s="2"/>
    </row>
    <row r="1530" ht="15.75" customHeight="1">
      <c r="A1530" s="1" t="s">
        <v>1727</v>
      </c>
      <c r="B1530" s="24">
        <v>0.0</v>
      </c>
      <c r="C1530" s="24">
        <v>0.0</v>
      </c>
      <c r="D1530" s="1"/>
      <c r="E1530" s="1"/>
      <c r="F1530" s="1"/>
      <c r="G1530" s="1"/>
      <c r="H1530" s="1"/>
      <c r="I1530" s="1"/>
      <c r="J1530" s="2"/>
      <c r="K1530" s="2"/>
      <c r="L1530" s="53"/>
      <c r="M1530" s="12"/>
      <c r="N1530" s="2"/>
      <c r="O1530" s="2"/>
    </row>
    <row r="1531" ht="15.75" customHeight="1">
      <c r="A1531" s="1" t="s">
        <v>1728</v>
      </c>
      <c r="B1531" s="24">
        <v>0.0</v>
      </c>
      <c r="C1531" s="24">
        <v>0.0</v>
      </c>
      <c r="D1531" s="1"/>
      <c r="E1531" s="1"/>
      <c r="F1531" s="1"/>
      <c r="G1531" s="1"/>
      <c r="H1531" s="1"/>
      <c r="I1531" s="1"/>
      <c r="J1531" s="2"/>
      <c r="K1531" s="2"/>
      <c r="L1531" s="53"/>
      <c r="M1531" s="12"/>
      <c r="N1531" s="2"/>
      <c r="O1531" s="2"/>
    </row>
    <row r="1532" ht="15.75" customHeight="1">
      <c r="A1532" s="1" t="s">
        <v>1729</v>
      </c>
      <c r="B1532" s="24">
        <v>0.0</v>
      </c>
      <c r="C1532" s="1" t="s">
        <v>13</v>
      </c>
      <c r="D1532" s="1"/>
      <c r="E1532" s="1"/>
      <c r="F1532" s="1"/>
      <c r="G1532" s="1"/>
      <c r="H1532" s="1"/>
      <c r="I1532" s="1"/>
      <c r="J1532" s="2"/>
      <c r="K1532" s="2"/>
      <c r="L1532" s="53"/>
      <c r="M1532" s="12"/>
      <c r="N1532" s="2"/>
      <c r="O1532" s="2"/>
    </row>
    <row r="1533" ht="15.75" customHeight="1">
      <c r="A1533" s="1" t="s">
        <v>13</v>
      </c>
      <c r="B1533" s="1"/>
      <c r="C1533" s="1"/>
      <c r="D1533" s="1"/>
      <c r="E1533" s="1"/>
      <c r="F1533" s="1"/>
      <c r="G1533" s="1"/>
      <c r="H1533" s="1"/>
      <c r="I1533" s="1"/>
      <c r="J1533" s="2"/>
      <c r="K1533" s="2"/>
      <c r="L1533" s="53"/>
      <c r="M1533" s="12"/>
      <c r="N1533" s="2"/>
      <c r="O1533" s="2"/>
    </row>
    <row r="1534" ht="15.75" customHeight="1">
      <c r="A1534" s="1" t="s">
        <v>8</v>
      </c>
      <c r="B1534" s="1"/>
      <c r="C1534" s="1"/>
      <c r="D1534" s="1"/>
      <c r="E1534" s="1"/>
      <c r="F1534" s="1"/>
      <c r="G1534" s="1"/>
      <c r="H1534" s="1"/>
      <c r="I1534" s="1"/>
      <c r="J1534" s="2"/>
      <c r="K1534" s="2"/>
      <c r="L1534" s="53"/>
      <c r="M1534" s="12"/>
      <c r="N1534" s="2"/>
      <c r="O1534" s="2"/>
    </row>
    <row r="1535" ht="15.75" customHeight="1">
      <c r="A1535" s="1"/>
      <c r="B1535" s="1"/>
      <c r="C1535" s="1"/>
      <c r="D1535" s="1"/>
      <c r="E1535" s="1"/>
      <c r="F1535" s="1"/>
      <c r="G1535" s="1"/>
      <c r="H1535" s="1"/>
      <c r="I1535" s="1"/>
      <c r="J1535" s="2"/>
      <c r="K1535" s="2"/>
      <c r="L1535" s="53"/>
      <c r="M1535" s="12"/>
      <c r="N1535" s="2"/>
      <c r="O1535" s="2"/>
    </row>
    <row r="1536" ht="15.75" customHeight="1">
      <c r="A1536" s="1" t="s">
        <v>1730</v>
      </c>
      <c r="B1536" s="1" t="s">
        <v>13</v>
      </c>
      <c r="C1536" s="24">
        <v>6.0</v>
      </c>
      <c r="D1536" s="1"/>
      <c r="E1536" s="1"/>
      <c r="F1536" s="1"/>
      <c r="G1536" s="1"/>
      <c r="H1536" s="1"/>
      <c r="I1536" s="1"/>
      <c r="J1536" s="2"/>
      <c r="K1536" s="2"/>
      <c r="L1536" s="53"/>
      <c r="M1536" s="12"/>
      <c r="N1536" s="2"/>
      <c r="O1536" s="2"/>
    </row>
    <row r="1537" ht="15.75" customHeight="1">
      <c r="A1537" s="1" t="s">
        <v>13</v>
      </c>
      <c r="B1537" s="1"/>
      <c r="C1537" s="1"/>
      <c r="D1537" s="1"/>
      <c r="E1537" s="1"/>
      <c r="F1537" s="1"/>
      <c r="G1537" s="1"/>
      <c r="H1537" s="1"/>
      <c r="I1537" s="1"/>
      <c r="J1537" s="2"/>
      <c r="K1537" s="2"/>
      <c r="L1537" s="53"/>
      <c r="M1537" s="12"/>
      <c r="N1537" s="2"/>
      <c r="O1537" s="2"/>
    </row>
    <row r="1538" ht="15.75" customHeight="1">
      <c r="A1538" s="1" t="s">
        <v>1731</v>
      </c>
      <c r="B1538" s="1"/>
      <c r="C1538" s="1"/>
      <c r="D1538" s="1"/>
      <c r="E1538" s="1"/>
      <c r="F1538" s="1"/>
      <c r="G1538" s="1"/>
      <c r="H1538" s="1"/>
      <c r="I1538" s="1"/>
      <c r="J1538" s="2"/>
      <c r="K1538" s="2"/>
      <c r="L1538" s="53"/>
      <c r="M1538" s="12"/>
      <c r="N1538" s="2"/>
      <c r="O1538" s="2"/>
    </row>
    <row r="1539" ht="15.75" customHeight="1">
      <c r="A1539" s="1" t="s">
        <v>8</v>
      </c>
      <c r="B1539" s="1"/>
      <c r="C1539" s="1"/>
      <c r="D1539" s="1"/>
      <c r="E1539" s="1"/>
      <c r="F1539" s="1"/>
      <c r="G1539" s="1"/>
      <c r="H1539" s="1"/>
      <c r="I1539" s="1"/>
      <c r="J1539" s="2"/>
      <c r="K1539" s="2"/>
      <c r="L1539" s="53"/>
      <c r="M1539" s="12"/>
      <c r="N1539" s="2"/>
      <c r="O1539" s="2"/>
    </row>
    <row r="1540" ht="15.75" customHeight="1">
      <c r="A1540" s="1" t="s">
        <v>1732</v>
      </c>
      <c r="B1540" s="1"/>
      <c r="C1540" s="1"/>
      <c r="D1540" s="1"/>
      <c r="E1540" s="1"/>
      <c r="F1540" s="1"/>
      <c r="G1540" s="1"/>
      <c r="H1540" s="1"/>
      <c r="I1540" s="1"/>
      <c r="J1540" s="2"/>
      <c r="K1540" s="2"/>
      <c r="L1540" s="53"/>
      <c r="M1540" s="12"/>
      <c r="N1540" s="2"/>
      <c r="O1540" s="2"/>
    </row>
    <row r="1541" ht="15.75" customHeight="1">
      <c r="A1541" s="1" t="s">
        <v>1733</v>
      </c>
      <c r="B1541" s="1"/>
      <c r="C1541" s="1"/>
      <c r="D1541" s="1"/>
      <c r="E1541" s="1"/>
      <c r="F1541" s="1"/>
      <c r="G1541" s="1"/>
      <c r="H1541" s="1"/>
      <c r="I1541" s="1"/>
      <c r="J1541" s="2"/>
      <c r="K1541" s="2"/>
      <c r="L1541" s="53"/>
      <c r="M1541" s="12"/>
      <c r="N1541" s="2"/>
      <c r="O1541" s="2"/>
    </row>
    <row r="1542" ht="15.75" customHeight="1">
      <c r="A1542" s="1" t="s">
        <v>1734</v>
      </c>
      <c r="B1542" s="1"/>
      <c r="C1542" s="1"/>
      <c r="D1542" s="1"/>
      <c r="E1542" s="1"/>
      <c r="F1542" s="1"/>
      <c r="G1542" s="1"/>
      <c r="H1542" s="1"/>
      <c r="I1542" s="1"/>
      <c r="J1542" s="2"/>
      <c r="K1542" s="2"/>
      <c r="L1542" s="53"/>
      <c r="M1542" s="12"/>
      <c r="N1542" s="2"/>
      <c r="O1542" s="2"/>
    </row>
    <row r="1543" ht="15.75" customHeight="1">
      <c r="A1543" s="1" t="s">
        <v>1735</v>
      </c>
      <c r="B1543" s="1"/>
      <c r="C1543" s="1"/>
      <c r="D1543" s="1"/>
      <c r="E1543" s="1"/>
      <c r="F1543" s="1"/>
      <c r="G1543" s="1"/>
      <c r="H1543" s="1"/>
      <c r="I1543" s="1"/>
      <c r="J1543" s="2"/>
      <c r="K1543" s="2"/>
      <c r="L1543" s="53"/>
      <c r="M1543" s="12"/>
      <c r="N1543" s="2"/>
      <c r="O1543" s="2"/>
    </row>
    <row r="1544" ht="15.75" customHeight="1">
      <c r="A1544" s="1" t="s">
        <v>1736</v>
      </c>
      <c r="B1544" s="1"/>
      <c r="C1544" s="1"/>
      <c r="D1544" s="1"/>
      <c r="E1544" s="1"/>
      <c r="F1544" s="1"/>
      <c r="G1544" s="1"/>
      <c r="H1544" s="1"/>
      <c r="I1544" s="1"/>
      <c r="J1544" s="2"/>
      <c r="K1544" s="2"/>
      <c r="L1544" s="53"/>
      <c r="M1544" s="12"/>
      <c r="N1544" s="2"/>
      <c r="O1544" s="2"/>
    </row>
    <row r="1545" ht="15.75" customHeight="1">
      <c r="A1545" s="1" t="s">
        <v>1737</v>
      </c>
      <c r="B1545" s="1"/>
      <c r="C1545" s="1"/>
      <c r="D1545" s="1"/>
      <c r="E1545" s="1"/>
      <c r="F1545" s="1"/>
      <c r="G1545" s="1"/>
      <c r="H1545" s="1"/>
      <c r="I1545" s="1"/>
      <c r="J1545" s="2"/>
      <c r="K1545" s="2"/>
      <c r="L1545" s="53"/>
      <c r="M1545" s="12"/>
      <c r="N1545" s="2"/>
      <c r="O1545" s="2"/>
    </row>
  </sheetData>
  <printOptions/>
  <pageMargins bottom="0.7480314960629921" footer="0.0" header="0.0" left="0.7086614173228347" right="0.7086614173228347" top="0.7480314960629921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57"/>
    <col customWidth="1" min="2" max="2" width="41.43"/>
    <col customWidth="1" min="3" max="3" width="24.57"/>
    <col customWidth="1" min="4" max="4" width="20.43"/>
    <col customWidth="1" min="5" max="6" width="24.14"/>
    <col customWidth="1" min="7" max="7" width="20.71"/>
    <col customWidth="1" min="8" max="8" width="26.71"/>
    <col customWidth="1" min="9" max="9" width="20.86"/>
    <col customWidth="1" min="10" max="10" width="19.0"/>
    <col customWidth="1" min="11" max="11" width="20.14"/>
    <col customWidth="1" min="12" max="12" width="19.14"/>
    <col customWidth="1" min="13" max="13" width="18.29"/>
    <col customWidth="1" min="14" max="29" width="11.43"/>
  </cols>
  <sheetData>
    <row r="1">
      <c r="A1" s="73" t="s">
        <v>1738</v>
      </c>
      <c r="B1" s="74">
        <v>0.75</v>
      </c>
      <c r="C1" s="2" t="s">
        <v>1739</v>
      </c>
      <c r="D1" s="30">
        <f>+B1*(VLOOKUP($E$1,'GESTION MOMENTUM'!$A$8:$B$32,2,0))</f>
        <v>36664043156</v>
      </c>
      <c r="E1" s="43" t="s">
        <v>45</v>
      </c>
      <c r="F1" s="43"/>
      <c r="G1" s="2" t="s">
        <v>1740</v>
      </c>
      <c r="H1" s="75" t="s">
        <v>1741</v>
      </c>
      <c r="I1" s="25" t="s">
        <v>1742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73" t="s">
        <v>1743</v>
      </c>
      <c r="B2" s="74">
        <v>0.05</v>
      </c>
      <c r="C2" s="2" t="s">
        <v>1744</v>
      </c>
      <c r="D2" s="30">
        <f>+B2*(VLOOKUP($E$1,'GESTION MOMENTUM'!$A$8:$B$32,2,0))</f>
        <v>2444269544</v>
      </c>
      <c r="E2" s="2"/>
      <c r="F2" s="2"/>
      <c r="G2" s="53">
        <f>VLOOKUP(E1,'GESTION MOMENTUM'!A8:B32,2,0)</f>
        <v>48885390874</v>
      </c>
      <c r="H2" s="76">
        <v>-0.002</v>
      </c>
      <c r="I2" s="77">
        <f>+G2*(1+H2)</f>
        <v>48787620093</v>
      </c>
      <c r="J2" s="2"/>
      <c r="K2" s="27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73" t="s">
        <v>1743</v>
      </c>
      <c r="B3" s="74">
        <v>0.2</v>
      </c>
      <c r="C3" s="2" t="s">
        <v>1745</v>
      </c>
      <c r="D3" s="30">
        <f>+B3*(VLOOKUP($E$1,'GESTION MOMENTUM'!$A$8:$B$32,2,0))</f>
        <v>9777078175</v>
      </c>
      <c r="E3" s="2"/>
      <c r="F3" s="2"/>
      <c r="G3" s="2" t="s">
        <v>1744</v>
      </c>
      <c r="H3" s="78">
        <v>0.05</v>
      </c>
      <c r="I3" s="79">
        <f>+I2*H3</f>
        <v>2439381005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73" t="s">
        <v>1743</v>
      </c>
      <c r="B4" s="74">
        <v>0.2</v>
      </c>
      <c r="C4" s="2" t="s">
        <v>1746</v>
      </c>
      <c r="D4" s="30">
        <f>+B4*(VLOOKUP($E$1,'GESTION MOMENTUM'!$A$8:$B$32,2,0))</f>
        <v>9777078175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73" t="s">
        <v>1743</v>
      </c>
      <c r="B5" s="74">
        <v>0.25</v>
      </c>
      <c r="C5" s="2" t="s">
        <v>1747</v>
      </c>
      <c r="D5" s="30">
        <f>+B5*(VLOOKUP($E$1,'GESTION MOMENTUM'!$A$8:$B$32,2,0))</f>
        <v>12221347719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2"/>
      <c r="B6" s="8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2"/>
      <c r="B8" s="81" t="s">
        <v>1748</v>
      </c>
      <c r="C8" s="82"/>
      <c r="D8" s="82"/>
      <c r="E8" s="82"/>
      <c r="F8" s="8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11"/>
      <c r="B9" s="84" t="s">
        <v>1749</v>
      </c>
      <c r="C9" s="84" t="s">
        <v>1750</v>
      </c>
      <c r="D9" s="84" t="s">
        <v>137</v>
      </c>
      <c r="E9" s="84" t="s">
        <v>1751</v>
      </c>
      <c r="F9" s="84" t="s">
        <v>1752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2"/>
      <c r="B10" s="1" t="s">
        <v>68</v>
      </c>
      <c r="C10" s="85">
        <v>2.0E8</v>
      </c>
      <c r="D10" s="86">
        <f>+VLOOKUP(B10,'GESTION MOMENTUM'!A:D,4,0)</f>
        <v>1.1909</v>
      </c>
      <c r="E10" s="87">
        <v>0.85</v>
      </c>
      <c r="F10" s="88">
        <f t="shared" ref="F10:F11" si="1">C10*D10*E10</f>
        <v>202453000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2"/>
      <c r="B11" s="89" t="s">
        <v>120</v>
      </c>
      <c r="C11" s="85">
        <v>3.0E8</v>
      </c>
      <c r="D11" s="86">
        <f>+VLOOKUP(B11,'GESTION MOMENTUM'!A:D,4,0)</f>
        <v>0.9839</v>
      </c>
      <c r="E11" s="87">
        <v>0.6</v>
      </c>
      <c r="F11" s="88">
        <f t="shared" si="1"/>
        <v>177102000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2"/>
      <c r="B12" s="89"/>
      <c r="C12" s="85"/>
      <c r="D12" s="86"/>
      <c r="E12" s="90"/>
      <c r="F12" s="9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2"/>
      <c r="B13" s="2"/>
      <c r="C13" s="2"/>
      <c r="D13" s="2"/>
      <c r="E13" s="92" t="s">
        <v>1753</v>
      </c>
      <c r="F13" s="93">
        <f>SUM(F10:F12)</f>
        <v>379555000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13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94" t="s">
        <v>1754</v>
      </c>
      <c r="C15" s="94" t="s">
        <v>1755</v>
      </c>
      <c r="D15" s="94" t="s">
        <v>1756</v>
      </c>
      <c r="E15" s="94" t="s">
        <v>1757</v>
      </c>
      <c r="F15" s="94" t="s">
        <v>1758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1" t="s">
        <v>1759</v>
      </c>
      <c r="B16" s="95" t="s">
        <v>1760</v>
      </c>
      <c r="C16" s="85">
        <v>150000.0</v>
      </c>
      <c r="D16" s="96">
        <v>0.0</v>
      </c>
      <c r="E16" s="85">
        <f>IFNA(-VLOOKUP(A16,'GESTION MOMENTUM'!A:C,3,0)/1000,0)</f>
        <v>0</v>
      </c>
      <c r="F16" s="97">
        <f t="shared" ref="F16:F21" si="2">+C16*(E16+D16)</f>
        <v>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" t="s">
        <v>1761</v>
      </c>
      <c r="B17" s="95" t="s">
        <v>1762</v>
      </c>
      <c r="C17" s="85">
        <v>155000.0</v>
      </c>
      <c r="D17" s="96">
        <v>0.0</v>
      </c>
      <c r="E17" s="85">
        <f>IFNA(-VLOOKUP(A17,'GESTION MOMENTUM'!A:C,3,0)/1000,0)</f>
        <v>0</v>
      </c>
      <c r="F17" s="97">
        <f t="shared" si="2"/>
        <v>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1" t="s">
        <v>110</v>
      </c>
      <c r="B18" s="95" t="s">
        <v>1763</v>
      </c>
      <c r="C18" s="85">
        <v>160000.0</v>
      </c>
      <c r="D18" s="96">
        <v>0.0</v>
      </c>
      <c r="E18" s="85">
        <f>IFNA(-VLOOKUP(A18,'GESTION MOMENTUM'!A:C,3,0)/1000,0)</f>
        <v>225</v>
      </c>
      <c r="F18" s="97">
        <f t="shared" si="2"/>
        <v>36000000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ht="15.75" customHeight="1">
      <c r="A19" s="1" t="s">
        <v>112</v>
      </c>
      <c r="B19" s="95" t="s">
        <v>1764</v>
      </c>
      <c r="C19" s="85">
        <v>165000.0</v>
      </c>
      <c r="D19" s="96">
        <v>0.0</v>
      </c>
      <c r="E19" s="85">
        <f>IFNA(-VLOOKUP(A19,'GESTION MOMENTUM'!A:C,3,0)/1000,0)</f>
        <v>475</v>
      </c>
      <c r="F19" s="97">
        <f t="shared" si="2"/>
        <v>78375000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1" t="s">
        <v>114</v>
      </c>
      <c r="B20" s="95" t="s">
        <v>1765</v>
      </c>
      <c r="C20" s="85">
        <v>170000.0</v>
      </c>
      <c r="D20" s="96">
        <v>0.0</v>
      </c>
      <c r="E20" s="85">
        <f>IFNA(-VLOOKUP(A20,'GESTION MOMENTUM'!A:C,3,0)/1000,0)</f>
        <v>575</v>
      </c>
      <c r="F20" s="97">
        <f t="shared" si="2"/>
        <v>97750000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15.75" customHeight="1">
      <c r="A21" s="12"/>
      <c r="B21" s="95"/>
      <c r="C21" s="85">
        <v>175000.0</v>
      </c>
      <c r="D21" s="96">
        <v>0.0</v>
      </c>
      <c r="E21" s="85">
        <f>IFNA(-VLOOKUP(A21,'GESTION MOMENTUM'!A:C,3,0)/1000,0)</f>
        <v>0</v>
      </c>
      <c r="F21" s="97">
        <f t="shared" si="2"/>
        <v>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15.75" customHeight="1">
      <c r="A22" s="12"/>
      <c r="B22" s="2"/>
      <c r="C22" s="2"/>
      <c r="D22" s="2"/>
      <c r="E22" s="2"/>
      <c r="F22" s="98">
        <f>+SUM(F16:F21)</f>
        <v>212125000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15.75" customHeight="1">
      <c r="A23" s="12"/>
      <c r="B23" s="99" t="s">
        <v>1766</v>
      </c>
      <c r="C23" s="100">
        <f>F13-F22</f>
        <v>167430000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15.75" customHeight="1">
      <c r="A26" s="10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conditionalFormatting sqref="C23">
    <cfRule type="cellIs" dxfId="0" priority="1" operator="lessThan">
      <formula>0</formula>
    </cfRule>
  </conditionalFormatting>
  <conditionalFormatting sqref="C23">
    <cfRule type="cellIs" dxfId="1" priority="2" operator="greaterThan">
      <formula>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9.0"/>
    <col customWidth="1" min="3" max="3" width="12.43"/>
    <col customWidth="1" min="4" max="4" width="15.57"/>
    <col customWidth="1" min="5" max="5" width="18.71"/>
    <col customWidth="1" min="6" max="6" width="15.57"/>
    <col customWidth="1" min="7" max="7" width="28.14"/>
    <col customWidth="1" min="8" max="8" width="51.0"/>
    <col customWidth="1" min="9" max="9" width="16.0"/>
    <col customWidth="1" min="10" max="10" width="11.43"/>
    <col customWidth="1" min="11" max="11" width="25.57"/>
    <col customWidth="1" min="12" max="13" width="17.57"/>
    <col customWidth="1" min="14" max="14" width="11.43"/>
    <col customWidth="1" min="15" max="15" width="17.57"/>
    <col customWidth="1" min="16" max="20" width="11.43"/>
    <col customWidth="1" min="21" max="21" width="51.0"/>
    <col customWidth="1" min="22" max="22" width="16.0"/>
    <col customWidth="1" min="23" max="26" width="10.71"/>
  </cols>
  <sheetData>
    <row r="1">
      <c r="A1" s="102" t="s">
        <v>1767</v>
      </c>
      <c r="B1" s="102" t="s">
        <v>1768</v>
      </c>
      <c r="C1" s="102" t="s">
        <v>1769</v>
      </c>
      <c r="D1" s="102" t="s">
        <v>1770</v>
      </c>
      <c r="E1" s="103" t="s">
        <v>1771</v>
      </c>
      <c r="F1" s="104" t="s">
        <v>1772</v>
      </c>
      <c r="G1" s="102" t="s">
        <v>1773</v>
      </c>
      <c r="H1" s="102" t="s">
        <v>1774</v>
      </c>
      <c r="I1" s="105" t="s">
        <v>1775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38"/>
    </row>
    <row r="2">
      <c r="A2" s="106" t="s">
        <v>1776</v>
      </c>
      <c r="B2" s="106" t="s">
        <v>1777</v>
      </c>
      <c r="C2" s="107">
        <v>45723.0</v>
      </c>
      <c r="D2" s="106" t="s">
        <v>1752</v>
      </c>
      <c r="E2" s="108">
        <v>3406250.0</v>
      </c>
      <c r="F2" s="108"/>
      <c r="G2" s="106" t="s">
        <v>1778</v>
      </c>
      <c r="H2" s="106" t="s">
        <v>1779</v>
      </c>
      <c r="I2" s="109">
        <f t="shared" ref="I2:I96" si="1">+TODAY()-C2</f>
        <v>486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110" t="s">
        <v>1780</v>
      </c>
      <c r="V2" s="111"/>
    </row>
    <row r="3">
      <c r="A3" s="106" t="s">
        <v>1776</v>
      </c>
      <c r="B3" s="106" t="s">
        <v>1781</v>
      </c>
      <c r="C3" s="107">
        <v>45728.0</v>
      </c>
      <c r="D3" s="106" t="s">
        <v>1752</v>
      </c>
      <c r="E3" s="108">
        <v>3406250.0</v>
      </c>
      <c r="F3" s="108"/>
      <c r="G3" s="106" t="s">
        <v>1778</v>
      </c>
      <c r="H3" s="106" t="s">
        <v>1779</v>
      </c>
      <c r="I3" s="109">
        <f t="shared" si="1"/>
        <v>481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 t="str">
        <f t="array" ref="U3:U25">+UNIQUE(H2:H91)</f>
        <v>UKUMARI SOCIEDAD ANONIMA.</v>
      </c>
      <c r="V3" s="38">
        <f t="shared" ref="V3:V34" si="2">+SUMIF(H:H,U3,E:E)</f>
        <v>6812500</v>
      </c>
    </row>
    <row r="4">
      <c r="A4" s="112" t="s">
        <v>1776</v>
      </c>
      <c r="B4" s="112" t="s">
        <v>1782</v>
      </c>
      <c r="C4" s="113">
        <v>45799.0</v>
      </c>
      <c r="D4" s="112" t="s">
        <v>1752</v>
      </c>
      <c r="E4" s="114">
        <v>1.29185E8</v>
      </c>
      <c r="F4" s="112"/>
      <c r="G4" s="112" t="s">
        <v>1783</v>
      </c>
      <c r="H4" s="112" t="s">
        <v>1784</v>
      </c>
      <c r="I4" s="115">
        <f t="shared" si="1"/>
        <v>410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 t="s">
        <v>1784</v>
      </c>
      <c r="V4" s="38">
        <f t="shared" si="2"/>
        <v>258370000</v>
      </c>
    </row>
    <row r="5">
      <c r="A5" s="112" t="s">
        <v>1776</v>
      </c>
      <c r="B5" s="112" t="s">
        <v>1785</v>
      </c>
      <c r="C5" s="113">
        <v>45811.0</v>
      </c>
      <c r="D5" s="112" t="s">
        <v>1752</v>
      </c>
      <c r="E5" s="114">
        <v>1.29185E8</v>
      </c>
      <c r="F5" s="112"/>
      <c r="G5" s="112" t="s">
        <v>1783</v>
      </c>
      <c r="H5" s="112" t="s">
        <v>1784</v>
      </c>
      <c r="I5" s="115">
        <f t="shared" si="1"/>
        <v>398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 t="s">
        <v>1786</v>
      </c>
      <c r="V5" s="38">
        <f t="shared" si="2"/>
        <v>62500000</v>
      </c>
    </row>
    <row r="6">
      <c r="A6" s="112" t="s">
        <v>1776</v>
      </c>
      <c r="B6" s="112" t="s">
        <v>1787</v>
      </c>
      <c r="C6" s="113">
        <v>45943.0</v>
      </c>
      <c r="D6" s="112" t="s">
        <v>1752</v>
      </c>
      <c r="E6" s="116">
        <v>1.25E7</v>
      </c>
      <c r="F6" s="112"/>
      <c r="G6" s="112" t="s">
        <v>1783</v>
      </c>
      <c r="H6" s="112" t="s">
        <v>1786</v>
      </c>
      <c r="I6" s="115">
        <f t="shared" si="1"/>
        <v>266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 t="s">
        <v>1788</v>
      </c>
      <c r="V6" s="38">
        <f t="shared" si="2"/>
        <v>35000000</v>
      </c>
    </row>
    <row r="7">
      <c r="A7" s="106" t="s">
        <v>1776</v>
      </c>
      <c r="B7" s="106" t="s">
        <v>1789</v>
      </c>
      <c r="C7" s="107">
        <v>45947.0</v>
      </c>
      <c r="D7" s="106" t="s">
        <v>1752</v>
      </c>
      <c r="E7" s="117">
        <v>5000000.0</v>
      </c>
      <c r="F7" s="106"/>
      <c r="G7" s="106" t="s">
        <v>1778</v>
      </c>
      <c r="H7" s="106" t="s">
        <v>1788</v>
      </c>
      <c r="I7" s="109">
        <f t="shared" si="1"/>
        <v>262</v>
      </c>
      <c r="J7" s="4"/>
      <c r="K7" s="2"/>
      <c r="L7" s="8"/>
      <c r="M7" s="7"/>
      <c r="N7" s="5"/>
      <c r="O7" s="2"/>
      <c r="P7" s="2"/>
      <c r="Q7" s="2"/>
      <c r="R7" s="2"/>
      <c r="S7" s="2"/>
      <c r="T7" s="2"/>
      <c r="U7" s="2" t="s">
        <v>1790</v>
      </c>
      <c r="V7" s="38">
        <f t="shared" si="2"/>
        <v>44963000</v>
      </c>
    </row>
    <row r="8">
      <c r="A8" s="106" t="s">
        <v>1776</v>
      </c>
      <c r="B8" s="106" t="s">
        <v>1791</v>
      </c>
      <c r="C8" s="107">
        <v>45952.0</v>
      </c>
      <c r="D8" s="106" t="s">
        <v>1752</v>
      </c>
      <c r="E8" s="117">
        <v>5000000.0</v>
      </c>
      <c r="F8" s="106"/>
      <c r="G8" s="106" t="s">
        <v>1778</v>
      </c>
      <c r="H8" s="106" t="s">
        <v>1788</v>
      </c>
      <c r="I8" s="109">
        <f t="shared" si="1"/>
        <v>257</v>
      </c>
      <c r="J8" s="4"/>
      <c r="K8" s="118" t="s">
        <v>45</v>
      </c>
      <c r="L8" s="119">
        <f>+VLOOKUP(K8,'GESTION MOMENTUM'!A:B,2,0)</f>
        <v>48885390874</v>
      </c>
      <c r="M8" s="5"/>
      <c r="N8" s="2"/>
      <c r="O8" s="2"/>
      <c r="P8" s="2"/>
      <c r="Q8" s="2"/>
      <c r="R8" s="2"/>
      <c r="S8" s="2"/>
      <c r="T8" s="2"/>
      <c r="U8" s="2" t="s">
        <v>1792</v>
      </c>
      <c r="V8" s="38">
        <f t="shared" si="2"/>
        <v>70000000</v>
      </c>
    </row>
    <row r="9">
      <c r="A9" s="106" t="s">
        <v>1776</v>
      </c>
      <c r="B9" s="106" t="s">
        <v>1793</v>
      </c>
      <c r="C9" s="107">
        <v>45957.0</v>
      </c>
      <c r="D9" s="106" t="s">
        <v>1752</v>
      </c>
      <c r="E9" s="117">
        <v>5000000.0</v>
      </c>
      <c r="F9" s="106"/>
      <c r="G9" s="106" t="s">
        <v>1778</v>
      </c>
      <c r="H9" s="106" t="s">
        <v>1788</v>
      </c>
      <c r="I9" s="109">
        <f t="shared" si="1"/>
        <v>252</v>
      </c>
      <c r="J9" s="2"/>
      <c r="K9" s="12"/>
      <c r="L9" s="2"/>
      <c r="M9" s="2"/>
      <c r="N9" s="2"/>
      <c r="O9" s="2"/>
      <c r="P9" s="2"/>
      <c r="Q9" s="2"/>
      <c r="R9" s="2"/>
      <c r="S9" s="2"/>
      <c r="T9" s="2"/>
      <c r="U9" s="2" t="s">
        <v>1794</v>
      </c>
      <c r="V9" s="38">
        <f t="shared" si="2"/>
        <v>3125000</v>
      </c>
    </row>
    <row r="10">
      <c r="A10" s="106" t="s">
        <v>1776</v>
      </c>
      <c r="B10" s="106" t="s">
        <v>1795</v>
      </c>
      <c r="C10" s="107">
        <v>45959.0</v>
      </c>
      <c r="D10" s="106" t="s">
        <v>1752</v>
      </c>
      <c r="E10" s="117">
        <v>5000000.0</v>
      </c>
      <c r="F10" s="106"/>
      <c r="G10" s="106" t="s">
        <v>1778</v>
      </c>
      <c r="H10" s="106" t="s">
        <v>1788</v>
      </c>
      <c r="I10" s="109">
        <f t="shared" si="1"/>
        <v>250</v>
      </c>
      <c r="J10" s="2"/>
      <c r="K10" s="2"/>
      <c r="L10" s="120" t="s">
        <v>1752</v>
      </c>
      <c r="M10" s="120" t="s">
        <v>1796</v>
      </c>
      <c r="N10" s="2"/>
      <c r="O10" s="2"/>
      <c r="P10" s="2"/>
      <c r="Q10" s="2"/>
      <c r="R10" s="2"/>
      <c r="S10" s="2"/>
      <c r="T10" s="2"/>
      <c r="U10" s="2" t="s">
        <v>1797</v>
      </c>
      <c r="V10" s="38">
        <f t="shared" si="2"/>
        <v>150000000</v>
      </c>
    </row>
    <row r="11">
      <c r="A11" s="106" t="s">
        <v>1776</v>
      </c>
      <c r="B11" s="106" t="s">
        <v>1798</v>
      </c>
      <c r="C11" s="107">
        <v>45964.0</v>
      </c>
      <c r="D11" s="106" t="s">
        <v>1752</v>
      </c>
      <c r="E11" s="117">
        <v>5000000.0</v>
      </c>
      <c r="F11" s="106"/>
      <c r="G11" s="106" t="s">
        <v>1778</v>
      </c>
      <c r="H11" s="106" t="s">
        <v>1788</v>
      </c>
      <c r="I11" s="109">
        <f t="shared" si="1"/>
        <v>245</v>
      </c>
      <c r="J11" s="2"/>
      <c r="K11" s="121" t="s">
        <v>43</v>
      </c>
      <c r="L11" s="12">
        <f>+VLOOKUP(K11,'GESTION MOMENTUM'!A:B,2,0)</f>
        <v>-244924915.7</v>
      </c>
      <c r="M11" s="48">
        <f>+L11/L8</f>
        <v>-0.0050101863</v>
      </c>
      <c r="N11" s="2"/>
      <c r="O11" s="2"/>
      <c r="P11" s="2"/>
      <c r="Q11" s="2"/>
      <c r="R11" s="2"/>
      <c r="S11" s="2"/>
      <c r="T11" s="2"/>
      <c r="U11" s="2" t="s">
        <v>1799</v>
      </c>
      <c r="V11" s="38">
        <f t="shared" si="2"/>
        <v>27000000</v>
      </c>
    </row>
    <row r="12">
      <c r="A12" s="106" t="s">
        <v>1776</v>
      </c>
      <c r="B12" s="106" t="s">
        <v>1800</v>
      </c>
      <c r="C12" s="107">
        <v>45966.0</v>
      </c>
      <c r="D12" s="106" t="s">
        <v>1752</v>
      </c>
      <c r="E12" s="117">
        <v>5000000.0</v>
      </c>
      <c r="F12" s="106"/>
      <c r="G12" s="106" t="s">
        <v>1778</v>
      </c>
      <c r="H12" s="106" t="s">
        <v>1788</v>
      </c>
      <c r="I12" s="109">
        <f t="shared" si="1"/>
        <v>243</v>
      </c>
      <c r="J12" s="2"/>
      <c r="K12" s="122" t="s">
        <v>1778</v>
      </c>
      <c r="L12" s="123">
        <f>+SUMIF(G:G,K12,E:E)</f>
        <v>187612500</v>
      </c>
      <c r="M12" s="2"/>
      <c r="N12" s="2"/>
      <c r="O12" s="2"/>
      <c r="P12" s="2"/>
      <c r="Q12" s="2"/>
      <c r="R12" s="2"/>
      <c r="S12" s="2"/>
      <c r="T12" s="2"/>
      <c r="U12" s="2" t="s">
        <v>1801</v>
      </c>
      <c r="V12" s="38">
        <f t="shared" si="2"/>
        <v>24000000</v>
      </c>
    </row>
    <row r="13">
      <c r="A13" s="112" t="s">
        <v>1776</v>
      </c>
      <c r="B13" s="112" t="s">
        <v>1802</v>
      </c>
      <c r="C13" s="113">
        <v>45966.0</v>
      </c>
      <c r="D13" s="112" t="s">
        <v>1752</v>
      </c>
      <c r="E13" s="116">
        <v>4400000.0</v>
      </c>
      <c r="F13" s="112"/>
      <c r="G13" s="112" t="s">
        <v>1783</v>
      </c>
      <c r="H13" s="112" t="s">
        <v>1790</v>
      </c>
      <c r="I13" s="115">
        <f t="shared" si="1"/>
        <v>243</v>
      </c>
      <c r="J13" s="2"/>
      <c r="K13" s="2" t="s">
        <v>1803</v>
      </c>
      <c r="L13" s="124">
        <f>+L11+L12</f>
        <v>-57312415.65</v>
      </c>
      <c r="M13" s="2"/>
      <c r="N13" s="2"/>
      <c r="O13" s="2"/>
      <c r="P13" s="2"/>
      <c r="Q13" s="2"/>
      <c r="R13" s="2"/>
      <c r="S13" s="2"/>
      <c r="T13" s="2"/>
      <c r="U13" s="2" t="s">
        <v>1804</v>
      </c>
      <c r="V13" s="38">
        <f t="shared" si="2"/>
        <v>24800000</v>
      </c>
    </row>
    <row r="14">
      <c r="A14" s="112" t="s">
        <v>1776</v>
      </c>
      <c r="B14" s="112" t="s">
        <v>1805</v>
      </c>
      <c r="C14" s="113">
        <v>45968.0</v>
      </c>
      <c r="D14" s="112" t="s">
        <v>1752</v>
      </c>
      <c r="E14" s="116">
        <v>4400000.0</v>
      </c>
      <c r="F14" s="112"/>
      <c r="G14" s="112" t="s">
        <v>1783</v>
      </c>
      <c r="H14" s="112" t="s">
        <v>1790</v>
      </c>
      <c r="I14" s="115">
        <f t="shared" si="1"/>
        <v>241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 t="s">
        <v>1806</v>
      </c>
      <c r="V14" s="38">
        <f t="shared" si="2"/>
        <v>15000000</v>
      </c>
    </row>
    <row r="15">
      <c r="A15" s="112" t="s">
        <v>1776</v>
      </c>
      <c r="B15" s="112" t="s">
        <v>1807</v>
      </c>
      <c r="C15" s="113">
        <v>45971.0</v>
      </c>
      <c r="D15" s="112" t="s">
        <v>1752</v>
      </c>
      <c r="E15" s="116">
        <v>2.5E7</v>
      </c>
      <c r="F15" s="112"/>
      <c r="G15" s="112" t="s">
        <v>1783</v>
      </c>
      <c r="H15" s="112" t="s">
        <v>1786</v>
      </c>
      <c r="I15" s="115">
        <f t="shared" si="1"/>
        <v>238</v>
      </c>
      <c r="J15" s="2"/>
      <c r="K15" s="2" t="s">
        <v>1783</v>
      </c>
      <c r="L15" s="12">
        <f>+SUMIF(G:G,K15,E:E)+E2</f>
        <v>1564111550</v>
      </c>
      <c r="M15" s="48">
        <f>+SUMIF(G:G,K15,E:E)/$L$8</f>
        <v>0.0319258018</v>
      </c>
      <c r="N15" s="2"/>
      <c r="O15" s="2"/>
      <c r="P15" s="2"/>
      <c r="Q15" s="2"/>
      <c r="R15" s="2"/>
      <c r="S15" s="2"/>
      <c r="T15" s="2"/>
      <c r="U15" s="2" t="s">
        <v>1808</v>
      </c>
      <c r="V15" s="38">
        <f t="shared" si="2"/>
        <v>13958000</v>
      </c>
    </row>
    <row r="16">
      <c r="A16" s="112" t="s">
        <v>1776</v>
      </c>
      <c r="B16" s="112" t="s">
        <v>1809</v>
      </c>
      <c r="C16" s="113">
        <v>45971.0</v>
      </c>
      <c r="D16" s="112" t="s">
        <v>1752</v>
      </c>
      <c r="E16" s="116">
        <v>4400000.0</v>
      </c>
      <c r="F16" s="112"/>
      <c r="G16" s="112" t="s">
        <v>1783</v>
      </c>
      <c r="H16" s="112" t="s">
        <v>1790</v>
      </c>
      <c r="I16" s="115">
        <f t="shared" si="1"/>
        <v>238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 t="s">
        <v>1810</v>
      </c>
      <c r="V16" s="38">
        <f t="shared" si="2"/>
        <v>55300000</v>
      </c>
    </row>
    <row r="17">
      <c r="A17" s="112" t="s">
        <v>1776</v>
      </c>
      <c r="B17" s="112" t="s">
        <v>1811</v>
      </c>
      <c r="C17" s="113">
        <v>45972.0</v>
      </c>
      <c r="D17" s="112" t="s">
        <v>1752</v>
      </c>
      <c r="E17" s="116">
        <v>4400000.0</v>
      </c>
      <c r="F17" s="112"/>
      <c r="G17" s="112" t="s">
        <v>1783</v>
      </c>
      <c r="H17" s="112" t="s">
        <v>1790</v>
      </c>
      <c r="I17" s="115">
        <f t="shared" si="1"/>
        <v>237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 t="s">
        <v>1812</v>
      </c>
      <c r="V17" s="38">
        <f t="shared" si="2"/>
        <v>25000000</v>
      </c>
    </row>
    <row r="18">
      <c r="A18" s="106" t="s">
        <v>1776</v>
      </c>
      <c r="B18" s="106" t="s">
        <v>1813</v>
      </c>
      <c r="C18" s="107">
        <v>45972.0</v>
      </c>
      <c r="D18" s="106" t="s">
        <v>1752</v>
      </c>
      <c r="E18" s="117">
        <v>5000000.0</v>
      </c>
      <c r="F18" s="106"/>
      <c r="G18" s="106" t="s">
        <v>1778</v>
      </c>
      <c r="H18" s="106" t="s">
        <v>1788</v>
      </c>
      <c r="I18" s="109">
        <f t="shared" si="1"/>
        <v>237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 t="s">
        <v>1814</v>
      </c>
      <c r="V18" s="38">
        <f t="shared" si="2"/>
        <v>119500000</v>
      </c>
    </row>
    <row r="19">
      <c r="A19" s="112" t="s">
        <v>1776</v>
      </c>
      <c r="B19" s="112" t="s">
        <v>1815</v>
      </c>
      <c r="C19" s="113">
        <v>45974.0</v>
      </c>
      <c r="D19" s="112" t="s">
        <v>1752</v>
      </c>
      <c r="E19" s="116">
        <v>963000.0</v>
      </c>
      <c r="F19" s="112"/>
      <c r="G19" s="112" t="s">
        <v>1783</v>
      </c>
      <c r="H19" s="112" t="s">
        <v>1790</v>
      </c>
      <c r="I19" s="115">
        <f t="shared" si="1"/>
        <v>235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 t="s">
        <v>1816</v>
      </c>
      <c r="V19" s="38">
        <f t="shared" si="2"/>
        <v>995000</v>
      </c>
    </row>
    <row r="20">
      <c r="A20" s="112" t="s">
        <v>1776</v>
      </c>
      <c r="B20" s="112" t="s">
        <v>1817</v>
      </c>
      <c r="C20" s="113">
        <v>45975.0</v>
      </c>
      <c r="D20" s="112" t="s">
        <v>1752</v>
      </c>
      <c r="E20" s="116">
        <v>4400000.0</v>
      </c>
      <c r="F20" s="112"/>
      <c r="G20" s="112" t="s">
        <v>1783</v>
      </c>
      <c r="H20" s="112" t="s">
        <v>1790</v>
      </c>
      <c r="I20" s="115">
        <f t="shared" si="1"/>
        <v>234</v>
      </c>
      <c r="J20" s="2"/>
      <c r="K20" s="125" t="s">
        <v>1818</v>
      </c>
      <c r="L20" s="125" t="s">
        <v>1752</v>
      </c>
      <c r="M20" s="125" t="s">
        <v>1796</v>
      </c>
      <c r="N20" s="2"/>
      <c r="O20" s="126" t="s">
        <v>1819</v>
      </c>
      <c r="P20" s="127"/>
      <c r="Q20" s="2"/>
      <c r="R20" s="2"/>
      <c r="S20" s="2"/>
      <c r="T20" s="2"/>
      <c r="U20" s="2" t="s">
        <v>1820</v>
      </c>
      <c r="V20" s="38">
        <f t="shared" si="2"/>
        <v>7194300</v>
      </c>
    </row>
    <row r="21" ht="15.75" customHeight="1">
      <c r="A21" s="112" t="s">
        <v>1776</v>
      </c>
      <c r="B21" s="112" t="s">
        <v>1821</v>
      </c>
      <c r="C21" s="113">
        <v>45975.0</v>
      </c>
      <c r="D21" s="112" t="s">
        <v>1752</v>
      </c>
      <c r="E21" s="116">
        <v>2.5E7</v>
      </c>
      <c r="F21" s="112"/>
      <c r="G21" s="112" t="s">
        <v>1783</v>
      </c>
      <c r="H21" s="112" t="s">
        <v>1786</v>
      </c>
      <c r="I21" s="115">
        <f t="shared" si="1"/>
        <v>234</v>
      </c>
      <c r="J21" s="2"/>
      <c r="K21" s="2" t="str">
        <f t="array" ref="K21">+_xlws.SORT(U3:V34,2,-1)</f>
        <v>#NAME?</v>
      </c>
      <c r="L21" s="12"/>
      <c r="M21" s="48">
        <f t="shared" ref="M21:M52" si="3">+L21/$L$8</f>
        <v>0</v>
      </c>
      <c r="N21" s="2"/>
      <c r="O21" s="128">
        <f>+SUMIF('Reporte de Cheques'!A:A,'Cheques pendientes'!K21,'Reporte de Cheques'!I:I)</f>
        <v>0</v>
      </c>
      <c r="P21" s="127"/>
      <c r="Q21" s="2"/>
      <c r="R21" s="2"/>
      <c r="S21" s="2"/>
      <c r="T21" s="2"/>
      <c r="U21" s="2" t="s">
        <v>1822</v>
      </c>
      <c r="V21" s="38">
        <f t="shared" si="2"/>
        <v>425000000</v>
      </c>
    </row>
    <row r="22" ht="15.75" customHeight="1">
      <c r="A22" s="112" t="s">
        <v>1776</v>
      </c>
      <c r="B22" s="112" t="s">
        <v>1823</v>
      </c>
      <c r="C22" s="113">
        <v>45979.0</v>
      </c>
      <c r="D22" s="112" t="s">
        <v>1752</v>
      </c>
      <c r="E22" s="116">
        <v>4400000.0</v>
      </c>
      <c r="F22" s="112"/>
      <c r="G22" s="112" t="s">
        <v>1783</v>
      </c>
      <c r="H22" s="112" t="s">
        <v>1790</v>
      </c>
      <c r="I22" s="115">
        <f t="shared" si="1"/>
        <v>230</v>
      </c>
      <c r="J22" s="2"/>
      <c r="K22" s="2"/>
      <c r="L22" s="12"/>
      <c r="M22" s="48">
        <f t="shared" si="3"/>
        <v>0</v>
      </c>
      <c r="N22" s="2"/>
      <c r="O22" s="128">
        <f>+SUMIF('Reporte de Cheques'!A:A,'Cheques pendientes'!K22,'Reporte de Cheques'!I:I)</f>
        <v>0</v>
      </c>
      <c r="P22" s="127"/>
      <c r="Q22" s="2"/>
      <c r="R22" s="2"/>
      <c r="S22" s="2"/>
      <c r="T22" s="2"/>
      <c r="U22" s="2" t="s">
        <v>1824</v>
      </c>
      <c r="V22" s="38">
        <f t="shared" si="2"/>
        <v>4000000</v>
      </c>
    </row>
    <row r="23" ht="15.75" customHeight="1">
      <c r="A23" s="112" t="s">
        <v>1776</v>
      </c>
      <c r="B23" s="112" t="s">
        <v>1825</v>
      </c>
      <c r="C23" s="113">
        <v>45979.0</v>
      </c>
      <c r="D23" s="112" t="s">
        <v>1752</v>
      </c>
      <c r="E23" s="116">
        <v>4400000.0</v>
      </c>
      <c r="F23" s="112"/>
      <c r="G23" s="112" t="s">
        <v>1783</v>
      </c>
      <c r="H23" s="112" t="s">
        <v>1790</v>
      </c>
      <c r="I23" s="115">
        <f t="shared" si="1"/>
        <v>230</v>
      </c>
      <c r="J23" s="2"/>
      <c r="K23" s="2"/>
      <c r="L23" s="12"/>
      <c r="M23" s="48">
        <f t="shared" si="3"/>
        <v>0</v>
      </c>
      <c r="N23" s="2"/>
      <c r="O23" s="128">
        <f>+SUMIF('Reporte de Cheques'!A:A,'Cheques pendientes'!K23,'Reporte de Cheques'!I:I)</f>
        <v>0</v>
      </c>
      <c r="P23" s="127"/>
      <c r="Q23" s="2"/>
      <c r="R23" s="2"/>
      <c r="S23" s="2"/>
      <c r="T23" s="2"/>
      <c r="U23" s="2" t="s">
        <v>1826</v>
      </c>
      <c r="V23" s="38">
        <f t="shared" si="2"/>
        <v>21800000</v>
      </c>
    </row>
    <row r="24" ht="15.75" customHeight="1">
      <c r="A24" s="112" t="s">
        <v>1776</v>
      </c>
      <c r="B24" s="112" t="s">
        <v>1827</v>
      </c>
      <c r="C24" s="113">
        <v>45980.0</v>
      </c>
      <c r="D24" s="112" t="s">
        <v>1752</v>
      </c>
      <c r="E24" s="116">
        <v>4400000.0</v>
      </c>
      <c r="F24" s="112"/>
      <c r="G24" s="112" t="s">
        <v>1783</v>
      </c>
      <c r="H24" s="112" t="s">
        <v>1790</v>
      </c>
      <c r="I24" s="115">
        <f t="shared" si="1"/>
        <v>229</v>
      </c>
      <c r="J24" s="2"/>
      <c r="K24" s="2"/>
      <c r="L24" s="12"/>
      <c r="M24" s="48">
        <f t="shared" si="3"/>
        <v>0</v>
      </c>
      <c r="N24" s="2"/>
      <c r="O24" s="128">
        <f>+SUMIF('Reporte de Cheques'!A:A,'Cheques pendientes'!K24,'Reporte de Cheques'!I:I)</f>
        <v>0</v>
      </c>
      <c r="P24" s="127"/>
      <c r="Q24" s="2"/>
      <c r="R24" s="2"/>
      <c r="S24" s="2"/>
      <c r="T24" s="2"/>
      <c r="U24" s="2" t="s">
        <v>1828</v>
      </c>
      <c r="V24" s="38">
        <f t="shared" si="2"/>
        <v>40000000</v>
      </c>
    </row>
    <row r="25" ht="15.75" customHeight="1">
      <c r="A25" s="112" t="s">
        <v>1776</v>
      </c>
      <c r="B25" s="112" t="s">
        <v>1829</v>
      </c>
      <c r="C25" s="113">
        <v>45980.0</v>
      </c>
      <c r="D25" s="112" t="s">
        <v>1752</v>
      </c>
      <c r="E25" s="116">
        <v>4400000.0</v>
      </c>
      <c r="F25" s="112"/>
      <c r="G25" s="112" t="s">
        <v>1783</v>
      </c>
      <c r="H25" s="112" t="s">
        <v>1790</v>
      </c>
      <c r="I25" s="115">
        <f t="shared" si="1"/>
        <v>229</v>
      </c>
      <c r="J25" s="2"/>
      <c r="K25" s="2"/>
      <c r="L25" s="12"/>
      <c r="M25" s="48">
        <f t="shared" si="3"/>
        <v>0</v>
      </c>
      <c r="N25" s="2"/>
      <c r="O25" s="128">
        <f>+SUMIF('Reporte de Cheques'!A:A,'Cheques pendientes'!K25,'Reporte de Cheques'!I:I)</f>
        <v>0</v>
      </c>
      <c r="P25" s="127"/>
      <c r="Q25" s="2"/>
      <c r="R25" s="2"/>
      <c r="S25" s="2"/>
      <c r="T25" s="2"/>
      <c r="U25" s="2" t="s">
        <v>1830</v>
      </c>
      <c r="V25" s="38">
        <f t="shared" si="2"/>
        <v>300000000</v>
      </c>
    </row>
    <row r="26" ht="15.75" customHeight="1">
      <c r="A26" s="112" t="s">
        <v>1776</v>
      </c>
      <c r="B26" s="112" t="s">
        <v>1831</v>
      </c>
      <c r="C26" s="113">
        <v>45981.0</v>
      </c>
      <c r="D26" s="112" t="s">
        <v>1752</v>
      </c>
      <c r="E26" s="116">
        <v>4400000.0</v>
      </c>
      <c r="F26" s="112"/>
      <c r="G26" s="112" t="s">
        <v>1783</v>
      </c>
      <c r="H26" s="112" t="s">
        <v>1790</v>
      </c>
      <c r="I26" s="115">
        <f t="shared" si="1"/>
        <v>228</v>
      </c>
      <c r="J26" s="2"/>
      <c r="K26" s="2"/>
      <c r="L26" s="12"/>
      <c r="M26" s="48">
        <f t="shared" si="3"/>
        <v>0</v>
      </c>
      <c r="N26" s="2"/>
      <c r="O26" s="128">
        <f>+SUMIF('Reporte de Cheques'!A:A,'Cheques pendientes'!K26,'Reporte de Cheques'!I:I)</f>
        <v>0</v>
      </c>
      <c r="P26" s="127"/>
      <c r="Q26" s="2"/>
      <c r="R26" s="2"/>
      <c r="S26" s="2"/>
      <c r="T26" s="2"/>
      <c r="U26" s="2"/>
      <c r="V26" s="38">
        <f t="shared" si="2"/>
        <v>0</v>
      </c>
    </row>
    <row r="27" ht="15.75" customHeight="1">
      <c r="A27" s="106" t="s">
        <v>1776</v>
      </c>
      <c r="B27" s="106" t="s">
        <v>1832</v>
      </c>
      <c r="C27" s="107">
        <v>45981.0</v>
      </c>
      <c r="D27" s="106" t="s">
        <v>1752</v>
      </c>
      <c r="E27" s="117">
        <v>2.0E7</v>
      </c>
      <c r="F27" s="106"/>
      <c r="G27" s="106" t="s">
        <v>1778</v>
      </c>
      <c r="H27" s="106" t="s">
        <v>1792</v>
      </c>
      <c r="I27" s="109">
        <f t="shared" si="1"/>
        <v>228</v>
      </c>
      <c r="J27" s="2"/>
      <c r="K27" s="2"/>
      <c r="L27" s="12"/>
      <c r="M27" s="48">
        <f t="shared" si="3"/>
        <v>0</v>
      </c>
      <c r="N27" s="2"/>
      <c r="O27" s="128">
        <f>+SUMIF('Reporte de Cheques'!A:A,'Cheques pendientes'!K27,'Reporte de Cheques'!I:I)</f>
        <v>0</v>
      </c>
      <c r="P27" s="127"/>
      <c r="Q27" s="2"/>
      <c r="R27" s="2"/>
      <c r="S27" s="2"/>
      <c r="T27" s="2"/>
      <c r="U27" s="2"/>
      <c r="V27" s="38">
        <f t="shared" si="2"/>
        <v>0</v>
      </c>
    </row>
    <row r="28" ht="15.75" customHeight="1">
      <c r="A28" s="106" t="s">
        <v>1776</v>
      </c>
      <c r="B28" s="106" t="s">
        <v>1833</v>
      </c>
      <c r="C28" s="107">
        <v>45986.0</v>
      </c>
      <c r="D28" s="106" t="s">
        <v>1752</v>
      </c>
      <c r="E28" s="117">
        <v>2.0E7</v>
      </c>
      <c r="F28" s="106"/>
      <c r="G28" s="106" t="s">
        <v>1778</v>
      </c>
      <c r="H28" s="106" t="s">
        <v>1792</v>
      </c>
      <c r="I28" s="109">
        <f t="shared" si="1"/>
        <v>223</v>
      </c>
      <c r="J28" s="2"/>
      <c r="K28" s="2"/>
      <c r="L28" s="12"/>
      <c r="M28" s="48">
        <f t="shared" si="3"/>
        <v>0</v>
      </c>
      <c r="N28" s="2"/>
      <c r="O28" s="128">
        <f>+SUMIF('Reporte de Cheques'!A:A,'Cheques pendientes'!K28,'Reporte de Cheques'!I:I)</f>
        <v>0</v>
      </c>
      <c r="P28" s="127"/>
      <c r="Q28" s="2"/>
      <c r="R28" s="2"/>
      <c r="S28" s="2"/>
      <c r="T28" s="2"/>
      <c r="U28" s="2"/>
      <c r="V28" s="38">
        <f t="shared" si="2"/>
        <v>0</v>
      </c>
    </row>
    <row r="29" ht="15.75" customHeight="1">
      <c r="A29" s="106" t="s">
        <v>1776</v>
      </c>
      <c r="B29" s="106" t="s">
        <v>1834</v>
      </c>
      <c r="C29" s="107">
        <v>45987.0</v>
      </c>
      <c r="D29" s="106" t="s">
        <v>1752</v>
      </c>
      <c r="E29" s="117">
        <v>1.0E7</v>
      </c>
      <c r="F29" s="106"/>
      <c r="G29" s="106" t="s">
        <v>1778</v>
      </c>
      <c r="H29" s="106" t="s">
        <v>1792</v>
      </c>
      <c r="I29" s="109">
        <f t="shared" si="1"/>
        <v>222</v>
      </c>
      <c r="J29" s="2"/>
      <c r="K29" s="2"/>
      <c r="L29" s="12"/>
      <c r="M29" s="48">
        <f t="shared" si="3"/>
        <v>0</v>
      </c>
      <c r="N29" s="2"/>
      <c r="O29" s="128">
        <f>+SUMIF('Reporte de Cheques'!A:A,'Cheques pendientes'!K29,'Reporte de Cheques'!I:I)</f>
        <v>0</v>
      </c>
      <c r="P29" s="127"/>
      <c r="Q29" s="2"/>
      <c r="R29" s="2"/>
      <c r="S29" s="2"/>
      <c r="T29" s="2"/>
      <c r="U29" s="2"/>
      <c r="V29" s="38">
        <f t="shared" si="2"/>
        <v>0</v>
      </c>
    </row>
    <row r="30" ht="15.75" customHeight="1">
      <c r="A30" s="106" t="s">
        <v>1776</v>
      </c>
      <c r="B30" s="106" t="s">
        <v>1835</v>
      </c>
      <c r="C30" s="107">
        <v>45988.0</v>
      </c>
      <c r="D30" s="106" t="s">
        <v>1752</v>
      </c>
      <c r="E30" s="117">
        <v>1.0E7</v>
      </c>
      <c r="F30" s="106"/>
      <c r="G30" s="106" t="s">
        <v>1778</v>
      </c>
      <c r="H30" s="106" t="s">
        <v>1792</v>
      </c>
      <c r="I30" s="109">
        <f t="shared" si="1"/>
        <v>221</v>
      </c>
      <c r="J30" s="2"/>
      <c r="K30" s="2"/>
      <c r="L30" s="12"/>
      <c r="M30" s="48">
        <f t="shared" si="3"/>
        <v>0</v>
      </c>
      <c r="N30" s="2"/>
      <c r="O30" s="128">
        <f>+SUMIF('Reporte de Cheques'!A:A,'Cheques pendientes'!K30,'Reporte de Cheques'!I:I)</f>
        <v>0</v>
      </c>
      <c r="P30" s="127"/>
      <c r="Q30" s="2"/>
      <c r="R30" s="2"/>
      <c r="S30" s="2"/>
      <c r="T30" s="2"/>
      <c r="U30" s="2"/>
      <c r="V30" s="38">
        <f t="shared" si="2"/>
        <v>0</v>
      </c>
    </row>
    <row r="31" ht="15.75" customHeight="1">
      <c r="A31" s="106" t="s">
        <v>1776</v>
      </c>
      <c r="B31" s="106" t="s">
        <v>1836</v>
      </c>
      <c r="C31" s="107">
        <v>45988.0</v>
      </c>
      <c r="D31" s="106" t="s">
        <v>1752</v>
      </c>
      <c r="E31" s="117">
        <v>1.0E7</v>
      </c>
      <c r="F31" s="106"/>
      <c r="G31" s="106" t="s">
        <v>1778</v>
      </c>
      <c r="H31" s="106" t="s">
        <v>1792</v>
      </c>
      <c r="I31" s="109">
        <f t="shared" si="1"/>
        <v>221</v>
      </c>
      <c r="J31" s="2"/>
      <c r="K31" s="2"/>
      <c r="L31" s="12"/>
      <c r="M31" s="48">
        <f t="shared" si="3"/>
        <v>0</v>
      </c>
      <c r="N31" s="2"/>
      <c r="O31" s="128">
        <f>+SUMIF('Reporte de Cheques'!A:A,'Cheques pendientes'!K31,'Reporte de Cheques'!I:I)</f>
        <v>0</v>
      </c>
      <c r="P31" s="127"/>
      <c r="Q31" s="2"/>
      <c r="R31" s="2"/>
      <c r="S31" s="2"/>
      <c r="T31" s="2"/>
      <c r="U31" s="2"/>
      <c r="V31" s="38">
        <f t="shared" si="2"/>
        <v>0</v>
      </c>
    </row>
    <row r="32" ht="15.75" customHeight="1">
      <c r="A32" s="112" t="s">
        <v>1776</v>
      </c>
      <c r="B32" s="112" t="s">
        <v>1837</v>
      </c>
      <c r="C32" s="113">
        <v>45992.0</v>
      </c>
      <c r="D32" s="112" t="s">
        <v>1752</v>
      </c>
      <c r="E32" s="116">
        <v>3125000.0</v>
      </c>
      <c r="F32" s="112"/>
      <c r="G32" s="112" t="s">
        <v>1783</v>
      </c>
      <c r="H32" s="112" t="s">
        <v>1794</v>
      </c>
      <c r="I32" s="115">
        <f t="shared" si="1"/>
        <v>217</v>
      </c>
      <c r="J32" s="2"/>
      <c r="K32" s="2"/>
      <c r="L32" s="12"/>
      <c r="M32" s="48">
        <f t="shared" si="3"/>
        <v>0</v>
      </c>
      <c r="N32" s="2"/>
      <c r="O32" s="128">
        <f>+SUMIF('Reporte de Cheques'!A:A,'Cheques pendientes'!K32,'Reporte de Cheques'!I:I)</f>
        <v>0</v>
      </c>
      <c r="P32" s="127"/>
      <c r="Q32" s="2"/>
      <c r="R32" s="2"/>
      <c r="S32" s="2"/>
      <c r="T32" s="2"/>
      <c r="U32" s="2"/>
      <c r="V32" s="38">
        <f t="shared" si="2"/>
        <v>0</v>
      </c>
    </row>
    <row r="33" ht="15.75" customHeight="1">
      <c r="A33" s="112" t="s">
        <v>1776</v>
      </c>
      <c r="B33" s="112" t="s">
        <v>1838</v>
      </c>
      <c r="C33" s="113">
        <v>45994.0</v>
      </c>
      <c r="D33" s="112" t="s">
        <v>1752</v>
      </c>
      <c r="E33" s="116">
        <v>2.5E7</v>
      </c>
      <c r="F33" s="112"/>
      <c r="G33" s="112" t="s">
        <v>1783</v>
      </c>
      <c r="H33" s="112" t="s">
        <v>1797</v>
      </c>
      <c r="I33" s="115">
        <f t="shared" si="1"/>
        <v>215</v>
      </c>
      <c r="J33" s="2"/>
      <c r="K33" s="2"/>
      <c r="L33" s="12"/>
      <c r="M33" s="48">
        <f t="shared" si="3"/>
        <v>0</v>
      </c>
      <c r="N33" s="2"/>
      <c r="O33" s="128">
        <f>+SUMIF('Reporte de Cheques'!A:A,'Cheques pendientes'!K33,'Reporte de Cheques'!I:I)</f>
        <v>0</v>
      </c>
      <c r="P33" s="127"/>
      <c r="Q33" s="2"/>
      <c r="R33" s="2"/>
      <c r="S33" s="2"/>
      <c r="T33" s="2"/>
      <c r="U33" s="2"/>
      <c r="V33" s="38">
        <f t="shared" si="2"/>
        <v>0</v>
      </c>
    </row>
    <row r="34" ht="15.75" customHeight="1">
      <c r="A34" s="106" t="s">
        <v>1776</v>
      </c>
      <c r="B34" s="106" t="s">
        <v>1839</v>
      </c>
      <c r="C34" s="107">
        <v>46008.0</v>
      </c>
      <c r="D34" s="106" t="s">
        <v>1752</v>
      </c>
      <c r="E34" s="117">
        <v>2.7E7</v>
      </c>
      <c r="F34" s="106"/>
      <c r="G34" s="106" t="s">
        <v>1778</v>
      </c>
      <c r="H34" s="106" t="s">
        <v>1799</v>
      </c>
      <c r="I34" s="109">
        <f t="shared" si="1"/>
        <v>201</v>
      </c>
      <c r="J34" s="2"/>
      <c r="K34" s="2"/>
      <c r="L34" s="12"/>
      <c r="M34" s="48">
        <f t="shared" si="3"/>
        <v>0</v>
      </c>
      <c r="N34" s="2"/>
      <c r="O34" s="128">
        <f>+SUMIF('Reporte de Cheques'!A:A,'Cheques pendientes'!K34,'Reporte de Cheques'!I:I)</f>
        <v>0</v>
      </c>
      <c r="P34" s="127"/>
      <c r="Q34" s="2"/>
      <c r="R34" s="2"/>
      <c r="S34" s="2"/>
      <c r="T34" s="2"/>
      <c r="U34" s="2"/>
      <c r="V34" s="38">
        <f t="shared" si="2"/>
        <v>0</v>
      </c>
    </row>
    <row r="35" ht="15.75" customHeight="1">
      <c r="A35" s="106" t="s">
        <v>1776</v>
      </c>
      <c r="B35" s="106" t="s">
        <v>1840</v>
      </c>
      <c r="C35" s="107">
        <v>46010.0</v>
      </c>
      <c r="D35" s="106" t="s">
        <v>1752</v>
      </c>
      <c r="E35" s="117">
        <v>6000000.0</v>
      </c>
      <c r="F35" s="106"/>
      <c r="G35" s="106" t="s">
        <v>1778</v>
      </c>
      <c r="H35" s="106" t="s">
        <v>1801</v>
      </c>
      <c r="I35" s="109">
        <f t="shared" si="1"/>
        <v>199</v>
      </c>
      <c r="J35" s="2"/>
      <c r="K35" s="2"/>
      <c r="L35" s="12"/>
      <c r="M35" s="48">
        <f t="shared" si="3"/>
        <v>0</v>
      </c>
      <c r="N35" s="2"/>
      <c r="O35" s="128">
        <f>+SUMIF('Reporte de Cheques'!A:A,'Cheques pendientes'!K35,'Reporte de Cheques'!I:I)</f>
        <v>0</v>
      </c>
      <c r="P35" s="127"/>
      <c r="Q35" s="2"/>
      <c r="R35" s="2"/>
      <c r="S35" s="2"/>
      <c r="T35" s="2"/>
      <c r="U35" s="2"/>
      <c r="V35" s="38"/>
    </row>
    <row r="36" ht="15.75" customHeight="1">
      <c r="A36" s="106" t="s">
        <v>1776</v>
      </c>
      <c r="B36" s="106" t="s">
        <v>1841</v>
      </c>
      <c r="C36" s="107">
        <v>46013.0</v>
      </c>
      <c r="D36" s="106" t="s">
        <v>1752</v>
      </c>
      <c r="E36" s="117">
        <v>2.48E7</v>
      </c>
      <c r="F36" s="106"/>
      <c r="G36" s="106" t="s">
        <v>1778</v>
      </c>
      <c r="H36" s="106" t="s">
        <v>1804</v>
      </c>
      <c r="I36" s="109">
        <f t="shared" si="1"/>
        <v>196</v>
      </c>
      <c r="J36" s="2"/>
      <c r="K36" s="2"/>
      <c r="L36" s="12"/>
      <c r="M36" s="48">
        <f t="shared" si="3"/>
        <v>0</v>
      </c>
      <c r="N36" s="2"/>
      <c r="O36" s="128">
        <f>+SUMIF('Reporte de Cheques'!A:A,'Cheques pendientes'!K36,'Reporte de Cheques'!I:I)</f>
        <v>0</v>
      </c>
      <c r="P36" s="127"/>
      <c r="Q36" s="2"/>
      <c r="R36" s="2"/>
      <c r="S36" s="2"/>
      <c r="T36" s="2"/>
      <c r="U36" s="2"/>
      <c r="V36" s="38"/>
    </row>
    <row r="37" ht="15.75" customHeight="1">
      <c r="A37" s="112" t="s">
        <v>1776</v>
      </c>
      <c r="B37" s="112" t="s">
        <v>1842</v>
      </c>
      <c r="C37" s="113">
        <v>46024.0</v>
      </c>
      <c r="D37" s="112" t="s">
        <v>1752</v>
      </c>
      <c r="E37" s="116">
        <v>2.5E7</v>
      </c>
      <c r="F37" s="112"/>
      <c r="G37" s="112" t="s">
        <v>1783</v>
      </c>
      <c r="H37" s="112" t="s">
        <v>1797</v>
      </c>
      <c r="I37" s="115">
        <f t="shared" si="1"/>
        <v>185</v>
      </c>
      <c r="J37" s="2"/>
      <c r="K37" s="2"/>
      <c r="L37" s="12"/>
      <c r="M37" s="48">
        <f t="shared" si="3"/>
        <v>0</v>
      </c>
      <c r="N37" s="2"/>
      <c r="O37" s="128">
        <f>+SUMIF('Reporte de Cheques'!A:A,'Cheques pendientes'!K37,'Reporte de Cheques'!I:I)</f>
        <v>0</v>
      </c>
      <c r="P37" s="127"/>
      <c r="Q37" s="2"/>
      <c r="R37" s="2"/>
      <c r="S37" s="2"/>
      <c r="T37" s="2"/>
      <c r="U37" s="2"/>
      <c r="V37" s="38"/>
    </row>
    <row r="38" ht="15.75" customHeight="1">
      <c r="A38" s="112" t="s">
        <v>1776</v>
      </c>
      <c r="B38" s="112" t="s">
        <v>1843</v>
      </c>
      <c r="C38" s="113">
        <v>46028.0</v>
      </c>
      <c r="D38" s="112" t="s">
        <v>1752</v>
      </c>
      <c r="E38" s="116">
        <v>1.0E7</v>
      </c>
      <c r="F38" s="112"/>
      <c r="G38" s="112" t="s">
        <v>1783</v>
      </c>
      <c r="H38" s="112" t="s">
        <v>1797</v>
      </c>
      <c r="I38" s="115">
        <f t="shared" si="1"/>
        <v>181</v>
      </c>
      <c r="J38" s="2"/>
      <c r="K38" s="2"/>
      <c r="L38" s="12"/>
      <c r="M38" s="48">
        <f t="shared" si="3"/>
        <v>0</v>
      </c>
      <c r="N38" s="2"/>
      <c r="O38" s="128">
        <f>+SUMIF('Reporte de Cheques'!A:A,'Cheques pendientes'!K38,'Reporte de Cheques'!I:I)</f>
        <v>0</v>
      </c>
      <c r="P38" s="127"/>
      <c r="Q38" s="2"/>
      <c r="R38" s="2"/>
      <c r="S38" s="2"/>
      <c r="T38" s="2"/>
      <c r="U38" s="2"/>
      <c r="V38" s="38"/>
    </row>
    <row r="39" ht="15.75" customHeight="1">
      <c r="A39" s="106" t="s">
        <v>1776</v>
      </c>
      <c r="B39" s="106" t="s">
        <v>1844</v>
      </c>
      <c r="C39" s="107">
        <v>46028.0</v>
      </c>
      <c r="D39" s="106" t="s">
        <v>1752</v>
      </c>
      <c r="E39" s="117">
        <v>6000000.0</v>
      </c>
      <c r="F39" s="106"/>
      <c r="G39" s="106" t="s">
        <v>1778</v>
      </c>
      <c r="H39" s="106" t="s">
        <v>1801</v>
      </c>
      <c r="I39" s="109">
        <f t="shared" si="1"/>
        <v>181</v>
      </c>
      <c r="J39" s="2"/>
      <c r="K39" s="2"/>
      <c r="L39" s="12"/>
      <c r="M39" s="48">
        <f t="shared" si="3"/>
        <v>0</v>
      </c>
      <c r="N39" s="2"/>
      <c r="O39" s="128">
        <f>+SUMIF('Reporte de Cheques'!A:A,'Cheques pendientes'!K39,'Reporte de Cheques'!I:I)</f>
        <v>0</v>
      </c>
      <c r="P39" s="127"/>
      <c r="Q39" s="2"/>
      <c r="R39" s="2"/>
      <c r="S39" s="2"/>
      <c r="T39" s="2"/>
      <c r="U39" s="2"/>
      <c r="V39" s="38"/>
    </row>
    <row r="40" ht="15.75" customHeight="1">
      <c r="A40" s="112" t="s">
        <v>1776</v>
      </c>
      <c r="B40" s="112" t="s">
        <v>1845</v>
      </c>
      <c r="C40" s="113">
        <v>46029.0</v>
      </c>
      <c r="D40" s="112" t="s">
        <v>1752</v>
      </c>
      <c r="E40" s="116">
        <v>1.0E7</v>
      </c>
      <c r="F40" s="112"/>
      <c r="G40" s="112" t="s">
        <v>1783</v>
      </c>
      <c r="H40" s="112" t="s">
        <v>1797</v>
      </c>
      <c r="I40" s="115">
        <f t="shared" si="1"/>
        <v>180</v>
      </c>
      <c r="J40" s="2"/>
      <c r="K40" s="2"/>
      <c r="L40" s="12"/>
      <c r="M40" s="48">
        <f t="shared" si="3"/>
        <v>0</v>
      </c>
      <c r="N40" s="2"/>
      <c r="O40" s="128">
        <f>+SUMIF('Reporte de Cheques'!A:A,'Cheques pendientes'!K40,'Reporte de Cheques'!I:I)</f>
        <v>0</v>
      </c>
      <c r="P40" s="127"/>
      <c r="Q40" s="2"/>
      <c r="R40" s="2"/>
      <c r="S40" s="2"/>
      <c r="T40" s="2"/>
      <c r="U40" s="2"/>
      <c r="V40" s="38"/>
    </row>
    <row r="41" ht="15.75" customHeight="1">
      <c r="A41" s="112" t="s">
        <v>1776</v>
      </c>
      <c r="B41" s="112" t="s">
        <v>1846</v>
      </c>
      <c r="C41" s="113">
        <v>46035.0</v>
      </c>
      <c r="D41" s="112" t="s">
        <v>1752</v>
      </c>
      <c r="E41" s="116">
        <v>1.0E7</v>
      </c>
      <c r="F41" s="112"/>
      <c r="G41" s="112" t="s">
        <v>1783</v>
      </c>
      <c r="H41" s="112" t="s">
        <v>1797</v>
      </c>
      <c r="I41" s="115">
        <f t="shared" si="1"/>
        <v>174</v>
      </c>
      <c r="J41" s="2"/>
      <c r="K41" s="2"/>
      <c r="L41" s="12"/>
      <c r="M41" s="48">
        <f t="shared" si="3"/>
        <v>0</v>
      </c>
      <c r="N41" s="2"/>
      <c r="O41" s="128">
        <f>+SUMIF('Reporte de Cheques'!A:A,'Cheques pendientes'!K41,'Reporte de Cheques'!I:I)</f>
        <v>0</v>
      </c>
      <c r="P41" s="127"/>
      <c r="Q41" s="2"/>
      <c r="R41" s="2"/>
      <c r="S41" s="2"/>
      <c r="T41" s="2"/>
      <c r="U41" s="2"/>
      <c r="V41" s="38"/>
    </row>
    <row r="42" ht="15.75" customHeight="1">
      <c r="A42" s="112" t="s">
        <v>1776</v>
      </c>
      <c r="B42" s="112" t="s">
        <v>1847</v>
      </c>
      <c r="C42" s="113">
        <v>46036.0</v>
      </c>
      <c r="D42" s="112" t="s">
        <v>1752</v>
      </c>
      <c r="E42" s="116">
        <v>1.0E7</v>
      </c>
      <c r="F42" s="112"/>
      <c r="G42" s="112" t="s">
        <v>1783</v>
      </c>
      <c r="H42" s="112" t="s">
        <v>1797</v>
      </c>
      <c r="I42" s="115">
        <f t="shared" si="1"/>
        <v>173</v>
      </c>
      <c r="J42" s="2"/>
      <c r="K42" s="2"/>
      <c r="L42" s="12"/>
      <c r="M42" s="48">
        <f t="shared" si="3"/>
        <v>0</v>
      </c>
      <c r="N42" s="2"/>
      <c r="O42" s="128">
        <f>+SUMIF('Reporte de Cheques'!A:A,'Cheques pendientes'!K42,'Reporte de Cheques'!I:I)</f>
        <v>0</v>
      </c>
      <c r="P42" s="127"/>
      <c r="Q42" s="2"/>
      <c r="R42" s="2"/>
      <c r="S42" s="2"/>
      <c r="T42" s="2"/>
      <c r="U42" s="2"/>
      <c r="V42" s="38"/>
    </row>
    <row r="43" ht="15.75" customHeight="1">
      <c r="A43" s="112" t="s">
        <v>1776</v>
      </c>
      <c r="B43" s="112" t="s">
        <v>1848</v>
      </c>
      <c r="C43" s="113">
        <v>46036.0</v>
      </c>
      <c r="D43" s="112" t="s">
        <v>1752</v>
      </c>
      <c r="E43" s="116">
        <v>5000000.0</v>
      </c>
      <c r="F43" s="112"/>
      <c r="G43" s="112" t="s">
        <v>1783</v>
      </c>
      <c r="H43" s="112" t="s">
        <v>1806</v>
      </c>
      <c r="I43" s="115">
        <f t="shared" si="1"/>
        <v>173</v>
      </c>
      <c r="J43" s="2"/>
      <c r="K43" s="2"/>
      <c r="L43" s="12"/>
      <c r="M43" s="48">
        <f t="shared" si="3"/>
        <v>0</v>
      </c>
      <c r="N43" s="2"/>
      <c r="O43" s="128">
        <f>+SUMIF('Reporte de Cheques'!A:A,'Cheques pendientes'!K43,'Reporte de Cheques'!I:I)</f>
        <v>0</v>
      </c>
      <c r="P43" s="127"/>
      <c r="Q43" s="2"/>
      <c r="R43" s="2"/>
      <c r="S43" s="2"/>
      <c r="T43" s="2"/>
      <c r="U43" s="2"/>
      <c r="V43" s="38"/>
    </row>
    <row r="44" ht="15.75" customHeight="1">
      <c r="A44" s="112" t="s">
        <v>1776</v>
      </c>
      <c r="B44" s="112" t="s">
        <v>1849</v>
      </c>
      <c r="C44" s="113">
        <v>46038.0</v>
      </c>
      <c r="D44" s="112" t="s">
        <v>1752</v>
      </c>
      <c r="E44" s="116">
        <v>5000000.0</v>
      </c>
      <c r="F44" s="112"/>
      <c r="G44" s="112" t="s">
        <v>1783</v>
      </c>
      <c r="H44" s="112" t="s">
        <v>1806</v>
      </c>
      <c r="I44" s="115">
        <f t="shared" si="1"/>
        <v>171</v>
      </c>
      <c r="J44" s="2"/>
      <c r="K44" s="2"/>
      <c r="L44" s="12"/>
      <c r="M44" s="48">
        <f t="shared" si="3"/>
        <v>0</v>
      </c>
      <c r="N44" s="2"/>
      <c r="O44" s="128">
        <f>+SUMIF('Reporte de Cheques'!A:A,'Cheques pendientes'!K44,'Reporte de Cheques'!I:I)</f>
        <v>0</v>
      </c>
      <c r="P44" s="127"/>
      <c r="Q44" s="2"/>
      <c r="R44" s="2"/>
      <c r="S44" s="2"/>
      <c r="T44" s="2"/>
      <c r="U44" s="2"/>
      <c r="V44" s="38"/>
    </row>
    <row r="45" ht="15.75" customHeight="1">
      <c r="A45" s="112" t="s">
        <v>1776</v>
      </c>
      <c r="B45" s="112" t="s">
        <v>1850</v>
      </c>
      <c r="C45" s="113">
        <v>46042.0</v>
      </c>
      <c r="D45" s="112" t="s">
        <v>1752</v>
      </c>
      <c r="E45" s="116">
        <v>1.0E7</v>
      </c>
      <c r="F45" s="112"/>
      <c r="G45" s="112" t="s">
        <v>1783</v>
      </c>
      <c r="H45" s="112" t="s">
        <v>1797</v>
      </c>
      <c r="I45" s="115">
        <f t="shared" si="1"/>
        <v>167</v>
      </c>
      <c r="J45" s="2"/>
      <c r="K45" s="2"/>
      <c r="L45" s="12"/>
      <c r="M45" s="48">
        <f t="shared" si="3"/>
        <v>0</v>
      </c>
      <c r="N45" s="2"/>
      <c r="O45" s="128">
        <f>+SUMIF('Reporte de Cheques'!A:A,'Cheques pendientes'!K45,'Reporte de Cheques'!I:I)</f>
        <v>0</v>
      </c>
      <c r="P45" s="127"/>
      <c r="Q45" s="2"/>
      <c r="R45" s="2"/>
      <c r="S45" s="2"/>
      <c r="T45" s="2"/>
      <c r="U45" s="2"/>
      <c r="V45" s="38"/>
    </row>
    <row r="46" ht="15.75" customHeight="1">
      <c r="A46" s="106" t="s">
        <v>1776</v>
      </c>
      <c r="B46" s="106" t="s">
        <v>1851</v>
      </c>
      <c r="C46" s="107">
        <v>46042.0</v>
      </c>
      <c r="D46" s="106" t="s">
        <v>1752</v>
      </c>
      <c r="E46" s="117">
        <v>4000000.0</v>
      </c>
      <c r="F46" s="106"/>
      <c r="G46" s="106" t="s">
        <v>1778</v>
      </c>
      <c r="H46" s="106" t="s">
        <v>1801</v>
      </c>
      <c r="I46" s="109">
        <f t="shared" si="1"/>
        <v>167</v>
      </c>
      <c r="J46" s="2"/>
      <c r="K46" s="2"/>
      <c r="L46" s="12"/>
      <c r="M46" s="48">
        <f t="shared" si="3"/>
        <v>0</v>
      </c>
      <c r="N46" s="2"/>
      <c r="O46" s="128">
        <f>+SUMIF('Reporte de Cheques'!A:A,'Cheques pendientes'!K46,'Reporte de Cheques'!I:I)</f>
        <v>0</v>
      </c>
      <c r="P46" s="127"/>
      <c r="Q46" s="2"/>
      <c r="R46" s="2"/>
      <c r="S46" s="2"/>
      <c r="T46" s="2"/>
      <c r="U46" s="2"/>
      <c r="V46" s="38"/>
    </row>
    <row r="47" ht="15.75" customHeight="1">
      <c r="A47" s="112" t="s">
        <v>1776</v>
      </c>
      <c r="B47" s="112" t="s">
        <v>1852</v>
      </c>
      <c r="C47" s="113">
        <v>46043.0</v>
      </c>
      <c r="D47" s="112" t="s">
        <v>1752</v>
      </c>
      <c r="E47" s="116">
        <v>1.0E7</v>
      </c>
      <c r="F47" s="112"/>
      <c r="G47" s="112" t="s">
        <v>1783</v>
      </c>
      <c r="H47" s="112" t="s">
        <v>1797</v>
      </c>
      <c r="I47" s="115">
        <f t="shared" si="1"/>
        <v>166</v>
      </c>
      <c r="J47" s="2"/>
      <c r="K47" s="2"/>
      <c r="L47" s="12"/>
      <c r="M47" s="48">
        <f t="shared" si="3"/>
        <v>0</v>
      </c>
      <c r="N47" s="2"/>
      <c r="O47" s="128">
        <f>+SUMIF('Reporte de Cheques'!A:A,'Cheques pendientes'!K47,'Reporte de Cheques'!I:I)</f>
        <v>0</v>
      </c>
      <c r="P47" s="127"/>
      <c r="Q47" s="2"/>
      <c r="R47" s="2"/>
      <c r="S47" s="2"/>
      <c r="T47" s="2"/>
      <c r="U47" s="2"/>
      <c r="V47" s="38"/>
    </row>
    <row r="48" ht="15.75" customHeight="1">
      <c r="A48" s="112" t="s">
        <v>1776</v>
      </c>
      <c r="B48" s="112" t="s">
        <v>1853</v>
      </c>
      <c r="C48" s="113">
        <v>46044.0</v>
      </c>
      <c r="D48" s="112" t="s">
        <v>1752</v>
      </c>
      <c r="E48" s="116">
        <v>1395800.0</v>
      </c>
      <c r="F48" s="112"/>
      <c r="G48" s="112" t="s">
        <v>1783</v>
      </c>
      <c r="H48" s="112" t="s">
        <v>1808</v>
      </c>
      <c r="I48" s="115">
        <f t="shared" si="1"/>
        <v>165</v>
      </c>
      <c r="J48" s="2"/>
      <c r="K48" s="2"/>
      <c r="L48" s="12"/>
      <c r="M48" s="48">
        <f t="shared" si="3"/>
        <v>0</v>
      </c>
      <c r="N48" s="2"/>
      <c r="O48" s="128">
        <f>+SUMIF('Reporte de Cheques'!A:A,'Cheques pendientes'!K48,'Reporte de Cheques'!I:I)</f>
        <v>0</v>
      </c>
      <c r="P48" s="127"/>
      <c r="Q48" s="2"/>
      <c r="R48" s="2"/>
      <c r="S48" s="2"/>
      <c r="T48" s="2"/>
      <c r="U48" s="2"/>
      <c r="V48" s="38"/>
    </row>
    <row r="49" ht="15.75" customHeight="1">
      <c r="A49" s="112" t="s">
        <v>1776</v>
      </c>
      <c r="B49" s="112" t="s">
        <v>1854</v>
      </c>
      <c r="C49" s="113">
        <v>46044.0</v>
      </c>
      <c r="D49" s="112" t="s">
        <v>1752</v>
      </c>
      <c r="E49" s="116">
        <v>1395800.0</v>
      </c>
      <c r="F49" s="112"/>
      <c r="G49" s="112" t="s">
        <v>1783</v>
      </c>
      <c r="H49" s="112" t="s">
        <v>1808</v>
      </c>
      <c r="I49" s="115">
        <f t="shared" si="1"/>
        <v>165</v>
      </c>
      <c r="J49" s="2"/>
      <c r="K49" s="2"/>
      <c r="L49" s="12"/>
      <c r="M49" s="48">
        <f t="shared" si="3"/>
        <v>0</v>
      </c>
      <c r="N49" s="2"/>
      <c r="O49" s="128">
        <f>+SUMIF('Reporte de Cheques'!A:A,'Cheques pendientes'!K49,'Reporte de Cheques'!I:I)</f>
        <v>0</v>
      </c>
      <c r="P49" s="127"/>
      <c r="Q49" s="2"/>
      <c r="R49" s="2"/>
      <c r="S49" s="2"/>
      <c r="T49" s="2"/>
      <c r="U49" s="2"/>
      <c r="V49" s="38"/>
    </row>
    <row r="50" ht="15.75" customHeight="1">
      <c r="A50" s="112" t="s">
        <v>1776</v>
      </c>
      <c r="B50" s="112" t="s">
        <v>1855</v>
      </c>
      <c r="C50" s="113">
        <v>46044.0</v>
      </c>
      <c r="D50" s="112" t="s">
        <v>1752</v>
      </c>
      <c r="E50" s="116">
        <v>1395800.0</v>
      </c>
      <c r="F50" s="112"/>
      <c r="G50" s="112" t="s">
        <v>1783</v>
      </c>
      <c r="H50" s="112" t="s">
        <v>1808</v>
      </c>
      <c r="I50" s="115">
        <f t="shared" si="1"/>
        <v>165</v>
      </c>
      <c r="J50" s="2"/>
      <c r="K50" s="2"/>
      <c r="L50" s="12"/>
      <c r="M50" s="48">
        <f t="shared" si="3"/>
        <v>0</v>
      </c>
      <c r="N50" s="2"/>
      <c r="O50" s="128">
        <f>+SUMIF('Reporte de Cheques'!A:A,'Cheques pendientes'!K50,'Reporte de Cheques'!I:I)</f>
        <v>0</v>
      </c>
      <c r="P50" s="127"/>
      <c r="Q50" s="2"/>
      <c r="R50" s="2"/>
      <c r="S50" s="2"/>
      <c r="T50" s="2"/>
      <c r="U50" s="2"/>
      <c r="V50" s="38"/>
    </row>
    <row r="51" ht="15.75" customHeight="1">
      <c r="A51" s="112" t="s">
        <v>1776</v>
      </c>
      <c r="B51" s="112" t="s">
        <v>1856</v>
      </c>
      <c r="C51" s="113">
        <v>46044.0</v>
      </c>
      <c r="D51" s="112" t="s">
        <v>1752</v>
      </c>
      <c r="E51" s="116">
        <v>1395800.0</v>
      </c>
      <c r="F51" s="112"/>
      <c r="G51" s="112" t="s">
        <v>1783</v>
      </c>
      <c r="H51" s="112" t="s">
        <v>1808</v>
      </c>
      <c r="I51" s="115">
        <f t="shared" si="1"/>
        <v>165</v>
      </c>
      <c r="J51" s="2"/>
      <c r="K51" s="2"/>
      <c r="L51" s="12"/>
      <c r="M51" s="48">
        <f t="shared" si="3"/>
        <v>0</v>
      </c>
      <c r="N51" s="2"/>
      <c r="O51" s="128">
        <f>+SUMIF('Reporte de Cheques'!A:A,'Cheques pendientes'!K51,'Reporte de Cheques'!I:I)</f>
        <v>0</v>
      </c>
      <c r="P51" s="127"/>
      <c r="Q51" s="2"/>
      <c r="R51" s="2"/>
      <c r="S51" s="2"/>
      <c r="T51" s="2"/>
      <c r="U51" s="2"/>
      <c r="V51" s="38"/>
    </row>
    <row r="52" ht="15.75" customHeight="1">
      <c r="A52" s="112" t="s">
        <v>1776</v>
      </c>
      <c r="B52" s="112" t="s">
        <v>1857</v>
      </c>
      <c r="C52" s="113">
        <v>46045.0</v>
      </c>
      <c r="D52" s="112" t="s">
        <v>1752</v>
      </c>
      <c r="E52" s="116">
        <v>1395800.0</v>
      </c>
      <c r="F52" s="112"/>
      <c r="G52" s="112" t="s">
        <v>1783</v>
      </c>
      <c r="H52" s="112" t="s">
        <v>1808</v>
      </c>
      <c r="I52" s="115">
        <f t="shared" si="1"/>
        <v>164</v>
      </c>
      <c r="J52" s="2"/>
      <c r="K52" s="2"/>
      <c r="L52" s="12"/>
      <c r="M52" s="48">
        <f t="shared" si="3"/>
        <v>0</v>
      </c>
      <c r="N52" s="2"/>
      <c r="O52" s="128">
        <f>+SUMIF('Reporte de Cheques'!A:A,'Cheques pendientes'!K52,'Reporte de Cheques'!I:I)</f>
        <v>0</v>
      </c>
      <c r="P52" s="127"/>
      <c r="Q52" s="2"/>
      <c r="R52" s="2"/>
      <c r="S52" s="2"/>
      <c r="T52" s="2"/>
      <c r="U52" s="2"/>
      <c r="V52" s="38"/>
    </row>
    <row r="53" ht="15.75" customHeight="1">
      <c r="A53" s="106" t="s">
        <v>1776</v>
      </c>
      <c r="B53" s="106" t="s">
        <v>1858</v>
      </c>
      <c r="C53" s="107">
        <v>46045.0</v>
      </c>
      <c r="D53" s="106" t="s">
        <v>1752</v>
      </c>
      <c r="E53" s="117">
        <v>4000000.0</v>
      </c>
      <c r="F53" s="106"/>
      <c r="G53" s="106" t="s">
        <v>1778</v>
      </c>
      <c r="H53" s="106" t="s">
        <v>1801</v>
      </c>
      <c r="I53" s="109">
        <f t="shared" si="1"/>
        <v>164</v>
      </c>
      <c r="J53" s="2"/>
      <c r="K53" s="2"/>
      <c r="L53" s="2"/>
      <c r="M53" s="2"/>
      <c r="N53" s="2"/>
      <c r="O53" s="127"/>
      <c r="P53" s="127"/>
      <c r="Q53" s="2"/>
      <c r="R53" s="2"/>
      <c r="S53" s="2"/>
      <c r="T53" s="2"/>
      <c r="U53" s="2"/>
      <c r="V53" s="38"/>
    </row>
    <row r="54" ht="15.75" customHeight="1">
      <c r="A54" s="112" t="s">
        <v>1776</v>
      </c>
      <c r="B54" s="112" t="s">
        <v>1859</v>
      </c>
      <c r="C54" s="113">
        <v>46045.0</v>
      </c>
      <c r="D54" s="112" t="s">
        <v>1752</v>
      </c>
      <c r="E54" s="116">
        <v>1.59E7</v>
      </c>
      <c r="F54" s="112"/>
      <c r="G54" s="112" t="s">
        <v>1783</v>
      </c>
      <c r="H54" s="112" t="s">
        <v>1810</v>
      </c>
      <c r="I54" s="115">
        <f t="shared" si="1"/>
        <v>164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38"/>
    </row>
    <row r="55" ht="15.75" customHeight="1">
      <c r="A55" s="112" t="s">
        <v>1776</v>
      </c>
      <c r="B55" s="112" t="s">
        <v>1860</v>
      </c>
      <c r="C55" s="113">
        <v>46045.0</v>
      </c>
      <c r="D55" s="112" t="s">
        <v>1752</v>
      </c>
      <c r="E55" s="116">
        <v>5000000.0</v>
      </c>
      <c r="F55" s="112"/>
      <c r="G55" s="112" t="s">
        <v>1783</v>
      </c>
      <c r="H55" s="112" t="s">
        <v>1806</v>
      </c>
      <c r="I55" s="115">
        <f t="shared" si="1"/>
        <v>164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38"/>
    </row>
    <row r="56" ht="9.75" customHeight="1">
      <c r="A56" s="112" t="s">
        <v>1776</v>
      </c>
      <c r="B56" s="112" t="s">
        <v>1861</v>
      </c>
      <c r="C56" s="113">
        <v>46048.0</v>
      </c>
      <c r="D56" s="112" t="s">
        <v>1752</v>
      </c>
      <c r="E56" s="116">
        <v>1395800.0</v>
      </c>
      <c r="F56" s="112"/>
      <c r="G56" s="112" t="s">
        <v>1783</v>
      </c>
      <c r="H56" s="112" t="s">
        <v>1808</v>
      </c>
      <c r="I56" s="115">
        <f t="shared" si="1"/>
        <v>161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38"/>
    </row>
    <row r="57" ht="15.75" customHeight="1">
      <c r="A57" s="112" t="s">
        <v>1776</v>
      </c>
      <c r="B57" s="112" t="s">
        <v>1862</v>
      </c>
      <c r="C57" s="113">
        <v>46049.0</v>
      </c>
      <c r="D57" s="112" t="s">
        <v>1752</v>
      </c>
      <c r="E57" s="116">
        <v>1.0E7</v>
      </c>
      <c r="F57" s="112"/>
      <c r="G57" s="112" t="s">
        <v>1783</v>
      </c>
      <c r="H57" s="112" t="s">
        <v>1797</v>
      </c>
      <c r="I57" s="115">
        <f t="shared" si="1"/>
        <v>160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38"/>
    </row>
    <row r="58" ht="15.75" customHeight="1">
      <c r="A58" s="112" t="s">
        <v>1776</v>
      </c>
      <c r="B58" s="112" t="s">
        <v>1863</v>
      </c>
      <c r="C58" s="113">
        <v>46049.0</v>
      </c>
      <c r="D58" s="112" t="s">
        <v>1752</v>
      </c>
      <c r="E58" s="116">
        <v>1395800.0</v>
      </c>
      <c r="F58" s="112"/>
      <c r="G58" s="112" t="s">
        <v>1783</v>
      </c>
      <c r="H58" s="112" t="s">
        <v>1808</v>
      </c>
      <c r="I58" s="115">
        <f t="shared" si="1"/>
        <v>160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38"/>
    </row>
    <row r="59" ht="15.75" customHeight="1">
      <c r="A59" s="112" t="s">
        <v>1776</v>
      </c>
      <c r="B59" s="112" t="s">
        <v>1864</v>
      </c>
      <c r="C59" s="113">
        <v>46049.0</v>
      </c>
      <c r="D59" s="112" t="s">
        <v>1752</v>
      </c>
      <c r="E59" s="116">
        <v>1395800.0</v>
      </c>
      <c r="F59" s="112"/>
      <c r="G59" s="112" t="s">
        <v>1783</v>
      </c>
      <c r="H59" s="112" t="s">
        <v>1808</v>
      </c>
      <c r="I59" s="115">
        <f t="shared" si="1"/>
        <v>160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38"/>
    </row>
    <row r="60" ht="15.75" customHeight="1">
      <c r="A60" s="112" t="s">
        <v>1776</v>
      </c>
      <c r="B60" s="112" t="s">
        <v>1865</v>
      </c>
      <c r="C60" s="113">
        <v>46049.0</v>
      </c>
      <c r="D60" s="112" t="s">
        <v>1752</v>
      </c>
      <c r="E60" s="116">
        <v>1395800.0</v>
      </c>
      <c r="F60" s="112"/>
      <c r="G60" s="112" t="s">
        <v>1783</v>
      </c>
      <c r="H60" s="112" t="s">
        <v>1808</v>
      </c>
      <c r="I60" s="115">
        <f t="shared" si="1"/>
        <v>160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38"/>
    </row>
    <row r="61" ht="15.75" customHeight="1">
      <c r="A61" s="112" t="s">
        <v>1776</v>
      </c>
      <c r="B61" s="112" t="s">
        <v>1866</v>
      </c>
      <c r="C61" s="113">
        <v>46049.0</v>
      </c>
      <c r="D61" s="112" t="s">
        <v>1752</v>
      </c>
      <c r="E61" s="116">
        <v>1395800.0</v>
      </c>
      <c r="F61" s="112"/>
      <c r="G61" s="112" t="s">
        <v>1783</v>
      </c>
      <c r="H61" s="112" t="s">
        <v>1808</v>
      </c>
      <c r="I61" s="115">
        <f t="shared" si="1"/>
        <v>160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38"/>
    </row>
    <row r="62" ht="15.75" customHeight="1">
      <c r="A62" s="112" t="s">
        <v>1776</v>
      </c>
      <c r="B62" s="112" t="s">
        <v>1867</v>
      </c>
      <c r="C62" s="113">
        <v>46050.0</v>
      </c>
      <c r="D62" s="112" t="s">
        <v>1752</v>
      </c>
      <c r="E62" s="116">
        <v>6250000.0</v>
      </c>
      <c r="F62" s="112"/>
      <c r="G62" s="112" t="s">
        <v>1783</v>
      </c>
      <c r="H62" s="112" t="s">
        <v>1812</v>
      </c>
      <c r="I62" s="115">
        <f t="shared" si="1"/>
        <v>159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38"/>
    </row>
    <row r="63" ht="15.75" customHeight="1">
      <c r="A63" s="106" t="s">
        <v>1776</v>
      </c>
      <c r="B63" s="106" t="s">
        <v>1868</v>
      </c>
      <c r="C63" s="107">
        <v>46050.0</v>
      </c>
      <c r="D63" s="106" t="s">
        <v>1752</v>
      </c>
      <c r="E63" s="117">
        <v>4000000.0</v>
      </c>
      <c r="F63" s="106"/>
      <c r="G63" s="106" t="s">
        <v>1778</v>
      </c>
      <c r="H63" s="106" t="s">
        <v>1801</v>
      </c>
      <c r="I63" s="109">
        <f t="shared" si="1"/>
        <v>159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38"/>
    </row>
    <row r="64" ht="15.75" customHeight="1">
      <c r="A64" s="112" t="s">
        <v>1776</v>
      </c>
      <c r="B64" s="112" t="s">
        <v>1869</v>
      </c>
      <c r="C64" s="113">
        <v>46050.0</v>
      </c>
      <c r="D64" s="112" t="s">
        <v>1752</v>
      </c>
      <c r="E64" s="116">
        <v>2.2E7</v>
      </c>
      <c r="F64" s="112"/>
      <c r="G64" s="112" t="s">
        <v>1783</v>
      </c>
      <c r="H64" s="112" t="s">
        <v>1814</v>
      </c>
      <c r="I64" s="115">
        <f t="shared" si="1"/>
        <v>159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38"/>
    </row>
    <row r="65" ht="15.75" customHeight="1">
      <c r="A65" s="112" t="s">
        <v>1776</v>
      </c>
      <c r="B65" s="112" t="s">
        <v>1870</v>
      </c>
      <c r="C65" s="113">
        <v>46051.0</v>
      </c>
      <c r="D65" s="112" t="s">
        <v>1752</v>
      </c>
      <c r="E65" s="116">
        <v>1.0E7</v>
      </c>
      <c r="F65" s="112"/>
      <c r="G65" s="112" t="s">
        <v>1783</v>
      </c>
      <c r="H65" s="112" t="s">
        <v>1797</v>
      </c>
      <c r="I65" s="115">
        <f t="shared" si="1"/>
        <v>158</v>
      </c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38"/>
    </row>
    <row r="66" ht="15.75" customHeight="1">
      <c r="A66" s="112" t="s">
        <v>1776</v>
      </c>
      <c r="B66" s="112" t="s">
        <v>1871</v>
      </c>
      <c r="C66" s="113">
        <v>46052.0</v>
      </c>
      <c r="D66" s="112" t="s">
        <v>1752</v>
      </c>
      <c r="E66" s="116">
        <v>6250000.0</v>
      </c>
      <c r="F66" s="112"/>
      <c r="G66" s="112" t="s">
        <v>1783</v>
      </c>
      <c r="H66" s="112" t="s">
        <v>1812</v>
      </c>
      <c r="I66" s="115">
        <f t="shared" si="1"/>
        <v>157</v>
      </c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38"/>
    </row>
    <row r="67" ht="15.75" customHeight="1">
      <c r="A67" s="112" t="s">
        <v>1776</v>
      </c>
      <c r="B67" s="112" t="s">
        <v>1872</v>
      </c>
      <c r="C67" s="113">
        <v>46056.0</v>
      </c>
      <c r="D67" s="112" t="s">
        <v>1752</v>
      </c>
      <c r="E67" s="116">
        <v>6250000.0</v>
      </c>
      <c r="F67" s="112"/>
      <c r="G67" s="112" t="s">
        <v>1783</v>
      </c>
      <c r="H67" s="112" t="s">
        <v>1812</v>
      </c>
      <c r="I67" s="115">
        <f t="shared" si="1"/>
        <v>153</v>
      </c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38"/>
    </row>
    <row r="68" ht="15.75" customHeight="1">
      <c r="A68" s="112" t="s">
        <v>1776</v>
      </c>
      <c r="B68" s="112" t="s">
        <v>1873</v>
      </c>
      <c r="C68" s="113">
        <v>46056.0</v>
      </c>
      <c r="D68" s="112" t="s">
        <v>1752</v>
      </c>
      <c r="E68" s="116">
        <v>995000.0</v>
      </c>
      <c r="F68" s="112"/>
      <c r="G68" s="112" t="s">
        <v>1783</v>
      </c>
      <c r="H68" s="112" t="s">
        <v>1816</v>
      </c>
      <c r="I68" s="115">
        <f t="shared" si="1"/>
        <v>153</v>
      </c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38"/>
    </row>
    <row r="69" ht="15.75" customHeight="1">
      <c r="A69" s="112" t="s">
        <v>1776</v>
      </c>
      <c r="B69" s="112" t="s">
        <v>1874</v>
      </c>
      <c r="C69" s="113">
        <v>46056.0</v>
      </c>
      <c r="D69" s="112" t="s">
        <v>1752</v>
      </c>
      <c r="E69" s="116">
        <v>2398100.0</v>
      </c>
      <c r="F69" s="112"/>
      <c r="G69" s="112" t="s">
        <v>1783</v>
      </c>
      <c r="H69" s="112" t="s">
        <v>1820</v>
      </c>
      <c r="I69" s="115">
        <f t="shared" si="1"/>
        <v>153</v>
      </c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38"/>
    </row>
    <row r="70" ht="15.75" customHeight="1">
      <c r="A70" s="112" t="s">
        <v>1776</v>
      </c>
      <c r="B70" s="112" t="s">
        <v>1875</v>
      </c>
      <c r="C70" s="113">
        <v>46056.0</v>
      </c>
      <c r="D70" s="112" t="s">
        <v>1752</v>
      </c>
      <c r="E70" s="116">
        <v>1.0E7</v>
      </c>
      <c r="F70" s="112"/>
      <c r="G70" s="112" t="s">
        <v>1783</v>
      </c>
      <c r="H70" s="112" t="s">
        <v>1797</v>
      </c>
      <c r="I70" s="115">
        <f t="shared" si="1"/>
        <v>153</v>
      </c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38"/>
    </row>
    <row r="71" ht="15.75" customHeight="1">
      <c r="A71" s="112" t="s">
        <v>1776</v>
      </c>
      <c r="B71" s="112" t="s">
        <v>1876</v>
      </c>
      <c r="C71" s="113">
        <v>46057.0</v>
      </c>
      <c r="D71" s="112" t="s">
        <v>1752</v>
      </c>
      <c r="E71" s="116">
        <v>6250000.0</v>
      </c>
      <c r="F71" s="112"/>
      <c r="G71" s="112" t="s">
        <v>1783</v>
      </c>
      <c r="H71" s="112" t="s">
        <v>1812</v>
      </c>
      <c r="I71" s="115">
        <f t="shared" si="1"/>
        <v>152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38"/>
    </row>
    <row r="72" ht="15.75" customHeight="1">
      <c r="A72" s="112" t="s">
        <v>1776</v>
      </c>
      <c r="B72" s="112" t="s">
        <v>1877</v>
      </c>
      <c r="C72" s="113">
        <v>46057.0</v>
      </c>
      <c r="D72" s="112" t="s">
        <v>1752</v>
      </c>
      <c r="E72" s="116">
        <v>2398100.0</v>
      </c>
      <c r="F72" s="112"/>
      <c r="G72" s="112" t="s">
        <v>1783</v>
      </c>
      <c r="H72" s="112" t="s">
        <v>1820</v>
      </c>
      <c r="I72" s="115">
        <f t="shared" si="1"/>
        <v>152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38"/>
    </row>
    <row r="73" ht="15.75" customHeight="1">
      <c r="A73" s="112" t="s">
        <v>1776</v>
      </c>
      <c r="B73" s="112" t="s">
        <v>1878</v>
      </c>
      <c r="C73" s="113">
        <v>46057.0</v>
      </c>
      <c r="D73" s="112" t="s">
        <v>1752</v>
      </c>
      <c r="E73" s="116">
        <v>1.0E7</v>
      </c>
      <c r="F73" s="112"/>
      <c r="G73" s="112" t="s">
        <v>1783</v>
      </c>
      <c r="H73" s="112" t="s">
        <v>1797</v>
      </c>
      <c r="I73" s="115">
        <f t="shared" si="1"/>
        <v>152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38"/>
    </row>
    <row r="74" ht="15.75" customHeight="1">
      <c r="A74" s="112" t="s">
        <v>1776</v>
      </c>
      <c r="B74" s="112" t="s">
        <v>1879</v>
      </c>
      <c r="C74" s="113">
        <v>46058.0</v>
      </c>
      <c r="D74" s="112" t="s">
        <v>1752</v>
      </c>
      <c r="E74" s="116">
        <v>2398100.0</v>
      </c>
      <c r="F74" s="112"/>
      <c r="G74" s="112" t="s">
        <v>1783</v>
      </c>
      <c r="H74" s="112" t="s">
        <v>1820</v>
      </c>
      <c r="I74" s="115">
        <f t="shared" si="1"/>
        <v>151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38"/>
    </row>
    <row r="75" ht="15.75" customHeight="1">
      <c r="A75" s="112" t="s">
        <v>1776</v>
      </c>
      <c r="B75" s="112" t="s">
        <v>1880</v>
      </c>
      <c r="C75" s="113">
        <v>46065.0</v>
      </c>
      <c r="D75" s="112" t="s">
        <v>1752</v>
      </c>
      <c r="E75" s="116">
        <v>2.5E7</v>
      </c>
      <c r="F75" s="112"/>
      <c r="G75" s="112" t="s">
        <v>1783</v>
      </c>
      <c r="H75" s="112" t="s">
        <v>1814</v>
      </c>
      <c r="I75" s="115">
        <f t="shared" si="1"/>
        <v>144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38"/>
    </row>
    <row r="76" ht="15.75" customHeight="1">
      <c r="A76" s="112" t="s">
        <v>1776</v>
      </c>
      <c r="B76" s="112" t="s">
        <v>1881</v>
      </c>
      <c r="C76" s="113">
        <v>46065.0</v>
      </c>
      <c r="D76" s="112" t="s">
        <v>1752</v>
      </c>
      <c r="E76" s="116">
        <v>2.37E7</v>
      </c>
      <c r="F76" s="112"/>
      <c r="G76" s="112" t="s">
        <v>1783</v>
      </c>
      <c r="H76" s="112" t="s">
        <v>1810</v>
      </c>
      <c r="I76" s="115">
        <f t="shared" si="1"/>
        <v>144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38"/>
    </row>
    <row r="77" ht="15.75" customHeight="1">
      <c r="A77" s="112" t="s">
        <v>1776</v>
      </c>
      <c r="B77" s="112" t="s">
        <v>1882</v>
      </c>
      <c r="C77" s="113">
        <v>46076.0</v>
      </c>
      <c r="D77" s="112" t="s">
        <v>1752</v>
      </c>
      <c r="E77" s="116">
        <v>1.57E7</v>
      </c>
      <c r="F77" s="112"/>
      <c r="G77" s="112" t="s">
        <v>1783</v>
      </c>
      <c r="H77" s="112" t="s">
        <v>1810</v>
      </c>
      <c r="I77" s="115">
        <f t="shared" si="1"/>
        <v>133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38"/>
    </row>
    <row r="78" ht="15.75" customHeight="1">
      <c r="A78" s="112" t="s">
        <v>1776</v>
      </c>
      <c r="B78" s="112" t="s">
        <v>1883</v>
      </c>
      <c r="C78" s="113">
        <v>46078.0</v>
      </c>
      <c r="D78" s="112" t="s">
        <v>1752</v>
      </c>
      <c r="E78" s="116">
        <v>2.6E7</v>
      </c>
      <c r="F78" s="112"/>
      <c r="G78" s="112" t="s">
        <v>1783</v>
      </c>
      <c r="H78" s="112" t="s">
        <v>1814</v>
      </c>
      <c r="I78" s="115">
        <f t="shared" si="1"/>
        <v>131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38"/>
    </row>
    <row r="79" ht="15.75" customHeight="1">
      <c r="A79" s="112" t="s">
        <v>1776</v>
      </c>
      <c r="B79" s="112" t="s">
        <v>1884</v>
      </c>
      <c r="C79" s="113">
        <v>46085.0</v>
      </c>
      <c r="D79" s="112" t="s">
        <v>1752</v>
      </c>
      <c r="E79" s="116">
        <v>2.7E7</v>
      </c>
      <c r="F79" s="112"/>
      <c r="G79" s="112" t="s">
        <v>1783</v>
      </c>
      <c r="H79" s="112" t="s">
        <v>1814</v>
      </c>
      <c r="I79" s="115">
        <f t="shared" si="1"/>
        <v>124</v>
      </c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38"/>
    </row>
    <row r="80" ht="15.75" customHeight="1">
      <c r="A80" s="112" t="s">
        <v>1776</v>
      </c>
      <c r="B80" s="112" t="s">
        <v>1885</v>
      </c>
      <c r="C80" s="113">
        <v>46094.0</v>
      </c>
      <c r="D80" s="112" t="s">
        <v>1752</v>
      </c>
      <c r="E80" s="116">
        <v>1.95E7</v>
      </c>
      <c r="F80" s="112"/>
      <c r="G80" s="112" t="s">
        <v>1783</v>
      </c>
      <c r="H80" s="112" t="s">
        <v>1814</v>
      </c>
      <c r="I80" s="115">
        <f t="shared" si="1"/>
        <v>115</v>
      </c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38"/>
    </row>
    <row r="81" ht="15.75" customHeight="1">
      <c r="A81" s="112" t="s">
        <v>1776</v>
      </c>
      <c r="B81" s="112" t="s">
        <v>1886</v>
      </c>
      <c r="C81" s="113">
        <v>46099.0</v>
      </c>
      <c r="D81" s="112" t="s">
        <v>1752</v>
      </c>
      <c r="E81" s="116">
        <v>1.25E8</v>
      </c>
      <c r="F81" s="112"/>
      <c r="G81" s="112" t="s">
        <v>1783</v>
      </c>
      <c r="H81" s="112" t="s">
        <v>1822</v>
      </c>
      <c r="I81" s="115">
        <f t="shared" si="1"/>
        <v>110</v>
      </c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38"/>
    </row>
    <row r="82" ht="15.75" customHeight="1">
      <c r="A82" s="112" t="s">
        <v>1776</v>
      </c>
      <c r="B82" s="112" t="s">
        <v>1887</v>
      </c>
      <c r="C82" s="113">
        <v>46099.0</v>
      </c>
      <c r="D82" s="112" t="s">
        <v>1752</v>
      </c>
      <c r="E82" s="116">
        <v>4000000.0</v>
      </c>
      <c r="F82" s="112"/>
      <c r="G82" s="129" t="s">
        <v>1783</v>
      </c>
      <c r="H82" s="112" t="s">
        <v>1824</v>
      </c>
      <c r="I82" s="115">
        <f t="shared" si="1"/>
        <v>110</v>
      </c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38"/>
    </row>
    <row r="83" ht="15.75" customHeight="1">
      <c r="A83" s="112" t="s">
        <v>1776</v>
      </c>
      <c r="B83" s="112" t="s">
        <v>1888</v>
      </c>
      <c r="C83" s="113">
        <v>46113.0</v>
      </c>
      <c r="D83" s="112" t="s">
        <v>1752</v>
      </c>
      <c r="E83" s="116">
        <v>1.5E8</v>
      </c>
      <c r="F83" s="112"/>
      <c r="G83" s="112" t="s">
        <v>1783</v>
      </c>
      <c r="H83" s="112" t="s">
        <v>1822</v>
      </c>
      <c r="I83" s="115">
        <f t="shared" si="1"/>
        <v>96</v>
      </c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38"/>
    </row>
    <row r="84" ht="15.75" customHeight="1">
      <c r="A84" s="112" t="s">
        <v>1776</v>
      </c>
      <c r="B84" s="112" t="s">
        <v>1889</v>
      </c>
      <c r="C84" s="113">
        <v>46127.0</v>
      </c>
      <c r="D84" s="112" t="s">
        <v>1752</v>
      </c>
      <c r="E84" s="116">
        <v>1.5E8</v>
      </c>
      <c r="F84" s="112"/>
      <c r="G84" s="112" t="s">
        <v>1783</v>
      </c>
      <c r="H84" s="112" t="s">
        <v>1822</v>
      </c>
      <c r="I84" s="115">
        <f t="shared" si="1"/>
        <v>82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38"/>
    </row>
    <row r="85" ht="15.75" customHeight="1">
      <c r="A85" s="112" t="s">
        <v>1776</v>
      </c>
      <c r="B85" s="112" t="s">
        <v>1890</v>
      </c>
      <c r="C85" s="113">
        <v>46161.0</v>
      </c>
      <c r="D85" s="112" t="s">
        <v>1752</v>
      </c>
      <c r="E85" s="116">
        <v>5450000.0</v>
      </c>
      <c r="F85" s="112"/>
      <c r="G85" s="112" t="s">
        <v>1783</v>
      </c>
      <c r="H85" s="112" t="s">
        <v>1826</v>
      </c>
      <c r="I85" s="115">
        <f t="shared" si="1"/>
        <v>48</v>
      </c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38"/>
    </row>
    <row r="86" ht="15.75" customHeight="1">
      <c r="A86" s="112" t="s">
        <v>1776</v>
      </c>
      <c r="B86" s="112" t="s">
        <v>1891</v>
      </c>
      <c r="C86" s="113">
        <v>46161.0</v>
      </c>
      <c r="D86" s="112" t="s">
        <v>1752</v>
      </c>
      <c r="E86" s="116">
        <v>1.0E7</v>
      </c>
      <c r="F86" s="112"/>
      <c r="G86" s="112" t="s">
        <v>1783</v>
      </c>
      <c r="H86" s="112" t="s">
        <v>1828</v>
      </c>
      <c r="I86" s="115">
        <f t="shared" si="1"/>
        <v>48</v>
      </c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38"/>
    </row>
    <row r="87" ht="15.75" customHeight="1">
      <c r="A87" s="112" t="s">
        <v>1776</v>
      </c>
      <c r="B87" s="112" t="s">
        <v>1892</v>
      </c>
      <c r="C87" s="113">
        <v>46175.0</v>
      </c>
      <c r="D87" s="112" t="s">
        <v>1752</v>
      </c>
      <c r="E87" s="116">
        <v>1.0E7</v>
      </c>
      <c r="F87" s="112"/>
      <c r="G87" s="112" t="s">
        <v>1783</v>
      </c>
      <c r="H87" s="112" t="s">
        <v>1828</v>
      </c>
      <c r="I87" s="115">
        <f t="shared" si="1"/>
        <v>34</v>
      </c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38"/>
    </row>
    <row r="88" ht="15.75" customHeight="1">
      <c r="A88" s="112" t="s">
        <v>1776</v>
      </c>
      <c r="B88" s="112" t="s">
        <v>1893</v>
      </c>
      <c r="C88" s="113">
        <v>46176.0</v>
      </c>
      <c r="D88" s="112" t="s">
        <v>1752</v>
      </c>
      <c r="E88" s="116">
        <v>5450000.0</v>
      </c>
      <c r="F88" s="112"/>
      <c r="G88" s="112" t="s">
        <v>1783</v>
      </c>
      <c r="H88" s="112" t="s">
        <v>1826</v>
      </c>
      <c r="I88" s="115">
        <f t="shared" si="1"/>
        <v>33</v>
      </c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38"/>
    </row>
    <row r="89" ht="15.75" customHeight="1">
      <c r="A89" s="112" t="s">
        <v>1776</v>
      </c>
      <c r="B89" s="112" t="s">
        <v>1894</v>
      </c>
      <c r="C89" s="113">
        <v>46190.0</v>
      </c>
      <c r="D89" s="112" t="s">
        <v>1752</v>
      </c>
      <c r="E89" s="116">
        <v>1.0E7</v>
      </c>
      <c r="F89" s="112"/>
      <c r="G89" s="112" t="s">
        <v>1783</v>
      </c>
      <c r="H89" s="112" t="s">
        <v>1828</v>
      </c>
      <c r="I89" s="115">
        <f t="shared" si="1"/>
        <v>19</v>
      </c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38"/>
    </row>
    <row r="90" ht="15.75" customHeight="1">
      <c r="A90" s="112" t="s">
        <v>1776</v>
      </c>
      <c r="B90" s="112" t="s">
        <v>1895</v>
      </c>
      <c r="C90" s="113">
        <v>46191.0</v>
      </c>
      <c r="D90" s="112" t="s">
        <v>1752</v>
      </c>
      <c r="E90" s="116">
        <v>3.0E8</v>
      </c>
      <c r="F90" s="112"/>
      <c r="G90" s="112" t="s">
        <v>1783</v>
      </c>
      <c r="H90" s="112" t="s">
        <v>1830</v>
      </c>
      <c r="I90" s="115">
        <f t="shared" si="1"/>
        <v>18</v>
      </c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38"/>
    </row>
    <row r="91" ht="15.75" customHeight="1">
      <c r="A91" s="112" t="s">
        <v>1776</v>
      </c>
      <c r="B91" s="112" t="s">
        <v>1896</v>
      </c>
      <c r="C91" s="113">
        <v>46191.0</v>
      </c>
      <c r="D91" s="112" t="s">
        <v>1752</v>
      </c>
      <c r="E91" s="116">
        <v>5450000.0</v>
      </c>
      <c r="F91" s="112"/>
      <c r="G91" s="112" t="s">
        <v>1783</v>
      </c>
      <c r="H91" s="112" t="s">
        <v>1826</v>
      </c>
      <c r="I91" s="115">
        <f t="shared" si="1"/>
        <v>18</v>
      </c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38"/>
    </row>
    <row r="92" ht="15.75" customHeight="1">
      <c r="A92" s="112" t="s">
        <v>1776</v>
      </c>
      <c r="B92" s="112" t="s">
        <v>1897</v>
      </c>
      <c r="C92" s="113">
        <v>46203.0</v>
      </c>
      <c r="D92" s="112" t="s">
        <v>1752</v>
      </c>
      <c r="E92" s="116">
        <v>2000000.0</v>
      </c>
      <c r="F92" s="112"/>
      <c r="G92" s="112" t="s">
        <v>1783</v>
      </c>
      <c r="H92" s="112" t="s">
        <v>1898</v>
      </c>
      <c r="I92" s="115">
        <f t="shared" si="1"/>
        <v>6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38"/>
    </row>
    <row r="93" ht="15.75" customHeight="1">
      <c r="A93" s="112" t="s">
        <v>1776</v>
      </c>
      <c r="B93" s="112" t="s">
        <v>1899</v>
      </c>
      <c r="C93" s="113">
        <v>46203.0</v>
      </c>
      <c r="D93" s="112" t="s">
        <v>1752</v>
      </c>
      <c r="E93" s="116">
        <v>1.0E7</v>
      </c>
      <c r="F93" s="112"/>
      <c r="G93" s="112" t="s">
        <v>1783</v>
      </c>
      <c r="H93" s="112" t="s">
        <v>1828</v>
      </c>
      <c r="I93" s="115">
        <f t="shared" si="1"/>
        <v>6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38"/>
    </row>
    <row r="94" ht="15.75" customHeight="1">
      <c r="A94" s="112" t="s">
        <v>1776</v>
      </c>
      <c r="B94" s="112" t="s">
        <v>1900</v>
      </c>
      <c r="C94" s="113">
        <v>46204.0</v>
      </c>
      <c r="D94" s="112" t="s">
        <v>1752</v>
      </c>
      <c r="E94" s="116">
        <v>5450000.0</v>
      </c>
      <c r="F94" s="112"/>
      <c r="G94" s="112" t="s">
        <v>1783</v>
      </c>
      <c r="H94" s="112" t="s">
        <v>1826</v>
      </c>
      <c r="I94" s="115">
        <f t="shared" si="1"/>
        <v>5</v>
      </c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38"/>
    </row>
    <row r="95" ht="15.75" customHeight="1">
      <c r="A95" s="112" t="s">
        <v>1776</v>
      </c>
      <c r="B95" s="112" t="s">
        <v>1901</v>
      </c>
      <c r="C95" s="113">
        <v>46206.0</v>
      </c>
      <c r="D95" s="112" t="s">
        <v>1752</v>
      </c>
      <c r="E95" s="116">
        <v>2000000.0</v>
      </c>
      <c r="F95" s="112"/>
      <c r="G95" s="112" t="s">
        <v>1783</v>
      </c>
      <c r="H95" s="112" t="s">
        <v>1898</v>
      </c>
      <c r="I95" s="115">
        <f t="shared" si="1"/>
        <v>3</v>
      </c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38"/>
    </row>
    <row r="96" ht="15.75" customHeight="1">
      <c r="A96" s="112" t="s">
        <v>1776</v>
      </c>
      <c r="B96" s="112" t="s">
        <v>1902</v>
      </c>
      <c r="C96" s="113">
        <v>46206.0</v>
      </c>
      <c r="D96" s="112" t="s">
        <v>1752</v>
      </c>
      <c r="E96" s="116">
        <v>1.0E7</v>
      </c>
      <c r="F96" s="112"/>
      <c r="G96" s="112" t="s">
        <v>1783</v>
      </c>
      <c r="H96" s="112" t="s">
        <v>1903</v>
      </c>
      <c r="I96" s="115">
        <f t="shared" si="1"/>
        <v>3</v>
      </c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38"/>
    </row>
    <row r="97" ht="15.75" customHeight="1">
      <c r="E97" s="38">
        <f t="array" ref="E97">SUM(E2:E96-E63,E53,E46,E39,E35,E3,E2)</f>
        <v>1395130300</v>
      </c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38"/>
    </row>
    <row r="98" ht="15.75" customHeight="1">
      <c r="E98" s="38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38"/>
    </row>
    <row r="99" ht="15.75" customHeight="1">
      <c r="E99" s="38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38"/>
    </row>
    <row r="100" ht="15.75" customHeight="1">
      <c r="E100" s="38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38"/>
    </row>
    <row r="101" ht="15.75" customHeight="1">
      <c r="E101" s="38"/>
      <c r="H101" s="2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38"/>
    </row>
    <row r="102" ht="15.75" customHeight="1">
      <c r="E102" s="38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38"/>
    </row>
    <row r="103" ht="15.75" customHeight="1">
      <c r="E103" s="38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38"/>
    </row>
    <row r="104" ht="15.75" customHeight="1">
      <c r="E104" s="38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38"/>
    </row>
    <row r="105" ht="15.75" customHeight="1">
      <c r="E105" s="38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38"/>
    </row>
    <row r="106" ht="15.75" customHeight="1">
      <c r="E106" s="38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38"/>
    </row>
    <row r="107" ht="15.75" customHeight="1">
      <c r="E107" s="38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38"/>
    </row>
    <row r="108" ht="15.75" customHeight="1">
      <c r="E108" s="38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38"/>
    </row>
    <row r="109" ht="15.75" customHeight="1">
      <c r="E109" s="38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38"/>
    </row>
    <row r="110" ht="15.75" customHeight="1">
      <c r="E110" s="38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38"/>
    </row>
    <row r="111" ht="15.75" customHeight="1">
      <c r="E111" s="38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38"/>
    </row>
    <row r="112" ht="15.75" customHeight="1">
      <c r="E112" s="38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38"/>
    </row>
    <row r="113" ht="15.75" customHeight="1">
      <c r="E113" s="38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38"/>
    </row>
    <row r="114" ht="15.75" customHeight="1">
      <c r="E114" s="38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38"/>
    </row>
    <row r="115" ht="15.75" customHeight="1">
      <c r="E115" s="38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38"/>
    </row>
    <row r="116" ht="15.75" customHeight="1">
      <c r="E116" s="38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38"/>
    </row>
    <row r="117" ht="15.75" customHeight="1">
      <c r="E117" s="38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38"/>
    </row>
    <row r="118" ht="15.75" customHeight="1">
      <c r="E118" s="38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38"/>
    </row>
    <row r="119" ht="15.75" customHeight="1">
      <c r="E119" s="38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38"/>
    </row>
    <row r="120" ht="15.75" customHeight="1">
      <c r="E120" s="38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38"/>
    </row>
    <row r="121" ht="15.75" customHeight="1">
      <c r="E121" s="38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38"/>
    </row>
    <row r="122" ht="15.75" customHeight="1">
      <c r="E122" s="38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38"/>
    </row>
    <row r="123" ht="15.75" customHeight="1">
      <c r="E123" s="38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38"/>
    </row>
    <row r="124" ht="15.75" customHeight="1">
      <c r="E124" s="38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38"/>
    </row>
    <row r="125" ht="15.75" customHeight="1">
      <c r="E125" s="38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38"/>
    </row>
    <row r="126" ht="15.75" customHeight="1">
      <c r="E126" s="38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38"/>
    </row>
    <row r="127" ht="15.75" customHeight="1">
      <c r="E127" s="38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38"/>
    </row>
    <row r="128" ht="15.75" customHeight="1">
      <c r="E128" s="38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38"/>
    </row>
    <row r="129" ht="15.75" customHeight="1">
      <c r="E129" s="38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38"/>
    </row>
    <row r="130" ht="15.75" customHeight="1">
      <c r="E130" s="38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38"/>
    </row>
    <row r="131" ht="15.75" customHeight="1">
      <c r="E131" s="38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38"/>
    </row>
    <row r="132" ht="15.75" customHeight="1">
      <c r="E132" s="38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38"/>
    </row>
    <row r="133" ht="15.75" customHeight="1">
      <c r="E133" s="38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38"/>
    </row>
    <row r="134" ht="15.75" customHeight="1">
      <c r="E134" s="38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38"/>
    </row>
    <row r="135" ht="15.75" customHeight="1">
      <c r="E135" s="38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38"/>
    </row>
    <row r="136" ht="15.75" customHeight="1">
      <c r="E136" s="38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38"/>
    </row>
    <row r="137" ht="15.75" customHeight="1">
      <c r="E137" s="38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38"/>
    </row>
    <row r="138" ht="15.75" customHeight="1">
      <c r="E138" s="38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38"/>
    </row>
    <row r="139" ht="15.75" customHeight="1">
      <c r="E139" s="38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38"/>
    </row>
    <row r="140" ht="15.75" customHeight="1">
      <c r="E140" s="38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38"/>
    </row>
    <row r="141" ht="15.75" customHeight="1">
      <c r="E141" s="38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38"/>
    </row>
    <row r="142" ht="15.75" customHeight="1">
      <c r="E142" s="3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38"/>
    </row>
    <row r="143" ht="15.75" customHeight="1">
      <c r="E143" s="38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38"/>
    </row>
    <row r="144" ht="15.75" customHeight="1">
      <c r="E144" s="38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38"/>
    </row>
    <row r="145" ht="15.75" customHeight="1">
      <c r="E145" s="38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38"/>
    </row>
    <row r="146" ht="15.75" customHeight="1">
      <c r="E146" s="38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38"/>
    </row>
    <row r="147" ht="15.75" customHeight="1">
      <c r="E147" s="38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38"/>
    </row>
    <row r="148" ht="15.75" customHeight="1">
      <c r="E148" s="38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38"/>
    </row>
    <row r="149" ht="15.75" customHeight="1">
      <c r="E149" s="38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38"/>
    </row>
    <row r="150" ht="15.75" customHeight="1">
      <c r="E150" s="38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38"/>
    </row>
    <row r="151" ht="15.75" customHeight="1">
      <c r="E151" s="38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38"/>
    </row>
    <row r="152" ht="15.75" customHeight="1">
      <c r="E152" s="38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38"/>
    </row>
    <row r="153" ht="15.75" customHeight="1">
      <c r="E153" s="38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38"/>
    </row>
    <row r="154" ht="15.75" customHeight="1">
      <c r="E154" s="38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38"/>
    </row>
    <row r="155" ht="15.75" customHeight="1">
      <c r="E155" s="38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38"/>
    </row>
    <row r="156" ht="15.75" customHeight="1">
      <c r="E156" s="38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38"/>
    </row>
    <row r="157" ht="15.75" customHeight="1">
      <c r="E157" s="38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38"/>
    </row>
    <row r="158" ht="15.75" customHeight="1">
      <c r="E158" s="38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38"/>
    </row>
    <row r="159" ht="15.75" customHeight="1">
      <c r="E159" s="38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38"/>
    </row>
    <row r="160" ht="15.75" customHeight="1">
      <c r="E160" s="38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38"/>
    </row>
    <row r="161" ht="15.75" customHeight="1">
      <c r="E161" s="38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38"/>
    </row>
    <row r="162" ht="15.75" customHeight="1">
      <c r="E162" s="38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38"/>
    </row>
    <row r="163" ht="15.75" customHeight="1">
      <c r="E163" s="38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38"/>
    </row>
    <row r="164" ht="15.75" customHeight="1">
      <c r="E164" s="38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38"/>
    </row>
    <row r="165" ht="15.75" customHeight="1">
      <c r="E165" s="38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38"/>
    </row>
    <row r="166" ht="15.75" customHeight="1">
      <c r="E166" s="38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38"/>
    </row>
    <row r="167" ht="15.75" customHeight="1">
      <c r="E167" s="38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38"/>
    </row>
    <row r="168" ht="15.75" customHeight="1">
      <c r="E168" s="38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38"/>
    </row>
    <row r="169" ht="15.75" customHeight="1">
      <c r="E169" s="38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38"/>
    </row>
    <row r="170" ht="15.75" customHeight="1">
      <c r="E170" s="38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38"/>
    </row>
    <row r="171" ht="15.75" customHeight="1">
      <c r="E171" s="38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38"/>
    </row>
    <row r="172" ht="15.75" customHeight="1">
      <c r="E172" s="38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38"/>
    </row>
    <row r="173" ht="15.75" customHeight="1">
      <c r="E173" s="38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38"/>
    </row>
    <row r="174" ht="15.75" customHeight="1">
      <c r="E174" s="38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38"/>
    </row>
    <row r="175" ht="15.75" customHeight="1">
      <c r="E175" s="38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38"/>
    </row>
    <row r="176" ht="15.75" customHeight="1">
      <c r="E176" s="38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38"/>
    </row>
    <row r="177" ht="15.75" customHeight="1">
      <c r="E177" s="38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38"/>
    </row>
    <row r="178" ht="15.75" customHeight="1">
      <c r="E178" s="38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38"/>
    </row>
    <row r="179" ht="15.75" customHeight="1">
      <c r="E179" s="38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38"/>
    </row>
    <row r="180" ht="15.75" customHeight="1">
      <c r="E180" s="38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38"/>
    </row>
    <row r="181" ht="15.75" customHeight="1">
      <c r="E181" s="38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38"/>
    </row>
    <row r="182" ht="15.75" customHeight="1">
      <c r="E182" s="38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38"/>
    </row>
    <row r="183" ht="15.75" customHeight="1">
      <c r="E183" s="38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38"/>
    </row>
    <row r="184" ht="15.75" customHeight="1">
      <c r="E184" s="38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38"/>
    </row>
    <row r="185" ht="15.75" customHeight="1">
      <c r="E185" s="38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38"/>
    </row>
    <row r="186" ht="15.75" customHeight="1">
      <c r="E186" s="38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38"/>
    </row>
    <row r="187" ht="15.75" customHeight="1">
      <c r="E187" s="38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38"/>
    </row>
    <row r="188" ht="15.75" customHeight="1">
      <c r="E188" s="38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38"/>
    </row>
    <row r="189" ht="15.75" customHeight="1">
      <c r="E189" s="38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38"/>
    </row>
    <row r="190" ht="15.75" customHeight="1">
      <c r="E190" s="38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38"/>
    </row>
    <row r="191" ht="15.75" customHeight="1">
      <c r="E191" s="38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38"/>
    </row>
    <row r="192" ht="15.75" customHeight="1">
      <c r="E192" s="38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38"/>
    </row>
    <row r="193" ht="15.75" customHeight="1">
      <c r="E193" s="38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38"/>
    </row>
    <row r="194" ht="15.75" customHeight="1">
      <c r="E194" s="38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38"/>
    </row>
    <row r="195" ht="15.75" customHeight="1">
      <c r="E195" s="38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38"/>
    </row>
    <row r="196" ht="15.75" customHeight="1">
      <c r="E196" s="38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38"/>
    </row>
    <row r="197" ht="15.75" customHeight="1">
      <c r="E197" s="38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38"/>
    </row>
    <row r="198" ht="15.75" customHeight="1">
      <c r="E198" s="38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38"/>
    </row>
    <row r="199" ht="15.75" customHeight="1">
      <c r="E199" s="38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38"/>
    </row>
    <row r="200" ht="15.75" customHeight="1">
      <c r="E200" s="38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38"/>
    </row>
    <row r="201" ht="15.75" customHeight="1">
      <c r="E201" s="38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38"/>
    </row>
    <row r="202" ht="15.75" customHeight="1">
      <c r="E202" s="38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38"/>
    </row>
    <row r="203" ht="15.75" customHeight="1">
      <c r="E203" s="38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38"/>
    </row>
    <row r="204" ht="15.75" customHeight="1">
      <c r="E204" s="38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38"/>
    </row>
    <row r="205" ht="15.75" customHeight="1">
      <c r="E205" s="38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38"/>
    </row>
    <row r="206" ht="15.75" customHeight="1">
      <c r="E206" s="38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38"/>
    </row>
    <row r="207" ht="15.75" customHeight="1">
      <c r="E207" s="38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38"/>
    </row>
    <row r="208" ht="15.75" customHeight="1">
      <c r="E208" s="38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38"/>
    </row>
    <row r="209" ht="15.75" customHeight="1">
      <c r="E209" s="38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38"/>
    </row>
    <row r="210" ht="15.75" customHeight="1">
      <c r="E210" s="38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38"/>
    </row>
    <row r="211" ht="15.75" customHeight="1">
      <c r="E211" s="38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38"/>
    </row>
    <row r="212" ht="15.75" customHeight="1">
      <c r="E212" s="38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38"/>
    </row>
    <row r="213" ht="15.75" customHeight="1">
      <c r="E213" s="38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38"/>
    </row>
    <row r="214" ht="15.75" customHeight="1">
      <c r="E214" s="38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38"/>
    </row>
    <row r="215" ht="15.75" customHeight="1">
      <c r="E215" s="38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38"/>
    </row>
    <row r="216" ht="15.75" customHeight="1">
      <c r="E216" s="38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38"/>
    </row>
    <row r="217" ht="15.75" customHeight="1">
      <c r="E217" s="38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38"/>
    </row>
    <row r="218" ht="15.75" customHeight="1">
      <c r="E218" s="38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38"/>
    </row>
    <row r="219" ht="15.75" customHeight="1">
      <c r="E219" s="38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38"/>
    </row>
    <row r="220" ht="15.75" customHeight="1">
      <c r="E220" s="38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38"/>
    </row>
    <row r="221" ht="15.75" customHeight="1">
      <c r="E221" s="38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38"/>
    </row>
    <row r="222" ht="15.75" customHeight="1">
      <c r="E222" s="38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38"/>
    </row>
    <row r="223" ht="15.75" customHeight="1">
      <c r="E223" s="38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38"/>
    </row>
    <row r="224" ht="15.75" customHeight="1">
      <c r="E224" s="38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38"/>
    </row>
    <row r="225" ht="15.75" customHeight="1">
      <c r="E225" s="38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38"/>
    </row>
    <row r="226" ht="15.75" customHeight="1">
      <c r="E226" s="38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38"/>
    </row>
    <row r="227" ht="15.75" customHeight="1">
      <c r="E227" s="38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38"/>
    </row>
    <row r="228" ht="15.75" customHeight="1">
      <c r="E228" s="38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38"/>
    </row>
    <row r="229" ht="15.75" customHeight="1">
      <c r="E229" s="38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38"/>
    </row>
    <row r="230" ht="15.75" customHeight="1">
      <c r="E230" s="38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38"/>
    </row>
    <row r="231" ht="15.75" customHeight="1">
      <c r="E231" s="38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38"/>
    </row>
    <row r="232" ht="15.75" customHeight="1">
      <c r="E232" s="38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38"/>
    </row>
    <row r="233" ht="15.75" customHeight="1">
      <c r="E233" s="38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38"/>
    </row>
    <row r="234" ht="15.75" customHeight="1">
      <c r="E234" s="38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38"/>
    </row>
    <row r="235" ht="15.75" customHeight="1">
      <c r="E235" s="38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38"/>
    </row>
    <row r="236" ht="15.75" customHeight="1">
      <c r="E236" s="38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38"/>
    </row>
    <row r="237" ht="15.75" customHeight="1">
      <c r="E237" s="38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38"/>
    </row>
    <row r="238" ht="15.75" customHeight="1">
      <c r="E238" s="38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38"/>
    </row>
    <row r="239" ht="15.75" customHeight="1">
      <c r="E239" s="38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38"/>
    </row>
    <row r="240" ht="15.75" customHeight="1">
      <c r="E240" s="38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38"/>
    </row>
    <row r="241" ht="15.75" customHeight="1">
      <c r="E241" s="38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38"/>
    </row>
    <row r="242" ht="15.75" customHeight="1">
      <c r="E242" s="38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38"/>
    </row>
    <row r="243" ht="15.75" customHeight="1">
      <c r="E243" s="38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38"/>
    </row>
    <row r="244" ht="15.75" customHeight="1">
      <c r="E244" s="38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38"/>
    </row>
    <row r="245" ht="15.75" customHeight="1">
      <c r="E245" s="38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38"/>
    </row>
    <row r="246" ht="15.75" customHeight="1">
      <c r="E246" s="38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38"/>
    </row>
    <row r="247" ht="15.75" customHeight="1">
      <c r="E247" s="38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38"/>
    </row>
    <row r="248" ht="15.75" customHeight="1">
      <c r="E248" s="38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38"/>
    </row>
    <row r="249" ht="15.75" customHeight="1">
      <c r="E249" s="38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38"/>
    </row>
    <row r="250" ht="15.75" customHeight="1">
      <c r="E250" s="38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38"/>
    </row>
    <row r="251" ht="15.75" customHeight="1">
      <c r="E251" s="38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38"/>
    </row>
    <row r="252" ht="15.75" customHeight="1">
      <c r="E252" s="38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38"/>
    </row>
    <row r="253" ht="15.75" customHeight="1">
      <c r="E253" s="38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38"/>
    </row>
    <row r="254" ht="15.75" customHeight="1">
      <c r="E254" s="38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38"/>
    </row>
    <row r="255" ht="15.75" customHeight="1">
      <c r="E255" s="38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38"/>
    </row>
    <row r="256" ht="15.75" customHeight="1">
      <c r="E256" s="38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38"/>
    </row>
    <row r="257" ht="15.75" customHeight="1">
      <c r="E257" s="38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38"/>
    </row>
    <row r="258" ht="15.75" customHeight="1">
      <c r="E258" s="38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38"/>
    </row>
    <row r="259" ht="15.75" customHeight="1">
      <c r="E259" s="38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38"/>
    </row>
    <row r="260" ht="15.75" customHeight="1">
      <c r="E260" s="38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38"/>
    </row>
    <row r="261" ht="15.75" customHeight="1">
      <c r="E261" s="38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38"/>
    </row>
    <row r="262" ht="15.75" customHeight="1">
      <c r="E262" s="38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38"/>
    </row>
    <row r="263" ht="15.75" customHeight="1">
      <c r="E263" s="38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38"/>
    </row>
    <row r="264" ht="15.75" customHeight="1">
      <c r="E264" s="38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38"/>
    </row>
    <row r="265" ht="15.75" customHeight="1">
      <c r="E265" s="38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38"/>
    </row>
    <row r="266" ht="15.75" customHeight="1">
      <c r="E266" s="38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38"/>
    </row>
    <row r="267" ht="15.75" customHeight="1">
      <c r="E267" s="38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38"/>
    </row>
    <row r="268" ht="15.75" customHeight="1">
      <c r="E268" s="38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38"/>
    </row>
    <row r="269" ht="15.75" customHeight="1">
      <c r="E269" s="38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38"/>
    </row>
    <row r="270" ht="15.75" customHeight="1">
      <c r="E270" s="38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38"/>
    </row>
    <row r="271" ht="15.75" customHeight="1">
      <c r="E271" s="38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38"/>
    </row>
    <row r="272" ht="15.75" customHeight="1">
      <c r="E272" s="38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38"/>
    </row>
    <row r="273" ht="15.75" customHeight="1">
      <c r="E273" s="38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38"/>
    </row>
    <row r="274" ht="15.75" customHeight="1">
      <c r="E274" s="38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38"/>
    </row>
    <row r="275" ht="15.75" customHeight="1">
      <c r="E275" s="38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38"/>
    </row>
    <row r="276" ht="15.75" customHeight="1">
      <c r="E276" s="38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38"/>
    </row>
    <row r="277" ht="15.75" customHeight="1">
      <c r="E277" s="38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38"/>
    </row>
    <row r="278" ht="15.75" customHeight="1">
      <c r="E278" s="38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38"/>
    </row>
    <row r="279" ht="15.75" customHeight="1">
      <c r="E279" s="38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38"/>
    </row>
    <row r="280" ht="15.75" customHeight="1">
      <c r="E280" s="38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38"/>
    </row>
    <row r="281" ht="15.75" customHeight="1">
      <c r="E281" s="38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38"/>
    </row>
    <row r="282" ht="15.75" customHeight="1">
      <c r="E282" s="38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38"/>
    </row>
    <row r="283" ht="15.75" customHeight="1">
      <c r="E283" s="38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38"/>
    </row>
    <row r="284" ht="15.75" customHeight="1">
      <c r="E284" s="38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38"/>
    </row>
    <row r="285" ht="15.75" customHeight="1">
      <c r="E285" s="38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38"/>
    </row>
    <row r="286" ht="15.75" customHeight="1">
      <c r="E286" s="38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38"/>
    </row>
    <row r="287" ht="15.75" customHeight="1">
      <c r="E287" s="38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38"/>
    </row>
    <row r="288" ht="15.75" customHeight="1">
      <c r="E288" s="38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38"/>
    </row>
    <row r="289" ht="15.75" customHeight="1">
      <c r="E289" s="38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38"/>
    </row>
    <row r="290" ht="15.75" customHeight="1">
      <c r="E290" s="38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38"/>
    </row>
    <row r="291" ht="15.75" customHeight="1">
      <c r="E291" s="38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38"/>
    </row>
    <row r="292" ht="15.75" customHeight="1">
      <c r="E292" s="38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38"/>
    </row>
    <row r="293" ht="15.75" customHeight="1">
      <c r="E293" s="38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38"/>
    </row>
    <row r="294" ht="15.75" customHeight="1">
      <c r="E294" s="38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38"/>
    </row>
    <row r="295" ht="15.75" customHeight="1">
      <c r="E295" s="38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38"/>
    </row>
    <row r="296" ht="15.75" customHeight="1">
      <c r="E296" s="38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38"/>
    </row>
    <row r="297" ht="15.75" customHeight="1">
      <c r="E297" s="38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38"/>
    </row>
    <row r="298" ht="15.75" customHeight="1">
      <c r="E298" s="38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38"/>
    </row>
    <row r="299" ht="15.75" customHeight="1">
      <c r="E299" s="38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38"/>
    </row>
    <row r="300" ht="15.75" customHeight="1">
      <c r="E300" s="38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38"/>
    </row>
    <row r="301" ht="15.75" customHeight="1">
      <c r="E301" s="38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38"/>
    </row>
    <row r="302" ht="15.75" customHeight="1">
      <c r="E302" s="38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38"/>
    </row>
    <row r="303" ht="15.75" customHeight="1">
      <c r="E303" s="38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38"/>
    </row>
    <row r="304" ht="15.75" customHeight="1">
      <c r="E304" s="38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38"/>
    </row>
    <row r="305" ht="15.75" customHeight="1">
      <c r="E305" s="38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38"/>
    </row>
    <row r="306" ht="15.75" customHeight="1">
      <c r="E306" s="38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38"/>
    </row>
    <row r="307" ht="15.75" customHeight="1">
      <c r="E307" s="38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38"/>
    </row>
    <row r="308" ht="15.75" customHeight="1">
      <c r="E308" s="38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38"/>
    </row>
    <row r="309" ht="15.75" customHeight="1">
      <c r="E309" s="38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38"/>
    </row>
    <row r="310" ht="15.75" customHeight="1">
      <c r="E310" s="38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38"/>
    </row>
    <row r="311" ht="15.75" customHeight="1">
      <c r="E311" s="38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38"/>
    </row>
    <row r="312" ht="15.75" customHeight="1">
      <c r="E312" s="38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38"/>
    </row>
    <row r="313" ht="15.75" customHeight="1">
      <c r="E313" s="38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38"/>
    </row>
    <row r="314" ht="15.75" customHeight="1">
      <c r="E314" s="38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38"/>
    </row>
    <row r="315" ht="15.75" customHeight="1">
      <c r="E315" s="38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38"/>
    </row>
    <row r="316" ht="15.75" customHeight="1">
      <c r="E316" s="38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38"/>
    </row>
    <row r="317" ht="15.75" customHeight="1">
      <c r="E317" s="38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38"/>
    </row>
    <row r="318" ht="15.75" customHeight="1">
      <c r="E318" s="38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38"/>
    </row>
    <row r="319" ht="15.75" customHeight="1">
      <c r="E319" s="38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38"/>
    </row>
    <row r="320" ht="15.75" customHeight="1">
      <c r="E320" s="38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38"/>
    </row>
    <row r="321" ht="15.75" customHeight="1">
      <c r="E321" s="38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38"/>
    </row>
    <row r="322" ht="15.75" customHeight="1">
      <c r="E322" s="38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38"/>
    </row>
    <row r="323" ht="15.75" customHeight="1">
      <c r="E323" s="38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38"/>
    </row>
    <row r="324" ht="15.75" customHeight="1">
      <c r="E324" s="38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38"/>
    </row>
    <row r="325" ht="15.75" customHeight="1">
      <c r="E325" s="38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38"/>
    </row>
    <row r="326" ht="15.75" customHeight="1">
      <c r="E326" s="38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38"/>
    </row>
    <row r="327" ht="15.75" customHeight="1">
      <c r="E327" s="38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38"/>
    </row>
    <row r="328" ht="15.75" customHeight="1">
      <c r="E328" s="38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38"/>
    </row>
    <row r="329" ht="15.75" customHeight="1">
      <c r="E329" s="38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38"/>
    </row>
    <row r="330" ht="15.75" customHeight="1">
      <c r="E330" s="38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38"/>
    </row>
    <row r="331" ht="15.75" customHeight="1">
      <c r="E331" s="38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38"/>
    </row>
    <row r="332" ht="15.75" customHeight="1">
      <c r="E332" s="38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38"/>
    </row>
    <row r="333" ht="15.75" customHeight="1">
      <c r="E333" s="38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38"/>
    </row>
    <row r="334" ht="15.75" customHeight="1">
      <c r="E334" s="38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38"/>
    </row>
    <row r="335" ht="15.75" customHeight="1">
      <c r="E335" s="38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38"/>
    </row>
    <row r="336" ht="15.75" customHeight="1">
      <c r="E336" s="38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38"/>
    </row>
    <row r="337" ht="15.75" customHeight="1">
      <c r="E337" s="38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38"/>
    </row>
    <row r="338" ht="15.75" customHeight="1">
      <c r="E338" s="38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38"/>
    </row>
    <row r="339" ht="15.75" customHeight="1">
      <c r="E339" s="38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38"/>
    </row>
    <row r="340" ht="15.75" customHeight="1">
      <c r="E340" s="38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38"/>
    </row>
    <row r="341" ht="15.75" customHeight="1">
      <c r="E341" s="38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38"/>
    </row>
    <row r="342" ht="15.75" customHeight="1">
      <c r="E342" s="38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38"/>
    </row>
    <row r="343" ht="15.75" customHeight="1">
      <c r="E343" s="38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38"/>
    </row>
    <row r="344" ht="15.75" customHeight="1">
      <c r="E344" s="38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38"/>
    </row>
    <row r="345" ht="15.75" customHeight="1">
      <c r="E345" s="38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38"/>
    </row>
    <row r="346" ht="15.75" customHeight="1">
      <c r="E346" s="38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38"/>
    </row>
    <row r="347" ht="15.75" customHeight="1">
      <c r="E347" s="38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38"/>
    </row>
    <row r="348" ht="15.75" customHeight="1">
      <c r="E348" s="38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38"/>
    </row>
    <row r="349" ht="15.75" customHeight="1">
      <c r="E349" s="38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38"/>
    </row>
    <row r="350" ht="15.75" customHeight="1">
      <c r="E350" s="38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38"/>
    </row>
    <row r="351" ht="15.75" customHeight="1">
      <c r="E351" s="38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38"/>
    </row>
    <row r="352" ht="15.75" customHeight="1">
      <c r="E352" s="38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38"/>
    </row>
    <row r="353" ht="15.75" customHeight="1">
      <c r="E353" s="38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38"/>
    </row>
    <row r="354" ht="15.75" customHeight="1">
      <c r="E354" s="38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38"/>
    </row>
    <row r="355" ht="15.75" customHeight="1">
      <c r="E355" s="38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38"/>
    </row>
    <row r="356" ht="15.75" customHeight="1">
      <c r="E356" s="38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38"/>
    </row>
    <row r="357" ht="15.75" customHeight="1">
      <c r="E357" s="38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38"/>
    </row>
    <row r="358" ht="15.75" customHeight="1">
      <c r="E358" s="38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38"/>
    </row>
    <row r="359" ht="15.75" customHeight="1">
      <c r="E359" s="38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38"/>
    </row>
    <row r="360" ht="15.75" customHeight="1">
      <c r="E360" s="38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38"/>
    </row>
    <row r="361" ht="15.75" customHeight="1">
      <c r="E361" s="38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38"/>
    </row>
    <row r="362" ht="15.75" customHeight="1">
      <c r="E362" s="38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38"/>
    </row>
    <row r="363" ht="15.75" customHeight="1">
      <c r="E363" s="38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38"/>
    </row>
    <row r="364" ht="15.75" customHeight="1">
      <c r="E364" s="38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38"/>
    </row>
    <row r="365" ht="15.75" customHeight="1">
      <c r="E365" s="38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38"/>
    </row>
    <row r="366" ht="15.75" customHeight="1">
      <c r="E366" s="38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38"/>
    </row>
    <row r="367" ht="15.75" customHeight="1">
      <c r="E367" s="38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38"/>
    </row>
    <row r="368" ht="15.75" customHeight="1">
      <c r="E368" s="38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38"/>
    </row>
    <row r="369" ht="15.75" customHeight="1">
      <c r="E369" s="38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38"/>
    </row>
    <row r="370" ht="15.75" customHeight="1">
      <c r="E370" s="38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38"/>
    </row>
    <row r="371" ht="15.75" customHeight="1">
      <c r="E371" s="38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38"/>
    </row>
    <row r="372" ht="15.75" customHeight="1">
      <c r="E372" s="38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38"/>
    </row>
    <row r="373" ht="15.75" customHeight="1">
      <c r="E373" s="38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38"/>
    </row>
    <row r="374" ht="15.75" customHeight="1">
      <c r="E374" s="38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38"/>
    </row>
    <row r="375" ht="15.75" customHeight="1">
      <c r="E375" s="38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38"/>
    </row>
    <row r="376" ht="15.75" customHeight="1">
      <c r="E376" s="38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38"/>
    </row>
    <row r="377" ht="15.75" customHeight="1">
      <c r="E377" s="38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38"/>
    </row>
    <row r="378" ht="15.75" customHeight="1">
      <c r="E378" s="38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38"/>
    </row>
    <row r="379" ht="15.75" customHeight="1">
      <c r="E379" s="38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38"/>
    </row>
    <row r="380" ht="15.75" customHeight="1">
      <c r="E380" s="38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38"/>
    </row>
    <row r="381" ht="15.75" customHeight="1">
      <c r="E381" s="38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38"/>
    </row>
    <row r="382" ht="15.75" customHeight="1">
      <c r="E382" s="38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38"/>
    </row>
    <row r="383" ht="15.75" customHeight="1">
      <c r="E383" s="38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38"/>
    </row>
    <row r="384" ht="15.75" customHeight="1">
      <c r="E384" s="38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38"/>
    </row>
    <row r="385" ht="15.75" customHeight="1">
      <c r="E385" s="38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38"/>
    </row>
    <row r="386" ht="15.75" customHeight="1">
      <c r="E386" s="38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38"/>
    </row>
    <row r="387" ht="15.75" customHeight="1">
      <c r="E387" s="38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38"/>
    </row>
    <row r="388" ht="15.75" customHeight="1">
      <c r="E388" s="38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38"/>
    </row>
    <row r="389" ht="15.75" customHeight="1">
      <c r="E389" s="38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38"/>
    </row>
    <row r="390" ht="15.75" customHeight="1">
      <c r="E390" s="38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38"/>
    </row>
    <row r="391" ht="15.75" customHeight="1">
      <c r="E391" s="38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38"/>
    </row>
    <row r="392" ht="15.75" customHeight="1">
      <c r="E392" s="38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38"/>
    </row>
    <row r="393" ht="15.75" customHeight="1">
      <c r="E393" s="38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38"/>
    </row>
    <row r="394" ht="15.75" customHeight="1">
      <c r="E394" s="38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38"/>
    </row>
    <row r="395" ht="15.75" customHeight="1">
      <c r="E395" s="38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38"/>
    </row>
    <row r="396" ht="15.75" customHeight="1">
      <c r="E396" s="38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38"/>
    </row>
    <row r="397" ht="15.75" customHeight="1">
      <c r="E397" s="38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38"/>
    </row>
    <row r="398" ht="15.75" customHeight="1">
      <c r="E398" s="38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38"/>
    </row>
    <row r="399" ht="15.75" customHeight="1">
      <c r="E399" s="38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38"/>
    </row>
    <row r="400" ht="15.75" customHeight="1">
      <c r="E400" s="38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38"/>
    </row>
    <row r="401" ht="15.75" customHeight="1">
      <c r="E401" s="38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38"/>
    </row>
    <row r="402" ht="15.75" customHeight="1">
      <c r="E402" s="38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38"/>
    </row>
    <row r="403" ht="15.75" customHeight="1">
      <c r="E403" s="38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38"/>
    </row>
    <row r="404" ht="15.75" customHeight="1">
      <c r="E404" s="38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38"/>
    </row>
    <row r="405" ht="15.75" customHeight="1">
      <c r="E405" s="38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38"/>
    </row>
    <row r="406" ht="15.75" customHeight="1">
      <c r="E406" s="38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38"/>
    </row>
    <row r="407" ht="15.75" customHeight="1">
      <c r="E407" s="38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38"/>
    </row>
    <row r="408" ht="15.75" customHeight="1">
      <c r="E408" s="38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38"/>
    </row>
    <row r="409" ht="15.75" customHeight="1">
      <c r="E409" s="38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38"/>
    </row>
    <row r="410" ht="15.75" customHeight="1">
      <c r="E410" s="38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38"/>
    </row>
    <row r="411" ht="15.75" customHeight="1">
      <c r="E411" s="38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38"/>
    </row>
    <row r="412" ht="15.75" customHeight="1">
      <c r="E412" s="38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38"/>
    </row>
    <row r="413" ht="15.75" customHeight="1">
      <c r="E413" s="38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38"/>
    </row>
    <row r="414" ht="15.75" customHeight="1">
      <c r="E414" s="38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38"/>
    </row>
    <row r="415" ht="15.75" customHeight="1">
      <c r="E415" s="38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38"/>
    </row>
    <row r="416" ht="15.75" customHeight="1">
      <c r="E416" s="38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38"/>
    </row>
    <row r="417" ht="15.75" customHeight="1">
      <c r="E417" s="38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38"/>
    </row>
    <row r="418" ht="15.75" customHeight="1">
      <c r="E418" s="38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38"/>
    </row>
    <row r="419" ht="15.75" customHeight="1">
      <c r="E419" s="38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38"/>
    </row>
    <row r="420" ht="15.75" customHeight="1">
      <c r="E420" s="38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38"/>
    </row>
    <row r="421" ht="15.75" customHeight="1">
      <c r="E421" s="38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38"/>
    </row>
    <row r="422" ht="15.75" customHeight="1">
      <c r="E422" s="38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38"/>
    </row>
    <row r="423" ht="15.75" customHeight="1">
      <c r="E423" s="38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38"/>
    </row>
    <row r="424" ht="15.75" customHeight="1">
      <c r="E424" s="38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38"/>
    </row>
    <row r="425" ht="15.75" customHeight="1">
      <c r="E425" s="38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38"/>
    </row>
    <row r="426" ht="15.75" customHeight="1">
      <c r="E426" s="38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38"/>
    </row>
    <row r="427" ht="15.75" customHeight="1">
      <c r="E427" s="38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38"/>
    </row>
    <row r="428" ht="15.75" customHeight="1">
      <c r="E428" s="38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38"/>
    </row>
    <row r="429" ht="15.75" customHeight="1">
      <c r="E429" s="38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38"/>
    </row>
    <row r="430" ht="15.75" customHeight="1">
      <c r="E430" s="38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38"/>
    </row>
    <row r="431" ht="15.75" customHeight="1">
      <c r="E431" s="38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38"/>
    </row>
    <row r="432" ht="15.75" customHeight="1">
      <c r="E432" s="38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38"/>
    </row>
    <row r="433" ht="15.75" customHeight="1">
      <c r="E433" s="38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38"/>
    </row>
    <row r="434" ht="15.75" customHeight="1">
      <c r="E434" s="38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38"/>
    </row>
    <row r="435" ht="15.75" customHeight="1">
      <c r="E435" s="38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38"/>
    </row>
    <row r="436" ht="15.75" customHeight="1">
      <c r="E436" s="38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38"/>
    </row>
    <row r="437" ht="15.75" customHeight="1">
      <c r="E437" s="38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38"/>
    </row>
    <row r="438" ht="15.75" customHeight="1">
      <c r="E438" s="38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38"/>
    </row>
    <row r="439" ht="15.75" customHeight="1">
      <c r="E439" s="38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38"/>
    </row>
    <row r="440" ht="15.75" customHeight="1">
      <c r="E440" s="38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38"/>
    </row>
    <row r="441" ht="15.75" customHeight="1">
      <c r="E441" s="38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38"/>
    </row>
    <row r="442" ht="15.75" customHeight="1">
      <c r="E442" s="38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38"/>
    </row>
    <row r="443" ht="15.75" customHeight="1">
      <c r="E443" s="38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38"/>
    </row>
    <row r="444" ht="15.75" customHeight="1">
      <c r="E444" s="38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38"/>
    </row>
    <row r="445" ht="15.75" customHeight="1">
      <c r="E445" s="38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38"/>
    </row>
    <row r="446" ht="15.75" customHeight="1">
      <c r="E446" s="38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38"/>
    </row>
    <row r="447" ht="15.75" customHeight="1">
      <c r="E447" s="38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38"/>
    </row>
    <row r="448" ht="15.75" customHeight="1">
      <c r="E448" s="38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38"/>
    </row>
    <row r="449" ht="15.75" customHeight="1">
      <c r="E449" s="38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38"/>
    </row>
    <row r="450" ht="15.75" customHeight="1">
      <c r="E450" s="38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38"/>
    </row>
    <row r="451" ht="15.75" customHeight="1">
      <c r="E451" s="38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38"/>
    </row>
    <row r="452" ht="15.75" customHeight="1">
      <c r="E452" s="38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38"/>
    </row>
    <row r="453" ht="15.75" customHeight="1">
      <c r="E453" s="38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38"/>
    </row>
    <row r="454" ht="15.75" customHeight="1">
      <c r="E454" s="38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38"/>
    </row>
    <row r="455" ht="15.75" customHeight="1">
      <c r="E455" s="38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38"/>
    </row>
    <row r="456" ht="15.75" customHeight="1">
      <c r="E456" s="38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38"/>
    </row>
    <row r="457" ht="15.75" customHeight="1">
      <c r="E457" s="38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38"/>
    </row>
    <row r="458" ht="15.75" customHeight="1">
      <c r="E458" s="38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38"/>
    </row>
    <row r="459" ht="15.75" customHeight="1">
      <c r="E459" s="38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38"/>
    </row>
    <row r="460" ht="15.75" customHeight="1">
      <c r="E460" s="38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38"/>
    </row>
    <row r="461" ht="15.75" customHeight="1">
      <c r="E461" s="38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38"/>
    </row>
    <row r="462" ht="15.75" customHeight="1">
      <c r="E462" s="38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38"/>
    </row>
    <row r="463" ht="15.75" customHeight="1">
      <c r="E463" s="38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38"/>
    </row>
    <row r="464" ht="15.75" customHeight="1">
      <c r="E464" s="38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38"/>
    </row>
    <row r="465" ht="15.75" customHeight="1">
      <c r="E465" s="38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38"/>
    </row>
    <row r="466" ht="15.75" customHeight="1">
      <c r="E466" s="38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38"/>
    </row>
    <row r="467" ht="15.75" customHeight="1">
      <c r="E467" s="38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38"/>
    </row>
    <row r="468" ht="15.75" customHeight="1">
      <c r="E468" s="38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38"/>
    </row>
    <row r="469" ht="15.75" customHeight="1">
      <c r="E469" s="38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38"/>
    </row>
    <row r="470" ht="15.75" customHeight="1">
      <c r="E470" s="38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38"/>
    </row>
    <row r="471" ht="15.75" customHeight="1">
      <c r="E471" s="38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38"/>
    </row>
    <row r="472" ht="15.75" customHeight="1">
      <c r="E472" s="38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38"/>
    </row>
    <row r="473" ht="15.75" customHeight="1">
      <c r="E473" s="38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38"/>
    </row>
    <row r="474" ht="15.75" customHeight="1">
      <c r="E474" s="38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38"/>
    </row>
    <row r="475" ht="15.75" customHeight="1">
      <c r="E475" s="38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38"/>
    </row>
    <row r="476" ht="15.75" customHeight="1">
      <c r="E476" s="38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38"/>
    </row>
    <row r="477" ht="15.75" customHeight="1">
      <c r="E477" s="38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38"/>
    </row>
    <row r="478" ht="15.75" customHeight="1">
      <c r="E478" s="38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38"/>
    </row>
    <row r="479" ht="15.75" customHeight="1">
      <c r="E479" s="38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38"/>
    </row>
    <row r="480" ht="15.75" customHeight="1">
      <c r="E480" s="38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38"/>
    </row>
    <row r="481" ht="15.75" customHeight="1">
      <c r="E481" s="38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38"/>
    </row>
    <row r="482" ht="15.75" customHeight="1">
      <c r="E482" s="38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38"/>
    </row>
    <row r="483" ht="15.75" customHeight="1">
      <c r="E483" s="38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38"/>
    </row>
    <row r="484" ht="15.75" customHeight="1">
      <c r="E484" s="38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38"/>
    </row>
    <row r="485" ht="15.75" customHeight="1">
      <c r="E485" s="38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38"/>
    </row>
    <row r="486" ht="15.75" customHeight="1">
      <c r="E486" s="38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38"/>
    </row>
    <row r="487" ht="15.75" customHeight="1">
      <c r="E487" s="38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38"/>
    </row>
    <row r="488" ht="15.75" customHeight="1">
      <c r="E488" s="38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38"/>
    </row>
    <row r="489" ht="15.75" customHeight="1">
      <c r="E489" s="38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38"/>
    </row>
    <row r="490" ht="15.75" customHeight="1">
      <c r="E490" s="38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38"/>
    </row>
    <row r="491" ht="15.75" customHeight="1">
      <c r="E491" s="38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38"/>
    </row>
    <row r="492" ht="15.75" customHeight="1">
      <c r="E492" s="38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38"/>
    </row>
    <row r="493" ht="15.75" customHeight="1">
      <c r="E493" s="38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38"/>
    </row>
    <row r="494" ht="15.75" customHeight="1">
      <c r="E494" s="38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38"/>
    </row>
    <row r="495" ht="15.75" customHeight="1">
      <c r="E495" s="38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38"/>
    </row>
    <row r="496" ht="15.75" customHeight="1">
      <c r="E496" s="38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38"/>
    </row>
    <row r="497" ht="15.75" customHeight="1">
      <c r="E497" s="38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38"/>
    </row>
    <row r="498" ht="15.75" customHeight="1">
      <c r="E498" s="38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38"/>
    </row>
    <row r="499" ht="15.75" customHeight="1">
      <c r="E499" s="38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38"/>
    </row>
    <row r="500" ht="15.75" customHeight="1">
      <c r="E500" s="38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38"/>
    </row>
    <row r="501" ht="15.75" customHeight="1">
      <c r="E501" s="38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38"/>
    </row>
    <row r="502" ht="15.75" customHeight="1">
      <c r="E502" s="38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38"/>
    </row>
    <row r="503" ht="15.75" customHeight="1">
      <c r="E503" s="38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38"/>
    </row>
    <row r="504" ht="15.75" customHeight="1">
      <c r="E504" s="38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38"/>
    </row>
    <row r="505" ht="15.75" customHeight="1">
      <c r="E505" s="38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38"/>
    </row>
    <row r="506" ht="15.75" customHeight="1">
      <c r="E506" s="38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38"/>
    </row>
    <row r="507" ht="15.75" customHeight="1">
      <c r="E507" s="38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38"/>
    </row>
    <row r="508" ht="15.75" customHeight="1">
      <c r="E508" s="38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38"/>
    </row>
    <row r="509" ht="15.75" customHeight="1">
      <c r="E509" s="38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38"/>
    </row>
    <row r="510" ht="15.75" customHeight="1">
      <c r="E510" s="38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38"/>
    </row>
    <row r="511" ht="15.75" customHeight="1">
      <c r="E511" s="38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38"/>
    </row>
    <row r="512" ht="15.75" customHeight="1">
      <c r="E512" s="38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38"/>
    </row>
    <row r="513" ht="15.75" customHeight="1">
      <c r="E513" s="38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38"/>
    </row>
    <row r="514" ht="15.75" customHeight="1">
      <c r="E514" s="38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38"/>
    </row>
    <row r="515" ht="15.75" customHeight="1">
      <c r="E515" s="38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38"/>
    </row>
    <row r="516" ht="15.75" customHeight="1">
      <c r="E516" s="38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38"/>
    </row>
    <row r="517" ht="15.75" customHeight="1">
      <c r="E517" s="38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38"/>
    </row>
    <row r="518" ht="15.75" customHeight="1">
      <c r="E518" s="38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38"/>
    </row>
    <row r="519" ht="15.75" customHeight="1">
      <c r="E519" s="38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38"/>
    </row>
    <row r="520" ht="15.75" customHeight="1">
      <c r="E520" s="38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38"/>
    </row>
    <row r="521" ht="15.75" customHeight="1">
      <c r="E521" s="38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38"/>
    </row>
    <row r="522" ht="15.75" customHeight="1">
      <c r="E522" s="38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38"/>
    </row>
    <row r="523" ht="15.75" customHeight="1">
      <c r="E523" s="38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38"/>
    </row>
    <row r="524" ht="15.75" customHeight="1">
      <c r="E524" s="38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38"/>
    </row>
    <row r="525" ht="15.75" customHeight="1">
      <c r="E525" s="38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38"/>
    </row>
    <row r="526" ht="15.75" customHeight="1">
      <c r="E526" s="38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38"/>
    </row>
    <row r="527" ht="15.75" customHeight="1">
      <c r="E527" s="38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38"/>
    </row>
    <row r="528" ht="15.75" customHeight="1">
      <c r="E528" s="38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38"/>
    </row>
    <row r="529" ht="15.75" customHeight="1">
      <c r="E529" s="38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38"/>
    </row>
    <row r="530" ht="15.75" customHeight="1">
      <c r="E530" s="38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38"/>
    </row>
    <row r="531" ht="15.75" customHeight="1">
      <c r="E531" s="38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38"/>
    </row>
    <row r="532" ht="15.75" customHeight="1">
      <c r="E532" s="38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38"/>
    </row>
    <row r="533" ht="15.75" customHeight="1">
      <c r="E533" s="38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38"/>
    </row>
    <row r="534" ht="15.75" customHeight="1">
      <c r="E534" s="38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38"/>
    </row>
    <row r="535" ht="15.75" customHeight="1">
      <c r="E535" s="38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38"/>
    </row>
    <row r="536" ht="15.75" customHeight="1">
      <c r="E536" s="38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38"/>
    </row>
    <row r="537" ht="15.75" customHeight="1">
      <c r="E537" s="38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38"/>
    </row>
    <row r="538" ht="15.75" customHeight="1">
      <c r="E538" s="38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38"/>
    </row>
    <row r="539" ht="15.75" customHeight="1">
      <c r="E539" s="38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38"/>
    </row>
    <row r="540" ht="15.75" customHeight="1">
      <c r="E540" s="38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38"/>
    </row>
    <row r="541" ht="15.75" customHeight="1">
      <c r="E541" s="38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38"/>
    </row>
    <row r="542" ht="15.75" customHeight="1">
      <c r="E542" s="38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38"/>
    </row>
    <row r="543" ht="15.75" customHeight="1">
      <c r="E543" s="38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38"/>
    </row>
    <row r="544" ht="15.75" customHeight="1">
      <c r="E544" s="38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38"/>
    </row>
    <row r="545" ht="15.75" customHeight="1">
      <c r="E545" s="38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38"/>
    </row>
    <row r="546" ht="15.75" customHeight="1">
      <c r="E546" s="38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38"/>
    </row>
    <row r="547" ht="15.75" customHeight="1">
      <c r="E547" s="38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38"/>
    </row>
    <row r="548" ht="15.75" customHeight="1">
      <c r="E548" s="38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38"/>
    </row>
    <row r="549" ht="15.75" customHeight="1">
      <c r="E549" s="38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38"/>
    </row>
    <row r="550" ht="15.75" customHeight="1">
      <c r="E550" s="38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38"/>
    </row>
    <row r="551" ht="15.75" customHeight="1">
      <c r="E551" s="38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38"/>
    </row>
    <row r="552" ht="15.75" customHeight="1">
      <c r="E552" s="38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38"/>
    </row>
    <row r="553" ht="15.75" customHeight="1">
      <c r="E553" s="38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38"/>
    </row>
    <row r="554" ht="15.75" customHeight="1">
      <c r="E554" s="38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38"/>
    </row>
    <row r="555" ht="15.75" customHeight="1">
      <c r="E555" s="38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38"/>
    </row>
    <row r="556" ht="15.75" customHeight="1">
      <c r="E556" s="38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38"/>
    </row>
    <row r="557" ht="15.75" customHeight="1">
      <c r="E557" s="38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38"/>
    </row>
    <row r="558" ht="15.75" customHeight="1">
      <c r="E558" s="38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38"/>
    </row>
    <row r="559" ht="15.75" customHeight="1">
      <c r="E559" s="38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38"/>
    </row>
    <row r="560" ht="15.75" customHeight="1">
      <c r="E560" s="38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38"/>
    </row>
    <row r="561" ht="15.75" customHeight="1">
      <c r="E561" s="38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38"/>
    </row>
    <row r="562" ht="15.75" customHeight="1">
      <c r="E562" s="38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38"/>
    </row>
    <row r="563" ht="15.75" customHeight="1">
      <c r="E563" s="38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38"/>
    </row>
    <row r="564" ht="15.75" customHeight="1">
      <c r="E564" s="38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38"/>
    </row>
    <row r="565" ht="15.75" customHeight="1">
      <c r="E565" s="38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38"/>
    </row>
    <row r="566" ht="15.75" customHeight="1">
      <c r="E566" s="38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38"/>
    </row>
    <row r="567" ht="15.75" customHeight="1">
      <c r="E567" s="38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38"/>
    </row>
    <row r="568" ht="15.75" customHeight="1">
      <c r="E568" s="38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38"/>
    </row>
    <row r="569" ht="15.75" customHeight="1">
      <c r="E569" s="38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38"/>
    </row>
    <row r="570" ht="15.75" customHeight="1">
      <c r="E570" s="38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38"/>
    </row>
    <row r="571" ht="15.75" customHeight="1">
      <c r="E571" s="38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38"/>
    </row>
    <row r="572" ht="15.75" customHeight="1">
      <c r="E572" s="38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38"/>
    </row>
    <row r="573" ht="15.75" customHeight="1">
      <c r="E573" s="38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38"/>
    </row>
    <row r="574" ht="15.75" customHeight="1">
      <c r="E574" s="38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38"/>
    </row>
    <row r="575" ht="15.75" customHeight="1">
      <c r="E575" s="38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38"/>
    </row>
    <row r="576" ht="15.75" customHeight="1">
      <c r="E576" s="38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38"/>
    </row>
    <row r="577" ht="15.75" customHeight="1">
      <c r="E577" s="38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38"/>
    </row>
    <row r="578" ht="15.75" customHeight="1">
      <c r="E578" s="38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38"/>
    </row>
    <row r="579" ht="15.75" customHeight="1">
      <c r="E579" s="38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38"/>
    </row>
    <row r="580" ht="15.75" customHeight="1">
      <c r="E580" s="38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38"/>
    </row>
    <row r="581" ht="15.75" customHeight="1">
      <c r="E581" s="38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38"/>
    </row>
    <row r="582" ht="15.75" customHeight="1">
      <c r="E582" s="38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38"/>
    </row>
    <row r="583" ht="15.75" customHeight="1">
      <c r="E583" s="38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38"/>
    </row>
    <row r="584" ht="15.75" customHeight="1">
      <c r="E584" s="38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38"/>
    </row>
    <row r="585" ht="15.75" customHeight="1">
      <c r="E585" s="38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38"/>
    </row>
    <row r="586" ht="15.75" customHeight="1">
      <c r="E586" s="38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38"/>
    </row>
    <row r="587" ht="15.75" customHeight="1">
      <c r="E587" s="38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38"/>
    </row>
    <row r="588" ht="15.75" customHeight="1">
      <c r="E588" s="38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38"/>
    </row>
    <row r="589" ht="15.75" customHeight="1">
      <c r="E589" s="38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38"/>
    </row>
    <row r="590" ht="15.75" customHeight="1">
      <c r="E590" s="38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38"/>
    </row>
    <row r="591" ht="15.75" customHeight="1">
      <c r="E591" s="38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38"/>
    </row>
    <row r="592" ht="15.75" customHeight="1">
      <c r="E592" s="38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38"/>
    </row>
    <row r="593" ht="15.75" customHeight="1">
      <c r="E593" s="38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38"/>
    </row>
    <row r="594" ht="15.75" customHeight="1">
      <c r="E594" s="38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38"/>
    </row>
    <row r="595" ht="15.75" customHeight="1">
      <c r="E595" s="38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38"/>
    </row>
    <row r="596" ht="15.75" customHeight="1">
      <c r="E596" s="38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38"/>
    </row>
    <row r="597" ht="15.75" customHeight="1">
      <c r="E597" s="38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38"/>
    </row>
    <row r="598" ht="15.75" customHeight="1">
      <c r="E598" s="38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38"/>
    </row>
    <row r="599" ht="15.75" customHeight="1">
      <c r="E599" s="38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38"/>
    </row>
    <row r="600" ht="15.75" customHeight="1">
      <c r="E600" s="38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38"/>
    </row>
    <row r="601" ht="15.75" customHeight="1">
      <c r="E601" s="38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38"/>
    </row>
    <row r="602" ht="15.75" customHeight="1">
      <c r="E602" s="38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38"/>
    </row>
    <row r="603" ht="15.75" customHeight="1">
      <c r="E603" s="38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38"/>
    </row>
    <row r="604" ht="15.75" customHeight="1">
      <c r="E604" s="38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38"/>
    </row>
    <row r="605" ht="15.75" customHeight="1">
      <c r="E605" s="38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38"/>
    </row>
    <row r="606" ht="15.75" customHeight="1">
      <c r="E606" s="38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38"/>
    </row>
    <row r="607" ht="15.75" customHeight="1">
      <c r="E607" s="38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38"/>
    </row>
    <row r="608" ht="15.75" customHeight="1">
      <c r="E608" s="38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38"/>
    </row>
    <row r="609" ht="15.75" customHeight="1">
      <c r="E609" s="38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38"/>
    </row>
    <row r="610" ht="15.75" customHeight="1">
      <c r="E610" s="38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38"/>
    </row>
    <row r="611" ht="15.75" customHeight="1">
      <c r="E611" s="38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38"/>
    </row>
    <row r="612" ht="15.75" customHeight="1">
      <c r="E612" s="38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38"/>
    </row>
    <row r="613" ht="15.75" customHeight="1">
      <c r="E613" s="38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38"/>
    </row>
    <row r="614" ht="15.75" customHeight="1">
      <c r="E614" s="38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38"/>
    </row>
    <row r="615" ht="15.75" customHeight="1">
      <c r="E615" s="38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38"/>
    </row>
    <row r="616" ht="15.75" customHeight="1">
      <c r="E616" s="38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38"/>
    </row>
    <row r="617" ht="15.75" customHeight="1">
      <c r="E617" s="38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38"/>
    </row>
    <row r="618" ht="15.75" customHeight="1">
      <c r="E618" s="38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38"/>
    </row>
    <row r="619" ht="15.75" customHeight="1">
      <c r="E619" s="38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38"/>
    </row>
    <row r="620" ht="15.75" customHeight="1">
      <c r="E620" s="38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38"/>
    </row>
    <row r="621" ht="15.75" customHeight="1">
      <c r="E621" s="38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38"/>
    </row>
    <row r="622" ht="15.75" customHeight="1">
      <c r="E622" s="38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38"/>
    </row>
    <row r="623" ht="15.75" customHeight="1">
      <c r="E623" s="38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38"/>
    </row>
    <row r="624" ht="15.75" customHeight="1">
      <c r="E624" s="38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38"/>
    </row>
    <row r="625" ht="15.75" customHeight="1">
      <c r="E625" s="38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38"/>
    </row>
    <row r="626" ht="15.75" customHeight="1">
      <c r="E626" s="38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38"/>
    </row>
    <row r="627" ht="15.75" customHeight="1">
      <c r="E627" s="38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38"/>
    </row>
    <row r="628" ht="15.75" customHeight="1">
      <c r="E628" s="38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38"/>
    </row>
    <row r="629" ht="15.75" customHeight="1">
      <c r="E629" s="38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38"/>
    </row>
    <row r="630" ht="15.75" customHeight="1">
      <c r="E630" s="38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38"/>
    </row>
    <row r="631" ht="15.75" customHeight="1">
      <c r="E631" s="38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38"/>
    </row>
    <row r="632" ht="15.75" customHeight="1">
      <c r="E632" s="38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38"/>
    </row>
    <row r="633" ht="15.75" customHeight="1">
      <c r="E633" s="38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38"/>
    </row>
    <row r="634" ht="15.75" customHeight="1">
      <c r="E634" s="38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38"/>
    </row>
    <row r="635" ht="15.75" customHeight="1">
      <c r="E635" s="38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38"/>
    </row>
    <row r="636" ht="15.75" customHeight="1">
      <c r="E636" s="38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38"/>
    </row>
    <row r="637" ht="15.75" customHeight="1">
      <c r="E637" s="38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38"/>
    </row>
    <row r="638" ht="15.75" customHeight="1">
      <c r="E638" s="38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38"/>
    </row>
    <row r="639" ht="15.75" customHeight="1">
      <c r="E639" s="38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38"/>
    </row>
    <row r="640" ht="15.75" customHeight="1">
      <c r="E640" s="38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38"/>
    </row>
    <row r="641" ht="15.75" customHeight="1">
      <c r="E641" s="38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38"/>
    </row>
    <row r="642" ht="15.75" customHeight="1">
      <c r="E642" s="38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38"/>
    </row>
    <row r="643" ht="15.75" customHeight="1">
      <c r="E643" s="38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38"/>
    </row>
    <row r="644" ht="15.75" customHeight="1">
      <c r="E644" s="38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38"/>
    </row>
    <row r="645" ht="15.75" customHeight="1">
      <c r="E645" s="38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38"/>
    </row>
    <row r="646" ht="15.75" customHeight="1">
      <c r="E646" s="38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38"/>
    </row>
    <row r="647" ht="15.75" customHeight="1">
      <c r="E647" s="38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38"/>
    </row>
    <row r="648" ht="15.75" customHeight="1">
      <c r="E648" s="38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38"/>
    </row>
    <row r="649" ht="15.75" customHeight="1">
      <c r="E649" s="38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38"/>
    </row>
    <row r="650" ht="15.75" customHeight="1">
      <c r="E650" s="38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38"/>
    </row>
    <row r="651" ht="15.75" customHeight="1">
      <c r="E651" s="38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38"/>
    </row>
    <row r="652" ht="15.75" customHeight="1">
      <c r="E652" s="38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38"/>
    </row>
    <row r="653" ht="15.75" customHeight="1">
      <c r="E653" s="38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38"/>
    </row>
    <row r="654" ht="15.75" customHeight="1">
      <c r="E654" s="38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38"/>
    </row>
    <row r="655" ht="15.75" customHeight="1">
      <c r="E655" s="38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38"/>
    </row>
    <row r="656" ht="15.75" customHeight="1">
      <c r="E656" s="38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38"/>
    </row>
    <row r="657" ht="15.75" customHeight="1">
      <c r="E657" s="38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38"/>
    </row>
    <row r="658" ht="15.75" customHeight="1">
      <c r="E658" s="38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38"/>
    </row>
    <row r="659" ht="15.75" customHeight="1">
      <c r="E659" s="38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38"/>
    </row>
    <row r="660" ht="15.75" customHeight="1">
      <c r="E660" s="38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38"/>
    </row>
    <row r="661" ht="15.75" customHeight="1">
      <c r="E661" s="38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38"/>
    </row>
    <row r="662" ht="15.75" customHeight="1">
      <c r="E662" s="38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38"/>
    </row>
    <row r="663" ht="15.75" customHeight="1">
      <c r="E663" s="38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38"/>
    </row>
    <row r="664" ht="15.75" customHeight="1">
      <c r="E664" s="38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38"/>
    </row>
    <row r="665" ht="15.75" customHeight="1">
      <c r="E665" s="38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38"/>
    </row>
    <row r="666" ht="15.75" customHeight="1">
      <c r="E666" s="38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38"/>
    </row>
    <row r="667" ht="15.75" customHeight="1">
      <c r="E667" s="38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38"/>
    </row>
    <row r="668" ht="15.75" customHeight="1">
      <c r="E668" s="38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38"/>
    </row>
    <row r="669" ht="15.75" customHeight="1">
      <c r="E669" s="38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38"/>
    </row>
    <row r="670" ht="15.75" customHeight="1">
      <c r="E670" s="38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38"/>
    </row>
    <row r="671" ht="15.75" customHeight="1">
      <c r="E671" s="38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38"/>
    </row>
    <row r="672" ht="15.75" customHeight="1">
      <c r="E672" s="38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38"/>
    </row>
    <row r="673" ht="15.75" customHeight="1">
      <c r="E673" s="38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38"/>
    </row>
    <row r="674" ht="15.75" customHeight="1">
      <c r="E674" s="38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38"/>
    </row>
    <row r="675" ht="15.75" customHeight="1">
      <c r="E675" s="38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38"/>
    </row>
    <row r="676" ht="15.75" customHeight="1">
      <c r="E676" s="38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38"/>
    </row>
    <row r="677" ht="15.75" customHeight="1">
      <c r="E677" s="38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38"/>
    </row>
    <row r="678" ht="15.75" customHeight="1">
      <c r="E678" s="38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38"/>
    </row>
    <row r="679" ht="15.75" customHeight="1">
      <c r="E679" s="38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38"/>
    </row>
    <row r="680" ht="15.75" customHeight="1">
      <c r="E680" s="38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38"/>
    </row>
    <row r="681" ht="15.75" customHeight="1">
      <c r="E681" s="38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38"/>
    </row>
    <row r="682" ht="15.75" customHeight="1">
      <c r="E682" s="38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38"/>
    </row>
    <row r="683" ht="15.75" customHeight="1">
      <c r="E683" s="38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38"/>
    </row>
    <row r="684" ht="15.75" customHeight="1">
      <c r="E684" s="38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38"/>
    </row>
    <row r="685" ht="15.75" customHeight="1">
      <c r="E685" s="38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38"/>
    </row>
    <row r="686" ht="15.75" customHeight="1">
      <c r="E686" s="38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38"/>
    </row>
    <row r="687" ht="15.75" customHeight="1">
      <c r="E687" s="38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38"/>
    </row>
    <row r="688" ht="15.75" customHeight="1">
      <c r="E688" s="38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38"/>
    </row>
    <row r="689" ht="15.75" customHeight="1">
      <c r="E689" s="38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38"/>
    </row>
    <row r="690" ht="15.75" customHeight="1">
      <c r="E690" s="38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38"/>
    </row>
    <row r="691" ht="15.75" customHeight="1">
      <c r="E691" s="38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38"/>
    </row>
    <row r="692" ht="15.75" customHeight="1">
      <c r="E692" s="38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38"/>
    </row>
    <row r="693" ht="15.75" customHeight="1">
      <c r="E693" s="38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38"/>
    </row>
    <row r="694" ht="15.75" customHeight="1">
      <c r="E694" s="38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38"/>
    </row>
    <row r="695" ht="15.75" customHeight="1">
      <c r="E695" s="38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38"/>
    </row>
    <row r="696" ht="15.75" customHeight="1">
      <c r="E696" s="38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38"/>
    </row>
    <row r="697" ht="15.75" customHeight="1">
      <c r="E697" s="38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38"/>
    </row>
    <row r="698" ht="15.75" customHeight="1">
      <c r="E698" s="38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38"/>
    </row>
    <row r="699" ht="15.75" customHeight="1">
      <c r="E699" s="38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38"/>
    </row>
    <row r="700" ht="15.75" customHeight="1">
      <c r="E700" s="38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38"/>
    </row>
    <row r="701" ht="15.75" customHeight="1">
      <c r="E701" s="38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38"/>
    </row>
    <row r="702" ht="15.75" customHeight="1">
      <c r="E702" s="38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38"/>
    </row>
    <row r="703" ht="15.75" customHeight="1">
      <c r="E703" s="38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38"/>
    </row>
    <row r="704" ht="15.75" customHeight="1">
      <c r="E704" s="38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38"/>
    </row>
    <row r="705" ht="15.75" customHeight="1">
      <c r="E705" s="38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38"/>
    </row>
    <row r="706" ht="15.75" customHeight="1">
      <c r="E706" s="38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38"/>
    </row>
    <row r="707" ht="15.75" customHeight="1">
      <c r="E707" s="38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38"/>
    </row>
    <row r="708" ht="15.75" customHeight="1">
      <c r="E708" s="38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38"/>
    </row>
    <row r="709" ht="15.75" customHeight="1">
      <c r="E709" s="38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38"/>
    </row>
    <row r="710" ht="15.75" customHeight="1">
      <c r="E710" s="38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38"/>
    </row>
    <row r="711" ht="15.75" customHeight="1">
      <c r="E711" s="38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38"/>
    </row>
    <row r="712" ht="15.75" customHeight="1">
      <c r="E712" s="38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38"/>
    </row>
    <row r="713" ht="15.75" customHeight="1">
      <c r="E713" s="38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38"/>
    </row>
    <row r="714" ht="15.75" customHeight="1">
      <c r="E714" s="38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38"/>
    </row>
    <row r="715" ht="15.75" customHeight="1">
      <c r="E715" s="38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38"/>
    </row>
    <row r="716" ht="15.75" customHeight="1">
      <c r="E716" s="38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38"/>
    </row>
    <row r="717" ht="15.75" customHeight="1">
      <c r="E717" s="38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38"/>
    </row>
    <row r="718" ht="15.75" customHeight="1">
      <c r="E718" s="38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38"/>
    </row>
    <row r="719" ht="15.75" customHeight="1">
      <c r="E719" s="38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38"/>
    </row>
    <row r="720" ht="15.75" customHeight="1">
      <c r="E720" s="38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38"/>
    </row>
    <row r="721" ht="15.75" customHeight="1">
      <c r="E721" s="38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38"/>
    </row>
    <row r="722" ht="15.75" customHeight="1">
      <c r="E722" s="38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38"/>
    </row>
    <row r="723" ht="15.75" customHeight="1">
      <c r="E723" s="38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38"/>
    </row>
    <row r="724" ht="15.75" customHeight="1">
      <c r="E724" s="38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38"/>
    </row>
    <row r="725" ht="15.75" customHeight="1">
      <c r="E725" s="38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38"/>
    </row>
    <row r="726" ht="15.75" customHeight="1">
      <c r="E726" s="38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38"/>
    </row>
    <row r="727" ht="15.75" customHeight="1">
      <c r="E727" s="38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38"/>
    </row>
    <row r="728" ht="15.75" customHeight="1">
      <c r="E728" s="38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38"/>
    </row>
    <row r="729" ht="15.75" customHeight="1">
      <c r="E729" s="38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38"/>
    </row>
    <row r="730" ht="15.75" customHeight="1">
      <c r="E730" s="38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38"/>
    </row>
    <row r="731" ht="15.75" customHeight="1">
      <c r="E731" s="38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38"/>
    </row>
    <row r="732" ht="15.75" customHeight="1">
      <c r="E732" s="38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38"/>
    </row>
    <row r="733" ht="15.75" customHeight="1">
      <c r="E733" s="38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38"/>
    </row>
    <row r="734" ht="15.75" customHeight="1">
      <c r="E734" s="38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38"/>
    </row>
    <row r="735" ht="15.75" customHeight="1">
      <c r="E735" s="38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38"/>
    </row>
    <row r="736" ht="15.75" customHeight="1">
      <c r="E736" s="38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38"/>
    </row>
    <row r="737" ht="15.75" customHeight="1">
      <c r="E737" s="38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38"/>
    </row>
    <row r="738" ht="15.75" customHeight="1">
      <c r="E738" s="38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38"/>
    </row>
    <row r="739" ht="15.75" customHeight="1">
      <c r="E739" s="38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38"/>
    </row>
    <row r="740" ht="15.75" customHeight="1">
      <c r="E740" s="38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38"/>
    </row>
    <row r="741" ht="15.75" customHeight="1">
      <c r="E741" s="38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38"/>
    </row>
    <row r="742" ht="15.75" customHeight="1">
      <c r="E742" s="38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38"/>
    </row>
    <row r="743" ht="15.75" customHeight="1">
      <c r="E743" s="38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38"/>
    </row>
    <row r="744" ht="15.75" customHeight="1">
      <c r="E744" s="38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38"/>
    </row>
    <row r="745" ht="15.75" customHeight="1">
      <c r="E745" s="38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38"/>
    </row>
    <row r="746" ht="15.75" customHeight="1">
      <c r="E746" s="38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38"/>
    </row>
    <row r="747" ht="15.75" customHeight="1">
      <c r="E747" s="38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38"/>
    </row>
    <row r="748" ht="15.75" customHeight="1">
      <c r="E748" s="38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38"/>
    </row>
    <row r="749" ht="15.75" customHeight="1">
      <c r="E749" s="38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38"/>
    </row>
    <row r="750" ht="15.75" customHeight="1">
      <c r="E750" s="38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38"/>
    </row>
    <row r="751" ht="15.75" customHeight="1">
      <c r="E751" s="38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38"/>
    </row>
    <row r="752" ht="15.75" customHeight="1">
      <c r="E752" s="38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38"/>
    </row>
    <row r="753" ht="15.75" customHeight="1">
      <c r="E753" s="38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38"/>
    </row>
    <row r="754" ht="15.75" customHeight="1">
      <c r="E754" s="38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38"/>
    </row>
    <row r="755" ht="15.75" customHeight="1">
      <c r="E755" s="38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38"/>
    </row>
    <row r="756" ht="15.75" customHeight="1">
      <c r="E756" s="38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38"/>
    </row>
    <row r="757" ht="15.75" customHeight="1">
      <c r="E757" s="38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38"/>
    </row>
    <row r="758" ht="15.75" customHeight="1">
      <c r="E758" s="38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38"/>
    </row>
    <row r="759" ht="15.75" customHeight="1">
      <c r="E759" s="38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38"/>
    </row>
    <row r="760" ht="15.75" customHeight="1">
      <c r="E760" s="38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38"/>
    </row>
    <row r="761" ht="15.75" customHeight="1">
      <c r="E761" s="38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38"/>
    </row>
    <row r="762" ht="15.75" customHeight="1">
      <c r="E762" s="38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38"/>
    </row>
    <row r="763" ht="15.75" customHeight="1">
      <c r="E763" s="38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38"/>
    </row>
    <row r="764" ht="15.75" customHeight="1">
      <c r="E764" s="38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38"/>
    </row>
    <row r="765" ht="15.75" customHeight="1">
      <c r="E765" s="38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38"/>
    </row>
    <row r="766" ht="15.75" customHeight="1">
      <c r="E766" s="38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38"/>
    </row>
    <row r="767" ht="15.75" customHeight="1">
      <c r="E767" s="38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38"/>
    </row>
    <row r="768" ht="15.75" customHeight="1">
      <c r="E768" s="38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38"/>
    </row>
    <row r="769" ht="15.75" customHeight="1">
      <c r="E769" s="38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38"/>
    </row>
    <row r="770" ht="15.75" customHeight="1">
      <c r="E770" s="38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38"/>
    </row>
    <row r="771" ht="15.75" customHeight="1">
      <c r="E771" s="38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38"/>
    </row>
    <row r="772" ht="15.75" customHeight="1">
      <c r="E772" s="38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38"/>
    </row>
    <row r="773" ht="15.75" customHeight="1">
      <c r="E773" s="38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38"/>
    </row>
    <row r="774" ht="15.75" customHeight="1">
      <c r="E774" s="38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38"/>
    </row>
    <row r="775" ht="15.75" customHeight="1">
      <c r="E775" s="38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38"/>
    </row>
    <row r="776" ht="15.75" customHeight="1">
      <c r="E776" s="38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38"/>
    </row>
    <row r="777" ht="15.75" customHeight="1">
      <c r="E777" s="38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38"/>
    </row>
    <row r="778" ht="15.75" customHeight="1">
      <c r="E778" s="38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38"/>
    </row>
    <row r="779" ht="15.75" customHeight="1">
      <c r="E779" s="38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38"/>
    </row>
    <row r="780" ht="15.75" customHeight="1">
      <c r="E780" s="38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38"/>
    </row>
    <row r="781" ht="15.75" customHeight="1">
      <c r="E781" s="38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38"/>
    </row>
    <row r="782" ht="15.75" customHeight="1">
      <c r="E782" s="38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38"/>
    </row>
    <row r="783" ht="15.75" customHeight="1">
      <c r="E783" s="38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38"/>
    </row>
    <row r="784" ht="15.75" customHeight="1">
      <c r="E784" s="38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38"/>
    </row>
    <row r="785" ht="15.75" customHeight="1">
      <c r="E785" s="38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38"/>
    </row>
    <row r="786" ht="15.75" customHeight="1">
      <c r="E786" s="38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38"/>
    </row>
    <row r="787" ht="15.75" customHeight="1">
      <c r="E787" s="38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38"/>
    </row>
    <row r="788" ht="15.75" customHeight="1">
      <c r="E788" s="38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38"/>
    </row>
    <row r="789" ht="15.75" customHeight="1">
      <c r="E789" s="38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38"/>
    </row>
    <row r="790" ht="15.75" customHeight="1">
      <c r="E790" s="38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38"/>
    </row>
    <row r="791" ht="15.75" customHeight="1">
      <c r="E791" s="38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38"/>
    </row>
    <row r="792" ht="15.75" customHeight="1">
      <c r="E792" s="38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38"/>
    </row>
    <row r="793" ht="15.75" customHeight="1">
      <c r="E793" s="38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38"/>
    </row>
    <row r="794" ht="15.75" customHeight="1">
      <c r="E794" s="38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38"/>
    </row>
    <row r="795" ht="15.75" customHeight="1">
      <c r="E795" s="38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38"/>
    </row>
    <row r="796" ht="15.75" customHeight="1">
      <c r="E796" s="38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38"/>
    </row>
    <row r="797" ht="15.75" customHeight="1">
      <c r="E797" s="38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38"/>
    </row>
    <row r="798" ht="15.75" customHeight="1">
      <c r="E798" s="38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38"/>
    </row>
    <row r="799" ht="15.75" customHeight="1">
      <c r="E799" s="38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38"/>
    </row>
    <row r="800" ht="15.75" customHeight="1">
      <c r="E800" s="38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38"/>
    </row>
    <row r="801" ht="15.75" customHeight="1">
      <c r="E801" s="38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38"/>
    </row>
    <row r="802" ht="15.75" customHeight="1">
      <c r="E802" s="38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38"/>
    </row>
    <row r="803" ht="15.75" customHeight="1">
      <c r="E803" s="38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38"/>
    </row>
    <row r="804" ht="15.75" customHeight="1">
      <c r="E804" s="38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38"/>
    </row>
    <row r="805" ht="15.75" customHeight="1">
      <c r="E805" s="38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38"/>
    </row>
    <row r="806" ht="15.75" customHeight="1">
      <c r="E806" s="38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38"/>
    </row>
    <row r="807" ht="15.75" customHeight="1">
      <c r="E807" s="38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38"/>
    </row>
    <row r="808" ht="15.75" customHeight="1">
      <c r="E808" s="38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38"/>
    </row>
    <row r="809" ht="15.75" customHeight="1">
      <c r="E809" s="38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38"/>
    </row>
    <row r="810" ht="15.75" customHeight="1">
      <c r="E810" s="38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38"/>
    </row>
    <row r="811" ht="15.75" customHeight="1">
      <c r="E811" s="38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38"/>
    </row>
    <row r="812" ht="15.75" customHeight="1">
      <c r="E812" s="38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38"/>
    </row>
    <row r="813" ht="15.75" customHeight="1">
      <c r="E813" s="38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38"/>
    </row>
    <row r="814" ht="15.75" customHeight="1">
      <c r="E814" s="38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38"/>
    </row>
    <row r="815" ht="15.75" customHeight="1">
      <c r="E815" s="38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38"/>
    </row>
    <row r="816" ht="15.75" customHeight="1">
      <c r="E816" s="38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38"/>
    </row>
    <row r="817" ht="15.75" customHeight="1">
      <c r="E817" s="38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38"/>
    </row>
    <row r="818" ht="15.75" customHeight="1">
      <c r="E818" s="38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38"/>
    </row>
    <row r="819" ht="15.75" customHeight="1">
      <c r="E819" s="38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38"/>
    </row>
    <row r="820" ht="15.75" customHeight="1">
      <c r="E820" s="38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38"/>
    </row>
    <row r="821" ht="15.75" customHeight="1">
      <c r="E821" s="38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38"/>
    </row>
    <row r="822" ht="15.75" customHeight="1">
      <c r="E822" s="38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38"/>
    </row>
    <row r="823" ht="15.75" customHeight="1">
      <c r="E823" s="38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38"/>
    </row>
    <row r="824" ht="15.75" customHeight="1">
      <c r="E824" s="38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38"/>
    </row>
    <row r="825" ht="15.75" customHeight="1">
      <c r="E825" s="38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38"/>
    </row>
    <row r="826" ht="15.75" customHeight="1">
      <c r="E826" s="38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38"/>
    </row>
    <row r="827" ht="15.75" customHeight="1">
      <c r="E827" s="38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38"/>
    </row>
    <row r="828" ht="15.75" customHeight="1">
      <c r="E828" s="38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38"/>
    </row>
    <row r="829" ht="15.75" customHeight="1">
      <c r="E829" s="38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38"/>
    </row>
    <row r="830" ht="15.75" customHeight="1">
      <c r="E830" s="38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38"/>
    </row>
    <row r="831" ht="15.75" customHeight="1">
      <c r="E831" s="38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38"/>
    </row>
    <row r="832" ht="15.75" customHeight="1">
      <c r="E832" s="38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38"/>
    </row>
    <row r="833" ht="15.75" customHeight="1">
      <c r="E833" s="38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38"/>
    </row>
    <row r="834" ht="15.75" customHeight="1">
      <c r="E834" s="38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38"/>
    </row>
    <row r="835" ht="15.75" customHeight="1">
      <c r="E835" s="38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38"/>
    </row>
    <row r="836" ht="15.75" customHeight="1">
      <c r="E836" s="38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38"/>
    </row>
    <row r="837" ht="15.75" customHeight="1">
      <c r="E837" s="38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38"/>
    </row>
    <row r="838" ht="15.75" customHeight="1">
      <c r="E838" s="38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38"/>
    </row>
    <row r="839" ht="15.75" customHeight="1">
      <c r="E839" s="38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38"/>
    </row>
    <row r="840" ht="15.75" customHeight="1">
      <c r="E840" s="38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38"/>
    </row>
    <row r="841" ht="15.75" customHeight="1">
      <c r="E841" s="38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38"/>
    </row>
    <row r="842" ht="15.75" customHeight="1">
      <c r="E842" s="38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38"/>
    </row>
    <row r="843" ht="15.75" customHeight="1">
      <c r="E843" s="38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38"/>
    </row>
    <row r="844" ht="15.75" customHeight="1">
      <c r="E844" s="38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38"/>
    </row>
    <row r="845" ht="15.75" customHeight="1">
      <c r="E845" s="38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38"/>
    </row>
    <row r="846" ht="15.75" customHeight="1">
      <c r="E846" s="38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38"/>
    </row>
    <row r="847" ht="15.75" customHeight="1">
      <c r="E847" s="38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38"/>
    </row>
    <row r="848" ht="15.75" customHeight="1">
      <c r="E848" s="38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38"/>
    </row>
    <row r="849" ht="15.75" customHeight="1">
      <c r="E849" s="38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38"/>
    </row>
    <row r="850" ht="15.75" customHeight="1">
      <c r="E850" s="38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38"/>
    </row>
    <row r="851" ht="15.75" customHeight="1">
      <c r="E851" s="38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38"/>
    </row>
    <row r="852" ht="15.75" customHeight="1">
      <c r="E852" s="38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38"/>
    </row>
    <row r="853" ht="15.75" customHeight="1">
      <c r="E853" s="38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38"/>
    </row>
    <row r="854" ht="15.75" customHeight="1">
      <c r="E854" s="38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38"/>
    </row>
    <row r="855" ht="15.75" customHeight="1">
      <c r="E855" s="38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38"/>
    </row>
    <row r="856" ht="15.75" customHeight="1">
      <c r="E856" s="38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38"/>
    </row>
    <row r="857" ht="15.75" customHeight="1">
      <c r="E857" s="38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38"/>
    </row>
    <row r="858" ht="15.75" customHeight="1">
      <c r="E858" s="38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38"/>
    </row>
    <row r="859" ht="15.75" customHeight="1">
      <c r="E859" s="38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38"/>
    </row>
    <row r="860" ht="15.75" customHeight="1">
      <c r="E860" s="38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38"/>
    </row>
    <row r="861" ht="15.75" customHeight="1">
      <c r="E861" s="38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38"/>
    </row>
    <row r="862" ht="15.75" customHeight="1">
      <c r="E862" s="38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38"/>
    </row>
    <row r="863" ht="15.75" customHeight="1">
      <c r="E863" s="38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38"/>
    </row>
    <row r="864" ht="15.75" customHeight="1">
      <c r="E864" s="38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38"/>
    </row>
    <row r="865" ht="15.75" customHeight="1">
      <c r="E865" s="38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38"/>
    </row>
    <row r="866" ht="15.75" customHeight="1">
      <c r="E866" s="38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38"/>
    </row>
    <row r="867" ht="15.75" customHeight="1">
      <c r="E867" s="38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38"/>
    </row>
    <row r="868" ht="15.75" customHeight="1">
      <c r="E868" s="38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38"/>
    </row>
    <row r="869" ht="15.75" customHeight="1">
      <c r="E869" s="38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38"/>
    </row>
    <row r="870" ht="15.75" customHeight="1">
      <c r="E870" s="38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38"/>
    </row>
    <row r="871" ht="15.75" customHeight="1">
      <c r="E871" s="38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38"/>
    </row>
    <row r="872" ht="15.75" customHeight="1">
      <c r="E872" s="38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38"/>
    </row>
    <row r="873" ht="15.75" customHeight="1">
      <c r="E873" s="38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38"/>
    </row>
    <row r="874" ht="15.75" customHeight="1">
      <c r="E874" s="38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38"/>
    </row>
    <row r="875" ht="15.75" customHeight="1">
      <c r="E875" s="38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38"/>
    </row>
    <row r="876" ht="15.75" customHeight="1">
      <c r="E876" s="38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38"/>
    </row>
    <row r="877" ht="15.75" customHeight="1">
      <c r="E877" s="38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38"/>
    </row>
    <row r="878" ht="15.75" customHeight="1">
      <c r="E878" s="38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38"/>
    </row>
    <row r="879" ht="15.75" customHeight="1">
      <c r="E879" s="38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38"/>
    </row>
    <row r="880" ht="15.75" customHeight="1">
      <c r="E880" s="38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38"/>
    </row>
    <row r="881" ht="15.75" customHeight="1">
      <c r="E881" s="38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38"/>
    </row>
    <row r="882" ht="15.75" customHeight="1">
      <c r="E882" s="38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38"/>
    </row>
    <row r="883" ht="15.75" customHeight="1">
      <c r="E883" s="38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38"/>
    </row>
    <row r="884" ht="15.75" customHeight="1">
      <c r="E884" s="38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38"/>
    </row>
    <row r="885" ht="15.75" customHeight="1">
      <c r="E885" s="38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38"/>
    </row>
    <row r="886" ht="15.75" customHeight="1">
      <c r="E886" s="38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38"/>
    </row>
    <row r="887" ht="15.75" customHeight="1">
      <c r="E887" s="38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38"/>
    </row>
    <row r="888" ht="15.75" customHeight="1">
      <c r="E888" s="38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38"/>
    </row>
    <row r="889" ht="15.75" customHeight="1">
      <c r="E889" s="38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38"/>
    </row>
    <row r="890" ht="15.75" customHeight="1">
      <c r="E890" s="38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38"/>
    </row>
    <row r="891" ht="15.75" customHeight="1">
      <c r="E891" s="38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38"/>
    </row>
    <row r="892" ht="15.75" customHeight="1">
      <c r="E892" s="38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38"/>
    </row>
    <row r="893" ht="15.75" customHeight="1">
      <c r="E893" s="38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38"/>
    </row>
    <row r="894" ht="15.75" customHeight="1">
      <c r="E894" s="38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38"/>
    </row>
    <row r="895" ht="15.75" customHeight="1">
      <c r="E895" s="38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38"/>
    </row>
    <row r="896" ht="15.75" customHeight="1">
      <c r="E896" s="38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38"/>
    </row>
    <row r="897" ht="15.75" customHeight="1">
      <c r="E897" s="38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38"/>
    </row>
    <row r="898" ht="15.75" customHeight="1">
      <c r="E898" s="38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38"/>
    </row>
    <row r="899" ht="15.75" customHeight="1">
      <c r="E899" s="38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38"/>
    </row>
    <row r="900" ht="15.75" customHeight="1">
      <c r="E900" s="38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38"/>
    </row>
    <row r="901" ht="15.75" customHeight="1">
      <c r="E901" s="38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38"/>
    </row>
    <row r="902" ht="15.75" customHeight="1">
      <c r="E902" s="38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38"/>
    </row>
    <row r="903" ht="15.75" customHeight="1">
      <c r="E903" s="38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38"/>
    </row>
    <row r="904" ht="15.75" customHeight="1">
      <c r="E904" s="38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38"/>
    </row>
    <row r="905" ht="15.75" customHeight="1">
      <c r="E905" s="38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38"/>
    </row>
    <row r="906" ht="15.75" customHeight="1">
      <c r="E906" s="38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38"/>
    </row>
    <row r="907" ht="15.75" customHeight="1">
      <c r="E907" s="38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38"/>
    </row>
    <row r="908" ht="15.75" customHeight="1">
      <c r="E908" s="38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38"/>
    </row>
    <row r="909" ht="15.75" customHeight="1">
      <c r="E909" s="38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38"/>
    </row>
    <row r="910" ht="15.75" customHeight="1">
      <c r="E910" s="38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38"/>
    </row>
    <row r="911" ht="15.75" customHeight="1">
      <c r="E911" s="38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38"/>
    </row>
    <row r="912" ht="15.75" customHeight="1">
      <c r="E912" s="38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38"/>
    </row>
    <row r="913" ht="15.75" customHeight="1">
      <c r="E913" s="38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38"/>
    </row>
    <row r="914" ht="15.75" customHeight="1">
      <c r="E914" s="38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38"/>
    </row>
    <row r="915" ht="15.75" customHeight="1">
      <c r="E915" s="38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38"/>
    </row>
    <row r="916" ht="15.75" customHeight="1">
      <c r="E916" s="38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38"/>
    </row>
    <row r="917" ht="15.75" customHeight="1">
      <c r="E917" s="38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38"/>
    </row>
    <row r="918" ht="15.75" customHeight="1">
      <c r="E918" s="38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38"/>
    </row>
    <row r="919" ht="15.75" customHeight="1">
      <c r="E919" s="38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38"/>
    </row>
    <row r="920" ht="15.75" customHeight="1">
      <c r="E920" s="38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38"/>
    </row>
    <row r="921" ht="15.75" customHeight="1">
      <c r="E921" s="38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38"/>
    </row>
    <row r="922" ht="15.75" customHeight="1">
      <c r="E922" s="38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38"/>
    </row>
    <row r="923" ht="15.75" customHeight="1">
      <c r="E923" s="38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38"/>
    </row>
    <row r="924" ht="15.75" customHeight="1">
      <c r="E924" s="38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38"/>
    </row>
    <row r="925" ht="15.75" customHeight="1">
      <c r="E925" s="38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38"/>
    </row>
    <row r="926" ht="15.75" customHeight="1">
      <c r="E926" s="38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38"/>
    </row>
    <row r="927" ht="15.75" customHeight="1">
      <c r="E927" s="38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38"/>
    </row>
    <row r="928" ht="15.75" customHeight="1">
      <c r="E928" s="38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38"/>
    </row>
    <row r="929" ht="15.75" customHeight="1">
      <c r="E929" s="38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38"/>
    </row>
    <row r="930" ht="15.75" customHeight="1">
      <c r="E930" s="38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38"/>
    </row>
    <row r="931" ht="15.75" customHeight="1">
      <c r="E931" s="38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38"/>
    </row>
    <row r="932" ht="15.75" customHeight="1">
      <c r="E932" s="38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38"/>
    </row>
    <row r="933" ht="15.75" customHeight="1">
      <c r="E933" s="38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38"/>
    </row>
    <row r="934" ht="15.75" customHeight="1">
      <c r="E934" s="38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38"/>
    </row>
    <row r="935" ht="15.75" customHeight="1">
      <c r="E935" s="38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38"/>
    </row>
    <row r="936" ht="15.75" customHeight="1">
      <c r="E936" s="38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38"/>
    </row>
    <row r="937" ht="15.75" customHeight="1">
      <c r="E937" s="38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38"/>
    </row>
    <row r="938" ht="15.75" customHeight="1">
      <c r="E938" s="38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38"/>
    </row>
    <row r="939" ht="15.75" customHeight="1">
      <c r="E939" s="38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38"/>
    </row>
    <row r="940" ht="15.75" customHeight="1">
      <c r="E940" s="38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38"/>
    </row>
    <row r="941" ht="15.75" customHeight="1">
      <c r="E941" s="38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38"/>
    </row>
    <row r="942" ht="15.75" customHeight="1">
      <c r="E942" s="38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38"/>
    </row>
    <row r="943" ht="15.75" customHeight="1">
      <c r="E943" s="38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38"/>
    </row>
    <row r="944" ht="15.75" customHeight="1">
      <c r="E944" s="38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38"/>
    </row>
    <row r="945" ht="15.75" customHeight="1">
      <c r="E945" s="38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38"/>
    </row>
    <row r="946" ht="15.75" customHeight="1">
      <c r="E946" s="38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38"/>
    </row>
    <row r="947" ht="15.75" customHeight="1">
      <c r="E947" s="38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38"/>
    </row>
    <row r="948" ht="15.75" customHeight="1">
      <c r="E948" s="38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38"/>
    </row>
    <row r="949" ht="15.75" customHeight="1">
      <c r="E949" s="38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38"/>
    </row>
    <row r="950" ht="15.75" customHeight="1">
      <c r="E950" s="38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38"/>
    </row>
    <row r="951" ht="15.75" customHeight="1">
      <c r="E951" s="38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38"/>
    </row>
    <row r="952" ht="15.75" customHeight="1">
      <c r="E952" s="38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38"/>
    </row>
    <row r="953" ht="15.75" customHeight="1">
      <c r="E953" s="38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38"/>
    </row>
    <row r="954" ht="15.75" customHeight="1">
      <c r="E954" s="38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38"/>
    </row>
    <row r="955" ht="15.75" customHeight="1">
      <c r="E955" s="38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38"/>
    </row>
    <row r="956" ht="15.75" customHeight="1">
      <c r="E956" s="38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38"/>
    </row>
    <row r="957" ht="15.75" customHeight="1">
      <c r="E957" s="38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38"/>
    </row>
    <row r="958" ht="15.75" customHeight="1">
      <c r="E958" s="38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38"/>
    </row>
    <row r="959" ht="15.75" customHeight="1">
      <c r="E959" s="38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38"/>
    </row>
    <row r="960" ht="15.75" customHeight="1">
      <c r="E960" s="38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38"/>
    </row>
    <row r="961" ht="15.75" customHeight="1">
      <c r="E961" s="38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38"/>
    </row>
    <row r="962" ht="15.75" customHeight="1">
      <c r="E962" s="38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38"/>
    </row>
    <row r="963" ht="15.75" customHeight="1">
      <c r="E963" s="38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38"/>
    </row>
    <row r="964" ht="15.75" customHeight="1">
      <c r="E964" s="38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38"/>
    </row>
    <row r="965" ht="15.75" customHeight="1">
      <c r="E965" s="38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38"/>
    </row>
    <row r="966" ht="15.75" customHeight="1">
      <c r="E966" s="38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38"/>
    </row>
    <row r="967" ht="15.75" customHeight="1">
      <c r="E967" s="38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38"/>
    </row>
    <row r="968" ht="15.75" customHeight="1">
      <c r="E968" s="38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38"/>
    </row>
    <row r="969" ht="15.75" customHeight="1">
      <c r="E969" s="38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38"/>
    </row>
    <row r="970" ht="15.75" customHeight="1">
      <c r="E970" s="38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38"/>
    </row>
    <row r="971" ht="15.75" customHeight="1">
      <c r="E971" s="38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38"/>
    </row>
    <row r="972" ht="15.75" customHeight="1">
      <c r="E972" s="38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38"/>
    </row>
    <row r="973" ht="15.75" customHeight="1">
      <c r="E973" s="38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38"/>
    </row>
    <row r="974" ht="15.75" customHeight="1">
      <c r="E974" s="38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38"/>
    </row>
    <row r="975" ht="15.75" customHeight="1">
      <c r="E975" s="38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38"/>
    </row>
    <row r="976" ht="15.75" customHeight="1">
      <c r="E976" s="38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38"/>
    </row>
    <row r="977" ht="15.75" customHeight="1">
      <c r="E977" s="38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38"/>
    </row>
    <row r="978" ht="15.75" customHeight="1">
      <c r="E978" s="38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38"/>
    </row>
    <row r="979" ht="15.75" customHeight="1">
      <c r="E979" s="38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38"/>
    </row>
    <row r="980" ht="15.75" customHeight="1">
      <c r="E980" s="38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38"/>
    </row>
    <row r="981" ht="15.75" customHeight="1">
      <c r="E981" s="38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38"/>
    </row>
    <row r="982" ht="15.75" customHeight="1">
      <c r="E982" s="38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38"/>
    </row>
    <row r="983" ht="15.75" customHeight="1">
      <c r="E983" s="38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38"/>
    </row>
    <row r="984" ht="15.75" customHeight="1">
      <c r="E984" s="38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38"/>
    </row>
    <row r="985" ht="15.75" customHeight="1">
      <c r="E985" s="38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38"/>
    </row>
    <row r="986" ht="15.75" customHeight="1">
      <c r="E986" s="38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38"/>
    </row>
    <row r="987" ht="15.75" customHeight="1">
      <c r="E987" s="38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38"/>
    </row>
    <row r="988" ht="15.75" customHeight="1">
      <c r="E988" s="38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38"/>
    </row>
    <row r="989" ht="15.75" customHeight="1">
      <c r="E989" s="38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38"/>
    </row>
    <row r="990" ht="15.75" customHeight="1">
      <c r="E990" s="38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38"/>
    </row>
    <row r="991" ht="15.75" customHeight="1">
      <c r="E991" s="38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38"/>
    </row>
    <row r="992" ht="15.75" customHeight="1">
      <c r="E992" s="38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38"/>
    </row>
    <row r="993" ht="15.75" customHeight="1">
      <c r="E993" s="38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38"/>
    </row>
    <row r="994" ht="15.75" customHeight="1">
      <c r="E994" s="38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38"/>
    </row>
    <row r="995" ht="15.75" customHeight="1">
      <c r="E995" s="38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38"/>
    </row>
    <row r="996" ht="15.75" customHeight="1">
      <c r="E996" s="38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38"/>
    </row>
    <row r="997" ht="15.75" customHeight="1">
      <c r="E997" s="38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38"/>
    </row>
    <row r="998" ht="15.75" customHeight="1">
      <c r="E998" s="38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38"/>
    </row>
    <row r="999" ht="15.75" customHeight="1">
      <c r="E999" s="38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38"/>
    </row>
    <row r="1000" ht="15.75" customHeight="1">
      <c r="E1000" s="38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38"/>
    </row>
  </sheetData>
  <conditionalFormatting sqref="B84:B87">
    <cfRule type="expression" dxfId="2" priority="1" stopIfTrue="1">
      <formula>AND(COUNTIF($B$5:$B$937, B84)+COUNTIF($B$939:$B$948, B84)+COUNTIF($B$950:$B$959, B84)+COUNTIF($B$975:$B$65504, B84)&gt;1,NOT(ISBLANK(B84)))</formula>
    </cfRule>
  </conditionalFormatting>
  <conditionalFormatting sqref="B24:B25 B47:B48">
    <cfRule type="expression" dxfId="2" priority="2" stopIfTrue="1">
      <formula>AND(COUNTIF($B$5:$B$999, B24)+COUNTIF($B$1001:$B$1010, B24)+COUNTIF($B$1012:$B$1021, B24)+COUNTIF($B$1037:$B$65562, B24)&gt;1,NOT(ISBLANK(B24)))</formula>
    </cfRule>
  </conditionalFormatting>
  <conditionalFormatting sqref="B35 B68">
    <cfRule type="expression" dxfId="2" priority="3" stopIfTrue="1">
      <formula>AND(COUNTIF($B$5:$B$960, B35)+COUNTIF($B$962:$B$971, B35)+COUNTIF($B$973:$B$982, B35)+COUNTIF($B$998:$B$65525, B35)&gt;1,NOT(ISBLANK(B35)))</formula>
    </cfRule>
  </conditionalFormatting>
  <conditionalFormatting sqref="B47:B54 B80:B85">
    <cfRule type="expression" dxfId="2" priority="4" stopIfTrue="1">
      <formula>AND(COUNTIF($B$5:$B$969, B47)+COUNTIF($B$971:$B$980, B47)+COUNTIF($B$982:$B$991, B47)+COUNTIF($B$1007:$B$65536, B47)&gt;1,NOT(ISBLANK(B47)))</formula>
    </cfRule>
  </conditionalFormatting>
  <conditionalFormatting sqref="B26:B34 B36:B46 B49:B79 B81:B83 B86:B96">
    <cfRule type="expression" dxfId="2" priority="5" stopIfTrue="1">
      <formula>AND(COUNTIF($B$5:$B$988, B26)+COUNTIF($B$990:$B$999, B26)+COUNTIF($B$1001:$B$1010, B26)+COUNTIF($B$1026:$B$65551, B26)&gt;1,NOT(ISBLANK(B26)))</formula>
    </cfRule>
  </conditionalFormatting>
  <conditionalFormatting sqref="B74">
    <cfRule type="expression" dxfId="2" priority="6" stopIfTrue="1">
      <formula>AND(COUNTIF($B$5:$B$942, B74)+COUNTIF($B$944:$B$953, B74)+COUNTIF($B$955:$B$964, B74)+COUNTIF($B$980:$B$65509, B74)&gt;1,NOT(ISBLANK(B74)))</formula>
    </cfRule>
  </conditionalFormatting>
  <conditionalFormatting sqref="B80">
    <cfRule type="expression" dxfId="2" priority="7" stopIfTrue="1">
      <formula>AND(COUNTIF($B$5:$B$936, B80)+COUNTIF($B$938:$B$947, B80)+COUNTIF($B$949:$B$958, B80)+COUNTIF($B$974:$B$65503, B80)&gt;1,NOT(ISBLANK(B80)))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5.0"/>
    <col customWidth="1" min="2" max="2" width="5.43"/>
    <col customWidth="1" min="3" max="5" width="10.71"/>
    <col customWidth="1" min="6" max="6" width="26.43"/>
    <col customWidth="1" min="7" max="7" width="10.71"/>
    <col customWidth="1" min="8" max="8" width="19.0"/>
    <col customWidth="1" min="9" max="9" width="20.14"/>
    <col customWidth="1" min="10" max="10" width="19.14"/>
    <col customWidth="1" min="11" max="11" width="15.57"/>
    <col customWidth="1" min="12" max="26" width="10.71"/>
  </cols>
  <sheetData>
    <row r="1">
      <c r="B1" s="27"/>
    </row>
    <row r="2">
      <c r="B2" s="27"/>
    </row>
    <row r="3">
      <c r="B3" s="27"/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>
      <c r="I26" s="27"/>
    </row>
    <row r="27" ht="15.75" customHeight="1"/>
    <row r="28" ht="15.75" customHeight="1">
      <c r="K28" s="38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>
      <c r="A209" s="136"/>
      <c r="B209" s="137"/>
    </row>
    <row r="210" ht="15.75" customHeight="1"/>
    <row r="211" ht="15.75" customHeight="1">
      <c r="B211" s="27"/>
    </row>
    <row r="212" ht="15.75" customHeight="1">
      <c r="B212" s="27"/>
    </row>
    <row r="213" ht="15.75" customHeight="1">
      <c r="B213" s="27"/>
    </row>
    <row r="214" ht="15.75" customHeight="1">
      <c r="B214" s="27"/>
    </row>
    <row r="215" ht="15.75" customHeight="1">
      <c r="B215" s="27"/>
    </row>
    <row r="216" ht="15.75" customHeight="1">
      <c r="B216" s="27"/>
    </row>
    <row r="217" ht="15.75" customHeight="1">
      <c r="B217" s="27"/>
    </row>
    <row r="218" ht="15.75" customHeight="1">
      <c r="B218" s="27"/>
    </row>
    <row r="219" ht="15.75" customHeight="1">
      <c r="B219" s="27"/>
    </row>
    <row r="220" ht="15.75" customHeight="1">
      <c r="B220" s="27"/>
    </row>
    <row r="221" ht="15.75" customHeight="1">
      <c r="B221" s="27"/>
    </row>
    <row r="222" ht="15.75" customHeight="1">
      <c r="B222" s="27"/>
    </row>
    <row r="223" ht="15.75" customHeight="1">
      <c r="B223" s="27"/>
    </row>
    <row r="224" ht="15.75" customHeight="1">
      <c r="B224" s="27"/>
    </row>
    <row r="225" ht="15.75" customHeight="1">
      <c r="B225" s="27"/>
    </row>
    <row r="226" ht="15.75" customHeight="1">
      <c r="B226" s="27"/>
    </row>
    <row r="227" ht="15.75" customHeight="1">
      <c r="B227" s="27"/>
    </row>
    <row r="228" ht="15.75" customHeight="1">
      <c r="B228" s="27"/>
    </row>
    <row r="229" ht="15.75" customHeight="1">
      <c r="B229" s="27"/>
    </row>
    <row r="230" ht="15.75" customHeight="1">
      <c r="B230" s="27"/>
    </row>
    <row r="231" ht="15.75" customHeight="1">
      <c r="B231" s="27"/>
    </row>
    <row r="232" ht="15.75" customHeight="1">
      <c r="B232" s="27"/>
    </row>
    <row r="233" ht="15.75" customHeight="1">
      <c r="B233" s="27"/>
    </row>
    <row r="234" ht="15.75" customHeight="1">
      <c r="B234" s="27"/>
    </row>
    <row r="235" ht="15.75" customHeight="1">
      <c r="B235" s="27"/>
    </row>
    <row r="236" ht="15.75" customHeight="1">
      <c r="B236" s="27"/>
    </row>
    <row r="237" ht="15.75" customHeight="1">
      <c r="B237" s="27"/>
    </row>
    <row r="238" ht="15.75" customHeight="1">
      <c r="B238" s="27"/>
    </row>
    <row r="239" ht="15.75" customHeight="1">
      <c r="B239" s="27"/>
    </row>
    <row r="240" ht="15.75" customHeight="1">
      <c r="B240" s="27"/>
    </row>
    <row r="241" ht="15.75" customHeight="1">
      <c r="B241" s="27"/>
    </row>
    <row r="242" ht="15.75" customHeight="1">
      <c r="B242" s="27"/>
    </row>
    <row r="243" ht="15.75" customHeight="1">
      <c r="B243" s="27"/>
    </row>
    <row r="244" ht="15.75" customHeight="1">
      <c r="B244" s="27"/>
    </row>
    <row r="245" ht="15.75" customHeight="1">
      <c r="B245" s="27"/>
    </row>
    <row r="246" ht="15.75" customHeight="1">
      <c r="B246" s="27"/>
    </row>
    <row r="247" ht="15.75" customHeight="1">
      <c r="B247" s="27"/>
    </row>
    <row r="248" ht="15.75" customHeight="1">
      <c r="B248" s="27"/>
    </row>
    <row r="249" ht="15.75" customHeight="1">
      <c r="B249" s="27"/>
    </row>
    <row r="250" ht="15.75" customHeight="1">
      <c r="B250" s="27"/>
    </row>
    <row r="251" ht="15.75" customHeight="1">
      <c r="B251" s="27"/>
    </row>
    <row r="252" ht="15.75" customHeight="1">
      <c r="B252" s="27"/>
    </row>
    <row r="253" ht="15.75" customHeight="1">
      <c r="B253" s="27"/>
    </row>
    <row r="254" ht="15.75" customHeight="1">
      <c r="B254" s="27"/>
    </row>
    <row r="255" ht="15.75" customHeight="1">
      <c r="B255" s="27"/>
    </row>
    <row r="256" ht="15.75" customHeight="1">
      <c r="B256" s="27"/>
    </row>
    <row r="257" ht="15.75" customHeight="1">
      <c r="B257" s="27"/>
    </row>
    <row r="258" ht="15.75" customHeight="1">
      <c r="B258" s="27"/>
    </row>
    <row r="259" ht="15.75" customHeight="1">
      <c r="B259" s="27"/>
    </row>
    <row r="260" ht="15.75" customHeight="1">
      <c r="B260" s="27"/>
    </row>
    <row r="261" ht="15.75" customHeight="1">
      <c r="B261" s="27"/>
    </row>
    <row r="262" ht="15.75" customHeight="1">
      <c r="B262" s="27"/>
    </row>
    <row r="263" ht="15.75" customHeight="1">
      <c r="B263" s="27"/>
    </row>
    <row r="264" ht="15.75" customHeight="1">
      <c r="B264" s="27"/>
    </row>
    <row r="265" ht="15.75" customHeight="1">
      <c r="B265" s="27"/>
    </row>
    <row r="266" ht="15.75" customHeight="1">
      <c r="B266" s="27"/>
    </row>
    <row r="267" ht="15.75" customHeight="1">
      <c r="B267" s="27"/>
    </row>
    <row r="268" ht="15.75" customHeight="1">
      <c r="B268" s="27"/>
    </row>
    <row r="269" ht="15.75" customHeight="1">
      <c r="B269" s="27"/>
    </row>
    <row r="270" ht="15.75" customHeight="1">
      <c r="B270" s="27"/>
    </row>
    <row r="271" ht="15.75" customHeight="1">
      <c r="B271" s="27"/>
    </row>
    <row r="272" ht="15.75" customHeight="1">
      <c r="B272" s="27"/>
    </row>
    <row r="273" ht="15.75" customHeight="1">
      <c r="B273" s="27"/>
    </row>
    <row r="274" ht="15.75" customHeight="1">
      <c r="B274" s="27"/>
    </row>
    <row r="275" ht="15.75" customHeight="1">
      <c r="B275" s="27"/>
    </row>
    <row r="276" ht="15.75" customHeight="1">
      <c r="B276" s="27"/>
    </row>
    <row r="277" ht="15.75" customHeight="1">
      <c r="B277" s="27"/>
    </row>
    <row r="278" ht="15.75" customHeight="1">
      <c r="B278" s="27"/>
    </row>
    <row r="279" ht="15.75" customHeight="1">
      <c r="B279" s="27"/>
    </row>
    <row r="280" ht="15.75" customHeight="1">
      <c r="B280" s="27"/>
    </row>
    <row r="281" ht="15.75" customHeight="1">
      <c r="B281" s="27"/>
    </row>
    <row r="282" ht="15.75" customHeight="1">
      <c r="B282" s="27"/>
    </row>
    <row r="283" ht="15.75" customHeight="1">
      <c r="B283" s="27"/>
    </row>
    <row r="284" ht="15.75" customHeight="1">
      <c r="B284" s="27"/>
    </row>
    <row r="285" ht="15.75" customHeight="1">
      <c r="B285" s="27"/>
    </row>
    <row r="286" ht="15.75" customHeight="1">
      <c r="B286" s="27"/>
    </row>
    <row r="287" ht="15.75" customHeight="1">
      <c r="B287" s="27"/>
    </row>
    <row r="288" ht="15.75" customHeight="1">
      <c r="B288" s="27"/>
    </row>
    <row r="289" ht="15.75" customHeight="1">
      <c r="B289" s="27"/>
    </row>
    <row r="290" ht="15.75" customHeight="1">
      <c r="B290" s="27"/>
    </row>
    <row r="291" ht="15.75" customHeight="1">
      <c r="B291" s="27"/>
    </row>
    <row r="292" ht="15.75" customHeight="1">
      <c r="B292" s="27"/>
    </row>
    <row r="293" ht="15.75" customHeight="1">
      <c r="B293" s="27"/>
    </row>
    <row r="294" ht="15.75" customHeight="1">
      <c r="B294" s="27"/>
    </row>
    <row r="295" ht="15.75" customHeight="1">
      <c r="B295" s="27"/>
    </row>
    <row r="296" ht="15.75" customHeight="1">
      <c r="B296" s="27"/>
    </row>
    <row r="297" ht="15.75" customHeight="1">
      <c r="B297" s="27"/>
    </row>
    <row r="298" ht="15.75" customHeight="1">
      <c r="B298" s="27"/>
    </row>
    <row r="299" ht="15.75" customHeight="1">
      <c r="B299" s="27"/>
    </row>
    <row r="300" ht="15.75" customHeight="1">
      <c r="B300" s="27"/>
    </row>
    <row r="301" ht="15.75" customHeight="1">
      <c r="B301" s="27"/>
    </row>
    <row r="302" ht="15.75" customHeight="1">
      <c r="B302" s="27"/>
    </row>
    <row r="303" ht="15.75" customHeight="1">
      <c r="B303" s="27"/>
    </row>
    <row r="304" ht="15.75" customHeight="1">
      <c r="B304" s="27"/>
    </row>
    <row r="305" ht="15.75" customHeight="1">
      <c r="B305" s="27"/>
    </row>
    <row r="306" ht="15.75" customHeight="1">
      <c r="B306" s="27"/>
    </row>
    <row r="307" ht="15.75" customHeight="1">
      <c r="B307" s="27"/>
    </row>
    <row r="308" ht="15.75" customHeight="1">
      <c r="B308" s="27"/>
    </row>
    <row r="309" ht="15.75" customHeight="1">
      <c r="B309" s="27"/>
    </row>
    <row r="310" ht="15.75" customHeight="1">
      <c r="B310" s="27"/>
    </row>
    <row r="311" ht="15.75" customHeight="1">
      <c r="B311" s="27"/>
    </row>
    <row r="312" ht="15.75" customHeight="1">
      <c r="B312" s="27"/>
    </row>
    <row r="313" ht="15.75" customHeight="1">
      <c r="B313" s="27"/>
    </row>
    <row r="314" ht="15.75" customHeight="1">
      <c r="B314" s="27"/>
    </row>
    <row r="315" ht="15.75" customHeight="1">
      <c r="B315" s="27"/>
    </row>
    <row r="316" ht="15.75" customHeight="1">
      <c r="B316" s="27"/>
    </row>
    <row r="317" ht="15.75" customHeight="1">
      <c r="B317" s="27"/>
    </row>
    <row r="318" ht="15.75" customHeight="1">
      <c r="B318" s="27"/>
    </row>
    <row r="319" ht="15.75" customHeight="1">
      <c r="B319" s="27"/>
    </row>
    <row r="320" ht="15.75" customHeight="1">
      <c r="B320" s="27"/>
    </row>
    <row r="321" ht="15.75" customHeight="1">
      <c r="B321" s="27"/>
    </row>
    <row r="322" ht="15.75" customHeight="1">
      <c r="B322" s="27"/>
    </row>
    <row r="323" ht="15.75" customHeight="1">
      <c r="B323" s="27"/>
    </row>
    <row r="324" ht="15.75" customHeight="1">
      <c r="B324" s="27"/>
    </row>
    <row r="325" ht="15.75" customHeight="1">
      <c r="B325" s="27"/>
    </row>
    <row r="326" ht="15.75" customHeight="1">
      <c r="B326" s="27"/>
    </row>
    <row r="327" ht="15.75" customHeight="1">
      <c r="B327" s="27"/>
    </row>
    <row r="328" ht="15.75" customHeight="1">
      <c r="B328" s="27"/>
    </row>
    <row r="329" ht="15.75" customHeight="1">
      <c r="B329" s="27"/>
    </row>
    <row r="330" ht="15.75" customHeight="1">
      <c r="B330" s="27"/>
    </row>
    <row r="331" ht="15.75" customHeight="1">
      <c r="B331" s="27"/>
    </row>
    <row r="332" ht="15.75" customHeight="1">
      <c r="B332" s="27"/>
    </row>
    <row r="333" ht="15.75" customHeight="1">
      <c r="B333" s="27"/>
    </row>
    <row r="334" ht="15.75" customHeight="1">
      <c r="B334" s="27"/>
    </row>
    <row r="335" ht="15.75" customHeight="1">
      <c r="B335" s="27"/>
    </row>
    <row r="336" ht="15.75" customHeight="1">
      <c r="B336" s="27"/>
    </row>
    <row r="337" ht="15.75" customHeight="1">
      <c r="B337" s="27"/>
    </row>
    <row r="338" ht="15.75" customHeight="1">
      <c r="B338" s="27"/>
    </row>
    <row r="339" ht="15.75" customHeight="1">
      <c r="B339" s="27"/>
    </row>
    <row r="340" ht="15.75" customHeight="1">
      <c r="B340" s="27"/>
    </row>
    <row r="341" ht="15.75" customHeight="1">
      <c r="B341" s="27"/>
    </row>
    <row r="342" ht="15.75" customHeight="1">
      <c r="B342" s="27"/>
    </row>
    <row r="343" ht="15.75" customHeight="1">
      <c r="B343" s="27"/>
    </row>
    <row r="344" ht="15.75" customHeight="1">
      <c r="B344" s="27"/>
    </row>
    <row r="345" ht="15.75" customHeight="1">
      <c r="B345" s="27"/>
    </row>
    <row r="346" ht="15.75" customHeight="1">
      <c r="B346" s="27"/>
    </row>
    <row r="347" ht="15.75" customHeight="1">
      <c r="B347" s="27"/>
    </row>
    <row r="348" ht="15.75" customHeight="1">
      <c r="B348" s="27"/>
    </row>
    <row r="349" ht="15.75" customHeight="1">
      <c r="B349" s="27"/>
    </row>
    <row r="350" ht="15.75" customHeight="1">
      <c r="B350" s="27"/>
    </row>
    <row r="351" ht="15.75" customHeight="1">
      <c r="B351" s="27"/>
    </row>
    <row r="352" ht="15.75" customHeight="1">
      <c r="B352" s="27"/>
    </row>
    <row r="353" ht="15.75" customHeight="1">
      <c r="B353" s="27"/>
    </row>
    <row r="354" ht="15.75" customHeight="1">
      <c r="B354" s="27"/>
    </row>
    <row r="355" ht="15.75" customHeight="1">
      <c r="B355" s="27"/>
    </row>
    <row r="356" ht="15.75" customHeight="1">
      <c r="B356" s="27"/>
    </row>
    <row r="357" ht="15.75" customHeight="1">
      <c r="B357" s="27"/>
    </row>
    <row r="358" ht="15.75" customHeight="1">
      <c r="B358" s="27"/>
    </row>
    <row r="359" ht="15.75" customHeight="1">
      <c r="B359" s="27"/>
    </row>
    <row r="360" ht="15.75" customHeight="1">
      <c r="B360" s="27"/>
    </row>
    <row r="361" ht="15.75" customHeight="1">
      <c r="B361" s="27"/>
    </row>
    <row r="362" ht="15.75" customHeight="1">
      <c r="B362" s="27"/>
    </row>
    <row r="363" ht="15.75" customHeight="1">
      <c r="B363" s="27"/>
    </row>
    <row r="364" ht="15.75" customHeight="1">
      <c r="B364" s="27"/>
    </row>
    <row r="365" ht="15.75" customHeight="1">
      <c r="B365" s="27"/>
    </row>
    <row r="366" ht="15.75" customHeight="1">
      <c r="B366" s="27"/>
    </row>
    <row r="367" ht="15.75" customHeight="1">
      <c r="B367" s="27"/>
    </row>
    <row r="368" ht="15.75" customHeight="1">
      <c r="B368" s="27"/>
    </row>
    <row r="369" ht="15.75" customHeight="1">
      <c r="B369" s="27"/>
    </row>
    <row r="370" ht="15.75" customHeight="1">
      <c r="B370" s="27"/>
    </row>
    <row r="371" ht="15.75" customHeight="1">
      <c r="B371" s="27"/>
    </row>
    <row r="372" ht="15.75" customHeight="1">
      <c r="B372" s="27"/>
    </row>
    <row r="373" ht="15.75" customHeight="1">
      <c r="B373" s="27"/>
    </row>
    <row r="374" ht="15.75" customHeight="1">
      <c r="B374" s="27"/>
    </row>
    <row r="375" ht="15.75" customHeight="1">
      <c r="B375" s="27"/>
    </row>
    <row r="376" ht="15.75" customHeight="1">
      <c r="B376" s="27"/>
    </row>
    <row r="377" ht="15.75" customHeight="1">
      <c r="B377" s="27"/>
    </row>
    <row r="378" ht="15.75" customHeight="1">
      <c r="B378" s="27"/>
    </row>
    <row r="379" ht="15.75" customHeight="1">
      <c r="B379" s="27"/>
    </row>
    <row r="380" ht="15.75" customHeight="1">
      <c r="B380" s="27"/>
    </row>
    <row r="381" ht="15.75" customHeight="1">
      <c r="B381" s="27"/>
    </row>
    <row r="382" ht="15.75" customHeight="1">
      <c r="B382" s="27"/>
    </row>
    <row r="383" ht="15.75" customHeight="1">
      <c r="B383" s="27"/>
    </row>
    <row r="384" ht="15.75" customHeight="1">
      <c r="B384" s="27"/>
    </row>
    <row r="385" ht="15.75" customHeight="1">
      <c r="B385" s="27"/>
    </row>
    <row r="386" ht="15.75" customHeight="1">
      <c r="B386" s="27"/>
    </row>
    <row r="387" ht="15.75" customHeight="1">
      <c r="B387" s="27"/>
    </row>
    <row r="388" ht="15.75" customHeight="1">
      <c r="B388" s="27"/>
    </row>
    <row r="389" ht="15.75" customHeight="1">
      <c r="B389" s="27"/>
    </row>
    <row r="390" ht="15.75" customHeight="1">
      <c r="B390" s="27"/>
    </row>
    <row r="391" ht="15.75" customHeight="1">
      <c r="B391" s="27"/>
    </row>
    <row r="392" ht="15.75" customHeight="1">
      <c r="B392" s="27"/>
    </row>
    <row r="393" ht="15.75" customHeight="1">
      <c r="B393" s="27"/>
    </row>
    <row r="394" ht="15.75" customHeight="1">
      <c r="B394" s="27"/>
    </row>
    <row r="395" ht="15.75" customHeight="1">
      <c r="B395" s="27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>
      <c r="B997" s="27"/>
    </row>
    <row r="998" ht="15.75" customHeight="1">
      <c r="B998" s="27"/>
    </row>
    <row r="999" ht="15.75" customHeight="1">
      <c r="B999" s="27"/>
    </row>
    <row r="1000" ht="15.75" customHeight="1">
      <c r="B1000" s="27"/>
    </row>
  </sheetData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43.0"/>
    <col customWidth="1" min="2" max="2" width="16.0"/>
    <col customWidth="1" min="3" max="3" width="34.0"/>
    <col customWidth="1" hidden="1" min="4" max="5" width="15.0"/>
    <col customWidth="1" hidden="1" min="6" max="6" width="31.0"/>
    <col customWidth="1" min="7" max="7" width="17.0"/>
    <col customWidth="1" min="8" max="8" width="16.0"/>
    <col customWidth="1" min="9" max="9" width="17.0"/>
    <col customWidth="1" min="10" max="10" width="16.0"/>
    <col customWidth="1" min="11" max="11" width="19.0"/>
    <col customWidth="1" min="12" max="12" width="15.0"/>
    <col customWidth="1" min="13" max="13" width="18.0"/>
    <col customWidth="1" min="14" max="14" width="20.0"/>
    <col customWidth="1" min="15" max="16" width="19.0"/>
    <col customWidth="1" min="17" max="17" width="15.0"/>
    <col customWidth="1" min="18" max="18" width="19.0"/>
    <col customWidth="1" min="19" max="19" width="20.0"/>
    <col customWidth="1" min="20" max="20" width="19.0"/>
    <col customWidth="1" min="21" max="22" width="34.0"/>
    <col customWidth="1" min="23" max="23" width="26.0"/>
    <col customWidth="1" min="24" max="25" width="9.14"/>
    <col customWidth="1" min="26" max="26" width="10.43"/>
    <col customWidth="1" min="27" max="27" width="15.43"/>
    <col customWidth="1" min="28" max="28" width="16.14"/>
    <col customWidth="1" min="29" max="29" width="16.29"/>
    <col customWidth="1" min="30" max="30" width="17.14"/>
    <col customWidth="1" min="31" max="31" width="24.71"/>
    <col customWidth="1" min="32" max="32" width="15.14"/>
    <col customWidth="1" min="33" max="35" width="9.14"/>
  </cols>
  <sheetData>
    <row r="1">
      <c r="A1" s="138" t="s">
        <v>2106</v>
      </c>
      <c r="B1" s="138"/>
      <c r="C1" s="139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40"/>
      <c r="U1" s="138"/>
      <c r="V1" s="141"/>
      <c r="W1" s="51" t="s">
        <v>45</v>
      </c>
      <c r="AC1" s="38"/>
    </row>
    <row r="2">
      <c r="A2" s="18" t="s">
        <v>2107</v>
      </c>
      <c r="B2" s="18" t="s">
        <v>2108</v>
      </c>
      <c r="C2" s="142" t="s">
        <v>2107</v>
      </c>
      <c r="D2" s="18" t="s">
        <v>1706</v>
      </c>
      <c r="E2" s="18" t="s">
        <v>137</v>
      </c>
      <c r="F2" s="18" t="s">
        <v>2109</v>
      </c>
      <c r="G2" s="18" t="s">
        <v>2110</v>
      </c>
      <c r="H2" s="18" t="s">
        <v>2110</v>
      </c>
      <c r="I2" s="18" t="s">
        <v>2111</v>
      </c>
      <c r="J2" s="18" t="s">
        <v>2111</v>
      </c>
      <c r="K2" s="18" t="s">
        <v>135</v>
      </c>
      <c r="L2" s="18" t="s">
        <v>2112</v>
      </c>
      <c r="M2" s="18" t="s">
        <v>135</v>
      </c>
      <c r="N2" s="18" t="s">
        <v>135</v>
      </c>
      <c r="O2" s="18" t="s">
        <v>135</v>
      </c>
      <c r="P2" s="18" t="s">
        <v>135</v>
      </c>
      <c r="Q2" s="18" t="s">
        <v>2113</v>
      </c>
      <c r="R2" s="18" t="s">
        <v>2114</v>
      </c>
      <c r="S2" s="18" t="s">
        <v>2114</v>
      </c>
      <c r="T2" s="143" t="s">
        <v>2114</v>
      </c>
      <c r="U2" s="18" t="s">
        <v>2107</v>
      </c>
      <c r="V2" s="18" t="s">
        <v>2107</v>
      </c>
      <c r="W2" s="144">
        <f>+VLOOKUP(W1,'GESTION MOMENTUM'!A:B,2,0)</f>
        <v>48885390874</v>
      </c>
      <c r="AC2" s="38"/>
    </row>
    <row r="3">
      <c r="A3" s="143" t="s">
        <v>1904</v>
      </c>
      <c r="B3" s="143" t="s">
        <v>134</v>
      </c>
      <c r="C3" s="143" t="s">
        <v>2115</v>
      </c>
      <c r="D3" s="143" t="s">
        <v>1706</v>
      </c>
      <c r="E3" s="143" t="s">
        <v>137</v>
      </c>
      <c r="F3" s="143" t="s">
        <v>2109</v>
      </c>
      <c r="G3" s="143" t="s">
        <v>2116</v>
      </c>
      <c r="H3" s="143" t="s">
        <v>2117</v>
      </c>
      <c r="I3" s="143" t="s">
        <v>2116</v>
      </c>
      <c r="J3" s="143" t="s">
        <v>2117</v>
      </c>
      <c r="K3" s="143" t="s">
        <v>2118</v>
      </c>
      <c r="L3" s="143" t="s">
        <v>2119</v>
      </c>
      <c r="M3" s="143" t="s">
        <v>2120</v>
      </c>
      <c r="N3" s="143" t="s">
        <v>2121</v>
      </c>
      <c r="O3" s="143" t="s">
        <v>2122</v>
      </c>
      <c r="P3" s="143" t="s">
        <v>2123</v>
      </c>
      <c r="Q3" s="143" t="s">
        <v>2113</v>
      </c>
      <c r="R3" s="143" t="s">
        <v>2118</v>
      </c>
      <c r="S3" s="143" t="s">
        <v>2121</v>
      </c>
      <c r="T3" s="143" t="s">
        <v>2122</v>
      </c>
      <c r="U3" s="143" t="s">
        <v>2124</v>
      </c>
      <c r="V3" s="143" t="s">
        <v>2125</v>
      </c>
      <c r="W3" s="143" t="s">
        <v>2126</v>
      </c>
      <c r="AC3" s="38"/>
    </row>
    <row r="4">
      <c r="A4" s="1" t="s">
        <v>1953</v>
      </c>
      <c r="B4" s="1" t="s">
        <v>2127</v>
      </c>
      <c r="C4" s="63">
        <v>46206.0</v>
      </c>
      <c r="D4" s="63" t="s">
        <v>130</v>
      </c>
      <c r="E4" s="68">
        <v>1.0</v>
      </c>
      <c r="F4" s="1"/>
      <c r="G4" s="23">
        <v>2500000.0</v>
      </c>
      <c r="H4" s="23">
        <v>2500000.0</v>
      </c>
      <c r="I4" s="23">
        <v>2500000.0</v>
      </c>
      <c r="J4" s="23">
        <v>2500000.0</v>
      </c>
      <c r="K4" s="24">
        <v>6119.0</v>
      </c>
      <c r="L4" s="1" t="s">
        <v>1776</v>
      </c>
      <c r="M4" s="1" t="s">
        <v>2128</v>
      </c>
      <c r="N4" s="63" t="s">
        <v>946</v>
      </c>
      <c r="O4" s="63" t="s">
        <v>946</v>
      </c>
      <c r="P4" s="68">
        <v>20.0</v>
      </c>
      <c r="Q4" s="1">
        <f>SUMPRODUCT(P4:P1392,I4:I1392)/SUM(I4:I1392)</f>
        <v>31.87030434</v>
      </c>
      <c r="R4" s="1" t="s">
        <v>13</v>
      </c>
      <c r="S4" s="1"/>
      <c r="T4" s="1"/>
      <c r="U4" s="1" t="s">
        <v>2129</v>
      </c>
      <c r="V4" s="1" t="s">
        <v>2129</v>
      </c>
      <c r="W4" s="145">
        <f t="shared" ref="W4:W1392" si="1">+J4/$W$2</f>
        <v>0.00005114002272</v>
      </c>
      <c r="AC4" s="38"/>
    </row>
    <row r="5">
      <c r="A5" s="1" t="s">
        <v>1975</v>
      </c>
      <c r="B5" s="1" t="s">
        <v>2127</v>
      </c>
      <c r="C5" s="63">
        <v>46206.0</v>
      </c>
      <c r="D5" s="63" t="s">
        <v>130</v>
      </c>
      <c r="E5" s="68">
        <v>1.0</v>
      </c>
      <c r="F5" s="1"/>
      <c r="G5" s="23">
        <v>4298084.19</v>
      </c>
      <c r="H5" s="23">
        <v>4298084.19</v>
      </c>
      <c r="I5" s="23">
        <v>4298084.19</v>
      </c>
      <c r="J5" s="23">
        <v>4298084.19</v>
      </c>
      <c r="K5" s="24">
        <v>533.0</v>
      </c>
      <c r="L5" s="1" t="s">
        <v>1776</v>
      </c>
      <c r="M5" s="1" t="s">
        <v>2128</v>
      </c>
      <c r="N5" s="63" t="s">
        <v>446</v>
      </c>
      <c r="O5" s="63" t="s">
        <v>446</v>
      </c>
      <c r="P5" s="68">
        <v>38.0</v>
      </c>
      <c r="Q5" s="1" t="s">
        <v>2130</v>
      </c>
      <c r="R5" s="1" t="s">
        <v>13</v>
      </c>
      <c r="S5" s="1"/>
      <c r="T5" s="1"/>
      <c r="U5" s="1" t="s">
        <v>2131</v>
      </c>
      <c r="V5" s="1" t="s">
        <v>2131</v>
      </c>
      <c r="W5" s="145">
        <f t="shared" si="1"/>
        <v>0.00008792164925</v>
      </c>
      <c r="AC5" s="38"/>
    </row>
    <row r="6">
      <c r="A6" s="1" t="s">
        <v>1898</v>
      </c>
      <c r="B6" s="1" t="s">
        <v>2127</v>
      </c>
      <c r="C6" s="63">
        <v>46206.0</v>
      </c>
      <c r="D6" s="63" t="s">
        <v>130</v>
      </c>
      <c r="E6" s="68">
        <v>1.0</v>
      </c>
      <c r="F6" s="1"/>
      <c r="G6" s="23">
        <v>2000000.0</v>
      </c>
      <c r="H6" s="23">
        <v>2000000.0</v>
      </c>
      <c r="I6" s="23">
        <v>2000000.0</v>
      </c>
      <c r="J6" s="23">
        <v>2000000.0</v>
      </c>
      <c r="K6" s="24">
        <v>7744.0</v>
      </c>
      <c r="L6" s="1" t="s">
        <v>1776</v>
      </c>
      <c r="M6" s="1" t="s">
        <v>2128</v>
      </c>
      <c r="N6" s="63" t="s">
        <v>733</v>
      </c>
      <c r="O6" s="63" t="s">
        <v>733</v>
      </c>
      <c r="P6" s="68">
        <v>35.0</v>
      </c>
      <c r="Q6" s="1" t="s">
        <v>2130</v>
      </c>
      <c r="R6" s="1" t="s">
        <v>13</v>
      </c>
      <c r="S6" s="1"/>
      <c r="T6" s="1"/>
      <c r="U6" s="1" t="s">
        <v>1901</v>
      </c>
      <c r="V6" s="1" t="s">
        <v>1901</v>
      </c>
      <c r="W6" s="145">
        <f t="shared" si="1"/>
        <v>0.00004091201818</v>
      </c>
      <c r="AC6" s="38"/>
    </row>
    <row r="7">
      <c r="A7" s="1" t="s">
        <v>2035</v>
      </c>
      <c r="B7" s="1" t="s">
        <v>2127</v>
      </c>
      <c r="C7" s="63">
        <v>46206.0</v>
      </c>
      <c r="D7" s="63" t="s">
        <v>130</v>
      </c>
      <c r="E7" s="68">
        <v>1.0</v>
      </c>
      <c r="F7" s="1"/>
      <c r="G7" s="23">
        <v>9676723.33</v>
      </c>
      <c r="H7" s="23">
        <v>9676723.33</v>
      </c>
      <c r="I7" s="23">
        <v>9676723.33</v>
      </c>
      <c r="J7" s="23">
        <v>9676723.33</v>
      </c>
      <c r="K7" s="24">
        <v>263806.0</v>
      </c>
      <c r="L7" s="1" t="s">
        <v>1776</v>
      </c>
      <c r="M7" s="1" t="s">
        <v>2128</v>
      </c>
      <c r="N7" s="63" t="s">
        <v>902</v>
      </c>
      <c r="O7" s="63" t="s">
        <v>902</v>
      </c>
      <c r="P7" s="68">
        <v>33.0</v>
      </c>
      <c r="Q7" s="1" t="s">
        <v>2130</v>
      </c>
      <c r="R7" s="1" t="s">
        <v>13</v>
      </c>
      <c r="S7" s="1"/>
      <c r="T7" s="1"/>
      <c r="U7" s="1" t="s">
        <v>2132</v>
      </c>
      <c r="V7" s="1" t="s">
        <v>2132</v>
      </c>
      <c r="W7" s="145">
        <f t="shared" si="1"/>
        <v>0.0001979471404</v>
      </c>
      <c r="AC7" s="38"/>
    </row>
    <row r="8">
      <c r="A8" s="1" t="s">
        <v>1906</v>
      </c>
      <c r="B8" s="1" t="s">
        <v>2127</v>
      </c>
      <c r="C8" s="63">
        <v>46206.0</v>
      </c>
      <c r="D8" s="63" t="s">
        <v>130</v>
      </c>
      <c r="E8" s="68">
        <v>1.0</v>
      </c>
      <c r="F8" s="1"/>
      <c r="G8" s="23">
        <v>1.5E7</v>
      </c>
      <c r="H8" s="23">
        <v>1.5E7</v>
      </c>
      <c r="I8" s="23">
        <v>1.5E7</v>
      </c>
      <c r="J8" s="23">
        <v>1.5E7</v>
      </c>
      <c r="K8" s="24">
        <v>7.0219532E7</v>
      </c>
      <c r="L8" s="1" t="s">
        <v>1776</v>
      </c>
      <c r="M8" s="1" t="s">
        <v>2128</v>
      </c>
      <c r="N8" s="63" t="s">
        <v>704</v>
      </c>
      <c r="O8" s="63" t="s">
        <v>704</v>
      </c>
      <c r="P8" s="68">
        <v>31.0</v>
      </c>
      <c r="Q8" s="1" t="s">
        <v>2130</v>
      </c>
      <c r="R8" s="1" t="s">
        <v>13</v>
      </c>
      <c r="S8" s="1"/>
      <c r="T8" s="1"/>
      <c r="U8" s="1" t="s">
        <v>2133</v>
      </c>
      <c r="V8" s="1" t="s">
        <v>2133</v>
      </c>
      <c r="W8" s="145">
        <f t="shared" si="1"/>
        <v>0.0003068401363</v>
      </c>
      <c r="AC8" s="38"/>
    </row>
    <row r="9">
      <c r="A9" s="1" t="s">
        <v>1906</v>
      </c>
      <c r="B9" s="1" t="s">
        <v>2127</v>
      </c>
      <c r="C9" s="63">
        <v>46206.0</v>
      </c>
      <c r="D9" s="63" t="s">
        <v>130</v>
      </c>
      <c r="E9" s="68">
        <v>1.0</v>
      </c>
      <c r="F9" s="1"/>
      <c r="G9" s="23">
        <v>2.5E7</v>
      </c>
      <c r="H9" s="23">
        <v>2.5E7</v>
      </c>
      <c r="I9" s="23">
        <v>2.5E7</v>
      </c>
      <c r="J9" s="23">
        <v>2.5E7</v>
      </c>
      <c r="K9" s="24">
        <v>7.0219533E7</v>
      </c>
      <c r="L9" s="1" t="s">
        <v>1776</v>
      </c>
      <c r="M9" s="1" t="s">
        <v>2128</v>
      </c>
      <c r="N9" s="63" t="s">
        <v>727</v>
      </c>
      <c r="O9" s="63" t="s">
        <v>727</v>
      </c>
      <c r="P9" s="68">
        <v>31.0</v>
      </c>
      <c r="Q9" s="1" t="s">
        <v>2130</v>
      </c>
      <c r="R9" s="1" t="s">
        <v>13</v>
      </c>
      <c r="S9" s="1"/>
      <c r="T9" s="1"/>
      <c r="U9" s="1" t="s">
        <v>2134</v>
      </c>
      <c r="V9" s="1" t="s">
        <v>2134</v>
      </c>
      <c r="W9" s="145">
        <f t="shared" si="1"/>
        <v>0.0005114002272</v>
      </c>
      <c r="AC9" s="38"/>
    </row>
    <row r="10">
      <c r="A10" s="1" t="s">
        <v>2050</v>
      </c>
      <c r="B10" s="1" t="s">
        <v>2127</v>
      </c>
      <c r="C10" s="63">
        <v>46206.0</v>
      </c>
      <c r="D10" s="63" t="s">
        <v>130</v>
      </c>
      <c r="E10" s="68">
        <v>1.0</v>
      </c>
      <c r="F10" s="1"/>
      <c r="G10" s="23">
        <v>6238663.2</v>
      </c>
      <c r="H10" s="23">
        <v>6238663.2</v>
      </c>
      <c r="I10" s="23">
        <v>6238663.2</v>
      </c>
      <c r="J10" s="23">
        <v>6238663.2</v>
      </c>
      <c r="K10" s="24">
        <v>9266641.0</v>
      </c>
      <c r="L10" s="1" t="s">
        <v>1776</v>
      </c>
      <c r="M10" s="1" t="s">
        <v>2128</v>
      </c>
      <c r="N10" s="63" t="s">
        <v>283</v>
      </c>
      <c r="O10" s="63" t="s">
        <v>283</v>
      </c>
      <c r="P10" s="68">
        <v>35.0</v>
      </c>
      <c r="Q10" s="1" t="s">
        <v>2130</v>
      </c>
      <c r="R10" s="1" t="s">
        <v>13</v>
      </c>
      <c r="S10" s="1"/>
      <c r="T10" s="1"/>
      <c r="U10" s="1" t="s">
        <v>2135</v>
      </c>
      <c r="V10" s="1" t="s">
        <v>2135</v>
      </c>
      <c r="W10" s="145">
        <f t="shared" si="1"/>
        <v>0.0001276181511</v>
      </c>
      <c r="AC10" s="38"/>
    </row>
    <row r="11">
      <c r="A11" s="1" t="s">
        <v>1920</v>
      </c>
      <c r="B11" s="1" t="s">
        <v>2127</v>
      </c>
      <c r="C11" s="63">
        <v>46206.0</v>
      </c>
      <c r="D11" s="63" t="s">
        <v>130</v>
      </c>
      <c r="E11" s="68">
        <v>1.0</v>
      </c>
      <c r="F11" s="1"/>
      <c r="G11" s="23">
        <v>1.0E8</v>
      </c>
      <c r="H11" s="23">
        <v>1.0E8</v>
      </c>
      <c r="I11" s="23">
        <v>1.0E8</v>
      </c>
      <c r="J11" s="23">
        <v>1.0E8</v>
      </c>
      <c r="K11" s="24">
        <v>7353.0</v>
      </c>
      <c r="L11" s="1" t="s">
        <v>1776</v>
      </c>
      <c r="M11" s="1" t="s">
        <v>2128</v>
      </c>
      <c r="N11" s="63" t="s">
        <v>207</v>
      </c>
      <c r="O11" s="63" t="s">
        <v>207</v>
      </c>
      <c r="P11" s="68">
        <v>37.0</v>
      </c>
      <c r="Q11" s="1" t="s">
        <v>2130</v>
      </c>
      <c r="R11" s="1" t="s">
        <v>13</v>
      </c>
      <c r="S11" s="1"/>
      <c r="T11" s="1"/>
      <c r="U11" s="1" t="s">
        <v>2136</v>
      </c>
      <c r="V11" s="1" t="s">
        <v>2136</v>
      </c>
      <c r="W11" s="145">
        <f t="shared" si="1"/>
        <v>0.002045600909</v>
      </c>
      <c r="AC11" s="38"/>
    </row>
    <row r="12">
      <c r="A12" s="1" t="s">
        <v>1971</v>
      </c>
      <c r="B12" s="1" t="s">
        <v>2127</v>
      </c>
      <c r="C12" s="63">
        <v>46206.0</v>
      </c>
      <c r="D12" s="63" t="s">
        <v>130</v>
      </c>
      <c r="E12" s="68">
        <v>1.0</v>
      </c>
      <c r="F12" s="1"/>
      <c r="G12" s="23">
        <v>2.25E7</v>
      </c>
      <c r="H12" s="23">
        <v>2.25E7</v>
      </c>
      <c r="I12" s="23">
        <v>2.25E7</v>
      </c>
      <c r="J12" s="23">
        <v>2.25E7</v>
      </c>
      <c r="K12" s="24">
        <v>6.5800963E7</v>
      </c>
      <c r="L12" s="1" t="s">
        <v>1776</v>
      </c>
      <c r="M12" s="1" t="s">
        <v>2128</v>
      </c>
      <c r="N12" s="63" t="s">
        <v>198</v>
      </c>
      <c r="O12" s="63" t="s">
        <v>198</v>
      </c>
      <c r="P12" s="68">
        <v>38.0</v>
      </c>
      <c r="Q12" s="1" t="s">
        <v>2130</v>
      </c>
      <c r="R12" s="1" t="s">
        <v>13</v>
      </c>
      <c r="S12" s="1"/>
      <c r="T12" s="1"/>
      <c r="U12" s="1" t="s">
        <v>2137</v>
      </c>
      <c r="V12" s="1" t="s">
        <v>2137</v>
      </c>
      <c r="W12" s="145">
        <f t="shared" si="1"/>
        <v>0.0004602602045</v>
      </c>
      <c r="AC12" s="38"/>
    </row>
    <row r="13">
      <c r="A13" s="1" t="s">
        <v>1910</v>
      </c>
      <c r="B13" s="1" t="s">
        <v>2127</v>
      </c>
      <c r="C13" s="63">
        <v>46206.0</v>
      </c>
      <c r="D13" s="63" t="s">
        <v>130</v>
      </c>
      <c r="E13" s="68">
        <v>1.0</v>
      </c>
      <c r="F13" s="1"/>
      <c r="G13" s="23">
        <v>5.0E8</v>
      </c>
      <c r="H13" s="23">
        <v>5.0E8</v>
      </c>
      <c r="I13" s="23">
        <v>5.0E8</v>
      </c>
      <c r="J13" s="23">
        <v>5.0E8</v>
      </c>
      <c r="K13" s="24">
        <v>147165.0</v>
      </c>
      <c r="L13" s="1" t="s">
        <v>1776</v>
      </c>
      <c r="M13" s="1" t="s">
        <v>2128</v>
      </c>
      <c r="N13" s="63" t="s">
        <v>532</v>
      </c>
      <c r="O13" s="63" t="s">
        <v>532</v>
      </c>
      <c r="P13" s="68">
        <v>28.0</v>
      </c>
      <c r="Q13" s="1" t="s">
        <v>2130</v>
      </c>
      <c r="R13" s="1" t="s">
        <v>13</v>
      </c>
      <c r="S13" s="1"/>
      <c r="T13" s="1"/>
      <c r="U13" s="1" t="s">
        <v>2138</v>
      </c>
      <c r="V13" s="1" t="s">
        <v>2138</v>
      </c>
      <c r="W13" s="145">
        <f t="shared" si="1"/>
        <v>0.01022800454</v>
      </c>
      <c r="AC13" s="38"/>
    </row>
    <row r="14">
      <c r="A14" s="1"/>
      <c r="B14" s="1"/>
      <c r="C14" s="63"/>
      <c r="D14" s="63"/>
      <c r="E14" s="68"/>
      <c r="F14" s="1"/>
      <c r="G14" s="23"/>
      <c r="H14" s="23"/>
      <c r="I14" s="23"/>
      <c r="J14" s="23"/>
      <c r="K14" s="24"/>
      <c r="L14" s="1"/>
      <c r="M14" s="1"/>
      <c r="N14" s="63"/>
      <c r="O14" s="63"/>
      <c r="P14" s="68"/>
      <c r="Q14" s="1" t="s">
        <v>2130</v>
      </c>
      <c r="R14" s="1" t="s">
        <v>13</v>
      </c>
      <c r="S14" s="1"/>
      <c r="T14" s="1"/>
      <c r="U14" s="1" t="s">
        <v>2139</v>
      </c>
      <c r="V14" s="1" t="s">
        <v>2139</v>
      </c>
      <c r="W14" s="145">
        <f t="shared" si="1"/>
        <v>0</v>
      </c>
      <c r="AC14" s="38"/>
    </row>
    <row r="15">
      <c r="A15" s="1" t="s">
        <v>1903</v>
      </c>
      <c r="B15" s="1" t="s">
        <v>2127</v>
      </c>
      <c r="C15" s="63">
        <v>46206.0</v>
      </c>
      <c r="D15" s="63" t="s">
        <v>130</v>
      </c>
      <c r="E15" s="68">
        <v>1.0</v>
      </c>
      <c r="F15" s="1"/>
      <c r="G15" s="23">
        <v>1.0E7</v>
      </c>
      <c r="H15" s="23">
        <v>1.0E7</v>
      </c>
      <c r="I15" s="23">
        <v>1.0E7</v>
      </c>
      <c r="J15" s="23">
        <v>1.0E7</v>
      </c>
      <c r="K15" s="24">
        <v>32529.0</v>
      </c>
      <c r="L15" s="1" t="s">
        <v>1776</v>
      </c>
      <c r="M15" s="1" t="s">
        <v>2128</v>
      </c>
      <c r="N15" s="63" t="s">
        <v>591</v>
      </c>
      <c r="O15" s="63" t="s">
        <v>591</v>
      </c>
      <c r="P15" s="68">
        <v>27.0</v>
      </c>
      <c r="Q15" s="1" t="s">
        <v>2130</v>
      </c>
      <c r="R15" s="1" t="s">
        <v>13</v>
      </c>
      <c r="S15" s="1"/>
      <c r="T15" s="1"/>
      <c r="U15" s="1" t="s">
        <v>1902</v>
      </c>
      <c r="V15" s="1" t="s">
        <v>1902</v>
      </c>
      <c r="W15" s="145">
        <f t="shared" si="1"/>
        <v>0.0002045600909</v>
      </c>
      <c r="AC15" s="38"/>
    </row>
    <row r="16">
      <c r="A16" s="1" t="s">
        <v>1912</v>
      </c>
      <c r="B16" s="1" t="s">
        <v>2127</v>
      </c>
      <c r="C16" s="63">
        <v>46206.0</v>
      </c>
      <c r="D16" s="63" t="s">
        <v>130</v>
      </c>
      <c r="E16" s="68">
        <v>1.0</v>
      </c>
      <c r="F16" s="1"/>
      <c r="G16" s="23">
        <v>1.0E9</v>
      </c>
      <c r="H16" s="23">
        <v>1.0E9</v>
      </c>
      <c r="I16" s="23">
        <v>1.0E9</v>
      </c>
      <c r="J16" s="23">
        <v>1.0E9</v>
      </c>
      <c r="K16" s="24">
        <v>147160.0</v>
      </c>
      <c r="L16" s="1" t="s">
        <v>1776</v>
      </c>
      <c r="M16" s="1" t="s">
        <v>2128</v>
      </c>
      <c r="N16" s="63" t="s">
        <v>532</v>
      </c>
      <c r="O16" s="63" t="s">
        <v>532</v>
      </c>
      <c r="P16" s="68">
        <v>30.0</v>
      </c>
      <c r="Q16" s="1" t="s">
        <v>2130</v>
      </c>
      <c r="R16" s="1" t="s">
        <v>13</v>
      </c>
      <c r="S16" s="1"/>
      <c r="T16" s="1"/>
      <c r="U16" s="1" t="s">
        <v>2140</v>
      </c>
      <c r="V16" s="1" t="s">
        <v>2140</v>
      </c>
      <c r="W16" s="145">
        <f t="shared" si="1"/>
        <v>0.02045600909</v>
      </c>
      <c r="AC16" s="38"/>
    </row>
    <row r="17">
      <c r="A17" s="1" t="s">
        <v>2015</v>
      </c>
      <c r="B17" s="1" t="s">
        <v>2127</v>
      </c>
      <c r="C17" s="63">
        <v>46206.0</v>
      </c>
      <c r="D17" s="63" t="s">
        <v>130</v>
      </c>
      <c r="E17" s="68">
        <v>1.0</v>
      </c>
      <c r="F17" s="1"/>
      <c r="G17" s="23">
        <v>8168237.87</v>
      </c>
      <c r="H17" s="23">
        <v>8168237.87</v>
      </c>
      <c r="I17" s="23">
        <v>8168237.87</v>
      </c>
      <c r="J17" s="23">
        <v>8168237.87</v>
      </c>
      <c r="K17" s="24">
        <v>4.0012237E7</v>
      </c>
      <c r="L17" s="1" t="s">
        <v>1776</v>
      </c>
      <c r="M17" s="1" t="s">
        <v>2128</v>
      </c>
      <c r="N17" s="63" t="s">
        <v>882</v>
      </c>
      <c r="O17" s="63" t="s">
        <v>882</v>
      </c>
      <c r="P17" s="68">
        <v>21.0</v>
      </c>
      <c r="Q17" s="1" t="s">
        <v>2130</v>
      </c>
      <c r="R17" s="1" t="s">
        <v>13</v>
      </c>
      <c r="S17" s="1"/>
      <c r="T17" s="1"/>
      <c r="U17" s="1" t="s">
        <v>2141</v>
      </c>
      <c r="V17" s="1" t="s">
        <v>2141</v>
      </c>
      <c r="W17" s="145">
        <f t="shared" si="1"/>
        <v>0.0001670895481</v>
      </c>
      <c r="AC17" s="38"/>
    </row>
    <row r="18">
      <c r="A18" s="1" t="s">
        <v>1926</v>
      </c>
      <c r="B18" s="1" t="s">
        <v>2127</v>
      </c>
      <c r="C18" s="63">
        <v>46206.0</v>
      </c>
      <c r="D18" s="63" t="s">
        <v>130</v>
      </c>
      <c r="E18" s="68">
        <v>1.0</v>
      </c>
      <c r="F18" s="1"/>
      <c r="G18" s="23">
        <v>5000000.0</v>
      </c>
      <c r="H18" s="23">
        <v>5000000.0</v>
      </c>
      <c r="I18" s="23">
        <v>5000000.0</v>
      </c>
      <c r="J18" s="23">
        <v>5000000.0</v>
      </c>
      <c r="K18" s="24">
        <v>1.6779597E7</v>
      </c>
      <c r="L18" s="1" t="s">
        <v>1776</v>
      </c>
      <c r="M18" s="1" t="s">
        <v>2128</v>
      </c>
      <c r="N18" s="63" t="s">
        <v>628</v>
      </c>
      <c r="O18" s="63" t="s">
        <v>628</v>
      </c>
      <c r="P18" s="68">
        <v>29.0</v>
      </c>
      <c r="Q18" s="1" t="s">
        <v>2130</v>
      </c>
      <c r="R18" s="1" t="s">
        <v>13</v>
      </c>
      <c r="S18" s="1"/>
      <c r="T18" s="1"/>
      <c r="U18" s="1" t="s">
        <v>2142</v>
      </c>
      <c r="V18" s="1" t="s">
        <v>2142</v>
      </c>
      <c r="W18" s="145">
        <f t="shared" si="1"/>
        <v>0.0001022800454</v>
      </c>
      <c r="AC18" s="38"/>
    </row>
    <row r="19">
      <c r="A19" s="1" t="s">
        <v>1948</v>
      </c>
      <c r="B19" s="1" t="s">
        <v>2127</v>
      </c>
      <c r="C19" s="63">
        <v>46206.0</v>
      </c>
      <c r="D19" s="63" t="s">
        <v>130</v>
      </c>
      <c r="E19" s="68">
        <v>1.0</v>
      </c>
      <c r="F19" s="1"/>
      <c r="G19" s="23">
        <v>1.5E7</v>
      </c>
      <c r="H19" s="23">
        <v>1.5E7</v>
      </c>
      <c r="I19" s="23">
        <v>1.5E7</v>
      </c>
      <c r="J19" s="23">
        <v>1.5E7</v>
      </c>
      <c r="K19" s="24">
        <v>801.0</v>
      </c>
      <c r="L19" s="1" t="s">
        <v>1776</v>
      </c>
      <c r="M19" s="1" t="s">
        <v>2128</v>
      </c>
      <c r="N19" s="63" t="s">
        <v>207</v>
      </c>
      <c r="O19" s="63" t="s">
        <v>207</v>
      </c>
      <c r="P19" s="68">
        <v>29.0</v>
      </c>
      <c r="Q19" s="1" t="s">
        <v>2130</v>
      </c>
      <c r="R19" s="1" t="s">
        <v>13</v>
      </c>
      <c r="S19" s="1"/>
      <c r="T19" s="1"/>
      <c r="U19" s="1" t="s">
        <v>2143</v>
      </c>
      <c r="V19" s="1" t="s">
        <v>2143</v>
      </c>
      <c r="W19" s="145">
        <f t="shared" si="1"/>
        <v>0.0003068401363</v>
      </c>
      <c r="AC19" s="38"/>
    </row>
    <row r="20">
      <c r="A20" s="1" t="s">
        <v>1948</v>
      </c>
      <c r="B20" s="1" t="s">
        <v>2127</v>
      </c>
      <c r="C20" s="63">
        <v>46206.0</v>
      </c>
      <c r="D20" s="63" t="s">
        <v>130</v>
      </c>
      <c r="E20" s="68">
        <v>1.0</v>
      </c>
      <c r="F20" s="1"/>
      <c r="G20" s="23">
        <v>1.25E7</v>
      </c>
      <c r="H20" s="23">
        <v>1.25E7</v>
      </c>
      <c r="I20" s="23">
        <v>1.25E7</v>
      </c>
      <c r="J20" s="23">
        <v>1.25E7</v>
      </c>
      <c r="K20" s="24">
        <v>2.899652E7</v>
      </c>
      <c r="L20" s="1" t="s">
        <v>1776</v>
      </c>
      <c r="M20" s="1" t="s">
        <v>2128</v>
      </c>
      <c r="N20" s="63" t="s">
        <v>207</v>
      </c>
      <c r="O20" s="63" t="s">
        <v>207</v>
      </c>
      <c r="P20" s="68">
        <v>29.0</v>
      </c>
      <c r="Q20" s="1" t="s">
        <v>2130</v>
      </c>
      <c r="R20" s="1" t="s">
        <v>13</v>
      </c>
      <c r="S20" s="1"/>
      <c r="T20" s="1"/>
      <c r="U20" s="1" t="s">
        <v>2144</v>
      </c>
      <c r="V20" s="1" t="s">
        <v>2144</v>
      </c>
      <c r="W20" s="145">
        <f t="shared" si="1"/>
        <v>0.0002557001136</v>
      </c>
      <c r="AC20" s="38"/>
    </row>
    <row r="21" ht="15.75" customHeight="1">
      <c r="A21" s="1" t="s">
        <v>1898</v>
      </c>
      <c r="B21" s="1" t="s">
        <v>2127</v>
      </c>
      <c r="C21" s="63">
        <v>46209.0</v>
      </c>
      <c r="D21" s="63" t="s">
        <v>130</v>
      </c>
      <c r="E21" s="68">
        <v>0.99713156</v>
      </c>
      <c r="F21" s="1"/>
      <c r="G21" s="23">
        <v>2000000.0</v>
      </c>
      <c r="H21" s="23">
        <v>1994263.11</v>
      </c>
      <c r="I21" s="23">
        <v>2000000.0</v>
      </c>
      <c r="J21" s="23">
        <v>1994263.11</v>
      </c>
      <c r="K21" s="24">
        <v>7745.0</v>
      </c>
      <c r="L21" s="1" t="s">
        <v>1776</v>
      </c>
      <c r="M21" s="1" t="s">
        <v>2128</v>
      </c>
      <c r="N21" s="63" t="s">
        <v>733</v>
      </c>
      <c r="O21" s="63" t="s">
        <v>733</v>
      </c>
      <c r="P21" s="68">
        <v>35.0</v>
      </c>
      <c r="Q21" s="1" t="s">
        <v>2130</v>
      </c>
      <c r="R21" s="1" t="s">
        <v>13</v>
      </c>
      <c r="S21" s="1"/>
      <c r="T21" s="1"/>
      <c r="U21" s="1" t="s">
        <v>734</v>
      </c>
      <c r="V21" s="1" t="s">
        <v>734</v>
      </c>
      <c r="W21" s="145">
        <f t="shared" si="1"/>
        <v>0.0000407946643</v>
      </c>
      <c r="AC21" s="38"/>
    </row>
    <row r="22" ht="15.75" customHeight="1">
      <c r="A22" s="1" t="s">
        <v>1906</v>
      </c>
      <c r="B22" s="1" t="s">
        <v>2127</v>
      </c>
      <c r="C22" s="63">
        <v>46209.0</v>
      </c>
      <c r="D22" s="63" t="s">
        <v>130</v>
      </c>
      <c r="E22" s="68">
        <v>0.99745853</v>
      </c>
      <c r="F22" s="1"/>
      <c r="G22" s="23">
        <v>4.2E7</v>
      </c>
      <c r="H22" s="23">
        <v>4.189325828E7</v>
      </c>
      <c r="I22" s="23">
        <v>4.2E7</v>
      </c>
      <c r="J22" s="23">
        <v>4.189325828E7</v>
      </c>
      <c r="K22" s="24">
        <v>148257.0</v>
      </c>
      <c r="L22" s="1" t="s">
        <v>1776</v>
      </c>
      <c r="M22" s="1" t="s">
        <v>2128</v>
      </c>
      <c r="N22" s="63" t="s">
        <v>704</v>
      </c>
      <c r="O22" s="63" t="s">
        <v>704</v>
      </c>
      <c r="P22" s="68">
        <v>31.0</v>
      </c>
      <c r="Q22" s="1" t="s">
        <v>2130</v>
      </c>
      <c r="R22" s="1" t="s">
        <v>13</v>
      </c>
      <c r="S22" s="1"/>
      <c r="T22" s="1"/>
      <c r="U22" s="1" t="s">
        <v>713</v>
      </c>
      <c r="V22" s="1" t="s">
        <v>713</v>
      </c>
      <c r="W22" s="145">
        <f t="shared" si="1"/>
        <v>0.0008569688721</v>
      </c>
      <c r="AC22" s="38"/>
    </row>
    <row r="23" ht="15.75" customHeight="1">
      <c r="A23" s="1" t="s">
        <v>2013</v>
      </c>
      <c r="B23" s="1" t="s">
        <v>2127</v>
      </c>
      <c r="C23" s="63">
        <v>46209.0</v>
      </c>
      <c r="D23" s="63" t="s">
        <v>130</v>
      </c>
      <c r="E23" s="68">
        <v>0.99786757</v>
      </c>
      <c r="F23" s="1"/>
      <c r="G23" s="23">
        <v>1.0E7</v>
      </c>
      <c r="H23" s="23">
        <v>9978675.72</v>
      </c>
      <c r="I23" s="23">
        <v>1.0E7</v>
      </c>
      <c r="J23" s="23">
        <v>9978675.72</v>
      </c>
      <c r="K23" s="24">
        <v>1742541.0</v>
      </c>
      <c r="L23" s="1" t="s">
        <v>1776</v>
      </c>
      <c r="M23" s="1" t="s">
        <v>2128</v>
      </c>
      <c r="N23" s="63" t="s">
        <v>404</v>
      </c>
      <c r="O23" s="63" t="s">
        <v>404</v>
      </c>
      <c r="P23" s="68">
        <v>26.0</v>
      </c>
      <c r="Q23" s="1" t="s">
        <v>2130</v>
      </c>
      <c r="R23" s="1" t="s">
        <v>13</v>
      </c>
      <c r="S23" s="1"/>
      <c r="T23" s="1"/>
      <c r="U23" s="1" t="s">
        <v>436</v>
      </c>
      <c r="V23" s="1" t="s">
        <v>436</v>
      </c>
      <c r="W23" s="145">
        <f t="shared" si="1"/>
        <v>0.0002041238812</v>
      </c>
      <c r="AC23" s="38"/>
    </row>
    <row r="24" ht="15.75" customHeight="1">
      <c r="A24" s="1" t="s">
        <v>1967</v>
      </c>
      <c r="B24" s="1" t="s">
        <v>2127</v>
      </c>
      <c r="C24" s="63">
        <v>46209.0</v>
      </c>
      <c r="D24" s="63" t="s">
        <v>130</v>
      </c>
      <c r="E24" s="68">
        <v>0.99704984</v>
      </c>
      <c r="F24" s="1"/>
      <c r="G24" s="23">
        <v>3000000.0</v>
      </c>
      <c r="H24" s="23">
        <v>2991149.53</v>
      </c>
      <c r="I24" s="23">
        <v>3000000.0</v>
      </c>
      <c r="J24" s="23">
        <v>2991149.53</v>
      </c>
      <c r="K24" s="24">
        <v>4.0743051E7</v>
      </c>
      <c r="L24" s="1" t="s">
        <v>1776</v>
      </c>
      <c r="M24" s="1" t="s">
        <v>2128</v>
      </c>
      <c r="N24" s="63" t="s">
        <v>886</v>
      </c>
      <c r="O24" s="63" t="s">
        <v>886</v>
      </c>
      <c r="P24" s="68">
        <v>36.0</v>
      </c>
      <c r="Q24" s="1" t="s">
        <v>2130</v>
      </c>
      <c r="R24" s="1" t="s">
        <v>13</v>
      </c>
      <c r="S24" s="1"/>
      <c r="T24" s="1"/>
      <c r="U24" s="1" t="s">
        <v>890</v>
      </c>
      <c r="V24" s="1" t="s">
        <v>890</v>
      </c>
      <c r="W24" s="145">
        <f t="shared" si="1"/>
        <v>0.00006118698197</v>
      </c>
      <c r="AC24" s="38"/>
    </row>
    <row r="25" ht="15.75" customHeight="1">
      <c r="A25" s="1" t="s">
        <v>1948</v>
      </c>
      <c r="B25" s="1" t="s">
        <v>2127</v>
      </c>
      <c r="C25" s="63">
        <v>46209.0</v>
      </c>
      <c r="D25" s="63" t="s">
        <v>130</v>
      </c>
      <c r="E25" s="68">
        <v>0.99762211</v>
      </c>
      <c r="F25" s="1"/>
      <c r="G25" s="23">
        <v>1.5E7</v>
      </c>
      <c r="H25" s="23">
        <v>1.496433165E7</v>
      </c>
      <c r="I25" s="23">
        <v>1.5E7</v>
      </c>
      <c r="J25" s="23">
        <v>1.496433165E7</v>
      </c>
      <c r="K25" s="24">
        <v>802.0</v>
      </c>
      <c r="L25" s="1" t="s">
        <v>1776</v>
      </c>
      <c r="M25" s="1" t="s">
        <v>2128</v>
      </c>
      <c r="N25" s="63" t="s">
        <v>207</v>
      </c>
      <c r="O25" s="63" t="s">
        <v>207</v>
      </c>
      <c r="P25" s="68">
        <v>29.0</v>
      </c>
      <c r="Q25" s="1" t="s">
        <v>2130</v>
      </c>
      <c r="R25" s="1" t="s">
        <v>13</v>
      </c>
      <c r="S25" s="1"/>
      <c r="T25" s="1"/>
      <c r="U25" s="1" t="s">
        <v>206</v>
      </c>
      <c r="V25" s="1" t="s">
        <v>206</v>
      </c>
      <c r="W25" s="145">
        <f t="shared" si="1"/>
        <v>0.0003061105042</v>
      </c>
      <c r="AC25" s="38"/>
    </row>
    <row r="26" ht="15.75" customHeight="1">
      <c r="A26" s="1" t="s">
        <v>2085</v>
      </c>
      <c r="B26" s="1" t="s">
        <v>2127</v>
      </c>
      <c r="C26" s="63">
        <v>46209.0</v>
      </c>
      <c r="D26" s="63" t="s">
        <v>130</v>
      </c>
      <c r="E26" s="68">
        <v>0.99754035</v>
      </c>
      <c r="F26" s="1"/>
      <c r="G26" s="23">
        <v>1381630.2</v>
      </c>
      <c r="H26" s="23">
        <v>1378231.87</v>
      </c>
      <c r="I26" s="23">
        <v>1381630.2</v>
      </c>
      <c r="J26" s="23">
        <v>1378231.87</v>
      </c>
      <c r="K26" s="24">
        <v>7.038615E7</v>
      </c>
      <c r="L26" s="1" t="s">
        <v>1776</v>
      </c>
      <c r="M26" s="1" t="s">
        <v>2128</v>
      </c>
      <c r="N26" s="63" t="s">
        <v>1332</v>
      </c>
      <c r="O26" s="63" t="s">
        <v>1332</v>
      </c>
      <c r="P26" s="68">
        <v>30.0</v>
      </c>
      <c r="Q26" s="1" t="s">
        <v>2130</v>
      </c>
      <c r="R26" s="1" t="s">
        <v>13</v>
      </c>
      <c r="S26" s="1"/>
      <c r="T26" s="1"/>
      <c r="U26" s="1" t="s">
        <v>1348</v>
      </c>
      <c r="V26" s="1" t="s">
        <v>1348</v>
      </c>
      <c r="W26" s="145">
        <f t="shared" si="1"/>
        <v>0.00002819312366</v>
      </c>
      <c r="AC26" s="38"/>
    </row>
    <row r="27" ht="15.75" customHeight="1">
      <c r="A27" s="1" t="s">
        <v>1916</v>
      </c>
      <c r="B27" s="1" t="s">
        <v>2127</v>
      </c>
      <c r="C27" s="63">
        <v>46210.0</v>
      </c>
      <c r="D27" s="63" t="s">
        <v>130</v>
      </c>
      <c r="E27" s="68">
        <v>0.99726779</v>
      </c>
      <c r="F27" s="1"/>
      <c r="G27" s="23">
        <v>3.19651714E8</v>
      </c>
      <c r="H27" s="23">
        <v>3.1877835785E8</v>
      </c>
      <c r="I27" s="23">
        <v>3.19651714E8</v>
      </c>
      <c r="J27" s="23">
        <v>3.1877835785E8</v>
      </c>
      <c r="K27" s="24">
        <v>7.7043555E7</v>
      </c>
      <c r="L27" s="1" t="s">
        <v>1776</v>
      </c>
      <c r="M27" s="1" t="s">
        <v>2128</v>
      </c>
      <c r="N27" s="63" t="s">
        <v>1118</v>
      </c>
      <c r="O27" s="63" t="s">
        <v>1118</v>
      </c>
      <c r="P27" s="68">
        <v>25.0</v>
      </c>
      <c r="Q27" s="1" t="s">
        <v>2130</v>
      </c>
      <c r="R27" s="1" t="s">
        <v>13</v>
      </c>
      <c r="S27" s="1"/>
      <c r="T27" s="1"/>
      <c r="U27" s="1" t="s">
        <v>1117</v>
      </c>
      <c r="V27" s="1" t="s">
        <v>1117</v>
      </c>
      <c r="W27" s="145">
        <f t="shared" si="1"/>
        <v>0.006520932985</v>
      </c>
      <c r="AC27" s="38"/>
    </row>
    <row r="28" ht="15.75" customHeight="1">
      <c r="A28" s="1" t="s">
        <v>2003</v>
      </c>
      <c r="B28" s="1" t="s">
        <v>2127</v>
      </c>
      <c r="C28" s="63">
        <v>46210.0</v>
      </c>
      <c r="D28" s="63" t="s">
        <v>130</v>
      </c>
      <c r="E28" s="68">
        <v>0.99585289</v>
      </c>
      <c r="F28" s="1"/>
      <c r="G28" s="23">
        <v>7162509.15</v>
      </c>
      <c r="H28" s="23">
        <v>7132805.44</v>
      </c>
      <c r="I28" s="23">
        <v>7162509.15</v>
      </c>
      <c r="J28" s="23">
        <v>7132805.44</v>
      </c>
      <c r="K28" s="24">
        <v>6.5964534E7</v>
      </c>
      <c r="L28" s="1" t="s">
        <v>1776</v>
      </c>
      <c r="M28" s="1" t="s">
        <v>2128</v>
      </c>
      <c r="N28" s="63" t="s">
        <v>446</v>
      </c>
      <c r="O28" s="63" t="s">
        <v>446</v>
      </c>
      <c r="P28" s="68">
        <v>38.0</v>
      </c>
      <c r="Q28" s="1" t="s">
        <v>2130</v>
      </c>
      <c r="R28" s="1" t="s">
        <v>13</v>
      </c>
      <c r="S28" s="1"/>
      <c r="T28" s="1"/>
      <c r="U28" s="1" t="s">
        <v>518</v>
      </c>
      <c r="V28" s="1" t="s">
        <v>518</v>
      </c>
      <c r="W28" s="145">
        <f t="shared" si="1"/>
        <v>0.0001459087329</v>
      </c>
      <c r="AC28" s="38"/>
    </row>
    <row r="29" ht="15.75" customHeight="1">
      <c r="A29" s="1" t="s">
        <v>2014</v>
      </c>
      <c r="B29" s="1" t="s">
        <v>2127</v>
      </c>
      <c r="C29" s="63">
        <v>46210.0</v>
      </c>
      <c r="D29" s="63" t="s">
        <v>130</v>
      </c>
      <c r="E29" s="68">
        <v>0.99617905</v>
      </c>
      <c r="F29" s="1"/>
      <c r="G29" s="23">
        <v>1.0E7</v>
      </c>
      <c r="H29" s="23">
        <v>9961790.5</v>
      </c>
      <c r="I29" s="23">
        <v>1.0E7</v>
      </c>
      <c r="J29" s="23">
        <v>9961790.5</v>
      </c>
      <c r="K29" s="24">
        <v>2.9098102E7</v>
      </c>
      <c r="L29" s="1" t="s">
        <v>1776</v>
      </c>
      <c r="M29" s="1" t="s">
        <v>2128</v>
      </c>
      <c r="N29" s="63" t="s">
        <v>360</v>
      </c>
      <c r="O29" s="63" t="s">
        <v>360</v>
      </c>
      <c r="P29" s="68">
        <v>35.0</v>
      </c>
      <c r="Q29" s="1" t="s">
        <v>2130</v>
      </c>
      <c r="R29" s="1" t="s">
        <v>13</v>
      </c>
      <c r="S29" s="1"/>
      <c r="T29" s="1"/>
      <c r="U29" s="1" t="s">
        <v>390</v>
      </c>
      <c r="V29" s="1" t="s">
        <v>390</v>
      </c>
      <c r="W29" s="145">
        <f t="shared" si="1"/>
        <v>0.000203778477</v>
      </c>
      <c r="AC29" s="38"/>
    </row>
    <row r="30" ht="15.75" customHeight="1">
      <c r="A30" s="1" t="s">
        <v>2079</v>
      </c>
      <c r="B30" s="1" t="s">
        <v>2127</v>
      </c>
      <c r="C30" s="63">
        <v>46210.0</v>
      </c>
      <c r="D30" s="63" t="s">
        <v>130</v>
      </c>
      <c r="E30" s="68">
        <v>0.9963966</v>
      </c>
      <c r="F30" s="1"/>
      <c r="G30" s="23">
        <v>1862351.88</v>
      </c>
      <c r="H30" s="23">
        <v>1855641.09</v>
      </c>
      <c r="I30" s="23">
        <v>1862351.88</v>
      </c>
      <c r="J30" s="23">
        <v>1855641.09</v>
      </c>
      <c r="K30" s="24">
        <v>1.1123599E7</v>
      </c>
      <c r="L30" s="1" t="s">
        <v>1776</v>
      </c>
      <c r="M30" s="1" t="s">
        <v>2128</v>
      </c>
      <c r="N30" s="63" t="s">
        <v>704</v>
      </c>
      <c r="O30" s="63" t="s">
        <v>704</v>
      </c>
      <c r="P30" s="68">
        <v>33.0</v>
      </c>
      <c r="Q30" s="1" t="s">
        <v>2130</v>
      </c>
      <c r="R30" s="1" t="s">
        <v>13</v>
      </c>
      <c r="S30" s="1"/>
      <c r="T30" s="1"/>
      <c r="U30" s="1" t="s">
        <v>721</v>
      </c>
      <c r="V30" s="1" t="s">
        <v>721</v>
      </c>
      <c r="W30" s="145">
        <f t="shared" si="1"/>
        <v>0.000037959011</v>
      </c>
      <c r="AC30" s="38"/>
    </row>
    <row r="31" ht="15.75" customHeight="1">
      <c r="A31" s="1" t="s">
        <v>1898</v>
      </c>
      <c r="B31" s="1" t="s">
        <v>2127</v>
      </c>
      <c r="C31" s="63">
        <v>46210.0</v>
      </c>
      <c r="D31" s="63" t="s">
        <v>130</v>
      </c>
      <c r="E31" s="68">
        <v>0.99617906</v>
      </c>
      <c r="F31" s="1"/>
      <c r="G31" s="23">
        <v>2000000.0</v>
      </c>
      <c r="H31" s="23">
        <v>1992358.11</v>
      </c>
      <c r="I31" s="23">
        <v>2000000.0</v>
      </c>
      <c r="J31" s="23">
        <v>1992358.11</v>
      </c>
      <c r="K31" s="24">
        <v>7746.0</v>
      </c>
      <c r="L31" s="1" t="s">
        <v>1776</v>
      </c>
      <c r="M31" s="1" t="s">
        <v>2128</v>
      </c>
      <c r="N31" s="63" t="s">
        <v>733</v>
      </c>
      <c r="O31" s="63" t="s">
        <v>733</v>
      </c>
      <c r="P31" s="68">
        <v>35.0</v>
      </c>
      <c r="Q31" s="1" t="s">
        <v>2130</v>
      </c>
      <c r="R31" s="1" t="s">
        <v>13</v>
      </c>
      <c r="S31" s="1"/>
      <c r="T31" s="1"/>
      <c r="U31" s="1" t="s">
        <v>735</v>
      </c>
      <c r="V31" s="1" t="s">
        <v>735</v>
      </c>
      <c r="W31" s="145">
        <f t="shared" si="1"/>
        <v>0.0000407556956</v>
      </c>
      <c r="AC31" s="38"/>
    </row>
    <row r="32" ht="15.75" customHeight="1">
      <c r="A32" s="1" t="s">
        <v>1972</v>
      </c>
      <c r="B32" s="1" t="s">
        <v>2127</v>
      </c>
      <c r="C32" s="63">
        <v>46210.0</v>
      </c>
      <c r="D32" s="63" t="s">
        <v>130</v>
      </c>
      <c r="E32" s="68">
        <v>0.99639661</v>
      </c>
      <c r="F32" s="1"/>
      <c r="G32" s="23">
        <v>1.0E7</v>
      </c>
      <c r="H32" s="23">
        <v>9963966.09</v>
      </c>
      <c r="I32" s="23">
        <v>1.0E7</v>
      </c>
      <c r="J32" s="23">
        <v>9963966.09</v>
      </c>
      <c r="K32" s="24">
        <v>1.3633523E7</v>
      </c>
      <c r="L32" s="1" t="s">
        <v>1776</v>
      </c>
      <c r="M32" s="1" t="s">
        <v>2128</v>
      </c>
      <c r="N32" s="63" t="s">
        <v>827</v>
      </c>
      <c r="O32" s="63" t="s">
        <v>827</v>
      </c>
      <c r="P32" s="68">
        <v>33.0</v>
      </c>
      <c r="Q32" s="1" t="s">
        <v>2130</v>
      </c>
      <c r="R32" s="1" t="s">
        <v>13</v>
      </c>
      <c r="S32" s="1"/>
      <c r="T32" s="1"/>
      <c r="U32" s="1" t="s">
        <v>839</v>
      </c>
      <c r="V32" s="1" t="s">
        <v>839</v>
      </c>
      <c r="W32" s="145">
        <f t="shared" si="1"/>
        <v>0.0002038229809</v>
      </c>
      <c r="AC32" s="38"/>
    </row>
    <row r="33" ht="15.75" customHeight="1">
      <c r="A33" s="1" t="s">
        <v>2004</v>
      </c>
      <c r="B33" s="1" t="s">
        <v>2127</v>
      </c>
      <c r="C33" s="63">
        <v>46210.0</v>
      </c>
      <c r="D33" s="63" t="s">
        <v>130</v>
      </c>
      <c r="E33" s="68">
        <v>0.99596161</v>
      </c>
      <c r="F33" s="1"/>
      <c r="G33" s="23">
        <v>9500000.0</v>
      </c>
      <c r="H33" s="23">
        <v>9461635.26</v>
      </c>
      <c r="I33" s="23">
        <v>9500000.0</v>
      </c>
      <c r="J33" s="23">
        <v>9461635.26</v>
      </c>
      <c r="K33" s="24">
        <v>1.0949772E7</v>
      </c>
      <c r="L33" s="1" t="s">
        <v>1776</v>
      </c>
      <c r="M33" s="1" t="s">
        <v>2128</v>
      </c>
      <c r="N33" s="63" t="s">
        <v>765</v>
      </c>
      <c r="O33" s="63" t="s">
        <v>765</v>
      </c>
      <c r="P33" s="68">
        <v>37.0</v>
      </c>
      <c r="Q33" s="1" t="s">
        <v>2130</v>
      </c>
      <c r="R33" s="1" t="s">
        <v>13</v>
      </c>
      <c r="S33" s="1"/>
      <c r="T33" s="1"/>
      <c r="U33" s="1" t="s">
        <v>793</v>
      </c>
      <c r="V33" s="1" t="s">
        <v>793</v>
      </c>
      <c r="W33" s="145">
        <f t="shared" si="1"/>
        <v>0.0001935472969</v>
      </c>
      <c r="AC33" s="38"/>
    </row>
    <row r="34" ht="15.75" customHeight="1">
      <c r="A34" s="1" t="s">
        <v>1917</v>
      </c>
      <c r="B34" s="1" t="s">
        <v>2127</v>
      </c>
      <c r="C34" s="63">
        <v>46210.0</v>
      </c>
      <c r="D34" s="63" t="s">
        <v>130</v>
      </c>
      <c r="E34" s="68">
        <v>0.99617905</v>
      </c>
      <c r="F34" s="1"/>
      <c r="G34" s="23">
        <v>1.0E7</v>
      </c>
      <c r="H34" s="23">
        <v>9961790.5</v>
      </c>
      <c r="I34" s="23">
        <v>1.0E7</v>
      </c>
      <c r="J34" s="23">
        <v>9961790.5</v>
      </c>
      <c r="K34" s="24">
        <v>387.0</v>
      </c>
      <c r="L34" s="1" t="s">
        <v>1776</v>
      </c>
      <c r="M34" s="1" t="s">
        <v>2128</v>
      </c>
      <c r="N34" s="63" t="s">
        <v>360</v>
      </c>
      <c r="O34" s="63" t="s">
        <v>360</v>
      </c>
      <c r="P34" s="68">
        <v>35.0</v>
      </c>
      <c r="Q34" s="1" t="s">
        <v>2130</v>
      </c>
      <c r="R34" s="1" t="s">
        <v>13</v>
      </c>
      <c r="S34" s="1"/>
      <c r="T34" s="1"/>
      <c r="U34" s="1" t="s">
        <v>386</v>
      </c>
      <c r="V34" s="1" t="s">
        <v>386</v>
      </c>
      <c r="W34" s="145">
        <f t="shared" si="1"/>
        <v>0.000203778477</v>
      </c>
      <c r="AC34" s="38"/>
    </row>
    <row r="35" ht="15.75" customHeight="1">
      <c r="A35" s="1" t="s">
        <v>2013</v>
      </c>
      <c r="B35" s="1" t="s">
        <v>2127</v>
      </c>
      <c r="C35" s="63">
        <v>46210.0</v>
      </c>
      <c r="D35" s="63" t="s">
        <v>130</v>
      </c>
      <c r="E35" s="68">
        <v>0.99715879</v>
      </c>
      <c r="F35" s="1"/>
      <c r="G35" s="23">
        <v>1.0E7</v>
      </c>
      <c r="H35" s="23">
        <v>9971587.94</v>
      </c>
      <c r="I35" s="23">
        <v>1.0E7</v>
      </c>
      <c r="J35" s="23">
        <v>9971587.94</v>
      </c>
      <c r="K35" s="24">
        <v>1742542.0</v>
      </c>
      <c r="L35" s="1" t="s">
        <v>1776</v>
      </c>
      <c r="M35" s="1" t="s">
        <v>2128</v>
      </c>
      <c r="N35" s="63" t="s">
        <v>404</v>
      </c>
      <c r="O35" s="63" t="s">
        <v>404</v>
      </c>
      <c r="P35" s="68">
        <v>26.0</v>
      </c>
      <c r="Q35" s="1" t="s">
        <v>2130</v>
      </c>
      <c r="R35" s="1" t="s">
        <v>13</v>
      </c>
      <c r="S35" s="1"/>
      <c r="T35" s="1"/>
      <c r="U35" s="1" t="s">
        <v>437</v>
      </c>
      <c r="V35" s="1" t="s">
        <v>437</v>
      </c>
      <c r="W35" s="145">
        <f t="shared" si="1"/>
        <v>0.0002039788935</v>
      </c>
      <c r="AC35" s="38"/>
    </row>
    <row r="36" ht="15.75" customHeight="1">
      <c r="A36" s="1" t="s">
        <v>1903</v>
      </c>
      <c r="B36" s="1" t="s">
        <v>2127</v>
      </c>
      <c r="C36" s="63">
        <v>46210.0</v>
      </c>
      <c r="D36" s="63" t="s">
        <v>130</v>
      </c>
      <c r="E36" s="68">
        <v>0.99704983</v>
      </c>
      <c r="F36" s="1"/>
      <c r="G36" s="23">
        <v>1.0E7</v>
      </c>
      <c r="H36" s="23">
        <v>9970498.34</v>
      </c>
      <c r="I36" s="23">
        <v>1.0E7</v>
      </c>
      <c r="J36" s="23">
        <v>9970498.34</v>
      </c>
      <c r="K36" s="24">
        <v>32530.0</v>
      </c>
      <c r="L36" s="1" t="s">
        <v>1776</v>
      </c>
      <c r="M36" s="1" t="s">
        <v>2128</v>
      </c>
      <c r="N36" s="63" t="s">
        <v>591</v>
      </c>
      <c r="O36" s="63" t="s">
        <v>591</v>
      </c>
      <c r="P36" s="68">
        <v>27.0</v>
      </c>
      <c r="Q36" s="1" t="s">
        <v>2130</v>
      </c>
      <c r="R36" s="1" t="s">
        <v>13</v>
      </c>
      <c r="S36" s="1"/>
      <c r="T36" s="1"/>
      <c r="U36" s="1" t="s">
        <v>605</v>
      </c>
      <c r="V36" s="1" t="s">
        <v>605</v>
      </c>
      <c r="W36" s="145">
        <f t="shared" si="1"/>
        <v>0.0002039566047</v>
      </c>
      <c r="AC36" s="38"/>
    </row>
    <row r="37" ht="15.75" customHeight="1">
      <c r="A37" s="1" t="s">
        <v>1967</v>
      </c>
      <c r="B37" s="1" t="s">
        <v>2127</v>
      </c>
      <c r="C37" s="63">
        <v>46210.0</v>
      </c>
      <c r="D37" s="63" t="s">
        <v>130</v>
      </c>
      <c r="E37" s="68">
        <v>0.99607032</v>
      </c>
      <c r="F37" s="1"/>
      <c r="G37" s="23">
        <v>3000000.0</v>
      </c>
      <c r="H37" s="23">
        <v>2988210.95</v>
      </c>
      <c r="I37" s="23">
        <v>3000000.0</v>
      </c>
      <c r="J37" s="23">
        <v>2988210.95</v>
      </c>
      <c r="K37" s="24">
        <v>4.0743052E7</v>
      </c>
      <c r="L37" s="1" t="s">
        <v>1776</v>
      </c>
      <c r="M37" s="1" t="s">
        <v>2128</v>
      </c>
      <c r="N37" s="63" t="s">
        <v>886</v>
      </c>
      <c r="O37" s="63" t="s">
        <v>886</v>
      </c>
      <c r="P37" s="68">
        <v>36.0</v>
      </c>
      <c r="Q37" s="1" t="s">
        <v>2130</v>
      </c>
      <c r="R37" s="1" t="s">
        <v>13</v>
      </c>
      <c r="S37" s="1"/>
      <c r="T37" s="1"/>
      <c r="U37" s="1" t="s">
        <v>888</v>
      </c>
      <c r="V37" s="1" t="s">
        <v>888</v>
      </c>
      <c r="W37" s="145">
        <f t="shared" si="1"/>
        <v>0.00006112687035</v>
      </c>
      <c r="AC37" s="38"/>
    </row>
    <row r="38" ht="15.75" customHeight="1">
      <c r="A38" s="1" t="s">
        <v>1927</v>
      </c>
      <c r="B38" s="1" t="s">
        <v>2127</v>
      </c>
      <c r="C38" s="63">
        <v>46210.0</v>
      </c>
      <c r="D38" s="63" t="s">
        <v>130</v>
      </c>
      <c r="E38" s="68">
        <v>0.99617904</v>
      </c>
      <c r="F38" s="1"/>
      <c r="G38" s="23">
        <v>3.0E8</v>
      </c>
      <c r="H38" s="23">
        <v>2.9885371221E8</v>
      </c>
      <c r="I38" s="23">
        <v>3.0E8</v>
      </c>
      <c r="J38" s="23">
        <v>2.9885371221E8</v>
      </c>
      <c r="K38" s="24">
        <v>231704.0</v>
      </c>
      <c r="L38" s="1" t="s">
        <v>1776</v>
      </c>
      <c r="M38" s="1" t="s">
        <v>2128</v>
      </c>
      <c r="N38" s="63" t="s">
        <v>940</v>
      </c>
      <c r="O38" s="63" t="s">
        <v>940</v>
      </c>
      <c r="P38" s="68">
        <v>35.0</v>
      </c>
      <c r="Q38" s="1" t="s">
        <v>2130</v>
      </c>
      <c r="R38" s="1" t="s">
        <v>13</v>
      </c>
      <c r="S38" s="1"/>
      <c r="T38" s="1"/>
      <c r="U38" s="1" t="s">
        <v>939</v>
      </c>
      <c r="V38" s="1" t="s">
        <v>939</v>
      </c>
      <c r="W38" s="145">
        <f t="shared" si="1"/>
        <v>0.006113354253</v>
      </c>
      <c r="AC38" s="38"/>
    </row>
    <row r="39" ht="15.75" customHeight="1">
      <c r="A39" s="1" t="s">
        <v>1993</v>
      </c>
      <c r="B39" s="1" t="s">
        <v>2127</v>
      </c>
      <c r="C39" s="63">
        <v>46210.0</v>
      </c>
      <c r="D39" s="63" t="s">
        <v>130</v>
      </c>
      <c r="E39" s="68">
        <v>0.9969409</v>
      </c>
      <c r="F39" s="1"/>
      <c r="G39" s="23">
        <v>1.561641337E7</v>
      </c>
      <c r="H39" s="23">
        <v>1.556864117E7</v>
      </c>
      <c r="I39" s="23">
        <v>1.561641337E7</v>
      </c>
      <c r="J39" s="23">
        <v>1.556864117E7</v>
      </c>
      <c r="K39" s="24">
        <v>3602.0</v>
      </c>
      <c r="L39" s="1" t="s">
        <v>1776</v>
      </c>
      <c r="M39" s="1" t="s">
        <v>2128</v>
      </c>
      <c r="N39" s="63" t="s">
        <v>1375</v>
      </c>
      <c r="O39" s="63" t="s">
        <v>1375</v>
      </c>
      <c r="P39" s="68">
        <v>28.0</v>
      </c>
      <c r="Q39" s="1" t="s">
        <v>2130</v>
      </c>
      <c r="R39" s="1" t="s">
        <v>13</v>
      </c>
      <c r="S39" s="1"/>
      <c r="T39" s="1"/>
      <c r="U39" s="1" t="s">
        <v>1374</v>
      </c>
      <c r="V39" s="1" t="s">
        <v>1374</v>
      </c>
      <c r="W39" s="145">
        <f t="shared" si="1"/>
        <v>0.0003184722653</v>
      </c>
      <c r="AC39" s="38"/>
    </row>
    <row r="40" ht="15.75" customHeight="1">
      <c r="A40" s="1" t="s">
        <v>1908</v>
      </c>
      <c r="B40" s="1" t="s">
        <v>2127</v>
      </c>
      <c r="C40" s="63">
        <v>46210.0</v>
      </c>
      <c r="D40" s="63" t="s">
        <v>130</v>
      </c>
      <c r="E40" s="68">
        <v>0.99563559</v>
      </c>
      <c r="F40" s="1"/>
      <c r="G40" s="23">
        <v>2.675E8</v>
      </c>
      <c r="H40" s="23">
        <v>2.6633251998E8</v>
      </c>
      <c r="I40" s="23">
        <v>2.675E8</v>
      </c>
      <c r="J40" s="23">
        <v>2.6633251998E8</v>
      </c>
      <c r="K40" s="24">
        <v>7.0379142E7</v>
      </c>
      <c r="L40" s="1" t="s">
        <v>1776</v>
      </c>
      <c r="M40" s="1" t="s">
        <v>2128</v>
      </c>
      <c r="N40" s="63" t="s">
        <v>748</v>
      </c>
      <c r="O40" s="63" t="s">
        <v>748</v>
      </c>
      <c r="P40" s="68">
        <v>40.0</v>
      </c>
      <c r="Q40" s="1" t="s">
        <v>2130</v>
      </c>
      <c r="R40" s="1" t="s">
        <v>13</v>
      </c>
      <c r="S40" s="1"/>
      <c r="T40" s="1"/>
      <c r="U40" s="1" t="s">
        <v>762</v>
      </c>
      <c r="V40" s="1" t="s">
        <v>762</v>
      </c>
      <c r="W40" s="145">
        <f t="shared" si="1"/>
        <v>0.005448100449</v>
      </c>
      <c r="AC40" s="38"/>
    </row>
    <row r="41" ht="15.75" customHeight="1">
      <c r="A41" s="1" t="s">
        <v>2039</v>
      </c>
      <c r="B41" s="1" t="s">
        <v>2127</v>
      </c>
      <c r="C41" s="63">
        <v>46210.0</v>
      </c>
      <c r="D41" s="63" t="s">
        <v>130</v>
      </c>
      <c r="E41" s="68">
        <v>0.9954184</v>
      </c>
      <c r="F41" s="1"/>
      <c r="G41" s="23">
        <v>9040891.31</v>
      </c>
      <c r="H41" s="23">
        <v>8999469.53</v>
      </c>
      <c r="I41" s="23">
        <v>9040891.31</v>
      </c>
      <c r="J41" s="23">
        <v>8999469.53</v>
      </c>
      <c r="K41" s="24">
        <v>9.0022248E7</v>
      </c>
      <c r="L41" s="1" t="s">
        <v>1776</v>
      </c>
      <c r="M41" s="1" t="s">
        <v>2128</v>
      </c>
      <c r="N41" s="63" t="s">
        <v>1118</v>
      </c>
      <c r="O41" s="63" t="s">
        <v>1118</v>
      </c>
      <c r="P41" s="68">
        <v>42.0</v>
      </c>
      <c r="Q41" s="1" t="s">
        <v>2130</v>
      </c>
      <c r="R41" s="1" t="s">
        <v>13</v>
      </c>
      <c r="S41" s="1"/>
      <c r="T41" s="1"/>
      <c r="U41" s="1" t="s">
        <v>1140</v>
      </c>
      <c r="V41" s="1" t="s">
        <v>1140</v>
      </c>
      <c r="W41" s="145">
        <f t="shared" si="1"/>
        <v>0.0001840932305</v>
      </c>
      <c r="AC41" s="38"/>
    </row>
    <row r="42" ht="15.75" customHeight="1">
      <c r="A42" s="1" t="s">
        <v>1926</v>
      </c>
      <c r="B42" s="1" t="s">
        <v>2127</v>
      </c>
      <c r="C42" s="63">
        <v>46210.0</v>
      </c>
      <c r="D42" s="63" t="s">
        <v>130</v>
      </c>
      <c r="E42" s="68">
        <v>0.99683199</v>
      </c>
      <c r="F42" s="1"/>
      <c r="G42" s="23">
        <v>1.2E7</v>
      </c>
      <c r="H42" s="23">
        <v>1.196198392E7</v>
      </c>
      <c r="I42" s="23">
        <v>1.2E7</v>
      </c>
      <c r="J42" s="23">
        <v>1.196198392E7</v>
      </c>
      <c r="K42" s="24">
        <v>9.0000619E7</v>
      </c>
      <c r="L42" s="1" t="s">
        <v>1776</v>
      </c>
      <c r="M42" s="1" t="s">
        <v>2128</v>
      </c>
      <c r="N42" s="63" t="s">
        <v>676</v>
      </c>
      <c r="O42" s="63" t="s">
        <v>676</v>
      </c>
      <c r="P42" s="68">
        <v>29.0</v>
      </c>
      <c r="Q42" s="1" t="s">
        <v>2130</v>
      </c>
      <c r="R42" s="1" t="s">
        <v>13</v>
      </c>
      <c r="S42" s="1"/>
      <c r="T42" s="1"/>
      <c r="U42" s="1" t="s">
        <v>694</v>
      </c>
      <c r="V42" s="1" t="s">
        <v>694</v>
      </c>
      <c r="W42" s="145">
        <f t="shared" si="1"/>
        <v>0.0002446944518</v>
      </c>
      <c r="AC42" s="38"/>
    </row>
    <row r="43" ht="15.75" customHeight="1">
      <c r="A43" s="1" t="s">
        <v>1926</v>
      </c>
      <c r="B43" s="1" t="s">
        <v>2127</v>
      </c>
      <c r="C43" s="63">
        <v>46210.0</v>
      </c>
      <c r="D43" s="63" t="s">
        <v>130</v>
      </c>
      <c r="E43" s="68">
        <v>0.99683199</v>
      </c>
      <c r="F43" s="1"/>
      <c r="G43" s="23">
        <v>5000000.0</v>
      </c>
      <c r="H43" s="23">
        <v>4984159.96</v>
      </c>
      <c r="I43" s="23">
        <v>5000000.0</v>
      </c>
      <c r="J43" s="23">
        <v>4984159.96</v>
      </c>
      <c r="K43" s="24">
        <v>1.6779598E7</v>
      </c>
      <c r="L43" s="1" t="s">
        <v>1776</v>
      </c>
      <c r="M43" s="1" t="s">
        <v>2128</v>
      </c>
      <c r="N43" s="63" t="s">
        <v>628</v>
      </c>
      <c r="O43" s="63" t="s">
        <v>628</v>
      </c>
      <c r="P43" s="68">
        <v>29.0</v>
      </c>
      <c r="Q43" s="1" t="s">
        <v>2130</v>
      </c>
      <c r="R43" s="1" t="s">
        <v>13</v>
      </c>
      <c r="S43" s="1"/>
      <c r="T43" s="1"/>
      <c r="U43" s="1" t="s">
        <v>646</v>
      </c>
      <c r="V43" s="1" t="s">
        <v>646</v>
      </c>
      <c r="W43" s="145">
        <f t="shared" si="1"/>
        <v>0.0001019560214</v>
      </c>
      <c r="AC43" s="38"/>
    </row>
    <row r="44" ht="15.75" customHeight="1">
      <c r="A44" s="1" t="s">
        <v>1926</v>
      </c>
      <c r="B44" s="1" t="s">
        <v>2127</v>
      </c>
      <c r="C44" s="63">
        <v>46210.0</v>
      </c>
      <c r="D44" s="63" t="s">
        <v>130</v>
      </c>
      <c r="E44" s="68">
        <v>0.99672311</v>
      </c>
      <c r="F44" s="1"/>
      <c r="G44" s="23">
        <v>2.0E7</v>
      </c>
      <c r="H44" s="23">
        <v>1.993446223E7</v>
      </c>
      <c r="I44" s="23">
        <v>2.0E7</v>
      </c>
      <c r="J44" s="23">
        <v>1.993446223E7</v>
      </c>
      <c r="K44" s="24">
        <v>107.0</v>
      </c>
      <c r="L44" s="1" t="s">
        <v>1776</v>
      </c>
      <c r="M44" s="1" t="s">
        <v>2128</v>
      </c>
      <c r="N44" s="63" t="s">
        <v>360</v>
      </c>
      <c r="O44" s="63" t="s">
        <v>360</v>
      </c>
      <c r="P44" s="68">
        <v>30.0</v>
      </c>
      <c r="Q44" s="1" t="s">
        <v>2130</v>
      </c>
      <c r="R44" s="1" t="s">
        <v>13</v>
      </c>
      <c r="S44" s="1"/>
      <c r="T44" s="1"/>
      <c r="U44" s="1" t="s">
        <v>359</v>
      </c>
      <c r="V44" s="1" t="s">
        <v>359</v>
      </c>
      <c r="W44" s="145">
        <f t="shared" si="1"/>
        <v>0.0004077795405</v>
      </c>
      <c r="AC44" s="38"/>
    </row>
    <row r="45" ht="15.75" customHeight="1">
      <c r="A45" s="1" t="s">
        <v>1948</v>
      </c>
      <c r="B45" s="1" t="s">
        <v>2127</v>
      </c>
      <c r="C45" s="63">
        <v>46210.0</v>
      </c>
      <c r="D45" s="63" t="s">
        <v>130</v>
      </c>
      <c r="E45" s="68">
        <v>0.99683199</v>
      </c>
      <c r="F45" s="1"/>
      <c r="G45" s="23">
        <v>1.25E7</v>
      </c>
      <c r="H45" s="23">
        <v>1.246039984E7</v>
      </c>
      <c r="I45" s="23">
        <v>1.25E7</v>
      </c>
      <c r="J45" s="23">
        <v>1.246039984E7</v>
      </c>
      <c r="K45" s="24">
        <v>2.8996507E7</v>
      </c>
      <c r="L45" s="1" t="s">
        <v>1776</v>
      </c>
      <c r="M45" s="1" t="s">
        <v>2128</v>
      </c>
      <c r="N45" s="63" t="s">
        <v>207</v>
      </c>
      <c r="O45" s="63" t="s">
        <v>207</v>
      </c>
      <c r="P45" s="68">
        <v>29.0</v>
      </c>
      <c r="Q45" s="1" t="s">
        <v>2130</v>
      </c>
      <c r="R45" s="1" t="s">
        <v>13</v>
      </c>
      <c r="S45" s="1"/>
      <c r="T45" s="1"/>
      <c r="U45" s="1" t="s">
        <v>208</v>
      </c>
      <c r="V45" s="1" t="s">
        <v>208</v>
      </c>
      <c r="W45" s="145">
        <f t="shared" si="1"/>
        <v>0.0002548900524</v>
      </c>
      <c r="AC45" s="38"/>
    </row>
    <row r="46" ht="15.75" customHeight="1">
      <c r="A46" s="1" t="s">
        <v>1953</v>
      </c>
      <c r="B46" s="1" t="s">
        <v>2127</v>
      </c>
      <c r="C46" s="63">
        <v>46211.0</v>
      </c>
      <c r="D46" s="63" t="s">
        <v>130</v>
      </c>
      <c r="E46" s="68">
        <v>0.99726776</v>
      </c>
      <c r="F46" s="1"/>
      <c r="G46" s="23">
        <v>2500000.0</v>
      </c>
      <c r="H46" s="23">
        <v>2493169.41</v>
      </c>
      <c r="I46" s="23">
        <v>2500000.0</v>
      </c>
      <c r="J46" s="23">
        <v>2493169.41</v>
      </c>
      <c r="K46" s="24">
        <v>6120.0</v>
      </c>
      <c r="L46" s="1" t="s">
        <v>1776</v>
      </c>
      <c r="M46" s="1" t="s">
        <v>2128</v>
      </c>
      <c r="N46" s="63" t="s">
        <v>946</v>
      </c>
      <c r="O46" s="63" t="s">
        <v>946</v>
      </c>
      <c r="P46" s="68">
        <v>20.0</v>
      </c>
      <c r="Q46" s="1" t="s">
        <v>2130</v>
      </c>
      <c r="R46" s="1" t="s">
        <v>13</v>
      </c>
      <c r="S46" s="1"/>
      <c r="T46" s="1"/>
      <c r="U46" s="1" t="s">
        <v>971</v>
      </c>
      <c r="V46" s="1" t="s">
        <v>971</v>
      </c>
      <c r="W46" s="145">
        <f t="shared" si="1"/>
        <v>0.00005100029611</v>
      </c>
      <c r="AC46" s="38"/>
    </row>
    <row r="47" ht="15.75" customHeight="1">
      <c r="A47" s="1" t="s">
        <v>1960</v>
      </c>
      <c r="B47" s="1" t="s">
        <v>2127</v>
      </c>
      <c r="C47" s="63">
        <v>46211.0</v>
      </c>
      <c r="D47" s="63" t="s">
        <v>130</v>
      </c>
      <c r="E47" s="68">
        <v>0.99617904</v>
      </c>
      <c r="F47" s="1"/>
      <c r="G47" s="23">
        <v>6500000.0</v>
      </c>
      <c r="H47" s="23">
        <v>6475163.78</v>
      </c>
      <c r="I47" s="23">
        <v>6500000.0</v>
      </c>
      <c r="J47" s="23">
        <v>6475163.78</v>
      </c>
      <c r="K47" s="24">
        <v>2.9175485E7</v>
      </c>
      <c r="L47" s="1" t="s">
        <v>1776</v>
      </c>
      <c r="M47" s="1" t="s">
        <v>2128</v>
      </c>
      <c r="N47" s="63" t="s">
        <v>676</v>
      </c>
      <c r="O47" s="63" t="s">
        <v>676</v>
      </c>
      <c r="P47" s="68">
        <v>28.0</v>
      </c>
      <c r="Q47" s="1" t="s">
        <v>2130</v>
      </c>
      <c r="R47" s="1" t="s">
        <v>13</v>
      </c>
      <c r="S47" s="1"/>
      <c r="T47" s="1"/>
      <c r="U47" s="1" t="s">
        <v>678</v>
      </c>
      <c r="V47" s="1" t="s">
        <v>678</v>
      </c>
      <c r="W47" s="145">
        <f t="shared" si="1"/>
        <v>0.0001324560091</v>
      </c>
      <c r="AC47" s="38"/>
    </row>
    <row r="48" ht="15.75" customHeight="1">
      <c r="A48" s="1" t="s">
        <v>1958</v>
      </c>
      <c r="B48" s="1" t="s">
        <v>2127</v>
      </c>
      <c r="C48" s="63">
        <v>46211.0</v>
      </c>
      <c r="D48" s="63" t="s">
        <v>130</v>
      </c>
      <c r="E48" s="68">
        <v>0.99495709</v>
      </c>
      <c r="F48" s="1"/>
      <c r="G48" s="23">
        <v>5.0E7</v>
      </c>
      <c r="H48" s="23">
        <v>4.974785443E7</v>
      </c>
      <c r="I48" s="23">
        <v>5.0E7</v>
      </c>
      <c r="J48" s="23">
        <v>4.974785443E7</v>
      </c>
      <c r="K48" s="24">
        <v>2.9239213E7</v>
      </c>
      <c r="L48" s="1" t="s">
        <v>1776</v>
      </c>
      <c r="M48" s="1" t="s">
        <v>2128</v>
      </c>
      <c r="N48" s="63" t="s">
        <v>765</v>
      </c>
      <c r="O48" s="63" t="s">
        <v>765</v>
      </c>
      <c r="P48" s="68">
        <v>37.0</v>
      </c>
      <c r="Q48" s="1" t="s">
        <v>2130</v>
      </c>
      <c r="R48" s="1" t="s">
        <v>13</v>
      </c>
      <c r="S48" s="1"/>
      <c r="T48" s="1"/>
      <c r="U48" s="1" t="s">
        <v>791</v>
      </c>
      <c r="V48" s="1" t="s">
        <v>791</v>
      </c>
      <c r="W48" s="145">
        <f t="shared" si="1"/>
        <v>0.001017642562</v>
      </c>
      <c r="AC48" s="38"/>
    </row>
    <row r="49" ht="15.75" customHeight="1">
      <c r="A49" s="1" t="s">
        <v>1952</v>
      </c>
      <c r="B49" s="1" t="s">
        <v>2127</v>
      </c>
      <c r="C49" s="63">
        <v>46211.0</v>
      </c>
      <c r="D49" s="63" t="s">
        <v>130</v>
      </c>
      <c r="E49" s="68">
        <v>0.99522838</v>
      </c>
      <c r="F49" s="1"/>
      <c r="G49" s="23">
        <v>7.5E7</v>
      </c>
      <c r="H49" s="23">
        <v>7.464212831E7</v>
      </c>
      <c r="I49" s="23">
        <v>7.5E7</v>
      </c>
      <c r="J49" s="23">
        <v>7.464212831E7</v>
      </c>
      <c r="K49" s="24">
        <v>9.5275287E7</v>
      </c>
      <c r="L49" s="1" t="s">
        <v>1776</v>
      </c>
      <c r="M49" s="1" t="s">
        <v>2128</v>
      </c>
      <c r="N49" s="63" t="s">
        <v>902</v>
      </c>
      <c r="O49" s="63" t="s">
        <v>902</v>
      </c>
      <c r="P49" s="68">
        <v>35.0</v>
      </c>
      <c r="Q49" s="1" t="s">
        <v>2130</v>
      </c>
      <c r="R49" s="1" t="s">
        <v>13</v>
      </c>
      <c r="S49" s="1"/>
      <c r="T49" s="1"/>
      <c r="U49" s="1" t="s">
        <v>901</v>
      </c>
      <c r="V49" s="1" t="s">
        <v>901</v>
      </c>
      <c r="W49" s="145">
        <f t="shared" si="1"/>
        <v>0.001526880055</v>
      </c>
      <c r="AC49" s="38"/>
    </row>
    <row r="50" ht="15.75" customHeight="1">
      <c r="A50" s="1" t="s">
        <v>1999</v>
      </c>
      <c r="B50" s="1" t="s">
        <v>2127</v>
      </c>
      <c r="C50" s="63">
        <v>46211.0</v>
      </c>
      <c r="D50" s="63" t="s">
        <v>130</v>
      </c>
      <c r="E50" s="68">
        <v>0.99495709</v>
      </c>
      <c r="F50" s="1"/>
      <c r="G50" s="23">
        <v>2.82703207E7</v>
      </c>
      <c r="H50" s="23">
        <v>2.812775597E7</v>
      </c>
      <c r="I50" s="23">
        <v>2.82703207E7</v>
      </c>
      <c r="J50" s="23">
        <v>2.812775597E7</v>
      </c>
      <c r="K50" s="24">
        <v>2.9253353E7</v>
      </c>
      <c r="L50" s="1" t="s">
        <v>1776</v>
      </c>
      <c r="M50" s="1" t="s">
        <v>2128</v>
      </c>
      <c r="N50" s="63" t="s">
        <v>765</v>
      </c>
      <c r="O50" s="63" t="s">
        <v>765</v>
      </c>
      <c r="P50" s="68">
        <v>37.0</v>
      </c>
      <c r="Q50" s="1" t="s">
        <v>2130</v>
      </c>
      <c r="R50" s="1" t="s">
        <v>13</v>
      </c>
      <c r="S50" s="1"/>
      <c r="T50" s="1"/>
      <c r="U50" s="1" t="s">
        <v>795</v>
      </c>
      <c r="V50" s="1" t="s">
        <v>795</v>
      </c>
      <c r="W50" s="145">
        <f t="shared" si="1"/>
        <v>0.0005753816318</v>
      </c>
      <c r="AC50" s="38"/>
    </row>
    <row r="51" ht="15.75" customHeight="1">
      <c r="A51" s="1" t="s">
        <v>2037</v>
      </c>
      <c r="B51" s="1" t="s">
        <v>2127</v>
      </c>
      <c r="C51" s="63">
        <v>46211.0</v>
      </c>
      <c r="D51" s="63" t="s">
        <v>130</v>
      </c>
      <c r="E51" s="68">
        <v>0.9956356</v>
      </c>
      <c r="F51" s="1"/>
      <c r="G51" s="23">
        <v>2000000.0</v>
      </c>
      <c r="H51" s="23">
        <v>1991271.2</v>
      </c>
      <c r="I51" s="23">
        <v>2000000.0</v>
      </c>
      <c r="J51" s="23">
        <v>1991271.2</v>
      </c>
      <c r="K51" s="24">
        <v>379.0</v>
      </c>
      <c r="L51" s="1" t="s">
        <v>1776</v>
      </c>
      <c r="M51" s="1" t="s">
        <v>2128</v>
      </c>
      <c r="N51" s="63" t="s">
        <v>863</v>
      </c>
      <c r="O51" s="63" t="s">
        <v>863</v>
      </c>
      <c r="P51" s="68">
        <v>32.0</v>
      </c>
      <c r="Q51" s="1" t="s">
        <v>2130</v>
      </c>
      <c r="R51" s="1" t="s">
        <v>13</v>
      </c>
      <c r="S51" s="1"/>
      <c r="T51" s="1"/>
      <c r="U51" s="1" t="s">
        <v>875</v>
      </c>
      <c r="V51" s="1" t="s">
        <v>875</v>
      </c>
      <c r="W51" s="145">
        <f t="shared" si="1"/>
        <v>0.00004073346176</v>
      </c>
      <c r="AC51" s="38"/>
    </row>
    <row r="52" ht="15.75" customHeight="1">
      <c r="A52" s="1" t="s">
        <v>2020</v>
      </c>
      <c r="B52" s="1" t="s">
        <v>2127</v>
      </c>
      <c r="C52" s="63">
        <v>46211.0</v>
      </c>
      <c r="D52" s="63" t="s">
        <v>130</v>
      </c>
      <c r="E52" s="68">
        <v>0.9954998</v>
      </c>
      <c r="F52" s="1"/>
      <c r="G52" s="23">
        <v>8970000.0</v>
      </c>
      <c r="H52" s="23">
        <v>8929633.18</v>
      </c>
      <c r="I52" s="23">
        <v>8970000.0</v>
      </c>
      <c r="J52" s="23">
        <v>8929633.18</v>
      </c>
      <c r="K52" s="24">
        <v>6.7244927E7</v>
      </c>
      <c r="L52" s="1" t="s">
        <v>1776</v>
      </c>
      <c r="M52" s="1" t="s">
        <v>2128</v>
      </c>
      <c r="N52" s="63" t="s">
        <v>946</v>
      </c>
      <c r="O52" s="63" t="s">
        <v>946</v>
      </c>
      <c r="P52" s="68">
        <v>33.0</v>
      </c>
      <c r="Q52" s="1" t="s">
        <v>2130</v>
      </c>
      <c r="R52" s="1" t="s">
        <v>13</v>
      </c>
      <c r="S52" s="1"/>
      <c r="T52" s="1"/>
      <c r="U52" s="1" t="s">
        <v>954</v>
      </c>
      <c r="V52" s="1" t="s">
        <v>954</v>
      </c>
      <c r="W52" s="145">
        <f t="shared" si="1"/>
        <v>0.0001826646575</v>
      </c>
      <c r="AC52" s="38"/>
    </row>
    <row r="53" ht="15.75" customHeight="1">
      <c r="A53" s="1" t="s">
        <v>2020</v>
      </c>
      <c r="B53" s="1" t="s">
        <v>2127</v>
      </c>
      <c r="C53" s="63">
        <v>46211.0</v>
      </c>
      <c r="D53" s="63" t="s">
        <v>130</v>
      </c>
      <c r="E53" s="68">
        <v>0.9954998</v>
      </c>
      <c r="F53" s="1"/>
      <c r="G53" s="23">
        <v>7821000.0</v>
      </c>
      <c r="H53" s="23">
        <v>7785803.91</v>
      </c>
      <c r="I53" s="23">
        <v>7821000.0</v>
      </c>
      <c r="J53" s="23">
        <v>7785803.91</v>
      </c>
      <c r="K53" s="24">
        <v>6.7244959E7</v>
      </c>
      <c r="L53" s="1" t="s">
        <v>1776</v>
      </c>
      <c r="M53" s="1" t="s">
        <v>2128</v>
      </c>
      <c r="N53" s="63" t="s">
        <v>946</v>
      </c>
      <c r="O53" s="63" t="s">
        <v>946</v>
      </c>
      <c r="P53" s="68">
        <v>33.0</v>
      </c>
      <c r="Q53" s="1" t="s">
        <v>2130</v>
      </c>
      <c r="R53" s="1" t="s">
        <v>13</v>
      </c>
      <c r="S53" s="1"/>
      <c r="T53" s="1"/>
      <c r="U53" s="1" t="s">
        <v>955</v>
      </c>
      <c r="V53" s="1" t="s">
        <v>955</v>
      </c>
      <c r="W53" s="145">
        <f t="shared" si="1"/>
        <v>0.0001592664755</v>
      </c>
      <c r="AC53" s="38"/>
    </row>
    <row r="54" ht="15.75" customHeight="1">
      <c r="A54" s="1" t="s">
        <v>1906</v>
      </c>
      <c r="B54" s="1" t="s">
        <v>2127</v>
      </c>
      <c r="C54" s="63">
        <v>46211.0</v>
      </c>
      <c r="D54" s="63" t="s">
        <v>130</v>
      </c>
      <c r="E54" s="68">
        <v>0.99577138</v>
      </c>
      <c r="F54" s="1"/>
      <c r="G54" s="23">
        <v>2.5E7</v>
      </c>
      <c r="H54" s="23">
        <v>2.489428455E7</v>
      </c>
      <c r="I54" s="23">
        <v>2.5E7</v>
      </c>
      <c r="J54" s="23">
        <v>2.489428455E7</v>
      </c>
      <c r="K54" s="24">
        <v>7.0219531E7</v>
      </c>
      <c r="L54" s="1" t="s">
        <v>1776</v>
      </c>
      <c r="M54" s="1" t="s">
        <v>2128</v>
      </c>
      <c r="N54" s="63" t="s">
        <v>727</v>
      </c>
      <c r="O54" s="63" t="s">
        <v>727</v>
      </c>
      <c r="P54" s="68">
        <v>31.0</v>
      </c>
      <c r="Q54" s="1" t="s">
        <v>2130</v>
      </c>
      <c r="R54" s="1" t="s">
        <v>13</v>
      </c>
      <c r="S54" s="1"/>
      <c r="T54" s="1"/>
      <c r="U54" s="1" t="s">
        <v>728</v>
      </c>
      <c r="V54" s="1" t="s">
        <v>728</v>
      </c>
      <c r="W54" s="145">
        <f t="shared" si="1"/>
        <v>0.000509237711</v>
      </c>
      <c r="AC54" s="38"/>
    </row>
    <row r="55" ht="15.75" customHeight="1">
      <c r="A55" s="1" t="s">
        <v>2054</v>
      </c>
      <c r="B55" s="1" t="s">
        <v>2127</v>
      </c>
      <c r="C55" s="63">
        <v>46211.0</v>
      </c>
      <c r="D55" s="63" t="s">
        <v>130</v>
      </c>
      <c r="E55" s="68">
        <v>0.99699536</v>
      </c>
      <c r="F55" s="1"/>
      <c r="G55" s="23">
        <v>1977599.0</v>
      </c>
      <c r="H55" s="23">
        <v>1971657.03</v>
      </c>
      <c r="I55" s="23">
        <v>1977599.0</v>
      </c>
      <c r="J55" s="23">
        <v>1971657.03</v>
      </c>
      <c r="K55" s="24">
        <v>9866.0</v>
      </c>
      <c r="L55" s="1" t="s">
        <v>1776</v>
      </c>
      <c r="M55" s="1" t="s">
        <v>2128</v>
      </c>
      <c r="N55" s="63" t="s">
        <v>251</v>
      </c>
      <c r="O55" s="63" t="s">
        <v>251</v>
      </c>
      <c r="P55" s="68">
        <v>22.0</v>
      </c>
      <c r="Q55" s="1" t="s">
        <v>2130</v>
      </c>
      <c r="R55" s="1" t="s">
        <v>13</v>
      </c>
      <c r="S55" s="1"/>
      <c r="T55" s="1"/>
      <c r="U55" s="1" t="s">
        <v>250</v>
      </c>
      <c r="V55" s="1" t="s">
        <v>250</v>
      </c>
      <c r="W55" s="145">
        <f t="shared" si="1"/>
        <v>0.00004033223412</v>
      </c>
      <c r="AC55" s="38"/>
    </row>
    <row r="56" ht="15.75" customHeight="1">
      <c r="A56" s="1" t="s">
        <v>1903</v>
      </c>
      <c r="B56" s="1" t="s">
        <v>2127</v>
      </c>
      <c r="C56" s="63">
        <v>46211.0</v>
      </c>
      <c r="D56" s="63" t="s">
        <v>130</v>
      </c>
      <c r="E56" s="68">
        <v>0.99590723</v>
      </c>
      <c r="F56" s="1"/>
      <c r="G56" s="23">
        <v>3.5E7</v>
      </c>
      <c r="H56" s="23">
        <v>3.485675311E7</v>
      </c>
      <c r="I56" s="23">
        <v>3.5E7</v>
      </c>
      <c r="J56" s="23">
        <v>3.485675311E7</v>
      </c>
      <c r="K56" s="24">
        <v>10948.0</v>
      </c>
      <c r="L56" s="1" t="s">
        <v>1776</v>
      </c>
      <c r="M56" s="1" t="s">
        <v>2128</v>
      </c>
      <c r="N56" s="63" t="s">
        <v>241</v>
      </c>
      <c r="O56" s="63" t="s">
        <v>241</v>
      </c>
      <c r="P56" s="68">
        <v>30.0</v>
      </c>
      <c r="Q56" s="1" t="s">
        <v>2130</v>
      </c>
      <c r="R56" s="1" t="s">
        <v>13</v>
      </c>
      <c r="S56" s="1"/>
      <c r="T56" s="1"/>
      <c r="U56" s="1" t="s">
        <v>240</v>
      </c>
      <c r="V56" s="1" t="s">
        <v>240</v>
      </c>
      <c r="W56" s="145">
        <f t="shared" si="1"/>
        <v>0.0007130300584</v>
      </c>
      <c r="AC56" s="38"/>
    </row>
    <row r="57" ht="15.75" customHeight="1">
      <c r="A57" s="1" t="s">
        <v>1964</v>
      </c>
      <c r="B57" s="1" t="s">
        <v>2127</v>
      </c>
      <c r="C57" s="63">
        <v>46211.0</v>
      </c>
      <c r="D57" s="63" t="s">
        <v>130</v>
      </c>
      <c r="E57" s="68">
        <v>0.99482149</v>
      </c>
      <c r="F57" s="1"/>
      <c r="G57" s="23">
        <v>5000000.0</v>
      </c>
      <c r="H57" s="23">
        <v>4974107.46</v>
      </c>
      <c r="I57" s="23">
        <v>5000000.0</v>
      </c>
      <c r="J57" s="23">
        <v>4974107.46</v>
      </c>
      <c r="K57" s="24">
        <v>6.0524151E7</v>
      </c>
      <c r="L57" s="1" t="s">
        <v>1776</v>
      </c>
      <c r="M57" s="1" t="s">
        <v>2128</v>
      </c>
      <c r="N57" s="63" t="s">
        <v>207</v>
      </c>
      <c r="O57" s="63" t="s">
        <v>207</v>
      </c>
      <c r="P57" s="68">
        <v>38.0</v>
      </c>
      <c r="Q57" s="1" t="s">
        <v>2130</v>
      </c>
      <c r="R57" s="1" t="s">
        <v>13</v>
      </c>
      <c r="S57" s="1"/>
      <c r="T57" s="1"/>
      <c r="U57" s="1" t="s">
        <v>227</v>
      </c>
      <c r="V57" s="1" t="s">
        <v>227</v>
      </c>
      <c r="W57" s="145">
        <f t="shared" si="1"/>
        <v>0.0001017503874</v>
      </c>
      <c r="AC57" s="38"/>
    </row>
    <row r="58" ht="15.75" customHeight="1">
      <c r="A58" s="1" t="s">
        <v>1915</v>
      </c>
      <c r="B58" s="1" t="s">
        <v>2127</v>
      </c>
      <c r="C58" s="63">
        <v>46211.0</v>
      </c>
      <c r="D58" s="63" t="s">
        <v>130</v>
      </c>
      <c r="E58" s="68">
        <v>0.99549981</v>
      </c>
      <c r="F58" s="1"/>
      <c r="G58" s="23">
        <v>3.813677455E7</v>
      </c>
      <c r="H58" s="23">
        <v>3.796515168E7</v>
      </c>
      <c r="I58" s="23">
        <v>3.813677455E7</v>
      </c>
      <c r="J58" s="23">
        <v>3.796515168E7</v>
      </c>
      <c r="K58" s="24">
        <v>6.6789069E7</v>
      </c>
      <c r="L58" s="1" t="s">
        <v>1776</v>
      </c>
      <c r="M58" s="1" t="s">
        <v>2128</v>
      </c>
      <c r="N58" s="63" t="s">
        <v>748</v>
      </c>
      <c r="O58" s="63" t="s">
        <v>748</v>
      </c>
      <c r="P58" s="68">
        <v>33.0</v>
      </c>
      <c r="Q58" s="1" t="s">
        <v>2130</v>
      </c>
      <c r="R58" s="1" t="s">
        <v>13</v>
      </c>
      <c r="S58" s="1"/>
      <c r="T58" s="1"/>
      <c r="U58" s="1" t="s">
        <v>763</v>
      </c>
      <c r="V58" s="1" t="s">
        <v>763</v>
      </c>
      <c r="W58" s="145">
        <f t="shared" si="1"/>
        <v>0.0007766154878</v>
      </c>
      <c r="AC58" s="38"/>
    </row>
    <row r="59" ht="15.75" customHeight="1">
      <c r="A59" s="1" t="s">
        <v>1903</v>
      </c>
      <c r="B59" s="1" t="s">
        <v>2127</v>
      </c>
      <c r="C59" s="63">
        <v>46211.0</v>
      </c>
      <c r="D59" s="63" t="s">
        <v>130</v>
      </c>
      <c r="E59" s="68">
        <v>0.99604312</v>
      </c>
      <c r="F59" s="1"/>
      <c r="G59" s="23">
        <v>1200000.0</v>
      </c>
      <c r="H59" s="23">
        <v>1195251.75</v>
      </c>
      <c r="I59" s="23">
        <v>1200000.0</v>
      </c>
      <c r="J59" s="23">
        <v>1195251.75</v>
      </c>
      <c r="K59" s="24">
        <v>543.0</v>
      </c>
      <c r="L59" s="1" t="s">
        <v>1776</v>
      </c>
      <c r="M59" s="1" t="s">
        <v>2128</v>
      </c>
      <c r="N59" s="63" t="s">
        <v>608</v>
      </c>
      <c r="O59" s="63" t="s">
        <v>608</v>
      </c>
      <c r="P59" s="68">
        <v>29.0</v>
      </c>
      <c r="Q59" s="1" t="s">
        <v>2130</v>
      </c>
      <c r="R59" s="1" t="s">
        <v>13</v>
      </c>
      <c r="S59" s="1"/>
      <c r="T59" s="1"/>
      <c r="U59" s="1" t="s">
        <v>615</v>
      </c>
      <c r="V59" s="1" t="s">
        <v>615</v>
      </c>
      <c r="W59" s="145">
        <f t="shared" si="1"/>
        <v>0.00002445008066</v>
      </c>
      <c r="AC59" s="38"/>
    </row>
    <row r="60" ht="15.75" customHeight="1">
      <c r="A60" s="1" t="s">
        <v>1903</v>
      </c>
      <c r="B60" s="1" t="s">
        <v>2127</v>
      </c>
      <c r="C60" s="63">
        <v>46211.0</v>
      </c>
      <c r="D60" s="63" t="s">
        <v>130</v>
      </c>
      <c r="E60" s="68">
        <v>0.99604313</v>
      </c>
      <c r="F60" s="1"/>
      <c r="G60" s="23">
        <v>1.25E7</v>
      </c>
      <c r="H60" s="23">
        <v>1.24505391E7</v>
      </c>
      <c r="I60" s="23">
        <v>1.25E7</v>
      </c>
      <c r="J60" s="23">
        <v>1.24505391E7</v>
      </c>
      <c r="K60" s="24">
        <v>9798605.0</v>
      </c>
      <c r="L60" s="1" t="s">
        <v>1776</v>
      </c>
      <c r="M60" s="1" t="s">
        <v>2128</v>
      </c>
      <c r="N60" s="63" t="s">
        <v>608</v>
      </c>
      <c r="O60" s="63" t="s">
        <v>608</v>
      </c>
      <c r="P60" s="68">
        <v>29.0</v>
      </c>
      <c r="Q60" s="1" t="s">
        <v>2130</v>
      </c>
      <c r="R60" s="1" t="s">
        <v>13</v>
      </c>
      <c r="S60" s="1"/>
      <c r="T60" s="1"/>
      <c r="U60" s="1" t="s">
        <v>617</v>
      </c>
      <c r="V60" s="1" t="s">
        <v>617</v>
      </c>
      <c r="W60" s="145">
        <f t="shared" si="1"/>
        <v>0.000254688341</v>
      </c>
      <c r="AC60" s="38"/>
    </row>
    <row r="61" ht="15.75" customHeight="1">
      <c r="A61" s="1" t="s">
        <v>1903</v>
      </c>
      <c r="B61" s="1" t="s">
        <v>2127</v>
      </c>
      <c r="C61" s="63">
        <v>46211.0</v>
      </c>
      <c r="D61" s="63" t="s">
        <v>130</v>
      </c>
      <c r="E61" s="68">
        <v>0.99604312</v>
      </c>
      <c r="F61" s="1"/>
      <c r="G61" s="23">
        <v>7000000.0</v>
      </c>
      <c r="H61" s="23">
        <v>6972301.84</v>
      </c>
      <c r="I61" s="23">
        <v>7000000.0</v>
      </c>
      <c r="J61" s="23">
        <v>6972301.84</v>
      </c>
      <c r="K61" s="24">
        <v>6.6582572E7</v>
      </c>
      <c r="L61" s="1" t="s">
        <v>1776</v>
      </c>
      <c r="M61" s="1" t="s">
        <v>2128</v>
      </c>
      <c r="N61" s="63" t="s">
        <v>628</v>
      </c>
      <c r="O61" s="63" t="s">
        <v>628</v>
      </c>
      <c r="P61" s="68">
        <v>29.0</v>
      </c>
      <c r="Q61" s="1" t="s">
        <v>2130</v>
      </c>
      <c r="R61" s="1" t="s">
        <v>13</v>
      </c>
      <c r="S61" s="1"/>
      <c r="T61" s="1"/>
      <c r="U61" s="1" t="s">
        <v>659</v>
      </c>
      <c r="V61" s="1" t="s">
        <v>659</v>
      </c>
      <c r="W61" s="145">
        <f t="shared" si="1"/>
        <v>0.0001426254698</v>
      </c>
      <c r="AC61" s="38"/>
    </row>
    <row r="62" ht="15.75" customHeight="1">
      <c r="A62" s="1" t="s">
        <v>2034</v>
      </c>
      <c r="B62" s="1" t="s">
        <v>2127</v>
      </c>
      <c r="C62" s="63">
        <v>46211.0</v>
      </c>
      <c r="D62" s="63" t="s">
        <v>130</v>
      </c>
      <c r="E62" s="68">
        <v>0.99509271</v>
      </c>
      <c r="F62" s="1"/>
      <c r="G62" s="23">
        <v>5000000.0</v>
      </c>
      <c r="H62" s="23">
        <v>4975463.54</v>
      </c>
      <c r="I62" s="23">
        <v>5000000.0</v>
      </c>
      <c r="J62" s="23">
        <v>4975463.54</v>
      </c>
      <c r="K62" s="24">
        <v>6.6205682E7</v>
      </c>
      <c r="L62" s="1" t="s">
        <v>1776</v>
      </c>
      <c r="M62" s="1" t="s">
        <v>2128</v>
      </c>
      <c r="N62" s="63" t="s">
        <v>256</v>
      </c>
      <c r="O62" s="63" t="s">
        <v>256</v>
      </c>
      <c r="P62" s="68">
        <v>36.0</v>
      </c>
      <c r="Q62" s="1" t="s">
        <v>2130</v>
      </c>
      <c r="R62" s="1" t="s">
        <v>13</v>
      </c>
      <c r="S62" s="1"/>
      <c r="T62" s="1"/>
      <c r="U62" s="1" t="s">
        <v>279</v>
      </c>
      <c r="V62" s="1" t="s">
        <v>279</v>
      </c>
      <c r="W62" s="145">
        <f t="shared" si="1"/>
        <v>0.0001017781274</v>
      </c>
      <c r="AC62" s="38"/>
    </row>
    <row r="63" ht="15.75" customHeight="1">
      <c r="A63" s="1" t="s">
        <v>1921</v>
      </c>
      <c r="B63" s="1" t="s">
        <v>2127</v>
      </c>
      <c r="C63" s="63">
        <v>46211.0</v>
      </c>
      <c r="D63" s="63" t="s">
        <v>130</v>
      </c>
      <c r="E63" s="68">
        <v>0.99658716</v>
      </c>
      <c r="F63" s="1"/>
      <c r="G63" s="23">
        <v>8527469.2</v>
      </c>
      <c r="H63" s="23">
        <v>8498366.27</v>
      </c>
      <c r="I63" s="23">
        <v>8527469.2</v>
      </c>
      <c r="J63" s="23">
        <v>8498366.27</v>
      </c>
      <c r="K63" s="24">
        <v>2.9577226E7</v>
      </c>
      <c r="L63" s="1" t="s">
        <v>1776</v>
      </c>
      <c r="M63" s="1" t="s">
        <v>2128</v>
      </c>
      <c r="N63" s="63" t="s">
        <v>1488</v>
      </c>
      <c r="O63" s="63" t="s">
        <v>1488</v>
      </c>
      <c r="P63" s="68">
        <v>25.0</v>
      </c>
      <c r="Q63" s="1" t="s">
        <v>2130</v>
      </c>
      <c r="R63" s="1" t="s">
        <v>13</v>
      </c>
      <c r="S63" s="1"/>
      <c r="T63" s="1"/>
      <c r="U63" s="1" t="s">
        <v>1515</v>
      </c>
      <c r="V63" s="1" t="s">
        <v>1515</v>
      </c>
      <c r="W63" s="145">
        <f t="shared" si="1"/>
        <v>0.0001738426577</v>
      </c>
      <c r="AC63" s="38"/>
    </row>
    <row r="64" ht="15.75" customHeight="1">
      <c r="A64" s="1" t="s">
        <v>1951</v>
      </c>
      <c r="B64" s="1" t="s">
        <v>2127</v>
      </c>
      <c r="C64" s="63">
        <v>46211.0</v>
      </c>
      <c r="D64" s="63" t="s">
        <v>130</v>
      </c>
      <c r="E64" s="68">
        <v>0.9950927</v>
      </c>
      <c r="F64" s="1"/>
      <c r="G64" s="23">
        <v>1.65E7</v>
      </c>
      <c r="H64" s="23">
        <v>1.641902963E7</v>
      </c>
      <c r="I64" s="23">
        <v>1.65E7</v>
      </c>
      <c r="J64" s="23">
        <v>1.641902963E7</v>
      </c>
      <c r="K64" s="24">
        <v>32344.0</v>
      </c>
      <c r="L64" s="1" t="s">
        <v>1776</v>
      </c>
      <c r="M64" s="1" t="s">
        <v>2128</v>
      </c>
      <c r="N64" s="63" t="s">
        <v>543</v>
      </c>
      <c r="O64" s="63" t="s">
        <v>543</v>
      </c>
      <c r="P64" s="68">
        <v>36.0</v>
      </c>
      <c r="Q64" s="1" t="s">
        <v>2130</v>
      </c>
      <c r="R64" s="1" t="s">
        <v>13</v>
      </c>
      <c r="S64" s="1"/>
      <c r="T64" s="1"/>
      <c r="U64" s="1" t="s">
        <v>542</v>
      </c>
      <c r="V64" s="1" t="s">
        <v>542</v>
      </c>
      <c r="W64" s="145">
        <f t="shared" si="1"/>
        <v>0.0003358678193</v>
      </c>
      <c r="AB64" s="21"/>
      <c r="AC64" s="38"/>
    </row>
    <row r="65" ht="15.75" customHeight="1">
      <c r="A65" s="1" t="s">
        <v>1926</v>
      </c>
      <c r="B65" s="1" t="s">
        <v>2127</v>
      </c>
      <c r="C65" s="63">
        <v>46211.0</v>
      </c>
      <c r="D65" s="63" t="s">
        <v>130</v>
      </c>
      <c r="E65" s="68">
        <v>0.99604312</v>
      </c>
      <c r="F65" s="1"/>
      <c r="G65" s="23">
        <v>5000000.0</v>
      </c>
      <c r="H65" s="23">
        <v>4980215.59</v>
      </c>
      <c r="I65" s="23">
        <v>5000000.0</v>
      </c>
      <c r="J65" s="23">
        <v>4980215.59</v>
      </c>
      <c r="K65" s="24">
        <v>1.6779599E7</v>
      </c>
      <c r="L65" s="1" t="s">
        <v>1776</v>
      </c>
      <c r="M65" s="1" t="s">
        <v>2128</v>
      </c>
      <c r="N65" s="63" t="s">
        <v>628</v>
      </c>
      <c r="O65" s="63" t="s">
        <v>628</v>
      </c>
      <c r="P65" s="68">
        <v>29.0</v>
      </c>
      <c r="Q65" s="1" t="s">
        <v>2130</v>
      </c>
      <c r="R65" s="1" t="s">
        <v>13</v>
      </c>
      <c r="S65" s="1"/>
      <c r="T65" s="1"/>
      <c r="U65" s="1" t="s">
        <v>645</v>
      </c>
      <c r="V65" s="1" t="s">
        <v>645</v>
      </c>
      <c r="W65" s="145">
        <f t="shared" si="1"/>
        <v>0.0001018753354</v>
      </c>
      <c r="AC65" s="38"/>
    </row>
    <row r="66" ht="15.75" customHeight="1">
      <c r="A66" s="1" t="s">
        <v>2053</v>
      </c>
      <c r="B66" s="1" t="s">
        <v>2127</v>
      </c>
      <c r="C66" s="63">
        <v>46211.0</v>
      </c>
      <c r="D66" s="63" t="s">
        <v>130</v>
      </c>
      <c r="E66" s="68">
        <v>0.9952284</v>
      </c>
      <c r="F66" s="1"/>
      <c r="G66" s="23">
        <v>4290614.13</v>
      </c>
      <c r="H66" s="23">
        <v>4270141.02</v>
      </c>
      <c r="I66" s="23">
        <v>4290614.13</v>
      </c>
      <c r="J66" s="23">
        <v>4270141.02</v>
      </c>
      <c r="K66" s="24">
        <v>4136.0</v>
      </c>
      <c r="L66" s="1" t="s">
        <v>1776</v>
      </c>
      <c r="M66" s="1" t="s">
        <v>2128</v>
      </c>
      <c r="N66" s="63" t="s">
        <v>1245</v>
      </c>
      <c r="O66" s="63" t="s">
        <v>1245</v>
      </c>
      <c r="P66" s="68">
        <v>35.0</v>
      </c>
      <c r="Q66" s="1" t="s">
        <v>2130</v>
      </c>
      <c r="R66" s="1" t="s">
        <v>13</v>
      </c>
      <c r="S66" s="1"/>
      <c r="T66" s="1"/>
      <c r="U66" s="1" t="s">
        <v>1248</v>
      </c>
      <c r="V66" s="1" t="s">
        <v>1248</v>
      </c>
      <c r="W66" s="145">
        <f t="shared" si="1"/>
        <v>0.00008735004351</v>
      </c>
      <c r="AC66" s="38"/>
    </row>
    <row r="67" ht="15.75" customHeight="1">
      <c r="A67" s="1" t="s">
        <v>2053</v>
      </c>
      <c r="B67" s="1" t="s">
        <v>2127</v>
      </c>
      <c r="C67" s="63">
        <v>46211.0</v>
      </c>
      <c r="D67" s="63" t="s">
        <v>130</v>
      </c>
      <c r="E67" s="68">
        <v>0.99522839</v>
      </c>
      <c r="F67" s="1"/>
      <c r="G67" s="23">
        <v>267293.51</v>
      </c>
      <c r="H67" s="23">
        <v>266018.09</v>
      </c>
      <c r="I67" s="23">
        <v>267293.51</v>
      </c>
      <c r="J67" s="23">
        <v>266018.09</v>
      </c>
      <c r="K67" s="24">
        <v>9.0000756E7</v>
      </c>
      <c r="L67" s="1" t="s">
        <v>1776</v>
      </c>
      <c r="M67" s="1" t="s">
        <v>2128</v>
      </c>
      <c r="N67" s="63" t="s">
        <v>1245</v>
      </c>
      <c r="O67" s="63" t="s">
        <v>1245</v>
      </c>
      <c r="P67" s="68">
        <v>35.0</v>
      </c>
      <c r="Q67" s="1" t="s">
        <v>2130</v>
      </c>
      <c r="R67" s="1" t="s">
        <v>13</v>
      </c>
      <c r="S67" s="1"/>
      <c r="T67" s="1"/>
      <c r="U67" s="1" t="s">
        <v>1249</v>
      </c>
      <c r="V67" s="1" t="s">
        <v>1249</v>
      </c>
      <c r="W67" s="145">
        <f t="shared" si="1"/>
        <v>0.000005441668467</v>
      </c>
      <c r="AC67" s="38"/>
    </row>
    <row r="68" ht="15.75" customHeight="1">
      <c r="A68" s="1" t="s">
        <v>1953</v>
      </c>
      <c r="B68" s="1" t="s">
        <v>2127</v>
      </c>
      <c r="C68" s="63">
        <v>46216.0</v>
      </c>
      <c r="D68" s="63" t="s">
        <v>130</v>
      </c>
      <c r="E68" s="68">
        <v>0.99455044</v>
      </c>
      <c r="F68" s="1"/>
      <c r="G68" s="23">
        <v>2500000.0</v>
      </c>
      <c r="H68" s="23">
        <v>2486376.09</v>
      </c>
      <c r="I68" s="23">
        <v>2500000.0</v>
      </c>
      <c r="J68" s="23">
        <v>2486376.09</v>
      </c>
      <c r="K68" s="24">
        <v>6121.0</v>
      </c>
      <c r="L68" s="1" t="s">
        <v>1776</v>
      </c>
      <c r="M68" s="1" t="s">
        <v>2128</v>
      </c>
      <c r="N68" s="63" t="s">
        <v>946</v>
      </c>
      <c r="O68" s="63" t="s">
        <v>946</v>
      </c>
      <c r="P68" s="68">
        <v>20.0</v>
      </c>
      <c r="Q68" s="1" t="s">
        <v>2130</v>
      </c>
      <c r="R68" s="1" t="s">
        <v>13</v>
      </c>
      <c r="S68" s="1"/>
      <c r="T68" s="1"/>
      <c r="U68" s="1" t="s">
        <v>973</v>
      </c>
      <c r="V68" s="1" t="s">
        <v>973</v>
      </c>
      <c r="W68" s="145">
        <f t="shared" si="1"/>
        <v>0.00005086133189</v>
      </c>
      <c r="AC68" s="38"/>
    </row>
    <row r="69" ht="15.75" customHeight="1">
      <c r="A69" s="1" t="s">
        <v>1960</v>
      </c>
      <c r="B69" s="1" t="s">
        <v>2127</v>
      </c>
      <c r="C69" s="63">
        <v>46216.0</v>
      </c>
      <c r="D69" s="63" t="s">
        <v>130</v>
      </c>
      <c r="E69" s="68">
        <v>0.9923872</v>
      </c>
      <c r="F69" s="1"/>
      <c r="G69" s="23">
        <v>6500000.0</v>
      </c>
      <c r="H69" s="23">
        <v>6450516.79</v>
      </c>
      <c r="I69" s="23">
        <v>6500000.0</v>
      </c>
      <c r="J69" s="23">
        <v>6450516.79</v>
      </c>
      <c r="K69" s="24">
        <v>2.9175483E7</v>
      </c>
      <c r="L69" s="1" t="s">
        <v>1776</v>
      </c>
      <c r="M69" s="1" t="s">
        <v>2128</v>
      </c>
      <c r="N69" s="63" t="s">
        <v>676</v>
      </c>
      <c r="O69" s="63" t="s">
        <v>676</v>
      </c>
      <c r="P69" s="68">
        <v>28.0</v>
      </c>
      <c r="Q69" s="1" t="s">
        <v>2130</v>
      </c>
      <c r="R69" s="1" t="s">
        <v>13</v>
      </c>
      <c r="S69" s="1"/>
      <c r="T69" s="1"/>
      <c r="U69" s="1" t="s">
        <v>679</v>
      </c>
      <c r="V69" s="1" t="s">
        <v>679</v>
      </c>
      <c r="W69" s="145">
        <f t="shared" si="1"/>
        <v>0.0001319518301</v>
      </c>
      <c r="AC69" s="38"/>
    </row>
    <row r="70" ht="15.75" customHeight="1">
      <c r="A70" s="1" t="s">
        <v>2091</v>
      </c>
      <c r="B70" s="1" t="s">
        <v>2127</v>
      </c>
      <c r="C70" s="63">
        <v>46216.0</v>
      </c>
      <c r="D70" s="63" t="s">
        <v>130</v>
      </c>
      <c r="E70" s="68">
        <v>0.99103992</v>
      </c>
      <c r="F70" s="1"/>
      <c r="G70" s="23">
        <v>1100000.0</v>
      </c>
      <c r="H70" s="23">
        <v>1090143.91</v>
      </c>
      <c r="I70" s="23">
        <v>1100000.0</v>
      </c>
      <c r="J70" s="23">
        <v>1090143.91</v>
      </c>
      <c r="K70" s="24">
        <v>4.9400429E7</v>
      </c>
      <c r="L70" s="1" t="s">
        <v>1776</v>
      </c>
      <c r="M70" s="1" t="s">
        <v>2128</v>
      </c>
      <c r="N70" s="63" t="s">
        <v>704</v>
      </c>
      <c r="O70" s="63" t="s">
        <v>704</v>
      </c>
      <c r="P70" s="68">
        <v>33.0</v>
      </c>
      <c r="Q70" s="1" t="s">
        <v>2130</v>
      </c>
      <c r="R70" s="1" t="s">
        <v>13</v>
      </c>
      <c r="S70" s="1"/>
      <c r="T70" s="1"/>
      <c r="U70" s="1" t="s">
        <v>722</v>
      </c>
      <c r="V70" s="1" t="s">
        <v>722</v>
      </c>
      <c r="W70" s="145">
        <f t="shared" si="1"/>
        <v>0.00002229999373</v>
      </c>
      <c r="AC70" s="38"/>
    </row>
    <row r="71" ht="15.75" customHeight="1">
      <c r="A71" s="1" t="s">
        <v>1898</v>
      </c>
      <c r="B71" s="1" t="s">
        <v>2127</v>
      </c>
      <c r="C71" s="63">
        <v>46216.0</v>
      </c>
      <c r="D71" s="63" t="s">
        <v>130</v>
      </c>
      <c r="E71" s="68">
        <v>0.99050209</v>
      </c>
      <c r="F71" s="1"/>
      <c r="G71" s="23">
        <v>2000000.0</v>
      </c>
      <c r="H71" s="23">
        <v>1981004.17</v>
      </c>
      <c r="I71" s="23">
        <v>2000000.0</v>
      </c>
      <c r="J71" s="23">
        <v>1981004.17</v>
      </c>
      <c r="K71" s="24">
        <v>7747.0</v>
      </c>
      <c r="L71" s="1" t="s">
        <v>1776</v>
      </c>
      <c r="M71" s="1" t="s">
        <v>2128</v>
      </c>
      <c r="N71" s="63" t="s">
        <v>733</v>
      </c>
      <c r="O71" s="63" t="s">
        <v>733</v>
      </c>
      <c r="P71" s="68">
        <v>35.0</v>
      </c>
      <c r="Q71" s="1" t="s">
        <v>2130</v>
      </c>
      <c r="R71" s="1" t="s">
        <v>13</v>
      </c>
      <c r="S71" s="1"/>
      <c r="T71" s="1"/>
      <c r="U71" s="1" t="s">
        <v>736</v>
      </c>
      <c r="V71" s="1" t="s">
        <v>736</v>
      </c>
      <c r="W71" s="145">
        <f t="shared" si="1"/>
        <v>0.00004052343931</v>
      </c>
      <c r="AC71" s="38"/>
    </row>
    <row r="72" ht="15.75" customHeight="1">
      <c r="A72" s="1" t="s">
        <v>1917</v>
      </c>
      <c r="B72" s="1" t="s">
        <v>2127</v>
      </c>
      <c r="C72" s="63">
        <v>46216.0</v>
      </c>
      <c r="D72" s="63" t="s">
        <v>130</v>
      </c>
      <c r="E72" s="68">
        <v>0.99184785</v>
      </c>
      <c r="F72" s="1"/>
      <c r="G72" s="23">
        <v>1.0E7</v>
      </c>
      <c r="H72" s="23">
        <v>9918478.53</v>
      </c>
      <c r="I72" s="23">
        <v>1.0E7</v>
      </c>
      <c r="J72" s="23">
        <v>9918478.53</v>
      </c>
      <c r="K72" s="24">
        <v>545.0</v>
      </c>
      <c r="L72" s="1" t="s">
        <v>1776</v>
      </c>
      <c r="M72" s="1" t="s">
        <v>2128</v>
      </c>
      <c r="N72" s="63" t="s">
        <v>863</v>
      </c>
      <c r="O72" s="63" t="s">
        <v>863</v>
      </c>
      <c r="P72" s="68">
        <v>30.0</v>
      </c>
      <c r="Q72" s="1" t="s">
        <v>2130</v>
      </c>
      <c r="R72" s="1" t="s">
        <v>13</v>
      </c>
      <c r="S72" s="1"/>
      <c r="T72" s="1"/>
      <c r="U72" s="1" t="s">
        <v>879</v>
      </c>
      <c r="V72" s="1" t="s">
        <v>879</v>
      </c>
      <c r="W72" s="145">
        <f t="shared" si="1"/>
        <v>0.0002028924869</v>
      </c>
      <c r="AC72" s="38"/>
    </row>
    <row r="73" ht="15.75" customHeight="1">
      <c r="A73" s="1" t="s">
        <v>1906</v>
      </c>
      <c r="B73" s="1" t="s">
        <v>2127</v>
      </c>
      <c r="C73" s="63">
        <v>46216.0</v>
      </c>
      <c r="D73" s="63" t="s">
        <v>130</v>
      </c>
      <c r="E73" s="68">
        <v>0.99157841</v>
      </c>
      <c r="F73" s="1"/>
      <c r="G73" s="23">
        <v>2.5E7</v>
      </c>
      <c r="H73" s="23">
        <v>2.478946029E7</v>
      </c>
      <c r="I73" s="23">
        <v>2.5E7</v>
      </c>
      <c r="J73" s="23">
        <v>2.478946029E7</v>
      </c>
      <c r="K73" s="24">
        <v>148259.0</v>
      </c>
      <c r="L73" s="1" t="s">
        <v>1776</v>
      </c>
      <c r="M73" s="1" t="s">
        <v>2128</v>
      </c>
      <c r="N73" s="63" t="s">
        <v>739</v>
      </c>
      <c r="O73" s="63" t="s">
        <v>739</v>
      </c>
      <c r="P73" s="68">
        <v>31.0</v>
      </c>
      <c r="Q73" s="1" t="s">
        <v>2130</v>
      </c>
      <c r="R73" s="1" t="s">
        <v>13</v>
      </c>
      <c r="S73" s="1"/>
      <c r="T73" s="1"/>
      <c r="U73" s="1" t="s">
        <v>743</v>
      </c>
      <c r="V73" s="1" t="s">
        <v>743</v>
      </c>
      <c r="W73" s="145">
        <f t="shared" si="1"/>
        <v>0.000507093425</v>
      </c>
      <c r="AC73" s="38"/>
    </row>
    <row r="74" ht="15.75" customHeight="1">
      <c r="A74" s="1" t="s">
        <v>1906</v>
      </c>
      <c r="B74" s="1" t="s">
        <v>2127</v>
      </c>
      <c r="C74" s="63">
        <v>46216.0</v>
      </c>
      <c r="D74" s="63" t="s">
        <v>130</v>
      </c>
      <c r="E74" s="68">
        <v>0.9915784</v>
      </c>
      <c r="F74" s="1"/>
      <c r="G74" s="23">
        <v>4.2E7</v>
      </c>
      <c r="H74" s="23">
        <v>4.1646293E7</v>
      </c>
      <c r="I74" s="23">
        <v>4.2E7</v>
      </c>
      <c r="J74" s="23">
        <v>4.1646293E7</v>
      </c>
      <c r="K74" s="24">
        <v>148258.0</v>
      </c>
      <c r="L74" s="1" t="s">
        <v>1776</v>
      </c>
      <c r="M74" s="1" t="s">
        <v>2128</v>
      </c>
      <c r="N74" s="63" t="s">
        <v>727</v>
      </c>
      <c r="O74" s="63" t="s">
        <v>727</v>
      </c>
      <c r="P74" s="68">
        <v>31.0</v>
      </c>
      <c r="Q74" s="1" t="s">
        <v>2130</v>
      </c>
      <c r="R74" s="1" t="s">
        <v>13</v>
      </c>
      <c r="S74" s="1"/>
      <c r="T74" s="1"/>
      <c r="U74" s="1" t="s">
        <v>726</v>
      </c>
      <c r="V74" s="1" t="s">
        <v>726</v>
      </c>
      <c r="W74" s="145">
        <f t="shared" si="1"/>
        <v>0.0008519169481</v>
      </c>
      <c r="AC74" s="38"/>
    </row>
    <row r="75" ht="15.75" customHeight="1">
      <c r="A75" s="1" t="s">
        <v>1906</v>
      </c>
      <c r="B75" s="1" t="s">
        <v>2127</v>
      </c>
      <c r="C75" s="63">
        <v>46216.0</v>
      </c>
      <c r="D75" s="63" t="s">
        <v>130</v>
      </c>
      <c r="E75" s="68">
        <v>0.9915784</v>
      </c>
      <c r="F75" s="1"/>
      <c r="G75" s="23">
        <v>2.5E7</v>
      </c>
      <c r="H75" s="23">
        <v>2.478946012E7</v>
      </c>
      <c r="I75" s="23">
        <v>2.5E7</v>
      </c>
      <c r="J75" s="23">
        <v>2.478946012E7</v>
      </c>
      <c r="K75" s="24">
        <v>7.0219526E7</v>
      </c>
      <c r="L75" s="1" t="s">
        <v>1776</v>
      </c>
      <c r="M75" s="1" t="s">
        <v>2128</v>
      </c>
      <c r="N75" s="63" t="s">
        <v>727</v>
      </c>
      <c r="O75" s="63" t="s">
        <v>727</v>
      </c>
      <c r="P75" s="68">
        <v>31.0</v>
      </c>
      <c r="Q75" s="1" t="s">
        <v>2130</v>
      </c>
      <c r="R75" s="1" t="s">
        <v>13</v>
      </c>
      <c r="S75" s="1"/>
      <c r="T75" s="1"/>
      <c r="U75" s="1" t="s">
        <v>729</v>
      </c>
      <c r="V75" s="1" t="s">
        <v>729</v>
      </c>
      <c r="W75" s="145">
        <f t="shared" si="1"/>
        <v>0.0005070934215</v>
      </c>
      <c r="AC75" s="38"/>
    </row>
    <row r="76" ht="15.75" customHeight="1">
      <c r="A76" s="1" t="s">
        <v>1903</v>
      </c>
      <c r="B76" s="1" t="s">
        <v>2127</v>
      </c>
      <c r="C76" s="63">
        <v>46216.0</v>
      </c>
      <c r="D76" s="63" t="s">
        <v>130</v>
      </c>
      <c r="E76" s="68">
        <v>0.99265709</v>
      </c>
      <c r="F76" s="1"/>
      <c r="G76" s="23">
        <v>1.0E7</v>
      </c>
      <c r="H76" s="23">
        <v>9926570.89</v>
      </c>
      <c r="I76" s="23">
        <v>1.0E7</v>
      </c>
      <c r="J76" s="23">
        <v>9926570.89</v>
      </c>
      <c r="K76" s="24">
        <v>32531.0</v>
      </c>
      <c r="L76" s="1" t="s">
        <v>1776</v>
      </c>
      <c r="M76" s="1" t="s">
        <v>2128</v>
      </c>
      <c r="N76" s="63" t="s">
        <v>591</v>
      </c>
      <c r="O76" s="63" t="s">
        <v>591</v>
      </c>
      <c r="P76" s="68">
        <v>27.0</v>
      </c>
      <c r="Q76" s="1" t="s">
        <v>2130</v>
      </c>
      <c r="R76" s="1" t="s">
        <v>13</v>
      </c>
      <c r="S76" s="1"/>
      <c r="T76" s="1"/>
      <c r="U76" s="1" t="s">
        <v>604</v>
      </c>
      <c r="V76" s="1" t="s">
        <v>604</v>
      </c>
      <c r="W76" s="145">
        <f t="shared" si="1"/>
        <v>0.0002030580243</v>
      </c>
      <c r="AC76" s="38"/>
    </row>
    <row r="77" ht="15.75" customHeight="1">
      <c r="A77" s="1" t="s">
        <v>1903</v>
      </c>
      <c r="B77" s="1" t="s">
        <v>2127</v>
      </c>
      <c r="C77" s="63">
        <v>46216.0</v>
      </c>
      <c r="D77" s="63" t="s">
        <v>130</v>
      </c>
      <c r="E77" s="68">
        <v>0.99211745</v>
      </c>
      <c r="F77" s="1"/>
      <c r="G77" s="23">
        <v>2.0E7</v>
      </c>
      <c r="H77" s="23">
        <v>1.984234904E7</v>
      </c>
      <c r="I77" s="23">
        <v>2.0E7</v>
      </c>
      <c r="J77" s="23">
        <v>1.984234904E7</v>
      </c>
      <c r="K77" s="24">
        <v>816.0</v>
      </c>
      <c r="L77" s="1" t="s">
        <v>1776</v>
      </c>
      <c r="M77" s="1" t="s">
        <v>2128</v>
      </c>
      <c r="N77" s="63" t="s">
        <v>628</v>
      </c>
      <c r="O77" s="63" t="s">
        <v>628</v>
      </c>
      <c r="P77" s="68">
        <v>29.0</v>
      </c>
      <c r="Q77" s="1" t="s">
        <v>2130</v>
      </c>
      <c r="R77" s="1" t="s">
        <v>13</v>
      </c>
      <c r="S77" s="1"/>
      <c r="T77" s="1"/>
      <c r="U77" s="1" t="s">
        <v>662</v>
      </c>
      <c r="V77" s="1" t="s">
        <v>662</v>
      </c>
      <c r="W77" s="145">
        <f t="shared" si="1"/>
        <v>0.0004058952723</v>
      </c>
      <c r="AC77" s="38"/>
    </row>
    <row r="78" ht="15.75" customHeight="1">
      <c r="A78" s="1" t="s">
        <v>1903</v>
      </c>
      <c r="B78" s="1" t="s">
        <v>2127</v>
      </c>
      <c r="C78" s="63">
        <v>46216.0</v>
      </c>
      <c r="D78" s="63" t="s">
        <v>130</v>
      </c>
      <c r="E78" s="68">
        <v>0.99211745</v>
      </c>
      <c r="F78" s="1"/>
      <c r="G78" s="23">
        <v>6500000.0</v>
      </c>
      <c r="H78" s="23">
        <v>6448763.43</v>
      </c>
      <c r="I78" s="23">
        <v>6500000.0</v>
      </c>
      <c r="J78" s="23">
        <v>6448763.43</v>
      </c>
      <c r="K78" s="24">
        <v>6.6607731E7</v>
      </c>
      <c r="L78" s="1" t="s">
        <v>1776</v>
      </c>
      <c r="M78" s="1" t="s">
        <v>2128</v>
      </c>
      <c r="N78" s="63" t="s">
        <v>628</v>
      </c>
      <c r="O78" s="63" t="s">
        <v>628</v>
      </c>
      <c r="P78" s="68">
        <v>29.0</v>
      </c>
      <c r="Q78" s="1" t="s">
        <v>2130</v>
      </c>
      <c r="R78" s="1" t="s">
        <v>13</v>
      </c>
      <c r="S78" s="1"/>
      <c r="T78" s="1"/>
      <c r="U78" s="1" t="s">
        <v>671</v>
      </c>
      <c r="V78" s="1" t="s">
        <v>671</v>
      </c>
      <c r="W78" s="145">
        <f t="shared" si="1"/>
        <v>0.0001319159633</v>
      </c>
      <c r="AC78" s="38"/>
    </row>
    <row r="79" ht="15.75" customHeight="1">
      <c r="A79" s="1" t="s">
        <v>1921</v>
      </c>
      <c r="B79" s="1" t="s">
        <v>2127</v>
      </c>
      <c r="C79" s="63">
        <v>46216.0</v>
      </c>
      <c r="D79" s="63" t="s">
        <v>130</v>
      </c>
      <c r="E79" s="68">
        <v>0.99319738</v>
      </c>
      <c r="F79" s="1"/>
      <c r="G79" s="23">
        <v>262329.78</v>
      </c>
      <c r="H79" s="23">
        <v>260545.25</v>
      </c>
      <c r="I79" s="23">
        <v>262329.78</v>
      </c>
      <c r="J79" s="23">
        <v>260545.25</v>
      </c>
      <c r="K79" s="24">
        <v>941.0</v>
      </c>
      <c r="L79" s="1" t="s">
        <v>1776</v>
      </c>
      <c r="M79" s="1" t="s">
        <v>2128</v>
      </c>
      <c r="N79" s="63" t="s">
        <v>1488</v>
      </c>
      <c r="O79" s="63" t="s">
        <v>1488</v>
      </c>
      <c r="P79" s="68">
        <v>25.0</v>
      </c>
      <c r="Q79" s="1" t="s">
        <v>2130</v>
      </c>
      <c r="R79" s="1" t="s">
        <v>13</v>
      </c>
      <c r="S79" s="1"/>
      <c r="T79" s="1"/>
      <c r="U79" s="1" t="s">
        <v>1514</v>
      </c>
      <c r="V79" s="1" t="s">
        <v>1514</v>
      </c>
      <c r="W79" s="145">
        <f t="shared" si="1"/>
        <v>0.000005329716002</v>
      </c>
      <c r="AC79" s="38"/>
    </row>
    <row r="80" ht="15.75" customHeight="1">
      <c r="A80" s="1" t="s">
        <v>1926</v>
      </c>
      <c r="B80" s="1" t="s">
        <v>2127</v>
      </c>
      <c r="C80" s="63">
        <v>46216.0</v>
      </c>
      <c r="D80" s="63" t="s">
        <v>130</v>
      </c>
      <c r="E80" s="68">
        <v>0.99238718</v>
      </c>
      <c r="F80" s="1"/>
      <c r="G80" s="23">
        <v>1000000.0</v>
      </c>
      <c r="H80" s="23">
        <v>992387.18</v>
      </c>
      <c r="I80" s="23">
        <v>1000000.0</v>
      </c>
      <c r="J80" s="23">
        <v>992387.18</v>
      </c>
      <c r="K80" s="24">
        <v>1.8305446E7</v>
      </c>
      <c r="L80" s="1" t="s">
        <v>1776</v>
      </c>
      <c r="M80" s="1" t="s">
        <v>2128</v>
      </c>
      <c r="N80" s="63" t="s">
        <v>446</v>
      </c>
      <c r="O80" s="63" t="s">
        <v>446</v>
      </c>
      <c r="P80" s="68">
        <v>28.0</v>
      </c>
      <c r="Q80" s="1" t="s">
        <v>2130</v>
      </c>
      <c r="R80" s="1" t="s">
        <v>13</v>
      </c>
      <c r="S80" s="1"/>
      <c r="T80" s="1"/>
      <c r="U80" s="1" t="s">
        <v>490</v>
      </c>
      <c r="V80" s="1" t="s">
        <v>490</v>
      </c>
      <c r="W80" s="145">
        <f t="shared" si="1"/>
        <v>0.00002030028117</v>
      </c>
      <c r="AC80" s="38"/>
    </row>
    <row r="81" ht="15.75" customHeight="1">
      <c r="A81" s="1" t="s">
        <v>1925</v>
      </c>
      <c r="B81" s="1" t="s">
        <v>2127</v>
      </c>
      <c r="C81" s="63">
        <v>46216.0</v>
      </c>
      <c r="D81" s="63" t="s">
        <v>130</v>
      </c>
      <c r="E81" s="68">
        <v>0.99103995</v>
      </c>
      <c r="F81" s="1"/>
      <c r="G81" s="23">
        <v>6.472242221E8</v>
      </c>
      <c r="H81" s="23">
        <v>6.4142506142E8</v>
      </c>
      <c r="I81" s="23">
        <v>6.472242221E8</v>
      </c>
      <c r="J81" s="23">
        <v>6.4142506142E8</v>
      </c>
      <c r="K81" s="24">
        <v>1.3494047E7</v>
      </c>
      <c r="L81" s="1" t="s">
        <v>1776</v>
      </c>
      <c r="M81" s="1" t="s">
        <v>2128</v>
      </c>
      <c r="N81" s="63" t="s">
        <v>1473</v>
      </c>
      <c r="O81" s="63" t="s">
        <v>1473</v>
      </c>
      <c r="P81" s="68">
        <v>33.0</v>
      </c>
      <c r="Q81" s="1" t="s">
        <v>2130</v>
      </c>
      <c r="R81" s="1" t="s">
        <v>13</v>
      </c>
      <c r="S81" s="1"/>
      <c r="T81" s="1"/>
      <c r="U81" s="1" t="s">
        <v>1474</v>
      </c>
      <c r="V81" s="1" t="s">
        <v>1474</v>
      </c>
      <c r="W81" s="145">
        <f t="shared" si="1"/>
        <v>0.01312099689</v>
      </c>
      <c r="AC81" s="38"/>
    </row>
    <row r="82" ht="15.75" customHeight="1">
      <c r="A82" s="1" t="s">
        <v>1916</v>
      </c>
      <c r="B82" s="1" t="s">
        <v>2127</v>
      </c>
      <c r="C82" s="63">
        <v>46217.0</v>
      </c>
      <c r="D82" s="63" t="s">
        <v>130</v>
      </c>
      <c r="E82" s="68">
        <v>0.99163229</v>
      </c>
      <c r="F82" s="1"/>
      <c r="G82" s="23">
        <v>1.5E7</v>
      </c>
      <c r="H82" s="23">
        <v>1.487448435E7</v>
      </c>
      <c r="I82" s="23">
        <v>1.5E7</v>
      </c>
      <c r="J82" s="23">
        <v>1.487448435E7</v>
      </c>
      <c r="K82" s="24">
        <v>2.9131907E7</v>
      </c>
      <c r="L82" s="1" t="s">
        <v>1776</v>
      </c>
      <c r="M82" s="1" t="s">
        <v>2128</v>
      </c>
      <c r="N82" s="63" t="s">
        <v>404</v>
      </c>
      <c r="O82" s="63" t="s">
        <v>404</v>
      </c>
      <c r="P82" s="68">
        <v>28.0</v>
      </c>
      <c r="Q82" s="1" t="s">
        <v>2130</v>
      </c>
      <c r="R82" s="1" t="s">
        <v>13</v>
      </c>
      <c r="S82" s="1"/>
      <c r="T82" s="1"/>
      <c r="U82" s="1" t="s">
        <v>441</v>
      </c>
      <c r="V82" s="1" t="s">
        <v>441</v>
      </c>
      <c r="W82" s="145">
        <f t="shared" si="1"/>
        <v>0.000304272587</v>
      </c>
      <c r="AC82" s="38"/>
    </row>
    <row r="83" ht="15.75" customHeight="1">
      <c r="A83" s="1" t="s">
        <v>1906</v>
      </c>
      <c r="B83" s="1" t="s">
        <v>2127</v>
      </c>
      <c r="C83" s="63">
        <v>46217.0</v>
      </c>
      <c r="D83" s="63" t="s">
        <v>130</v>
      </c>
      <c r="E83" s="68">
        <v>0.99074403</v>
      </c>
      <c r="F83" s="1"/>
      <c r="G83" s="23">
        <v>3200000.0</v>
      </c>
      <c r="H83" s="23">
        <v>3170380.9</v>
      </c>
      <c r="I83" s="23">
        <v>3200000.0</v>
      </c>
      <c r="J83" s="23">
        <v>3170380.9</v>
      </c>
      <c r="K83" s="24">
        <v>148262.0</v>
      </c>
      <c r="L83" s="1" t="s">
        <v>1776</v>
      </c>
      <c r="M83" s="1" t="s">
        <v>2128</v>
      </c>
      <c r="N83" s="63" t="s">
        <v>739</v>
      </c>
      <c r="O83" s="63" t="s">
        <v>739</v>
      </c>
      <c r="P83" s="68">
        <v>31.0</v>
      </c>
      <c r="Q83" s="1" t="s">
        <v>2130</v>
      </c>
      <c r="R83" s="1" t="s">
        <v>13</v>
      </c>
      <c r="S83" s="1"/>
      <c r="T83" s="1"/>
      <c r="U83" s="1" t="s">
        <v>744</v>
      </c>
      <c r="V83" s="1" t="s">
        <v>744</v>
      </c>
      <c r="W83" s="145">
        <f t="shared" si="1"/>
        <v>0.0000648533405</v>
      </c>
      <c r="AC83" s="38"/>
    </row>
    <row r="84" ht="15.75" customHeight="1">
      <c r="A84" s="1" t="s">
        <v>1906</v>
      </c>
      <c r="B84" s="1" t="s">
        <v>2127</v>
      </c>
      <c r="C84" s="63">
        <v>46217.0</v>
      </c>
      <c r="D84" s="63" t="s">
        <v>130</v>
      </c>
      <c r="E84" s="68">
        <v>0.99074403</v>
      </c>
      <c r="F84" s="1"/>
      <c r="G84" s="23">
        <v>2.5E7</v>
      </c>
      <c r="H84" s="23">
        <v>2.476860082E7</v>
      </c>
      <c r="I84" s="23">
        <v>2.5E7</v>
      </c>
      <c r="J84" s="23">
        <v>2.476860082E7</v>
      </c>
      <c r="K84" s="24">
        <v>7.021953E7</v>
      </c>
      <c r="L84" s="1" t="s">
        <v>1776</v>
      </c>
      <c r="M84" s="1" t="s">
        <v>2128</v>
      </c>
      <c r="N84" s="63" t="s">
        <v>739</v>
      </c>
      <c r="O84" s="63" t="s">
        <v>739</v>
      </c>
      <c r="P84" s="68">
        <v>31.0</v>
      </c>
      <c r="Q84" s="1" t="s">
        <v>2130</v>
      </c>
      <c r="R84" s="1" t="s">
        <v>13</v>
      </c>
      <c r="S84" s="1"/>
      <c r="T84" s="1"/>
      <c r="U84" s="1" t="s">
        <v>745</v>
      </c>
      <c r="V84" s="1" t="s">
        <v>745</v>
      </c>
      <c r="W84" s="145">
        <f t="shared" si="1"/>
        <v>0.0005066667235</v>
      </c>
      <c r="AC84" s="38"/>
    </row>
    <row r="85" ht="15.75" customHeight="1">
      <c r="A85" s="1" t="s">
        <v>1906</v>
      </c>
      <c r="B85" s="1" t="s">
        <v>2127</v>
      </c>
      <c r="C85" s="63">
        <v>46217.0</v>
      </c>
      <c r="D85" s="63" t="s">
        <v>130</v>
      </c>
      <c r="E85" s="68">
        <v>0.99074403</v>
      </c>
      <c r="F85" s="1"/>
      <c r="G85" s="23">
        <v>3.0E7</v>
      </c>
      <c r="H85" s="23">
        <v>2.972232079E7</v>
      </c>
      <c r="I85" s="23">
        <v>3.0E7</v>
      </c>
      <c r="J85" s="23">
        <v>2.972232079E7</v>
      </c>
      <c r="K85" s="24">
        <v>7.0219529E7</v>
      </c>
      <c r="L85" s="1" t="s">
        <v>1776</v>
      </c>
      <c r="M85" s="1" t="s">
        <v>2128</v>
      </c>
      <c r="N85" s="63" t="s">
        <v>727</v>
      </c>
      <c r="O85" s="63" t="s">
        <v>727</v>
      </c>
      <c r="P85" s="68">
        <v>31.0</v>
      </c>
      <c r="Q85" s="1" t="s">
        <v>2130</v>
      </c>
      <c r="R85" s="1" t="s">
        <v>13</v>
      </c>
      <c r="S85" s="1"/>
      <c r="T85" s="1"/>
      <c r="U85" s="1" t="s">
        <v>730</v>
      </c>
      <c r="V85" s="1" t="s">
        <v>730</v>
      </c>
      <c r="W85" s="145">
        <f t="shared" si="1"/>
        <v>0.0006080000642</v>
      </c>
      <c r="AC85" s="38"/>
    </row>
    <row r="86" ht="15.75" customHeight="1">
      <c r="A86" s="1" t="s">
        <v>2057</v>
      </c>
      <c r="B86" s="1" t="s">
        <v>2127</v>
      </c>
      <c r="C86" s="63">
        <v>46217.0</v>
      </c>
      <c r="D86" s="63" t="s">
        <v>130</v>
      </c>
      <c r="E86" s="68">
        <v>0.98926713</v>
      </c>
      <c r="F86" s="1"/>
      <c r="G86" s="23">
        <v>4771794.93</v>
      </c>
      <c r="H86" s="23">
        <v>4720579.88</v>
      </c>
      <c r="I86" s="23">
        <v>4771794.93</v>
      </c>
      <c r="J86" s="23">
        <v>4720579.88</v>
      </c>
      <c r="K86" s="24">
        <v>143.0</v>
      </c>
      <c r="L86" s="1" t="s">
        <v>1776</v>
      </c>
      <c r="M86" s="1" t="s">
        <v>2128</v>
      </c>
      <c r="N86" s="63" t="s">
        <v>256</v>
      </c>
      <c r="O86" s="63" t="s">
        <v>256</v>
      </c>
      <c r="P86" s="68">
        <v>36.0</v>
      </c>
      <c r="Q86" s="1" t="s">
        <v>2130</v>
      </c>
      <c r="R86" s="1" t="s">
        <v>13</v>
      </c>
      <c r="S86" s="1"/>
      <c r="T86" s="1"/>
      <c r="U86" s="1" t="s">
        <v>280</v>
      </c>
      <c r="V86" s="1" t="s">
        <v>280</v>
      </c>
      <c r="W86" s="145">
        <f t="shared" si="1"/>
        <v>0.00009656422493</v>
      </c>
      <c r="AC86" s="38"/>
    </row>
    <row r="87" ht="15.75" customHeight="1">
      <c r="A87" s="1" t="s">
        <v>1917</v>
      </c>
      <c r="B87" s="1" t="s">
        <v>2127</v>
      </c>
      <c r="C87" s="63">
        <v>46217.0</v>
      </c>
      <c r="D87" s="63" t="s">
        <v>130</v>
      </c>
      <c r="E87" s="68">
        <v>0.99103994</v>
      </c>
      <c r="F87" s="1"/>
      <c r="G87" s="23">
        <v>1.0E7</v>
      </c>
      <c r="H87" s="23">
        <v>9910399.4</v>
      </c>
      <c r="I87" s="23">
        <v>1.0E7</v>
      </c>
      <c r="J87" s="23">
        <v>9910399.4</v>
      </c>
      <c r="K87" s="24">
        <v>605.0</v>
      </c>
      <c r="L87" s="1" t="s">
        <v>1776</v>
      </c>
      <c r="M87" s="1" t="s">
        <v>2128</v>
      </c>
      <c r="N87" s="63" t="s">
        <v>1209</v>
      </c>
      <c r="O87" s="63" t="s">
        <v>1209</v>
      </c>
      <c r="P87" s="68">
        <v>30.0</v>
      </c>
      <c r="Q87" s="1" t="s">
        <v>2130</v>
      </c>
      <c r="R87" s="1" t="s">
        <v>13</v>
      </c>
      <c r="S87" s="1"/>
      <c r="T87" s="1"/>
      <c r="U87" s="1" t="s">
        <v>1214</v>
      </c>
      <c r="V87" s="1" t="s">
        <v>1214</v>
      </c>
      <c r="W87" s="145">
        <f t="shared" si="1"/>
        <v>0.0002027272202</v>
      </c>
      <c r="AC87" s="38"/>
    </row>
    <row r="88" ht="15.75" customHeight="1">
      <c r="A88" s="1" t="s">
        <v>1911</v>
      </c>
      <c r="B88" s="1" t="s">
        <v>2127</v>
      </c>
      <c r="C88" s="63">
        <v>46217.0</v>
      </c>
      <c r="D88" s="63" t="s">
        <v>130</v>
      </c>
      <c r="E88" s="68">
        <v>0.98926713</v>
      </c>
      <c r="F88" s="1"/>
      <c r="G88" s="23">
        <v>9.0E7</v>
      </c>
      <c r="H88" s="23">
        <v>8.903404198E7</v>
      </c>
      <c r="I88" s="23">
        <v>9.0E7</v>
      </c>
      <c r="J88" s="23">
        <v>8.903404198E7</v>
      </c>
      <c r="K88" s="24">
        <v>6.7385286E7</v>
      </c>
      <c r="L88" s="1" t="s">
        <v>1776</v>
      </c>
      <c r="M88" s="1" t="s">
        <v>2128</v>
      </c>
      <c r="N88" s="63" t="s">
        <v>1118</v>
      </c>
      <c r="O88" s="63" t="s">
        <v>1118</v>
      </c>
      <c r="P88" s="68">
        <v>36.0</v>
      </c>
      <c r="Q88" s="1" t="s">
        <v>2130</v>
      </c>
      <c r="R88" s="1" t="s">
        <v>13</v>
      </c>
      <c r="S88" s="1"/>
      <c r="T88" s="1"/>
      <c r="U88" s="1" t="s">
        <v>1137</v>
      </c>
      <c r="V88" s="1" t="s">
        <v>1137</v>
      </c>
      <c r="W88" s="145">
        <f t="shared" si="1"/>
        <v>0.001821281172</v>
      </c>
      <c r="AC88" s="38"/>
    </row>
    <row r="89" ht="15.75" customHeight="1">
      <c r="A89" s="1" t="s">
        <v>1911</v>
      </c>
      <c r="B89" s="1" t="s">
        <v>2127</v>
      </c>
      <c r="C89" s="63">
        <v>46217.0</v>
      </c>
      <c r="D89" s="63" t="s">
        <v>130</v>
      </c>
      <c r="E89" s="68">
        <v>0.98926713</v>
      </c>
      <c r="F89" s="1"/>
      <c r="G89" s="23">
        <v>2.1E8</v>
      </c>
      <c r="H89" s="23">
        <v>2.0774609795E8</v>
      </c>
      <c r="I89" s="23">
        <v>2.1E8</v>
      </c>
      <c r="J89" s="23">
        <v>2.0774609795E8</v>
      </c>
      <c r="K89" s="24">
        <v>6.7385228E7</v>
      </c>
      <c r="L89" s="1" t="s">
        <v>1776</v>
      </c>
      <c r="M89" s="1" t="s">
        <v>2128</v>
      </c>
      <c r="N89" s="63" t="s">
        <v>1118</v>
      </c>
      <c r="O89" s="63" t="s">
        <v>1118</v>
      </c>
      <c r="P89" s="68">
        <v>36.0</v>
      </c>
      <c r="Q89" s="1" t="s">
        <v>2130</v>
      </c>
      <c r="R89" s="1" t="s">
        <v>13</v>
      </c>
      <c r="S89" s="1"/>
      <c r="T89" s="1"/>
      <c r="U89" s="1" t="s">
        <v>1138</v>
      </c>
      <c r="V89" s="1" t="s">
        <v>1138</v>
      </c>
      <c r="W89" s="145">
        <f t="shared" si="1"/>
        <v>0.004249656068</v>
      </c>
      <c r="AC89" s="38"/>
    </row>
    <row r="90" ht="15.75" customHeight="1">
      <c r="A90" s="1" t="s">
        <v>1903</v>
      </c>
      <c r="B90" s="1" t="s">
        <v>2127</v>
      </c>
      <c r="C90" s="63">
        <v>46217.0</v>
      </c>
      <c r="D90" s="63" t="s">
        <v>130</v>
      </c>
      <c r="E90" s="68">
        <v>0.99133601</v>
      </c>
      <c r="F90" s="1"/>
      <c r="G90" s="23">
        <v>2.0E7</v>
      </c>
      <c r="H90" s="23">
        <v>1.982672029E7</v>
      </c>
      <c r="I90" s="23">
        <v>2.0E7</v>
      </c>
      <c r="J90" s="23">
        <v>1.982672029E7</v>
      </c>
      <c r="K90" s="24">
        <v>817.0</v>
      </c>
      <c r="L90" s="1" t="s">
        <v>1776</v>
      </c>
      <c r="M90" s="1" t="s">
        <v>2128</v>
      </c>
      <c r="N90" s="63" t="s">
        <v>628</v>
      </c>
      <c r="O90" s="63" t="s">
        <v>628</v>
      </c>
      <c r="P90" s="68">
        <v>29.0</v>
      </c>
      <c r="Q90" s="1" t="s">
        <v>2130</v>
      </c>
      <c r="R90" s="1" t="s">
        <v>13</v>
      </c>
      <c r="S90" s="1"/>
      <c r="T90" s="1"/>
      <c r="U90" s="1" t="s">
        <v>663</v>
      </c>
      <c r="V90" s="1" t="s">
        <v>663</v>
      </c>
      <c r="W90" s="145">
        <f t="shared" si="1"/>
        <v>0.0004055755704</v>
      </c>
      <c r="AC90" s="38"/>
    </row>
    <row r="91" ht="15.75" customHeight="1">
      <c r="A91" s="1" t="s">
        <v>1967</v>
      </c>
      <c r="B91" s="1" t="s">
        <v>2127</v>
      </c>
      <c r="C91" s="63">
        <v>46217.0</v>
      </c>
      <c r="D91" s="63" t="s">
        <v>130</v>
      </c>
      <c r="E91" s="68">
        <v>0.98926717</v>
      </c>
      <c r="F91" s="1"/>
      <c r="G91" s="23">
        <v>4000000.0</v>
      </c>
      <c r="H91" s="23">
        <v>3957068.68</v>
      </c>
      <c r="I91" s="23">
        <v>4000000.0</v>
      </c>
      <c r="J91" s="23">
        <v>3957068.68</v>
      </c>
      <c r="K91" s="24">
        <v>4.0743053E7</v>
      </c>
      <c r="L91" s="1" t="s">
        <v>1776</v>
      </c>
      <c r="M91" s="1" t="s">
        <v>2128</v>
      </c>
      <c r="N91" s="63" t="s">
        <v>886</v>
      </c>
      <c r="O91" s="63" t="s">
        <v>886</v>
      </c>
      <c r="P91" s="68">
        <v>36.0</v>
      </c>
      <c r="Q91" s="1" t="s">
        <v>2130</v>
      </c>
      <c r="R91" s="1" t="s">
        <v>13</v>
      </c>
      <c r="S91" s="1"/>
      <c r="T91" s="1"/>
      <c r="U91" s="1" t="s">
        <v>889</v>
      </c>
      <c r="V91" s="1" t="s">
        <v>889</v>
      </c>
      <c r="W91" s="145">
        <f t="shared" si="1"/>
        <v>0.00008094583288</v>
      </c>
      <c r="AC91" s="38"/>
    </row>
    <row r="92" ht="15.75" customHeight="1">
      <c r="A92" s="1" t="s">
        <v>1927</v>
      </c>
      <c r="B92" s="1" t="s">
        <v>2127</v>
      </c>
      <c r="C92" s="63">
        <v>46217.0</v>
      </c>
      <c r="D92" s="63" t="s">
        <v>130</v>
      </c>
      <c r="E92" s="68">
        <v>0.99044829</v>
      </c>
      <c r="F92" s="1"/>
      <c r="G92" s="23">
        <v>3.0E8</v>
      </c>
      <c r="H92" s="23">
        <v>2.9713448664E8</v>
      </c>
      <c r="I92" s="23">
        <v>3.0E8</v>
      </c>
      <c r="J92" s="23">
        <v>2.9713448664E8</v>
      </c>
      <c r="K92" s="24">
        <v>231707.0</v>
      </c>
      <c r="L92" s="1" t="s">
        <v>1776</v>
      </c>
      <c r="M92" s="1" t="s">
        <v>2128</v>
      </c>
      <c r="N92" s="63" t="s">
        <v>940</v>
      </c>
      <c r="O92" s="63" t="s">
        <v>940</v>
      </c>
      <c r="P92" s="68">
        <v>32.0</v>
      </c>
      <c r="Q92" s="1" t="s">
        <v>2130</v>
      </c>
      <c r="R92" s="1" t="s">
        <v>13</v>
      </c>
      <c r="S92" s="1"/>
      <c r="T92" s="1"/>
      <c r="U92" s="1" t="s">
        <v>941</v>
      </c>
      <c r="V92" s="1" t="s">
        <v>941</v>
      </c>
      <c r="W92" s="145">
        <f t="shared" si="1"/>
        <v>0.006078185759</v>
      </c>
      <c r="AC92" s="38"/>
    </row>
    <row r="93" ht="15.75" customHeight="1">
      <c r="A93" s="1" t="s">
        <v>1993</v>
      </c>
      <c r="B93" s="1" t="s">
        <v>2127</v>
      </c>
      <c r="C93" s="63">
        <v>46217.0</v>
      </c>
      <c r="D93" s="63" t="s">
        <v>130</v>
      </c>
      <c r="E93" s="68">
        <v>0.99163236</v>
      </c>
      <c r="F93" s="1"/>
      <c r="G93" s="23">
        <v>1.540272702E7</v>
      </c>
      <c r="H93" s="23">
        <v>1.527384249E7</v>
      </c>
      <c r="I93" s="23">
        <v>1.540272702E7</v>
      </c>
      <c r="J93" s="23">
        <v>1.527384249E7</v>
      </c>
      <c r="K93" s="24">
        <v>3506.0</v>
      </c>
      <c r="L93" s="1" t="s">
        <v>1776</v>
      </c>
      <c r="M93" s="1" t="s">
        <v>2128</v>
      </c>
      <c r="N93" s="63" t="s">
        <v>1370</v>
      </c>
      <c r="O93" s="63" t="s">
        <v>1370</v>
      </c>
      <c r="P93" s="68">
        <v>28.0</v>
      </c>
      <c r="Q93" s="1" t="s">
        <v>2130</v>
      </c>
      <c r="R93" s="1" t="s">
        <v>13</v>
      </c>
      <c r="S93" s="1"/>
      <c r="T93" s="1"/>
      <c r="U93" s="1" t="s">
        <v>1369</v>
      </c>
      <c r="V93" s="1" t="s">
        <v>1369</v>
      </c>
      <c r="W93" s="145">
        <f t="shared" si="1"/>
        <v>0.0003124418608</v>
      </c>
      <c r="AC93" s="38"/>
    </row>
    <row r="94" ht="15.75" customHeight="1">
      <c r="A94" s="1" t="s">
        <v>1948</v>
      </c>
      <c r="B94" s="1" t="s">
        <v>2127</v>
      </c>
      <c r="C94" s="63">
        <v>46217.0</v>
      </c>
      <c r="D94" s="63" t="s">
        <v>130</v>
      </c>
      <c r="E94" s="68">
        <v>0.991336</v>
      </c>
      <c r="F94" s="1"/>
      <c r="G94" s="23">
        <v>1.25E7</v>
      </c>
      <c r="H94" s="23">
        <v>1.239170003E7</v>
      </c>
      <c r="I94" s="23">
        <v>1.25E7</v>
      </c>
      <c r="J94" s="23">
        <v>1.239170003E7</v>
      </c>
      <c r="K94" s="24">
        <v>2.8996519E7</v>
      </c>
      <c r="L94" s="1" t="s">
        <v>1776</v>
      </c>
      <c r="M94" s="1" t="s">
        <v>2128</v>
      </c>
      <c r="N94" s="63" t="s">
        <v>207</v>
      </c>
      <c r="O94" s="63" t="s">
        <v>207</v>
      </c>
      <c r="P94" s="68">
        <v>29.0</v>
      </c>
      <c r="Q94" s="1" t="s">
        <v>2130</v>
      </c>
      <c r="R94" s="1" t="s">
        <v>13</v>
      </c>
      <c r="S94" s="1"/>
      <c r="T94" s="1"/>
      <c r="U94" s="1" t="s">
        <v>210</v>
      </c>
      <c r="V94" s="1" t="s">
        <v>210</v>
      </c>
      <c r="W94" s="145">
        <f t="shared" si="1"/>
        <v>0.0002534847284</v>
      </c>
      <c r="AC94" s="38"/>
    </row>
    <row r="95" ht="15.75" customHeight="1">
      <c r="A95" s="1" t="s">
        <v>1953</v>
      </c>
      <c r="B95" s="1" t="s">
        <v>2127</v>
      </c>
      <c r="C95" s="63">
        <v>46218.0</v>
      </c>
      <c r="D95" s="63" t="s">
        <v>130</v>
      </c>
      <c r="E95" s="68">
        <v>0.99346762</v>
      </c>
      <c r="F95" s="1"/>
      <c r="G95" s="23">
        <v>2500000.0</v>
      </c>
      <c r="H95" s="23">
        <v>2483669.04</v>
      </c>
      <c r="I95" s="23">
        <v>2500000.0</v>
      </c>
      <c r="J95" s="23">
        <v>2483669.04</v>
      </c>
      <c r="K95" s="24">
        <v>6123.0</v>
      </c>
      <c r="L95" s="1" t="s">
        <v>1776</v>
      </c>
      <c r="M95" s="1" t="s">
        <v>2128</v>
      </c>
      <c r="N95" s="63" t="s">
        <v>946</v>
      </c>
      <c r="O95" s="63" t="s">
        <v>946</v>
      </c>
      <c r="P95" s="68">
        <v>20.0</v>
      </c>
      <c r="Q95" s="1" t="s">
        <v>2130</v>
      </c>
      <c r="R95" s="1" t="s">
        <v>13</v>
      </c>
      <c r="S95" s="1"/>
      <c r="T95" s="1"/>
      <c r="U95" s="1" t="s">
        <v>965</v>
      </c>
      <c r="V95" s="1" t="s">
        <v>965</v>
      </c>
      <c r="W95" s="145">
        <f t="shared" si="1"/>
        <v>0.00005080595645</v>
      </c>
      <c r="AC95" s="38"/>
    </row>
    <row r="96" ht="15.75" customHeight="1">
      <c r="A96" s="1" t="s">
        <v>1953</v>
      </c>
      <c r="B96" s="1" t="s">
        <v>2127</v>
      </c>
      <c r="C96" s="63">
        <v>46218.0</v>
      </c>
      <c r="D96" s="63" t="s">
        <v>130</v>
      </c>
      <c r="E96" s="68">
        <v>0.99346762</v>
      </c>
      <c r="F96" s="1"/>
      <c r="G96" s="23">
        <v>2500000.0</v>
      </c>
      <c r="H96" s="23">
        <v>2483669.04</v>
      </c>
      <c r="I96" s="23">
        <v>2500000.0</v>
      </c>
      <c r="J96" s="23">
        <v>2483669.04</v>
      </c>
      <c r="K96" s="24">
        <v>6122.0</v>
      </c>
      <c r="L96" s="1" t="s">
        <v>1776</v>
      </c>
      <c r="M96" s="1" t="s">
        <v>2128</v>
      </c>
      <c r="N96" s="63" t="s">
        <v>946</v>
      </c>
      <c r="O96" s="63" t="s">
        <v>946</v>
      </c>
      <c r="P96" s="68">
        <v>20.0</v>
      </c>
      <c r="Q96" s="1" t="s">
        <v>2130</v>
      </c>
      <c r="R96" s="1" t="s">
        <v>13</v>
      </c>
      <c r="S96" s="1"/>
      <c r="T96" s="1"/>
      <c r="U96" s="1" t="s">
        <v>975</v>
      </c>
      <c r="V96" s="1" t="s">
        <v>975</v>
      </c>
      <c r="W96" s="145">
        <f t="shared" si="1"/>
        <v>0.00005080595645</v>
      </c>
      <c r="AC96" s="38"/>
    </row>
    <row r="97" ht="15.75" customHeight="1">
      <c r="A97" s="1" t="s">
        <v>1960</v>
      </c>
      <c r="B97" s="1" t="s">
        <v>2127</v>
      </c>
      <c r="C97" s="63">
        <v>46218.0</v>
      </c>
      <c r="D97" s="63" t="s">
        <v>130</v>
      </c>
      <c r="E97" s="68">
        <v>0.9908785</v>
      </c>
      <c r="F97" s="1"/>
      <c r="G97" s="23">
        <v>6500000.0</v>
      </c>
      <c r="H97" s="23">
        <v>6440710.26</v>
      </c>
      <c r="I97" s="23">
        <v>6500000.0</v>
      </c>
      <c r="J97" s="23">
        <v>6440710.26</v>
      </c>
      <c r="K97" s="24">
        <v>2.917549E7</v>
      </c>
      <c r="L97" s="1" t="s">
        <v>1776</v>
      </c>
      <c r="M97" s="1" t="s">
        <v>2128</v>
      </c>
      <c r="N97" s="63" t="s">
        <v>676</v>
      </c>
      <c r="O97" s="63" t="s">
        <v>676</v>
      </c>
      <c r="P97" s="68">
        <v>28.0</v>
      </c>
      <c r="Q97" s="1" t="s">
        <v>2130</v>
      </c>
      <c r="R97" s="1" t="s">
        <v>13</v>
      </c>
      <c r="S97" s="1"/>
      <c r="T97" s="1"/>
      <c r="U97" s="1" t="s">
        <v>682</v>
      </c>
      <c r="V97" s="1" t="s">
        <v>682</v>
      </c>
      <c r="W97" s="145">
        <f t="shared" si="1"/>
        <v>0.0001317512276</v>
      </c>
      <c r="AC97" s="38"/>
    </row>
    <row r="98" ht="15.75" customHeight="1">
      <c r="A98" s="1" t="s">
        <v>1958</v>
      </c>
      <c r="B98" s="1" t="s">
        <v>2127</v>
      </c>
      <c r="C98" s="63">
        <v>46218.0</v>
      </c>
      <c r="D98" s="63" t="s">
        <v>130</v>
      </c>
      <c r="E98" s="68">
        <v>0.98798186</v>
      </c>
      <c r="F98" s="1"/>
      <c r="G98" s="23">
        <v>5.0E7</v>
      </c>
      <c r="H98" s="23">
        <v>4.939909307E7</v>
      </c>
      <c r="I98" s="23">
        <v>5.0E7</v>
      </c>
      <c r="J98" s="23">
        <v>4.939909307E7</v>
      </c>
      <c r="K98" s="24">
        <v>2.9239217E7</v>
      </c>
      <c r="L98" s="1" t="s">
        <v>1776</v>
      </c>
      <c r="M98" s="1" t="s">
        <v>2128</v>
      </c>
      <c r="N98" s="63" t="s">
        <v>765</v>
      </c>
      <c r="O98" s="63" t="s">
        <v>765</v>
      </c>
      <c r="P98" s="68">
        <v>37.0</v>
      </c>
      <c r="Q98" s="1" t="s">
        <v>2130</v>
      </c>
      <c r="R98" s="1" t="s">
        <v>13</v>
      </c>
      <c r="S98" s="1"/>
      <c r="T98" s="1"/>
      <c r="U98" s="1" t="s">
        <v>792</v>
      </c>
      <c r="V98" s="1" t="s">
        <v>792</v>
      </c>
      <c r="W98" s="145">
        <f t="shared" si="1"/>
        <v>0.001010508297</v>
      </c>
      <c r="AC98" s="38"/>
    </row>
    <row r="99" ht="15.75" customHeight="1">
      <c r="A99" s="1" t="s">
        <v>1975</v>
      </c>
      <c r="B99" s="1" t="s">
        <v>2127</v>
      </c>
      <c r="C99" s="63">
        <v>46218.0</v>
      </c>
      <c r="D99" s="63" t="s">
        <v>130</v>
      </c>
      <c r="E99" s="68">
        <v>0.98766106</v>
      </c>
      <c r="F99" s="1"/>
      <c r="G99" s="23">
        <v>4599318.34</v>
      </c>
      <c r="H99" s="23">
        <v>4542567.61</v>
      </c>
      <c r="I99" s="23">
        <v>4599318.34</v>
      </c>
      <c r="J99" s="23">
        <v>4542567.61</v>
      </c>
      <c r="K99" s="24">
        <v>573.0</v>
      </c>
      <c r="L99" s="1" t="s">
        <v>1776</v>
      </c>
      <c r="M99" s="1" t="s">
        <v>2128</v>
      </c>
      <c r="N99" s="63" t="s">
        <v>446</v>
      </c>
      <c r="O99" s="63" t="s">
        <v>446</v>
      </c>
      <c r="P99" s="68">
        <v>38.0</v>
      </c>
      <c r="Q99" s="1" t="s">
        <v>2130</v>
      </c>
      <c r="R99" s="1" t="s">
        <v>13</v>
      </c>
      <c r="S99" s="1"/>
      <c r="T99" s="1"/>
      <c r="U99" s="1" t="s">
        <v>515</v>
      </c>
      <c r="V99" s="1" t="s">
        <v>515</v>
      </c>
      <c r="W99" s="145">
        <f t="shared" si="1"/>
        <v>0.00009292280431</v>
      </c>
      <c r="AC99" s="38"/>
    </row>
    <row r="100" ht="15.75" customHeight="1">
      <c r="A100" s="1" t="s">
        <v>1976</v>
      </c>
      <c r="B100" s="1" t="s">
        <v>2127</v>
      </c>
      <c r="C100" s="63">
        <v>46218.0</v>
      </c>
      <c r="D100" s="63" t="s">
        <v>130</v>
      </c>
      <c r="E100" s="68">
        <v>0.98830284</v>
      </c>
      <c r="F100" s="1"/>
      <c r="G100" s="23">
        <v>2040817.0</v>
      </c>
      <c r="H100" s="23">
        <v>2016945.23</v>
      </c>
      <c r="I100" s="23">
        <v>2040817.0</v>
      </c>
      <c r="J100" s="23">
        <v>2016945.23</v>
      </c>
      <c r="K100" s="24">
        <v>6.6894092E7</v>
      </c>
      <c r="L100" s="1" t="s">
        <v>1776</v>
      </c>
      <c r="M100" s="1" t="s">
        <v>2128</v>
      </c>
      <c r="N100" s="63" t="s">
        <v>815</v>
      </c>
      <c r="O100" s="63" t="s">
        <v>815</v>
      </c>
      <c r="P100" s="68">
        <v>36.0</v>
      </c>
      <c r="Q100" s="1" t="s">
        <v>2130</v>
      </c>
      <c r="R100" s="1" t="s">
        <v>13</v>
      </c>
      <c r="S100" s="1"/>
      <c r="T100" s="1"/>
      <c r="U100" s="1" t="s">
        <v>814</v>
      </c>
      <c r="V100" s="1" t="s">
        <v>814</v>
      </c>
      <c r="W100" s="145">
        <f t="shared" si="1"/>
        <v>0.00004125864996</v>
      </c>
      <c r="AC100" s="38"/>
    </row>
    <row r="101" ht="15.75" customHeight="1">
      <c r="A101" s="1" t="s">
        <v>1976</v>
      </c>
      <c r="B101" s="1" t="s">
        <v>2127</v>
      </c>
      <c r="C101" s="63">
        <v>46218.0</v>
      </c>
      <c r="D101" s="63" t="s">
        <v>130</v>
      </c>
      <c r="E101" s="68">
        <v>0.98830284</v>
      </c>
      <c r="F101" s="1"/>
      <c r="G101" s="23">
        <v>2040817.0</v>
      </c>
      <c r="H101" s="23">
        <v>2016945.23</v>
      </c>
      <c r="I101" s="23">
        <v>2040817.0</v>
      </c>
      <c r="J101" s="23">
        <v>2016945.23</v>
      </c>
      <c r="K101" s="24">
        <v>6.6894107E7</v>
      </c>
      <c r="L101" s="1" t="s">
        <v>1776</v>
      </c>
      <c r="M101" s="1" t="s">
        <v>2128</v>
      </c>
      <c r="N101" s="63" t="s">
        <v>815</v>
      </c>
      <c r="O101" s="63" t="s">
        <v>815</v>
      </c>
      <c r="P101" s="68">
        <v>36.0</v>
      </c>
      <c r="Q101" s="1" t="s">
        <v>2130</v>
      </c>
      <c r="R101" s="1" t="s">
        <v>13</v>
      </c>
      <c r="S101" s="1"/>
      <c r="T101" s="1"/>
      <c r="U101" s="1" t="s">
        <v>816</v>
      </c>
      <c r="V101" s="1" t="s">
        <v>816</v>
      </c>
      <c r="W101" s="145">
        <f t="shared" si="1"/>
        <v>0.00004125864996</v>
      </c>
      <c r="AC101" s="38"/>
    </row>
    <row r="102" ht="15.75" customHeight="1">
      <c r="A102" s="1" t="s">
        <v>1976</v>
      </c>
      <c r="B102" s="1" t="s">
        <v>2127</v>
      </c>
      <c r="C102" s="63">
        <v>46218.0</v>
      </c>
      <c r="D102" s="63" t="s">
        <v>130</v>
      </c>
      <c r="E102" s="68">
        <v>0.98830284</v>
      </c>
      <c r="F102" s="1"/>
      <c r="G102" s="23">
        <v>2040817.0</v>
      </c>
      <c r="H102" s="23">
        <v>2016945.23</v>
      </c>
      <c r="I102" s="23">
        <v>2040817.0</v>
      </c>
      <c r="J102" s="23">
        <v>2016945.23</v>
      </c>
      <c r="K102" s="24">
        <v>6.6894124E7</v>
      </c>
      <c r="L102" s="1" t="s">
        <v>1776</v>
      </c>
      <c r="M102" s="1" t="s">
        <v>2128</v>
      </c>
      <c r="N102" s="63" t="s">
        <v>815</v>
      </c>
      <c r="O102" s="63" t="s">
        <v>815</v>
      </c>
      <c r="P102" s="68">
        <v>36.0</v>
      </c>
      <c r="Q102" s="1" t="s">
        <v>2130</v>
      </c>
      <c r="R102" s="1" t="s">
        <v>13</v>
      </c>
      <c r="S102" s="1"/>
      <c r="T102" s="1"/>
      <c r="U102" s="1" t="s">
        <v>817</v>
      </c>
      <c r="V102" s="1" t="s">
        <v>817</v>
      </c>
      <c r="W102" s="145">
        <f t="shared" si="1"/>
        <v>0.00004125864996</v>
      </c>
      <c r="AC102" s="38"/>
    </row>
    <row r="103" ht="15.75" customHeight="1">
      <c r="A103" s="1" t="s">
        <v>2094</v>
      </c>
      <c r="B103" s="1" t="s">
        <v>2127</v>
      </c>
      <c r="C103" s="63">
        <v>46218.0</v>
      </c>
      <c r="D103" s="63" t="s">
        <v>130</v>
      </c>
      <c r="E103" s="68">
        <v>0.98926715</v>
      </c>
      <c r="F103" s="1"/>
      <c r="G103" s="23">
        <v>1077577.5</v>
      </c>
      <c r="H103" s="23">
        <v>1066012.02</v>
      </c>
      <c r="I103" s="23">
        <v>1077577.5</v>
      </c>
      <c r="J103" s="23">
        <v>1066012.02</v>
      </c>
      <c r="K103" s="24">
        <v>9.0016926E7</v>
      </c>
      <c r="L103" s="1" t="s">
        <v>1776</v>
      </c>
      <c r="M103" s="1" t="s">
        <v>2128</v>
      </c>
      <c r="N103" s="63" t="s">
        <v>946</v>
      </c>
      <c r="O103" s="63" t="s">
        <v>946</v>
      </c>
      <c r="P103" s="68">
        <v>33.0</v>
      </c>
      <c r="Q103" s="1" t="s">
        <v>2130</v>
      </c>
      <c r="R103" s="1" t="s">
        <v>13</v>
      </c>
      <c r="S103" s="1"/>
      <c r="T103" s="1"/>
      <c r="U103" s="1" t="s">
        <v>1014</v>
      </c>
      <c r="V103" s="1" t="s">
        <v>1014</v>
      </c>
      <c r="W103" s="145">
        <f t="shared" si="1"/>
        <v>0.00002180635157</v>
      </c>
      <c r="AC103" s="38"/>
    </row>
    <row r="104" ht="15.75" customHeight="1">
      <c r="A104" s="1" t="s">
        <v>1917</v>
      </c>
      <c r="B104" s="1" t="s">
        <v>2127</v>
      </c>
      <c r="C104" s="63">
        <v>46218.0</v>
      </c>
      <c r="D104" s="63" t="s">
        <v>130</v>
      </c>
      <c r="E104" s="68">
        <v>0.99023336</v>
      </c>
      <c r="F104" s="1"/>
      <c r="G104" s="23">
        <v>1.0E7</v>
      </c>
      <c r="H104" s="23">
        <v>9902333.58</v>
      </c>
      <c r="I104" s="23">
        <v>1.0E7</v>
      </c>
      <c r="J104" s="23">
        <v>9902333.58</v>
      </c>
      <c r="K104" s="24">
        <v>521.0</v>
      </c>
      <c r="L104" s="1" t="s">
        <v>1776</v>
      </c>
      <c r="M104" s="1" t="s">
        <v>2128</v>
      </c>
      <c r="N104" s="63" t="s">
        <v>849</v>
      </c>
      <c r="O104" s="63" t="s">
        <v>849</v>
      </c>
      <c r="P104" s="68">
        <v>30.0</v>
      </c>
      <c r="Q104" s="1" t="s">
        <v>2130</v>
      </c>
      <c r="R104" s="1" t="s">
        <v>13</v>
      </c>
      <c r="S104" s="1"/>
      <c r="T104" s="1"/>
      <c r="U104" s="1" t="s">
        <v>852</v>
      </c>
      <c r="V104" s="1" t="s">
        <v>852</v>
      </c>
      <c r="W104" s="145">
        <f t="shared" si="1"/>
        <v>0.0002025622257</v>
      </c>
      <c r="AC104" s="38"/>
    </row>
    <row r="105" ht="15.75" customHeight="1">
      <c r="A105" s="1" t="s">
        <v>1917</v>
      </c>
      <c r="B105" s="1" t="s">
        <v>2127</v>
      </c>
      <c r="C105" s="63">
        <v>46218.0</v>
      </c>
      <c r="D105" s="63" t="s">
        <v>130</v>
      </c>
      <c r="E105" s="68">
        <v>0.99023334</v>
      </c>
      <c r="F105" s="1"/>
      <c r="G105" s="23">
        <v>1.0E7</v>
      </c>
      <c r="H105" s="23">
        <v>9902333.41</v>
      </c>
      <c r="I105" s="23">
        <v>1.0E7</v>
      </c>
      <c r="J105" s="23">
        <v>9902333.41</v>
      </c>
      <c r="K105" s="24">
        <v>470.0</v>
      </c>
      <c r="L105" s="1" t="s">
        <v>1776</v>
      </c>
      <c r="M105" s="1" t="s">
        <v>2128</v>
      </c>
      <c r="N105" s="63" t="s">
        <v>748</v>
      </c>
      <c r="O105" s="63" t="s">
        <v>748</v>
      </c>
      <c r="P105" s="68">
        <v>30.0</v>
      </c>
      <c r="Q105" s="1" t="s">
        <v>2130</v>
      </c>
      <c r="R105" s="1" t="s">
        <v>13</v>
      </c>
      <c r="S105" s="1"/>
      <c r="T105" s="1"/>
      <c r="U105" s="1" t="s">
        <v>755</v>
      </c>
      <c r="V105" s="1" t="s">
        <v>755</v>
      </c>
      <c r="W105" s="145">
        <f t="shared" si="1"/>
        <v>0.0002025622222</v>
      </c>
      <c r="AC105" s="38"/>
    </row>
    <row r="106" ht="15.75" customHeight="1">
      <c r="A106" s="1" t="s">
        <v>1917</v>
      </c>
      <c r="B106" s="1" t="s">
        <v>2127</v>
      </c>
      <c r="C106" s="63">
        <v>46218.0</v>
      </c>
      <c r="D106" s="63" t="s">
        <v>130</v>
      </c>
      <c r="E106" s="68">
        <v>0.99023333</v>
      </c>
      <c r="F106" s="1"/>
      <c r="G106" s="23">
        <v>1.025E7</v>
      </c>
      <c r="H106" s="23">
        <v>1.014989162E7</v>
      </c>
      <c r="I106" s="23">
        <v>1.025E7</v>
      </c>
      <c r="J106" s="23">
        <v>1.014989162E7</v>
      </c>
      <c r="K106" s="24">
        <v>453.0</v>
      </c>
      <c r="L106" s="1" t="s">
        <v>1776</v>
      </c>
      <c r="M106" s="1" t="s">
        <v>2128</v>
      </c>
      <c r="N106" s="63" t="s">
        <v>676</v>
      </c>
      <c r="O106" s="63" t="s">
        <v>676</v>
      </c>
      <c r="P106" s="68">
        <v>30.0</v>
      </c>
      <c r="Q106" s="1" t="s">
        <v>2130</v>
      </c>
      <c r="R106" s="1" t="s">
        <v>13</v>
      </c>
      <c r="S106" s="1"/>
      <c r="T106" s="1"/>
      <c r="U106" s="1" t="s">
        <v>698</v>
      </c>
      <c r="V106" s="1" t="s">
        <v>698</v>
      </c>
      <c r="W106" s="145">
        <f t="shared" si="1"/>
        <v>0.0002076262752</v>
      </c>
      <c r="AC106" s="38"/>
    </row>
    <row r="107" ht="15.75" customHeight="1">
      <c r="A107" s="1" t="s">
        <v>2054</v>
      </c>
      <c r="B107" s="1" t="s">
        <v>2127</v>
      </c>
      <c r="C107" s="63">
        <v>46218.0</v>
      </c>
      <c r="D107" s="63" t="s">
        <v>130</v>
      </c>
      <c r="E107" s="68">
        <v>0.99281908</v>
      </c>
      <c r="F107" s="1"/>
      <c r="G107" s="23">
        <v>1977599.0</v>
      </c>
      <c r="H107" s="23">
        <v>1963398.02</v>
      </c>
      <c r="I107" s="23">
        <v>1977599.0</v>
      </c>
      <c r="J107" s="23">
        <v>1963398.02</v>
      </c>
      <c r="K107" s="24">
        <v>9867.0</v>
      </c>
      <c r="L107" s="1" t="s">
        <v>1776</v>
      </c>
      <c r="M107" s="1" t="s">
        <v>2128</v>
      </c>
      <c r="N107" s="63" t="s">
        <v>251</v>
      </c>
      <c r="O107" s="63" t="s">
        <v>251</v>
      </c>
      <c r="P107" s="68">
        <v>22.0</v>
      </c>
      <c r="Q107" s="1" t="s">
        <v>2130</v>
      </c>
      <c r="R107" s="1" t="s">
        <v>13</v>
      </c>
      <c r="S107" s="1"/>
      <c r="T107" s="1"/>
      <c r="U107" s="1" t="s">
        <v>252</v>
      </c>
      <c r="V107" s="1" t="s">
        <v>252</v>
      </c>
      <c r="W107" s="145">
        <f t="shared" si="1"/>
        <v>0.00004016328774</v>
      </c>
      <c r="AC107" s="38"/>
    </row>
    <row r="108" ht="15.75" customHeight="1">
      <c r="A108" s="1" t="s">
        <v>1982</v>
      </c>
      <c r="B108" s="1" t="s">
        <v>2127</v>
      </c>
      <c r="C108" s="63">
        <v>46218.0</v>
      </c>
      <c r="D108" s="63" t="s">
        <v>130</v>
      </c>
      <c r="E108" s="68">
        <v>0.99023334</v>
      </c>
      <c r="F108" s="1"/>
      <c r="G108" s="23">
        <v>5000000.0</v>
      </c>
      <c r="H108" s="23">
        <v>4951166.71</v>
      </c>
      <c r="I108" s="23">
        <v>5000000.0</v>
      </c>
      <c r="J108" s="23">
        <v>4951166.71</v>
      </c>
      <c r="K108" s="24">
        <v>3501231.0</v>
      </c>
      <c r="L108" s="1" t="s">
        <v>1776</v>
      </c>
      <c r="M108" s="1" t="s">
        <v>2128</v>
      </c>
      <c r="N108" s="63" t="s">
        <v>307</v>
      </c>
      <c r="O108" s="63" t="s">
        <v>307</v>
      </c>
      <c r="P108" s="68">
        <v>30.0</v>
      </c>
      <c r="Q108" s="1" t="s">
        <v>2130</v>
      </c>
      <c r="R108" s="1" t="s">
        <v>13</v>
      </c>
      <c r="S108" s="1"/>
      <c r="T108" s="1"/>
      <c r="U108" s="1" t="s">
        <v>347</v>
      </c>
      <c r="V108" s="1" t="s">
        <v>347</v>
      </c>
      <c r="W108" s="145">
        <f t="shared" si="1"/>
        <v>0.0001012811112</v>
      </c>
      <c r="AC108" s="38"/>
    </row>
    <row r="109" ht="15.75" customHeight="1">
      <c r="A109" s="1" t="s">
        <v>1982</v>
      </c>
      <c r="B109" s="1" t="s">
        <v>2127</v>
      </c>
      <c r="C109" s="63">
        <v>46218.0</v>
      </c>
      <c r="D109" s="63" t="s">
        <v>130</v>
      </c>
      <c r="E109" s="68">
        <v>0.98926716</v>
      </c>
      <c r="F109" s="1"/>
      <c r="G109" s="23">
        <v>5600000.0</v>
      </c>
      <c r="H109" s="23">
        <v>5539896.07</v>
      </c>
      <c r="I109" s="23">
        <v>5600000.0</v>
      </c>
      <c r="J109" s="23">
        <v>5539896.07</v>
      </c>
      <c r="K109" s="24">
        <v>3501248.0</v>
      </c>
      <c r="L109" s="1" t="s">
        <v>1776</v>
      </c>
      <c r="M109" s="1" t="s">
        <v>2128</v>
      </c>
      <c r="N109" s="63" t="s">
        <v>543</v>
      </c>
      <c r="O109" s="63" t="s">
        <v>543</v>
      </c>
      <c r="P109" s="68">
        <v>33.0</v>
      </c>
      <c r="Q109" s="1" t="s">
        <v>2130</v>
      </c>
      <c r="R109" s="1" t="s">
        <v>13</v>
      </c>
      <c r="S109" s="1"/>
      <c r="T109" s="1"/>
      <c r="U109" s="1" t="s">
        <v>551</v>
      </c>
      <c r="V109" s="1" t="s">
        <v>551</v>
      </c>
      <c r="W109" s="145">
        <f t="shared" si="1"/>
        <v>0.0001133241644</v>
      </c>
      <c r="AC109" s="38"/>
    </row>
    <row r="110" ht="15.75" customHeight="1">
      <c r="A110" s="1" t="s">
        <v>1972</v>
      </c>
      <c r="B110" s="1" t="s">
        <v>2127</v>
      </c>
      <c r="C110" s="63">
        <v>46218.0</v>
      </c>
      <c r="D110" s="63" t="s">
        <v>130</v>
      </c>
      <c r="E110" s="68">
        <v>0.98926716</v>
      </c>
      <c r="F110" s="1"/>
      <c r="G110" s="23">
        <v>1.0E7</v>
      </c>
      <c r="H110" s="23">
        <v>9892671.56</v>
      </c>
      <c r="I110" s="23">
        <v>1.0E7</v>
      </c>
      <c r="J110" s="23">
        <v>9892671.56</v>
      </c>
      <c r="K110" s="24">
        <v>1.3633524E7</v>
      </c>
      <c r="L110" s="1" t="s">
        <v>1776</v>
      </c>
      <c r="M110" s="1" t="s">
        <v>2128</v>
      </c>
      <c r="N110" s="63" t="s">
        <v>827</v>
      </c>
      <c r="O110" s="63" t="s">
        <v>827</v>
      </c>
      <c r="P110" s="68">
        <v>33.0</v>
      </c>
      <c r="Q110" s="1" t="s">
        <v>2130</v>
      </c>
      <c r="R110" s="1" t="s">
        <v>13</v>
      </c>
      <c r="S110" s="1"/>
      <c r="T110" s="1"/>
      <c r="U110" s="1" t="s">
        <v>834</v>
      </c>
      <c r="V110" s="1" t="s">
        <v>834</v>
      </c>
      <c r="W110" s="145">
        <f t="shared" si="1"/>
        <v>0.0002023645793</v>
      </c>
      <c r="AC110" s="38"/>
    </row>
    <row r="111" ht="15.75" customHeight="1">
      <c r="A111" s="1" t="s">
        <v>2062</v>
      </c>
      <c r="B111" s="1" t="s">
        <v>2127</v>
      </c>
      <c r="C111" s="63">
        <v>46218.0</v>
      </c>
      <c r="D111" s="63" t="s">
        <v>130</v>
      </c>
      <c r="E111" s="68">
        <v>0.98926717</v>
      </c>
      <c r="F111" s="1"/>
      <c r="G111" s="23">
        <v>3696352.34</v>
      </c>
      <c r="H111" s="23">
        <v>3656680.03</v>
      </c>
      <c r="I111" s="23">
        <v>3696352.34</v>
      </c>
      <c r="J111" s="23">
        <v>3656680.03</v>
      </c>
      <c r="K111" s="24">
        <v>9.0029423E7</v>
      </c>
      <c r="L111" s="1" t="s">
        <v>1776</v>
      </c>
      <c r="M111" s="1" t="s">
        <v>2128</v>
      </c>
      <c r="N111" s="63" t="s">
        <v>902</v>
      </c>
      <c r="O111" s="63" t="s">
        <v>902</v>
      </c>
      <c r="P111" s="68">
        <v>33.0</v>
      </c>
      <c r="Q111" s="1" t="s">
        <v>2130</v>
      </c>
      <c r="R111" s="1" t="s">
        <v>13</v>
      </c>
      <c r="S111" s="1"/>
      <c r="T111" s="1"/>
      <c r="U111" s="1" t="s">
        <v>924</v>
      </c>
      <c r="V111" s="1" t="s">
        <v>924</v>
      </c>
      <c r="W111" s="145">
        <f t="shared" si="1"/>
        <v>0.00007480107993</v>
      </c>
      <c r="AC111" s="38"/>
    </row>
    <row r="112" ht="15.75" customHeight="1">
      <c r="A112" s="1" t="s">
        <v>2004</v>
      </c>
      <c r="B112" s="1" t="s">
        <v>2127</v>
      </c>
      <c r="C112" s="63">
        <v>46218.0</v>
      </c>
      <c r="D112" s="63" t="s">
        <v>130</v>
      </c>
      <c r="E112" s="68">
        <v>0.98798186</v>
      </c>
      <c r="F112" s="1"/>
      <c r="G112" s="23">
        <v>9500000.0</v>
      </c>
      <c r="H112" s="23">
        <v>9385827.68</v>
      </c>
      <c r="I112" s="23">
        <v>9500000.0</v>
      </c>
      <c r="J112" s="23">
        <v>9385827.68</v>
      </c>
      <c r="K112" s="24">
        <v>1.0949773E7</v>
      </c>
      <c r="L112" s="1" t="s">
        <v>1776</v>
      </c>
      <c r="M112" s="1" t="s">
        <v>2128</v>
      </c>
      <c r="N112" s="63" t="s">
        <v>765</v>
      </c>
      <c r="O112" s="63" t="s">
        <v>765</v>
      </c>
      <c r="P112" s="68">
        <v>37.0</v>
      </c>
      <c r="Q112" s="1" t="s">
        <v>2130</v>
      </c>
      <c r="R112" s="1" t="s">
        <v>13</v>
      </c>
      <c r="S112" s="1"/>
      <c r="T112" s="1"/>
      <c r="U112" s="1" t="s">
        <v>794</v>
      </c>
      <c r="V112" s="1" t="s">
        <v>794</v>
      </c>
      <c r="W112" s="145">
        <f t="shared" si="1"/>
        <v>0.0001919965763</v>
      </c>
      <c r="AC112" s="38"/>
    </row>
    <row r="113" ht="15.75" customHeight="1">
      <c r="A113" s="1" t="s">
        <v>1917</v>
      </c>
      <c r="B113" s="1" t="s">
        <v>2127</v>
      </c>
      <c r="C113" s="63">
        <v>46218.0</v>
      </c>
      <c r="D113" s="63" t="s">
        <v>130</v>
      </c>
      <c r="E113" s="68">
        <v>0.98862407</v>
      </c>
      <c r="F113" s="1"/>
      <c r="G113" s="23">
        <v>1.1E7</v>
      </c>
      <c r="H113" s="23">
        <v>1.087486481E7</v>
      </c>
      <c r="I113" s="23">
        <v>1.1E7</v>
      </c>
      <c r="J113" s="23">
        <v>1.087486481E7</v>
      </c>
      <c r="K113" s="24">
        <v>388.0</v>
      </c>
      <c r="L113" s="1" t="s">
        <v>1776</v>
      </c>
      <c r="M113" s="1" t="s">
        <v>2128</v>
      </c>
      <c r="N113" s="63" t="s">
        <v>360</v>
      </c>
      <c r="O113" s="63" t="s">
        <v>360</v>
      </c>
      <c r="P113" s="68">
        <v>35.0</v>
      </c>
      <c r="Q113" s="1" t="s">
        <v>2130</v>
      </c>
      <c r="R113" s="1" t="s">
        <v>13</v>
      </c>
      <c r="S113" s="1"/>
      <c r="T113" s="1"/>
      <c r="U113" s="1" t="s">
        <v>385</v>
      </c>
      <c r="V113" s="1" t="s">
        <v>385</v>
      </c>
      <c r="W113" s="145">
        <f t="shared" si="1"/>
        <v>0.0002224563334</v>
      </c>
      <c r="AC113" s="38"/>
    </row>
    <row r="114" ht="15.75" customHeight="1">
      <c r="A114" s="1" t="s">
        <v>1917</v>
      </c>
      <c r="B114" s="1" t="s">
        <v>2127</v>
      </c>
      <c r="C114" s="63">
        <v>46218.0</v>
      </c>
      <c r="D114" s="63" t="s">
        <v>130</v>
      </c>
      <c r="E114" s="68">
        <v>0.99023342</v>
      </c>
      <c r="F114" s="1"/>
      <c r="G114" s="23">
        <v>8750000.0</v>
      </c>
      <c r="H114" s="23">
        <v>8664542.42</v>
      </c>
      <c r="I114" s="23">
        <v>8750000.0</v>
      </c>
      <c r="J114" s="23">
        <v>8664542.42</v>
      </c>
      <c r="K114" s="24">
        <v>632.0</v>
      </c>
      <c r="L114" s="1" t="s">
        <v>1776</v>
      </c>
      <c r="M114" s="1" t="s">
        <v>2128</v>
      </c>
      <c r="N114" s="63" t="s">
        <v>1272</v>
      </c>
      <c r="O114" s="63" t="s">
        <v>1272</v>
      </c>
      <c r="P114" s="68">
        <v>30.0</v>
      </c>
      <c r="Q114" s="1" t="s">
        <v>2130</v>
      </c>
      <c r="R114" s="1" t="s">
        <v>13</v>
      </c>
      <c r="S114" s="1"/>
      <c r="T114" s="1"/>
      <c r="U114" s="1" t="s">
        <v>1297</v>
      </c>
      <c r="V114" s="1" t="s">
        <v>1297</v>
      </c>
      <c r="W114" s="145">
        <f t="shared" si="1"/>
        <v>0.0001772419585</v>
      </c>
      <c r="AC114" s="38"/>
    </row>
    <row r="115" ht="15.75" customHeight="1">
      <c r="A115" s="1" t="s">
        <v>1917</v>
      </c>
      <c r="B115" s="1" t="s">
        <v>2127</v>
      </c>
      <c r="C115" s="63">
        <v>46218.0</v>
      </c>
      <c r="D115" s="63" t="s">
        <v>130</v>
      </c>
      <c r="E115" s="68">
        <v>0.99023337</v>
      </c>
      <c r="F115" s="1"/>
      <c r="G115" s="23">
        <v>1.0E7</v>
      </c>
      <c r="H115" s="23">
        <v>9902333.74</v>
      </c>
      <c r="I115" s="23">
        <v>1.0E7</v>
      </c>
      <c r="J115" s="23">
        <v>9902333.74</v>
      </c>
      <c r="K115" s="24">
        <v>546.0</v>
      </c>
      <c r="L115" s="1" t="s">
        <v>1776</v>
      </c>
      <c r="M115" s="1" t="s">
        <v>2128</v>
      </c>
      <c r="N115" s="63" t="s">
        <v>863</v>
      </c>
      <c r="O115" s="63" t="s">
        <v>863</v>
      </c>
      <c r="P115" s="68">
        <v>30.0</v>
      </c>
      <c r="Q115" s="1" t="s">
        <v>2130</v>
      </c>
      <c r="R115" s="1" t="s">
        <v>13</v>
      </c>
      <c r="S115" s="1"/>
      <c r="T115" s="1"/>
      <c r="U115" s="1" t="s">
        <v>876</v>
      </c>
      <c r="V115" s="1" t="s">
        <v>876</v>
      </c>
      <c r="W115" s="145">
        <f t="shared" si="1"/>
        <v>0.000202562229</v>
      </c>
      <c r="AC115" s="38"/>
    </row>
    <row r="116" ht="15.75" customHeight="1">
      <c r="A116" s="1" t="s">
        <v>1903</v>
      </c>
      <c r="B116" s="1" t="s">
        <v>2127</v>
      </c>
      <c r="C116" s="63">
        <v>46218.0</v>
      </c>
      <c r="D116" s="63" t="s">
        <v>130</v>
      </c>
      <c r="E116" s="68">
        <v>0.99055582</v>
      </c>
      <c r="F116" s="1"/>
      <c r="G116" s="23">
        <v>1.25E7</v>
      </c>
      <c r="H116" s="23">
        <v>1.238194774E7</v>
      </c>
      <c r="I116" s="23">
        <v>1.25E7</v>
      </c>
      <c r="J116" s="23">
        <v>1.238194774E7</v>
      </c>
      <c r="K116" s="24">
        <v>4949.0</v>
      </c>
      <c r="L116" s="1" t="s">
        <v>1776</v>
      </c>
      <c r="M116" s="1" t="s">
        <v>2128</v>
      </c>
      <c r="N116" s="63" t="s">
        <v>543</v>
      </c>
      <c r="O116" s="63" t="s">
        <v>543</v>
      </c>
      <c r="P116" s="68">
        <v>29.0</v>
      </c>
      <c r="Q116" s="1" t="s">
        <v>2130</v>
      </c>
      <c r="R116" s="1" t="s">
        <v>13</v>
      </c>
      <c r="S116" s="1"/>
      <c r="T116" s="1"/>
      <c r="U116" s="1" t="s">
        <v>545</v>
      </c>
      <c r="V116" s="1" t="s">
        <v>545</v>
      </c>
      <c r="W116" s="145">
        <f t="shared" si="1"/>
        <v>0.0002532852355</v>
      </c>
      <c r="AC116" s="38"/>
    </row>
    <row r="117" ht="15.75" customHeight="1">
      <c r="A117" s="1" t="s">
        <v>1903</v>
      </c>
      <c r="B117" s="1" t="s">
        <v>2127</v>
      </c>
      <c r="C117" s="63">
        <v>46218.0</v>
      </c>
      <c r="D117" s="63" t="s">
        <v>130</v>
      </c>
      <c r="E117" s="68">
        <v>0.99023334</v>
      </c>
      <c r="F117" s="1"/>
      <c r="G117" s="23">
        <v>3.5E7</v>
      </c>
      <c r="H117" s="23">
        <v>3.465816677E7</v>
      </c>
      <c r="I117" s="23">
        <v>3.5E7</v>
      </c>
      <c r="J117" s="23">
        <v>3.465816677E7</v>
      </c>
      <c r="K117" s="24">
        <v>1452.0</v>
      </c>
      <c r="L117" s="1" t="s">
        <v>1776</v>
      </c>
      <c r="M117" s="1" t="s">
        <v>2128</v>
      </c>
      <c r="N117" s="63" t="s">
        <v>234</v>
      </c>
      <c r="O117" s="63" t="s">
        <v>234</v>
      </c>
      <c r="P117" s="68">
        <v>30.0</v>
      </c>
      <c r="Q117" s="1" t="s">
        <v>2130</v>
      </c>
      <c r="R117" s="1" t="s">
        <v>13</v>
      </c>
      <c r="S117" s="1"/>
      <c r="T117" s="1"/>
      <c r="U117" s="1" t="s">
        <v>235</v>
      </c>
      <c r="V117" s="1" t="s">
        <v>235</v>
      </c>
      <c r="W117" s="145">
        <f t="shared" si="1"/>
        <v>0.0007089677744</v>
      </c>
      <c r="AC117" s="38"/>
    </row>
    <row r="118" ht="15.75" customHeight="1">
      <c r="A118" s="1" t="s">
        <v>1903</v>
      </c>
      <c r="B118" s="1" t="s">
        <v>2127</v>
      </c>
      <c r="C118" s="63">
        <v>46218.0</v>
      </c>
      <c r="D118" s="63" t="s">
        <v>130</v>
      </c>
      <c r="E118" s="68">
        <v>0.99087852</v>
      </c>
      <c r="F118" s="1"/>
      <c r="G118" s="23">
        <v>1.5E7</v>
      </c>
      <c r="H118" s="23">
        <v>1.486317776E7</v>
      </c>
      <c r="I118" s="23">
        <v>1.5E7</v>
      </c>
      <c r="J118" s="23">
        <v>1.486317776E7</v>
      </c>
      <c r="K118" s="24">
        <v>1.3039364E7</v>
      </c>
      <c r="L118" s="1" t="s">
        <v>1776</v>
      </c>
      <c r="M118" s="1" t="s">
        <v>2128</v>
      </c>
      <c r="N118" s="63" t="s">
        <v>256</v>
      </c>
      <c r="O118" s="63" t="s">
        <v>256</v>
      </c>
      <c r="P118" s="68">
        <v>28.0</v>
      </c>
      <c r="Q118" s="1" t="s">
        <v>2130</v>
      </c>
      <c r="R118" s="1" t="s">
        <v>13</v>
      </c>
      <c r="S118" s="1"/>
      <c r="T118" s="1"/>
      <c r="U118" s="1" t="s">
        <v>257</v>
      </c>
      <c r="V118" s="1" t="s">
        <v>257</v>
      </c>
      <c r="W118" s="145">
        <f t="shared" si="1"/>
        <v>0.0003040412993</v>
      </c>
      <c r="AC118" s="38"/>
    </row>
    <row r="119" ht="15.75" customHeight="1">
      <c r="A119" s="1" t="s">
        <v>1903</v>
      </c>
      <c r="B119" s="1" t="s">
        <v>2127</v>
      </c>
      <c r="C119" s="63">
        <v>46218.0</v>
      </c>
      <c r="D119" s="63" t="s">
        <v>130</v>
      </c>
      <c r="E119" s="68">
        <v>0.99087852</v>
      </c>
      <c r="F119" s="1"/>
      <c r="G119" s="23">
        <v>1.5E7</v>
      </c>
      <c r="H119" s="23">
        <v>1.486317776E7</v>
      </c>
      <c r="I119" s="23">
        <v>1.5E7</v>
      </c>
      <c r="J119" s="23">
        <v>1.486317776E7</v>
      </c>
      <c r="K119" s="24">
        <v>1.3039368E7</v>
      </c>
      <c r="L119" s="1" t="s">
        <v>1776</v>
      </c>
      <c r="M119" s="1" t="s">
        <v>2128</v>
      </c>
      <c r="N119" s="63" t="s">
        <v>256</v>
      </c>
      <c r="O119" s="63" t="s">
        <v>256</v>
      </c>
      <c r="P119" s="68">
        <v>28.0</v>
      </c>
      <c r="Q119" s="1" t="s">
        <v>2130</v>
      </c>
      <c r="R119" s="1" t="s">
        <v>13</v>
      </c>
      <c r="S119" s="1"/>
      <c r="T119" s="1"/>
      <c r="U119" s="1" t="s">
        <v>258</v>
      </c>
      <c r="V119" s="1" t="s">
        <v>258</v>
      </c>
      <c r="W119" s="145">
        <f t="shared" si="1"/>
        <v>0.0003040412993</v>
      </c>
      <c r="AC119" s="38"/>
    </row>
    <row r="120" ht="15.75" customHeight="1">
      <c r="A120" s="1" t="s">
        <v>1903</v>
      </c>
      <c r="B120" s="1" t="s">
        <v>2127</v>
      </c>
      <c r="C120" s="63">
        <v>46218.0</v>
      </c>
      <c r="D120" s="63" t="s">
        <v>130</v>
      </c>
      <c r="E120" s="68">
        <v>0.99087852</v>
      </c>
      <c r="F120" s="1"/>
      <c r="G120" s="23">
        <v>1.5E7</v>
      </c>
      <c r="H120" s="23">
        <v>1.486317776E7</v>
      </c>
      <c r="I120" s="23">
        <v>1.5E7</v>
      </c>
      <c r="J120" s="23">
        <v>1.486317776E7</v>
      </c>
      <c r="K120" s="24">
        <v>1.3039366E7</v>
      </c>
      <c r="L120" s="1" t="s">
        <v>1776</v>
      </c>
      <c r="M120" s="1" t="s">
        <v>2128</v>
      </c>
      <c r="N120" s="63" t="s">
        <v>256</v>
      </c>
      <c r="O120" s="63" t="s">
        <v>256</v>
      </c>
      <c r="P120" s="68">
        <v>28.0</v>
      </c>
      <c r="Q120" s="1" t="s">
        <v>2130</v>
      </c>
      <c r="R120" s="1" t="s">
        <v>13</v>
      </c>
      <c r="S120" s="1"/>
      <c r="T120" s="1"/>
      <c r="U120" s="1" t="s">
        <v>259</v>
      </c>
      <c r="V120" s="1" t="s">
        <v>259</v>
      </c>
      <c r="W120" s="145">
        <f t="shared" si="1"/>
        <v>0.0003040412993</v>
      </c>
      <c r="AC120" s="38"/>
    </row>
    <row r="121" ht="15.75" customHeight="1">
      <c r="A121" s="1" t="s">
        <v>1903</v>
      </c>
      <c r="B121" s="1" t="s">
        <v>2127</v>
      </c>
      <c r="C121" s="63">
        <v>46218.0</v>
      </c>
      <c r="D121" s="63" t="s">
        <v>130</v>
      </c>
      <c r="E121" s="68">
        <v>0.99087852</v>
      </c>
      <c r="F121" s="1"/>
      <c r="G121" s="23">
        <v>1.5E7</v>
      </c>
      <c r="H121" s="23">
        <v>1.486317776E7</v>
      </c>
      <c r="I121" s="23">
        <v>1.5E7</v>
      </c>
      <c r="J121" s="23">
        <v>1.486317776E7</v>
      </c>
      <c r="K121" s="24">
        <v>1.3039365E7</v>
      </c>
      <c r="L121" s="1" t="s">
        <v>1776</v>
      </c>
      <c r="M121" s="1" t="s">
        <v>2128</v>
      </c>
      <c r="N121" s="63" t="s">
        <v>256</v>
      </c>
      <c r="O121" s="63" t="s">
        <v>256</v>
      </c>
      <c r="P121" s="68">
        <v>28.0</v>
      </c>
      <c r="Q121" s="1" t="s">
        <v>2130</v>
      </c>
      <c r="R121" s="1" t="s">
        <v>13</v>
      </c>
      <c r="S121" s="1"/>
      <c r="T121" s="1"/>
      <c r="U121" s="1" t="s">
        <v>260</v>
      </c>
      <c r="V121" s="1" t="s">
        <v>260</v>
      </c>
      <c r="W121" s="145">
        <f t="shared" si="1"/>
        <v>0.0003040412993</v>
      </c>
      <c r="AC121" s="38"/>
    </row>
    <row r="122" ht="15.75" customHeight="1">
      <c r="A122" s="1" t="s">
        <v>1903</v>
      </c>
      <c r="B122" s="1" t="s">
        <v>2127</v>
      </c>
      <c r="C122" s="63">
        <v>46218.0</v>
      </c>
      <c r="D122" s="63" t="s">
        <v>130</v>
      </c>
      <c r="E122" s="68">
        <v>0.99087852</v>
      </c>
      <c r="F122" s="1"/>
      <c r="G122" s="23">
        <v>1.5E7</v>
      </c>
      <c r="H122" s="23">
        <v>1.486317776E7</v>
      </c>
      <c r="I122" s="23">
        <v>1.5E7</v>
      </c>
      <c r="J122" s="23">
        <v>1.486317776E7</v>
      </c>
      <c r="K122" s="24">
        <v>1.3039367E7</v>
      </c>
      <c r="L122" s="1" t="s">
        <v>1776</v>
      </c>
      <c r="M122" s="1" t="s">
        <v>2128</v>
      </c>
      <c r="N122" s="63" t="s">
        <v>256</v>
      </c>
      <c r="O122" s="63" t="s">
        <v>256</v>
      </c>
      <c r="P122" s="68">
        <v>28.0</v>
      </c>
      <c r="Q122" s="1" t="s">
        <v>2130</v>
      </c>
      <c r="R122" s="1" t="s">
        <v>13</v>
      </c>
      <c r="S122" s="1"/>
      <c r="T122" s="1"/>
      <c r="U122" s="1" t="s">
        <v>261</v>
      </c>
      <c r="V122" s="1" t="s">
        <v>261</v>
      </c>
      <c r="W122" s="145">
        <f t="shared" si="1"/>
        <v>0.0003040412993</v>
      </c>
      <c r="AC122" s="38"/>
    </row>
    <row r="123" ht="15.75" customHeight="1">
      <c r="A123" s="1" t="s">
        <v>1903</v>
      </c>
      <c r="B123" s="1" t="s">
        <v>2127</v>
      </c>
      <c r="C123" s="63">
        <v>46218.0</v>
      </c>
      <c r="D123" s="63" t="s">
        <v>130</v>
      </c>
      <c r="E123" s="68">
        <v>0.99087851</v>
      </c>
      <c r="F123" s="1"/>
      <c r="G123" s="23">
        <v>7000000.0</v>
      </c>
      <c r="H123" s="23">
        <v>6936149.6</v>
      </c>
      <c r="I123" s="23">
        <v>7000000.0</v>
      </c>
      <c r="J123" s="23">
        <v>6936149.6</v>
      </c>
      <c r="K123" s="24">
        <v>1.3039369E7</v>
      </c>
      <c r="L123" s="1" t="s">
        <v>1776</v>
      </c>
      <c r="M123" s="1" t="s">
        <v>2128</v>
      </c>
      <c r="N123" s="63" t="s">
        <v>256</v>
      </c>
      <c r="O123" s="63" t="s">
        <v>256</v>
      </c>
      <c r="P123" s="68">
        <v>28.0</v>
      </c>
      <c r="Q123" s="1" t="s">
        <v>2130</v>
      </c>
      <c r="R123" s="1" t="s">
        <v>13</v>
      </c>
      <c r="S123" s="1"/>
      <c r="T123" s="1"/>
      <c r="U123" s="1" t="s">
        <v>262</v>
      </c>
      <c r="V123" s="1" t="s">
        <v>262</v>
      </c>
      <c r="W123" s="145">
        <f t="shared" si="1"/>
        <v>0.0001418859393</v>
      </c>
      <c r="AC123" s="38"/>
    </row>
    <row r="124" ht="15.75" customHeight="1">
      <c r="A124" s="1" t="s">
        <v>1937</v>
      </c>
      <c r="B124" s="1" t="s">
        <v>2127</v>
      </c>
      <c r="C124" s="63">
        <v>46218.0</v>
      </c>
      <c r="D124" s="63" t="s">
        <v>130</v>
      </c>
      <c r="E124" s="68">
        <v>0.98926715</v>
      </c>
      <c r="F124" s="1"/>
      <c r="G124" s="23">
        <v>5.0E7</v>
      </c>
      <c r="H124" s="23">
        <v>4.946335745E7</v>
      </c>
      <c r="I124" s="23">
        <v>5.0E7</v>
      </c>
      <c r="J124" s="23">
        <v>4.946335745E7</v>
      </c>
      <c r="K124" s="24">
        <v>4526.0</v>
      </c>
      <c r="L124" s="1" t="s">
        <v>1776</v>
      </c>
      <c r="M124" s="1" t="s">
        <v>2128</v>
      </c>
      <c r="N124" s="63" t="s">
        <v>360</v>
      </c>
      <c r="O124" s="63" t="s">
        <v>360</v>
      </c>
      <c r="P124" s="68">
        <v>33.0</v>
      </c>
      <c r="Q124" s="1" t="s">
        <v>2130</v>
      </c>
      <c r="R124" s="1" t="s">
        <v>13</v>
      </c>
      <c r="S124" s="1"/>
      <c r="T124" s="1"/>
      <c r="U124" s="1" t="s">
        <v>388</v>
      </c>
      <c r="V124" s="1" t="s">
        <v>388</v>
      </c>
      <c r="W124" s="145">
        <f t="shared" si="1"/>
        <v>0.00101182289</v>
      </c>
      <c r="AC124" s="38"/>
    </row>
    <row r="125" ht="15.75" customHeight="1">
      <c r="A125" s="1" t="s">
        <v>1929</v>
      </c>
      <c r="B125" s="1" t="s">
        <v>2127</v>
      </c>
      <c r="C125" s="63">
        <v>46218.0</v>
      </c>
      <c r="D125" s="63" t="s">
        <v>130</v>
      </c>
      <c r="E125" s="68">
        <v>0.98766103</v>
      </c>
      <c r="F125" s="1"/>
      <c r="G125" s="23">
        <v>1.0E8</v>
      </c>
      <c r="H125" s="23">
        <v>9.876610273E7</v>
      </c>
      <c r="I125" s="23">
        <v>1.0E8</v>
      </c>
      <c r="J125" s="23">
        <v>9.876610273E7</v>
      </c>
      <c r="K125" s="24">
        <v>2597.0</v>
      </c>
      <c r="L125" s="1" t="s">
        <v>1776</v>
      </c>
      <c r="M125" s="1" t="s">
        <v>2128</v>
      </c>
      <c r="N125" s="63" t="s">
        <v>251</v>
      </c>
      <c r="O125" s="63" t="s">
        <v>251</v>
      </c>
      <c r="P125" s="68">
        <v>38.0</v>
      </c>
      <c r="Q125" s="1" t="s">
        <v>2130</v>
      </c>
      <c r="R125" s="1" t="s">
        <v>13</v>
      </c>
      <c r="S125" s="1"/>
      <c r="T125" s="1"/>
      <c r="U125" s="1" t="s">
        <v>254</v>
      </c>
      <c r="V125" s="1" t="s">
        <v>254</v>
      </c>
      <c r="W125" s="145">
        <f t="shared" si="1"/>
        <v>0.002020360295</v>
      </c>
      <c r="AC125" s="38"/>
    </row>
    <row r="126" ht="15.75" customHeight="1">
      <c r="A126" s="1" t="s">
        <v>1949</v>
      </c>
      <c r="B126" s="1" t="s">
        <v>2127</v>
      </c>
      <c r="C126" s="63">
        <v>46218.0</v>
      </c>
      <c r="D126" s="63" t="s">
        <v>130</v>
      </c>
      <c r="E126" s="68">
        <v>0.98637988</v>
      </c>
      <c r="F126" s="1"/>
      <c r="G126" s="23">
        <v>2.0E7</v>
      </c>
      <c r="H126" s="23">
        <v>1.972759753E7</v>
      </c>
      <c r="I126" s="23">
        <v>2.0E7</v>
      </c>
      <c r="J126" s="23">
        <v>1.972759753E7</v>
      </c>
      <c r="K126" s="24">
        <v>4020.0</v>
      </c>
      <c r="L126" s="1" t="s">
        <v>1776</v>
      </c>
      <c r="M126" s="1" t="s">
        <v>2128</v>
      </c>
      <c r="N126" s="63" t="s">
        <v>198</v>
      </c>
      <c r="O126" s="63" t="s">
        <v>198</v>
      </c>
      <c r="P126" s="68">
        <v>42.0</v>
      </c>
      <c r="Q126" s="1" t="s">
        <v>2130</v>
      </c>
      <c r="R126" s="1" t="s">
        <v>13</v>
      </c>
      <c r="S126" s="1"/>
      <c r="T126" s="1"/>
      <c r="U126" s="1" t="s">
        <v>199</v>
      </c>
      <c r="V126" s="1" t="s">
        <v>199</v>
      </c>
      <c r="W126" s="145">
        <f t="shared" si="1"/>
        <v>0.0004035479144</v>
      </c>
      <c r="AC126" s="38"/>
    </row>
    <row r="127" ht="15.75" customHeight="1">
      <c r="A127" s="1" t="s">
        <v>2031</v>
      </c>
      <c r="B127" s="1" t="s">
        <v>2127</v>
      </c>
      <c r="C127" s="63">
        <v>46218.0</v>
      </c>
      <c r="D127" s="63" t="s">
        <v>130</v>
      </c>
      <c r="E127" s="68">
        <v>0.98991119</v>
      </c>
      <c r="F127" s="1"/>
      <c r="G127" s="23">
        <v>5000000.0</v>
      </c>
      <c r="H127" s="23">
        <v>4949555.93</v>
      </c>
      <c r="I127" s="23">
        <v>5000000.0</v>
      </c>
      <c r="J127" s="23">
        <v>4949555.93</v>
      </c>
      <c r="K127" s="24">
        <v>6.7987165E7</v>
      </c>
      <c r="L127" s="1" t="s">
        <v>1776</v>
      </c>
      <c r="M127" s="1" t="s">
        <v>2128</v>
      </c>
      <c r="N127" s="63" t="s">
        <v>1473</v>
      </c>
      <c r="O127" s="63" t="s">
        <v>1473</v>
      </c>
      <c r="P127" s="68">
        <v>31.0</v>
      </c>
      <c r="Q127" s="1" t="s">
        <v>2130</v>
      </c>
      <c r="R127" s="1" t="s">
        <v>13</v>
      </c>
      <c r="S127" s="1"/>
      <c r="T127" s="1"/>
      <c r="U127" s="1" t="s">
        <v>1478</v>
      </c>
      <c r="V127" s="1" t="s">
        <v>1478</v>
      </c>
      <c r="W127" s="145">
        <f t="shared" si="1"/>
        <v>0.0001012481611</v>
      </c>
      <c r="AC127" s="38"/>
    </row>
    <row r="128" ht="15.75" customHeight="1">
      <c r="A128" s="1" t="s">
        <v>2031</v>
      </c>
      <c r="B128" s="1" t="s">
        <v>2127</v>
      </c>
      <c r="C128" s="63">
        <v>46218.0</v>
      </c>
      <c r="D128" s="63" t="s">
        <v>130</v>
      </c>
      <c r="E128" s="68">
        <v>0.98991119</v>
      </c>
      <c r="F128" s="1"/>
      <c r="G128" s="23">
        <v>5000000.0</v>
      </c>
      <c r="H128" s="23">
        <v>4949555.93</v>
      </c>
      <c r="I128" s="23">
        <v>5000000.0</v>
      </c>
      <c r="J128" s="23">
        <v>4949555.93</v>
      </c>
      <c r="K128" s="24">
        <v>6.7987166E7</v>
      </c>
      <c r="L128" s="1" t="s">
        <v>1776</v>
      </c>
      <c r="M128" s="1" t="s">
        <v>2128</v>
      </c>
      <c r="N128" s="63" t="s">
        <v>1473</v>
      </c>
      <c r="O128" s="63" t="s">
        <v>1473</v>
      </c>
      <c r="P128" s="68">
        <v>31.0</v>
      </c>
      <c r="Q128" s="1" t="s">
        <v>2130</v>
      </c>
      <c r="R128" s="1" t="s">
        <v>13</v>
      </c>
      <c r="S128" s="1"/>
      <c r="T128" s="1"/>
      <c r="U128" s="1" t="s">
        <v>1479</v>
      </c>
      <c r="V128" s="1" t="s">
        <v>1479</v>
      </c>
      <c r="W128" s="145">
        <f t="shared" si="1"/>
        <v>0.0001012481611</v>
      </c>
      <c r="AC128" s="38"/>
    </row>
    <row r="129" ht="15.75" customHeight="1">
      <c r="A129" s="1" t="s">
        <v>1920</v>
      </c>
      <c r="B129" s="1" t="s">
        <v>2127</v>
      </c>
      <c r="C129" s="63">
        <v>46218.0</v>
      </c>
      <c r="D129" s="63" t="s">
        <v>130</v>
      </c>
      <c r="E129" s="68">
        <v>0.98766104</v>
      </c>
      <c r="F129" s="1"/>
      <c r="G129" s="23">
        <v>8.5E7</v>
      </c>
      <c r="H129" s="23">
        <v>8.395118847E7</v>
      </c>
      <c r="I129" s="23">
        <v>8.5E7</v>
      </c>
      <c r="J129" s="23">
        <v>8.395118847E7</v>
      </c>
      <c r="K129" s="24">
        <v>7363.0</v>
      </c>
      <c r="L129" s="1" t="s">
        <v>1776</v>
      </c>
      <c r="M129" s="1" t="s">
        <v>2128</v>
      </c>
      <c r="N129" s="63" t="s">
        <v>256</v>
      </c>
      <c r="O129" s="63" t="s">
        <v>256</v>
      </c>
      <c r="P129" s="68">
        <v>38.0</v>
      </c>
      <c r="Q129" s="1" t="s">
        <v>2130</v>
      </c>
      <c r="R129" s="1" t="s">
        <v>13</v>
      </c>
      <c r="S129" s="1"/>
      <c r="T129" s="1"/>
      <c r="U129" s="1" t="s">
        <v>269</v>
      </c>
      <c r="V129" s="1" t="s">
        <v>269</v>
      </c>
      <c r="W129" s="145">
        <f t="shared" si="1"/>
        <v>0.001717306274</v>
      </c>
      <c r="AC129" s="38"/>
    </row>
    <row r="130" ht="15.75" customHeight="1">
      <c r="A130" s="1" t="s">
        <v>1924</v>
      </c>
      <c r="B130" s="1" t="s">
        <v>2127</v>
      </c>
      <c r="C130" s="63">
        <v>46218.0</v>
      </c>
      <c r="D130" s="63" t="s">
        <v>130</v>
      </c>
      <c r="E130" s="68">
        <v>0.99023333</v>
      </c>
      <c r="F130" s="1"/>
      <c r="G130" s="23">
        <v>1.7129876E7</v>
      </c>
      <c r="H130" s="23">
        <v>1.696257419E7</v>
      </c>
      <c r="I130" s="23">
        <v>1.7129876E7</v>
      </c>
      <c r="J130" s="23">
        <v>1.696257419E7</v>
      </c>
      <c r="K130" s="24">
        <v>1537.0</v>
      </c>
      <c r="L130" s="1" t="s">
        <v>1776</v>
      </c>
      <c r="M130" s="1" t="s">
        <v>2128</v>
      </c>
      <c r="N130" s="63" t="s">
        <v>360</v>
      </c>
      <c r="O130" s="63" t="s">
        <v>360</v>
      </c>
      <c r="P130" s="68">
        <v>30.0</v>
      </c>
      <c r="Q130" s="1" t="s">
        <v>2130</v>
      </c>
      <c r="R130" s="1" t="s">
        <v>13</v>
      </c>
      <c r="S130" s="1"/>
      <c r="T130" s="1"/>
      <c r="U130" s="1" t="s">
        <v>387</v>
      </c>
      <c r="V130" s="1" t="s">
        <v>387</v>
      </c>
      <c r="W130" s="145">
        <f t="shared" si="1"/>
        <v>0.0003469865718</v>
      </c>
      <c r="AC130" s="38"/>
    </row>
    <row r="131" ht="15.75" customHeight="1">
      <c r="A131" s="1" t="s">
        <v>1924</v>
      </c>
      <c r="B131" s="1" t="s">
        <v>2127</v>
      </c>
      <c r="C131" s="63">
        <v>46218.0</v>
      </c>
      <c r="D131" s="63" t="s">
        <v>130</v>
      </c>
      <c r="E131" s="68">
        <v>0.99023334</v>
      </c>
      <c r="F131" s="1"/>
      <c r="G131" s="23">
        <v>4000000.0</v>
      </c>
      <c r="H131" s="23">
        <v>3960933.35</v>
      </c>
      <c r="I131" s="23">
        <v>4000000.0</v>
      </c>
      <c r="J131" s="23">
        <v>3960933.35</v>
      </c>
      <c r="K131" s="24">
        <v>798.0</v>
      </c>
      <c r="L131" s="1" t="s">
        <v>1776</v>
      </c>
      <c r="M131" s="1" t="s">
        <v>2128</v>
      </c>
      <c r="N131" s="63" t="s">
        <v>307</v>
      </c>
      <c r="O131" s="63" t="s">
        <v>307</v>
      </c>
      <c r="P131" s="68">
        <v>30.0</v>
      </c>
      <c r="Q131" s="1" t="s">
        <v>2130</v>
      </c>
      <c r="R131" s="1" t="s">
        <v>13</v>
      </c>
      <c r="S131" s="1"/>
      <c r="T131" s="1"/>
      <c r="U131" s="1" t="s">
        <v>344</v>
      </c>
      <c r="V131" s="1" t="s">
        <v>344</v>
      </c>
      <c r="W131" s="145">
        <f t="shared" si="1"/>
        <v>0.00008102488861</v>
      </c>
      <c r="AC131" s="38"/>
    </row>
    <row r="132" ht="15.75" customHeight="1">
      <c r="A132" s="1" t="s">
        <v>1903</v>
      </c>
      <c r="B132" s="1" t="s">
        <v>2127</v>
      </c>
      <c r="C132" s="63">
        <v>46218.0</v>
      </c>
      <c r="D132" s="63" t="s">
        <v>130</v>
      </c>
      <c r="E132" s="68">
        <v>0.99023334</v>
      </c>
      <c r="F132" s="1"/>
      <c r="G132" s="23">
        <v>6.0E7</v>
      </c>
      <c r="H132" s="23">
        <v>5.941400056E7</v>
      </c>
      <c r="I132" s="23">
        <v>6.0E7</v>
      </c>
      <c r="J132" s="23">
        <v>5.941400056E7</v>
      </c>
      <c r="K132" s="24">
        <v>59.0</v>
      </c>
      <c r="L132" s="1" t="s">
        <v>1776</v>
      </c>
      <c r="M132" s="1" t="s">
        <v>2128</v>
      </c>
      <c r="N132" s="63" t="s">
        <v>704</v>
      </c>
      <c r="O132" s="63" t="s">
        <v>704</v>
      </c>
      <c r="P132" s="68">
        <v>30.0</v>
      </c>
      <c r="Q132" s="1" t="s">
        <v>2130</v>
      </c>
      <c r="R132" s="1" t="s">
        <v>13</v>
      </c>
      <c r="S132" s="1"/>
      <c r="T132" s="1"/>
      <c r="U132" s="1" t="s">
        <v>715</v>
      </c>
      <c r="V132" s="1" t="s">
        <v>715</v>
      </c>
      <c r="W132" s="145">
        <f t="shared" si="1"/>
        <v>0.001215373335</v>
      </c>
      <c r="AC132" s="38"/>
    </row>
    <row r="133" ht="15.75" customHeight="1">
      <c r="A133" s="1" t="s">
        <v>1903</v>
      </c>
      <c r="B133" s="1" t="s">
        <v>2127</v>
      </c>
      <c r="C133" s="63">
        <v>46218.0</v>
      </c>
      <c r="D133" s="63" t="s">
        <v>130</v>
      </c>
      <c r="E133" s="68">
        <v>0.99055582</v>
      </c>
      <c r="F133" s="1"/>
      <c r="G133" s="23">
        <v>1.25E7</v>
      </c>
      <c r="H133" s="23">
        <v>1.23819478E7</v>
      </c>
      <c r="I133" s="23">
        <v>1.25E7</v>
      </c>
      <c r="J133" s="23">
        <v>1.23819478E7</v>
      </c>
      <c r="K133" s="24">
        <v>9798604.0</v>
      </c>
      <c r="L133" s="1" t="s">
        <v>1776</v>
      </c>
      <c r="M133" s="1" t="s">
        <v>2128</v>
      </c>
      <c r="N133" s="63" t="s">
        <v>608</v>
      </c>
      <c r="O133" s="63" t="s">
        <v>608</v>
      </c>
      <c r="P133" s="68">
        <v>29.0</v>
      </c>
      <c r="Q133" s="1" t="s">
        <v>2130</v>
      </c>
      <c r="R133" s="1" t="s">
        <v>13</v>
      </c>
      <c r="S133" s="1"/>
      <c r="T133" s="1"/>
      <c r="U133" s="1" t="s">
        <v>618</v>
      </c>
      <c r="V133" s="1" t="s">
        <v>618</v>
      </c>
      <c r="W133" s="145">
        <f t="shared" si="1"/>
        <v>0.0002532852367</v>
      </c>
      <c r="AC133" s="38"/>
    </row>
    <row r="134" ht="15.75" customHeight="1">
      <c r="A134" s="1" t="s">
        <v>1903</v>
      </c>
      <c r="B134" s="1" t="s">
        <v>2127</v>
      </c>
      <c r="C134" s="63">
        <v>46218.0</v>
      </c>
      <c r="D134" s="63" t="s">
        <v>130</v>
      </c>
      <c r="E134" s="68">
        <v>0.9905558</v>
      </c>
      <c r="F134" s="1"/>
      <c r="G134" s="23">
        <v>2.5E7</v>
      </c>
      <c r="H134" s="23">
        <v>2.476389512E7</v>
      </c>
      <c r="I134" s="23">
        <v>2.5E7</v>
      </c>
      <c r="J134" s="23">
        <v>2.476389512E7</v>
      </c>
      <c r="K134" s="24">
        <v>3418.0</v>
      </c>
      <c r="L134" s="1" t="s">
        <v>1776</v>
      </c>
      <c r="M134" s="1" t="s">
        <v>2128</v>
      </c>
      <c r="N134" s="63" t="s">
        <v>628</v>
      </c>
      <c r="O134" s="63" t="s">
        <v>628</v>
      </c>
      <c r="P134" s="68">
        <v>29.0</v>
      </c>
      <c r="Q134" s="1" t="s">
        <v>2130</v>
      </c>
      <c r="R134" s="1" t="s">
        <v>13</v>
      </c>
      <c r="S134" s="1"/>
      <c r="T134" s="1"/>
      <c r="U134" s="1" t="s">
        <v>660</v>
      </c>
      <c r="V134" s="1" t="s">
        <v>660</v>
      </c>
      <c r="W134" s="145">
        <f t="shared" si="1"/>
        <v>0.0005065704636</v>
      </c>
      <c r="AC134" s="38"/>
    </row>
    <row r="135" ht="15.75" customHeight="1">
      <c r="A135" s="1" t="s">
        <v>1908</v>
      </c>
      <c r="B135" s="1" t="s">
        <v>2127</v>
      </c>
      <c r="C135" s="63">
        <v>46218.0</v>
      </c>
      <c r="D135" s="63" t="s">
        <v>130</v>
      </c>
      <c r="E135" s="68">
        <v>0.98702004</v>
      </c>
      <c r="F135" s="1"/>
      <c r="G135" s="23">
        <v>2.145E8</v>
      </c>
      <c r="H135" s="23">
        <v>2.1171579905E8</v>
      </c>
      <c r="I135" s="23">
        <v>2.145E8</v>
      </c>
      <c r="J135" s="23">
        <v>2.1171579905E8</v>
      </c>
      <c r="K135" s="24">
        <v>7.0379187E7</v>
      </c>
      <c r="L135" s="1" t="s">
        <v>1776</v>
      </c>
      <c r="M135" s="1" t="s">
        <v>2128</v>
      </c>
      <c r="N135" s="63" t="s">
        <v>827</v>
      </c>
      <c r="O135" s="63" t="s">
        <v>827</v>
      </c>
      <c r="P135" s="68">
        <v>40.0</v>
      </c>
      <c r="Q135" s="1" t="s">
        <v>2130</v>
      </c>
      <c r="R135" s="1" t="s">
        <v>13</v>
      </c>
      <c r="S135" s="1"/>
      <c r="T135" s="1"/>
      <c r="U135" s="1" t="s">
        <v>826</v>
      </c>
      <c r="V135" s="1" t="s">
        <v>826</v>
      </c>
      <c r="W135" s="145">
        <f t="shared" si="1"/>
        <v>0.004330860309</v>
      </c>
      <c r="AC135" s="38"/>
    </row>
    <row r="136" ht="15.75" customHeight="1">
      <c r="A136" s="1" t="s">
        <v>1946</v>
      </c>
      <c r="B136" s="1" t="s">
        <v>2127</v>
      </c>
      <c r="C136" s="63">
        <v>46218.0</v>
      </c>
      <c r="D136" s="63" t="s">
        <v>130</v>
      </c>
      <c r="E136" s="68">
        <v>0.98926717</v>
      </c>
      <c r="F136" s="1"/>
      <c r="G136" s="23">
        <v>5.0E7</v>
      </c>
      <c r="H136" s="23">
        <v>4.946335873E7</v>
      </c>
      <c r="I136" s="23">
        <v>5.0E7</v>
      </c>
      <c r="J136" s="23">
        <v>4.946335873E7</v>
      </c>
      <c r="K136" s="24">
        <v>133.0</v>
      </c>
      <c r="L136" s="1" t="s">
        <v>1776</v>
      </c>
      <c r="M136" s="1" t="s">
        <v>2128</v>
      </c>
      <c r="N136" s="63" t="s">
        <v>765</v>
      </c>
      <c r="O136" s="63" t="s">
        <v>765</v>
      </c>
      <c r="P136" s="68">
        <v>33.0</v>
      </c>
      <c r="Q136" s="1" t="s">
        <v>2130</v>
      </c>
      <c r="R136" s="1" t="s">
        <v>13</v>
      </c>
      <c r="S136" s="1"/>
      <c r="T136" s="1"/>
      <c r="U136" s="1" t="s">
        <v>787</v>
      </c>
      <c r="V136" s="1" t="s">
        <v>787</v>
      </c>
      <c r="W136" s="145">
        <f t="shared" si="1"/>
        <v>0.001011822916</v>
      </c>
      <c r="AC136" s="38"/>
    </row>
    <row r="137" ht="15.75" customHeight="1">
      <c r="A137" s="1" t="s">
        <v>1921</v>
      </c>
      <c r="B137" s="1" t="s">
        <v>2127</v>
      </c>
      <c r="C137" s="63">
        <v>46218.0</v>
      </c>
      <c r="D137" s="63" t="s">
        <v>130</v>
      </c>
      <c r="E137" s="68">
        <v>0.991848</v>
      </c>
      <c r="F137" s="1"/>
      <c r="G137" s="23">
        <v>500000.0</v>
      </c>
      <c r="H137" s="23">
        <v>495924.0</v>
      </c>
      <c r="I137" s="23">
        <v>500000.0</v>
      </c>
      <c r="J137" s="23">
        <v>495924.0</v>
      </c>
      <c r="K137" s="24">
        <v>849.0</v>
      </c>
      <c r="L137" s="1" t="s">
        <v>1776</v>
      </c>
      <c r="M137" s="1" t="s">
        <v>2128</v>
      </c>
      <c r="N137" s="63" t="s">
        <v>1488</v>
      </c>
      <c r="O137" s="63" t="s">
        <v>1488</v>
      </c>
      <c r="P137" s="68">
        <v>25.0</v>
      </c>
      <c r="Q137" s="1" t="s">
        <v>2130</v>
      </c>
      <c r="R137" s="1" t="s">
        <v>13</v>
      </c>
      <c r="S137" s="1"/>
      <c r="T137" s="1"/>
      <c r="U137" s="1" t="s">
        <v>1507</v>
      </c>
      <c r="V137" s="1" t="s">
        <v>1507</v>
      </c>
      <c r="W137" s="145">
        <f t="shared" si="1"/>
        <v>0.00001014462585</v>
      </c>
      <c r="AC137" s="38"/>
    </row>
    <row r="138" ht="15.75" customHeight="1">
      <c r="A138" s="1" t="s">
        <v>1921</v>
      </c>
      <c r="B138" s="1" t="s">
        <v>2127</v>
      </c>
      <c r="C138" s="63">
        <v>46218.0</v>
      </c>
      <c r="D138" s="63" t="s">
        <v>130</v>
      </c>
      <c r="E138" s="68">
        <v>0.991848</v>
      </c>
      <c r="F138" s="1"/>
      <c r="G138" s="23">
        <v>3500000.0</v>
      </c>
      <c r="H138" s="23">
        <v>3471467.99</v>
      </c>
      <c r="I138" s="23">
        <v>3500000.0</v>
      </c>
      <c r="J138" s="23">
        <v>3471467.99</v>
      </c>
      <c r="K138" s="24">
        <v>1.6812186E7</v>
      </c>
      <c r="L138" s="1" t="s">
        <v>1776</v>
      </c>
      <c r="M138" s="1" t="s">
        <v>2128</v>
      </c>
      <c r="N138" s="63" t="s">
        <v>1488</v>
      </c>
      <c r="O138" s="63" t="s">
        <v>1488</v>
      </c>
      <c r="P138" s="68">
        <v>25.0</v>
      </c>
      <c r="Q138" s="1" t="s">
        <v>2130</v>
      </c>
      <c r="R138" s="1" t="s">
        <v>13</v>
      </c>
      <c r="S138" s="1"/>
      <c r="T138" s="1"/>
      <c r="U138" s="1" t="s">
        <v>1508</v>
      </c>
      <c r="V138" s="1" t="s">
        <v>1508</v>
      </c>
      <c r="W138" s="145">
        <f t="shared" si="1"/>
        <v>0.00007101238075</v>
      </c>
      <c r="AC138" s="38"/>
    </row>
    <row r="139" ht="15.75" customHeight="1">
      <c r="A139" s="1" t="s">
        <v>1921</v>
      </c>
      <c r="B139" s="1" t="s">
        <v>2127</v>
      </c>
      <c r="C139" s="63">
        <v>46218.0</v>
      </c>
      <c r="D139" s="63" t="s">
        <v>130</v>
      </c>
      <c r="E139" s="68">
        <v>0.991848</v>
      </c>
      <c r="F139" s="1"/>
      <c r="G139" s="23">
        <v>3500000.0</v>
      </c>
      <c r="H139" s="23">
        <v>3471467.99</v>
      </c>
      <c r="I139" s="23">
        <v>3500000.0</v>
      </c>
      <c r="J139" s="23">
        <v>3471467.99</v>
      </c>
      <c r="K139" s="24">
        <v>1.6812187E7</v>
      </c>
      <c r="L139" s="1" t="s">
        <v>1776</v>
      </c>
      <c r="M139" s="1" t="s">
        <v>2128</v>
      </c>
      <c r="N139" s="63" t="s">
        <v>1488</v>
      </c>
      <c r="O139" s="63" t="s">
        <v>1488</v>
      </c>
      <c r="P139" s="68">
        <v>25.0</v>
      </c>
      <c r="Q139" s="1" t="s">
        <v>2130</v>
      </c>
      <c r="R139" s="1" t="s">
        <v>13</v>
      </c>
      <c r="S139" s="1"/>
      <c r="T139" s="1"/>
      <c r="U139" s="1" t="s">
        <v>1509</v>
      </c>
      <c r="V139" s="1" t="s">
        <v>1509</v>
      </c>
      <c r="W139" s="145">
        <f t="shared" si="1"/>
        <v>0.00007101238075</v>
      </c>
      <c r="AC139" s="38"/>
    </row>
    <row r="140" ht="15.75" customHeight="1">
      <c r="A140" s="1" t="s">
        <v>1921</v>
      </c>
      <c r="B140" s="1" t="s">
        <v>2127</v>
      </c>
      <c r="C140" s="63">
        <v>46218.0</v>
      </c>
      <c r="D140" s="63" t="s">
        <v>130</v>
      </c>
      <c r="E140" s="68">
        <v>0.991848</v>
      </c>
      <c r="F140" s="1"/>
      <c r="G140" s="23">
        <v>686799.72</v>
      </c>
      <c r="H140" s="23">
        <v>681200.93</v>
      </c>
      <c r="I140" s="23">
        <v>686799.72</v>
      </c>
      <c r="J140" s="23">
        <v>681200.93</v>
      </c>
      <c r="K140" s="24">
        <v>9756.0</v>
      </c>
      <c r="L140" s="1" t="s">
        <v>1776</v>
      </c>
      <c r="M140" s="1" t="s">
        <v>2128</v>
      </c>
      <c r="N140" s="63" t="s">
        <v>1488</v>
      </c>
      <c r="O140" s="63" t="s">
        <v>1488</v>
      </c>
      <c r="P140" s="68">
        <v>25.0</v>
      </c>
      <c r="Q140" s="1" t="s">
        <v>2130</v>
      </c>
      <c r="R140" s="1" t="s">
        <v>13</v>
      </c>
      <c r="S140" s="1"/>
      <c r="T140" s="1"/>
      <c r="U140" s="1" t="s">
        <v>1510</v>
      </c>
      <c r="V140" s="1" t="s">
        <v>1510</v>
      </c>
      <c r="W140" s="145">
        <f t="shared" si="1"/>
        <v>0.00001393465241</v>
      </c>
      <c r="AC140" s="38"/>
    </row>
    <row r="141" ht="15.75" customHeight="1">
      <c r="A141" s="1" t="s">
        <v>1921</v>
      </c>
      <c r="B141" s="1" t="s">
        <v>2127</v>
      </c>
      <c r="C141" s="63">
        <v>46218.0</v>
      </c>
      <c r="D141" s="63" t="s">
        <v>130</v>
      </c>
      <c r="E141" s="68">
        <v>0.991848</v>
      </c>
      <c r="F141" s="1"/>
      <c r="G141" s="23">
        <v>500000.0</v>
      </c>
      <c r="H141" s="23">
        <v>495924.0</v>
      </c>
      <c r="I141" s="23">
        <v>500000.0</v>
      </c>
      <c r="J141" s="23">
        <v>495924.0</v>
      </c>
      <c r="K141" s="24">
        <v>848.0</v>
      </c>
      <c r="L141" s="1" t="s">
        <v>1776</v>
      </c>
      <c r="M141" s="1" t="s">
        <v>2128</v>
      </c>
      <c r="N141" s="63" t="s">
        <v>1488</v>
      </c>
      <c r="O141" s="63" t="s">
        <v>1488</v>
      </c>
      <c r="P141" s="68">
        <v>25.0</v>
      </c>
      <c r="Q141" s="1" t="s">
        <v>2130</v>
      </c>
      <c r="R141" s="1" t="s">
        <v>13</v>
      </c>
      <c r="S141" s="1"/>
      <c r="T141" s="1"/>
      <c r="U141" s="1" t="s">
        <v>1511</v>
      </c>
      <c r="V141" s="1" t="s">
        <v>1511</v>
      </c>
      <c r="W141" s="145">
        <f t="shared" si="1"/>
        <v>0.00001014462585</v>
      </c>
      <c r="AC141" s="38"/>
    </row>
    <row r="142" ht="15.75" customHeight="1">
      <c r="A142" s="1" t="s">
        <v>1921</v>
      </c>
      <c r="B142" s="1" t="s">
        <v>2127</v>
      </c>
      <c r="C142" s="63">
        <v>46218.0</v>
      </c>
      <c r="D142" s="63" t="s">
        <v>130</v>
      </c>
      <c r="E142" s="68">
        <v>0.991848</v>
      </c>
      <c r="F142" s="1"/>
      <c r="G142" s="23">
        <v>1050000.0</v>
      </c>
      <c r="H142" s="23">
        <v>1041440.4</v>
      </c>
      <c r="I142" s="23">
        <v>1050000.0</v>
      </c>
      <c r="J142" s="23">
        <v>1041440.4</v>
      </c>
      <c r="K142" s="24">
        <v>812.0</v>
      </c>
      <c r="L142" s="1" t="s">
        <v>1776</v>
      </c>
      <c r="M142" s="1" t="s">
        <v>2128</v>
      </c>
      <c r="N142" s="63" t="s">
        <v>1488</v>
      </c>
      <c r="O142" s="63" t="s">
        <v>1488</v>
      </c>
      <c r="P142" s="68">
        <v>25.0</v>
      </c>
      <c r="Q142" s="1" t="s">
        <v>2130</v>
      </c>
      <c r="R142" s="1" t="s">
        <v>13</v>
      </c>
      <c r="S142" s="1"/>
      <c r="T142" s="1"/>
      <c r="U142" s="1" t="s">
        <v>1512</v>
      </c>
      <c r="V142" s="1" t="s">
        <v>1512</v>
      </c>
      <c r="W142" s="145">
        <f t="shared" si="1"/>
        <v>0.00002130371429</v>
      </c>
      <c r="AC142" s="38"/>
    </row>
    <row r="143" ht="15.75" customHeight="1">
      <c r="A143" s="1" t="s">
        <v>1921</v>
      </c>
      <c r="B143" s="1" t="s">
        <v>2127</v>
      </c>
      <c r="C143" s="63">
        <v>46218.0</v>
      </c>
      <c r="D143" s="63" t="s">
        <v>130</v>
      </c>
      <c r="E143" s="68">
        <v>0.991848</v>
      </c>
      <c r="F143" s="1"/>
      <c r="G143" s="23">
        <v>1.65758E7</v>
      </c>
      <c r="H143" s="23">
        <v>1.64406741E7</v>
      </c>
      <c r="I143" s="23">
        <v>1.65758E7</v>
      </c>
      <c r="J143" s="23">
        <v>1.64406741E7</v>
      </c>
      <c r="K143" s="24">
        <v>1202.0</v>
      </c>
      <c r="L143" s="1" t="s">
        <v>1776</v>
      </c>
      <c r="M143" s="1" t="s">
        <v>2128</v>
      </c>
      <c r="N143" s="63" t="s">
        <v>1488</v>
      </c>
      <c r="O143" s="63" t="s">
        <v>1488</v>
      </c>
      <c r="P143" s="68">
        <v>25.0</v>
      </c>
      <c r="Q143" s="1" t="s">
        <v>2130</v>
      </c>
      <c r="R143" s="1" t="s">
        <v>13</v>
      </c>
      <c r="S143" s="1"/>
      <c r="T143" s="1"/>
      <c r="U143" s="1" t="s">
        <v>1513</v>
      </c>
      <c r="V143" s="1" t="s">
        <v>1513</v>
      </c>
      <c r="W143" s="145">
        <f t="shared" si="1"/>
        <v>0.0003363105788</v>
      </c>
      <c r="AC143" s="38"/>
    </row>
    <row r="144" ht="15.75" customHeight="1">
      <c r="A144" s="1" t="s">
        <v>1921</v>
      </c>
      <c r="B144" s="1" t="s">
        <v>2127</v>
      </c>
      <c r="C144" s="63">
        <v>46218.0</v>
      </c>
      <c r="D144" s="63" t="s">
        <v>130</v>
      </c>
      <c r="E144" s="68">
        <v>0.991848</v>
      </c>
      <c r="F144" s="1"/>
      <c r="G144" s="23">
        <v>2.0E8</v>
      </c>
      <c r="H144" s="23">
        <v>1.9836960028E8</v>
      </c>
      <c r="I144" s="23">
        <v>2.0E8</v>
      </c>
      <c r="J144" s="23">
        <v>1.9836960028E8</v>
      </c>
      <c r="K144" s="24">
        <v>1.1952072E7</v>
      </c>
      <c r="L144" s="1" t="s">
        <v>1776</v>
      </c>
      <c r="M144" s="1" t="s">
        <v>2128</v>
      </c>
      <c r="N144" s="63" t="s">
        <v>130</v>
      </c>
      <c r="O144" s="63" t="s">
        <v>130</v>
      </c>
      <c r="P144" s="68">
        <v>25.0</v>
      </c>
      <c r="Q144" s="1" t="s">
        <v>2130</v>
      </c>
      <c r="R144" s="1" t="s">
        <v>13</v>
      </c>
      <c r="S144" s="1"/>
      <c r="T144" s="1"/>
      <c r="U144" s="1" t="s">
        <v>1628</v>
      </c>
      <c r="V144" s="1" t="s">
        <v>1628</v>
      </c>
      <c r="W144" s="145">
        <f t="shared" si="1"/>
        <v>0.004057850346</v>
      </c>
      <c r="AC144" s="38"/>
    </row>
    <row r="145" ht="15.75" customHeight="1">
      <c r="A145" s="1" t="s">
        <v>1921</v>
      </c>
      <c r="B145" s="1" t="s">
        <v>2127</v>
      </c>
      <c r="C145" s="63">
        <v>46218.0</v>
      </c>
      <c r="D145" s="63" t="s">
        <v>130</v>
      </c>
      <c r="E145" s="68">
        <v>0.99055582</v>
      </c>
      <c r="F145" s="1"/>
      <c r="G145" s="23">
        <v>2500000.0</v>
      </c>
      <c r="H145" s="23">
        <v>2476389.54</v>
      </c>
      <c r="I145" s="23">
        <v>2500000.0</v>
      </c>
      <c r="J145" s="23">
        <v>2476389.54</v>
      </c>
      <c r="K145" s="24">
        <v>364.0</v>
      </c>
      <c r="L145" s="1" t="s">
        <v>1776</v>
      </c>
      <c r="M145" s="1" t="s">
        <v>2128</v>
      </c>
      <c r="N145" s="63" t="s">
        <v>307</v>
      </c>
      <c r="O145" s="63" t="s">
        <v>307</v>
      </c>
      <c r="P145" s="68">
        <v>29.0</v>
      </c>
      <c r="Q145" s="1" t="s">
        <v>2130</v>
      </c>
      <c r="R145" s="1" t="s">
        <v>13</v>
      </c>
      <c r="S145" s="1"/>
      <c r="T145" s="1"/>
      <c r="U145" s="1" t="s">
        <v>309</v>
      </c>
      <c r="V145" s="1" t="s">
        <v>309</v>
      </c>
      <c r="W145" s="145">
        <f t="shared" si="1"/>
        <v>0.00005065704694</v>
      </c>
      <c r="AC145" s="38"/>
    </row>
    <row r="146" ht="15.75" customHeight="1">
      <c r="A146" s="1" t="s">
        <v>1921</v>
      </c>
      <c r="B146" s="1" t="s">
        <v>2127</v>
      </c>
      <c r="C146" s="63">
        <v>46218.0</v>
      </c>
      <c r="D146" s="63" t="s">
        <v>130</v>
      </c>
      <c r="E146" s="68">
        <v>0.99087851</v>
      </c>
      <c r="F146" s="1"/>
      <c r="G146" s="23">
        <v>4.0E7</v>
      </c>
      <c r="H146" s="23">
        <v>3.963514046E7</v>
      </c>
      <c r="I146" s="23">
        <v>4.0E7</v>
      </c>
      <c r="J146" s="23">
        <v>3.963514046E7</v>
      </c>
      <c r="K146" s="24">
        <v>2.9086863E7</v>
      </c>
      <c r="L146" s="1" t="s">
        <v>1776</v>
      </c>
      <c r="M146" s="1" t="s">
        <v>2128</v>
      </c>
      <c r="N146" s="63" t="s">
        <v>307</v>
      </c>
      <c r="O146" s="63" t="s">
        <v>307</v>
      </c>
      <c r="P146" s="68">
        <v>28.0</v>
      </c>
      <c r="Q146" s="1" t="s">
        <v>2130</v>
      </c>
      <c r="R146" s="1" t="s">
        <v>13</v>
      </c>
      <c r="S146" s="1"/>
      <c r="T146" s="1"/>
      <c r="U146" s="1" t="s">
        <v>317</v>
      </c>
      <c r="V146" s="1" t="s">
        <v>317</v>
      </c>
      <c r="W146" s="145">
        <f t="shared" si="1"/>
        <v>0.0008107767935</v>
      </c>
      <c r="AC146" s="38"/>
    </row>
    <row r="147" ht="15.75" customHeight="1">
      <c r="A147" s="1" t="s">
        <v>1951</v>
      </c>
      <c r="B147" s="1" t="s">
        <v>2127</v>
      </c>
      <c r="C147" s="63">
        <v>46218.0</v>
      </c>
      <c r="D147" s="63" t="s">
        <v>130</v>
      </c>
      <c r="E147" s="68">
        <v>0.98830285</v>
      </c>
      <c r="F147" s="1"/>
      <c r="G147" s="23">
        <v>1.68E7</v>
      </c>
      <c r="H147" s="23">
        <v>1.66034878E7</v>
      </c>
      <c r="I147" s="23">
        <v>1.68E7</v>
      </c>
      <c r="J147" s="23">
        <v>1.66034878E7</v>
      </c>
      <c r="K147" s="24">
        <v>32476.0</v>
      </c>
      <c r="L147" s="1" t="s">
        <v>1776</v>
      </c>
      <c r="M147" s="1" t="s">
        <v>2128</v>
      </c>
      <c r="N147" s="63" t="s">
        <v>591</v>
      </c>
      <c r="O147" s="63" t="s">
        <v>591</v>
      </c>
      <c r="P147" s="68">
        <v>36.0</v>
      </c>
      <c r="Q147" s="1" t="s">
        <v>2130</v>
      </c>
      <c r="R147" s="1" t="s">
        <v>13</v>
      </c>
      <c r="S147" s="1"/>
      <c r="T147" s="1"/>
      <c r="U147" s="1" t="s">
        <v>606</v>
      </c>
      <c r="V147" s="1" t="s">
        <v>606</v>
      </c>
      <c r="W147" s="145">
        <f t="shared" si="1"/>
        <v>0.0003396410973</v>
      </c>
      <c r="AC147" s="38"/>
    </row>
    <row r="148" ht="15.75" customHeight="1">
      <c r="A148" s="1" t="s">
        <v>2016</v>
      </c>
      <c r="B148" s="1" t="s">
        <v>2127</v>
      </c>
      <c r="C148" s="63">
        <v>46218.0</v>
      </c>
      <c r="D148" s="63" t="s">
        <v>130</v>
      </c>
      <c r="E148" s="68">
        <v>0.9860601</v>
      </c>
      <c r="F148" s="1"/>
      <c r="G148" s="23">
        <v>3000000.0</v>
      </c>
      <c r="H148" s="23">
        <v>2958180.29</v>
      </c>
      <c r="I148" s="23">
        <v>3000000.0</v>
      </c>
      <c r="J148" s="23">
        <v>2958180.29</v>
      </c>
      <c r="K148" s="24">
        <v>3071.0</v>
      </c>
      <c r="L148" s="1" t="s">
        <v>1776</v>
      </c>
      <c r="M148" s="1" t="s">
        <v>2128</v>
      </c>
      <c r="N148" s="63" t="s">
        <v>154</v>
      </c>
      <c r="O148" s="63" t="s">
        <v>154</v>
      </c>
      <c r="P148" s="68">
        <v>43.0</v>
      </c>
      <c r="Q148" s="1" t="s">
        <v>2130</v>
      </c>
      <c r="R148" s="1" t="s">
        <v>13</v>
      </c>
      <c r="S148" s="1"/>
      <c r="T148" s="1"/>
      <c r="U148" s="1" t="s">
        <v>158</v>
      </c>
      <c r="V148" s="1" t="s">
        <v>158</v>
      </c>
      <c r="W148" s="145">
        <f t="shared" si="1"/>
        <v>0.0000605125629</v>
      </c>
      <c r="AC148" s="38"/>
    </row>
    <row r="149" ht="15.75" customHeight="1">
      <c r="A149" s="1" t="s">
        <v>1967</v>
      </c>
      <c r="B149" s="1" t="s">
        <v>2127</v>
      </c>
      <c r="C149" s="63">
        <v>46218.0</v>
      </c>
      <c r="D149" s="63" t="s">
        <v>130</v>
      </c>
      <c r="E149" s="68">
        <v>0.98798184</v>
      </c>
      <c r="F149" s="1"/>
      <c r="G149" s="23">
        <v>5000000.0</v>
      </c>
      <c r="H149" s="23">
        <v>4939909.2</v>
      </c>
      <c r="I149" s="23">
        <v>5000000.0</v>
      </c>
      <c r="J149" s="23">
        <v>4939909.2</v>
      </c>
      <c r="K149" s="24">
        <v>4.0734594E7</v>
      </c>
      <c r="L149" s="1" t="s">
        <v>1776</v>
      </c>
      <c r="M149" s="1" t="s">
        <v>2128</v>
      </c>
      <c r="N149" s="63" t="s">
        <v>704</v>
      </c>
      <c r="O149" s="63" t="s">
        <v>704</v>
      </c>
      <c r="P149" s="68">
        <v>37.0</v>
      </c>
      <c r="Q149" s="1" t="s">
        <v>2130</v>
      </c>
      <c r="R149" s="1" t="s">
        <v>13</v>
      </c>
      <c r="S149" s="1"/>
      <c r="T149" s="1"/>
      <c r="U149" s="1" t="s">
        <v>710</v>
      </c>
      <c r="V149" s="1" t="s">
        <v>710</v>
      </c>
      <c r="W149" s="145">
        <f t="shared" si="1"/>
        <v>0.0001010508275</v>
      </c>
      <c r="AC149" s="38"/>
    </row>
    <row r="150" ht="15.75" customHeight="1">
      <c r="A150" s="1" t="s">
        <v>1942</v>
      </c>
      <c r="B150" s="1" t="s">
        <v>2127</v>
      </c>
      <c r="C150" s="63">
        <v>46218.0</v>
      </c>
      <c r="D150" s="63" t="s">
        <v>130</v>
      </c>
      <c r="E150" s="68">
        <v>0.99120141</v>
      </c>
      <c r="F150" s="1"/>
      <c r="G150" s="23">
        <v>5.0E7</v>
      </c>
      <c r="H150" s="23">
        <v>4.956007069E7</v>
      </c>
      <c r="I150" s="23">
        <v>5.0E7</v>
      </c>
      <c r="J150" s="23">
        <v>4.956007069E7</v>
      </c>
      <c r="K150" s="24">
        <v>67982.0</v>
      </c>
      <c r="L150" s="1" t="s">
        <v>1776</v>
      </c>
      <c r="M150" s="1" t="s">
        <v>2128</v>
      </c>
      <c r="N150" s="63" t="s">
        <v>748</v>
      </c>
      <c r="O150" s="63" t="s">
        <v>748</v>
      </c>
      <c r="P150" s="68">
        <v>27.0</v>
      </c>
      <c r="Q150" s="1" t="s">
        <v>2130</v>
      </c>
      <c r="R150" s="1" t="s">
        <v>13</v>
      </c>
      <c r="S150" s="1"/>
      <c r="T150" s="1"/>
      <c r="U150" s="1" t="s">
        <v>749</v>
      </c>
      <c r="V150" s="1" t="s">
        <v>749</v>
      </c>
      <c r="W150" s="145">
        <f t="shared" si="1"/>
        <v>0.001013801256</v>
      </c>
      <c r="AC150" s="38"/>
    </row>
    <row r="151" ht="15.75" customHeight="1">
      <c r="A151" s="1" t="s">
        <v>1941</v>
      </c>
      <c r="B151" s="1" t="s">
        <v>2127</v>
      </c>
      <c r="C151" s="63">
        <v>46218.0</v>
      </c>
      <c r="D151" s="63" t="s">
        <v>130</v>
      </c>
      <c r="E151" s="68">
        <v>0.99281922</v>
      </c>
      <c r="F151" s="1"/>
      <c r="G151" s="23">
        <v>4.003169352E7</v>
      </c>
      <c r="H151" s="23">
        <v>3.97442346E7</v>
      </c>
      <c r="I151" s="23">
        <v>4.003169352E7</v>
      </c>
      <c r="J151" s="23">
        <v>3.97442346E7</v>
      </c>
      <c r="K151" s="24">
        <v>5178.0</v>
      </c>
      <c r="L151" s="1" t="s">
        <v>1776</v>
      </c>
      <c r="M151" s="1" t="s">
        <v>2128</v>
      </c>
      <c r="N151" s="63" t="s">
        <v>130</v>
      </c>
      <c r="O151" s="63" t="s">
        <v>130</v>
      </c>
      <c r="P151" s="68">
        <v>22.0</v>
      </c>
      <c r="Q151" s="1" t="s">
        <v>2130</v>
      </c>
      <c r="R151" s="1" t="s">
        <v>13</v>
      </c>
      <c r="S151" s="1"/>
      <c r="T151" s="1"/>
      <c r="U151" s="1" t="s">
        <v>1649</v>
      </c>
      <c r="V151" s="1" t="s">
        <v>1649</v>
      </c>
      <c r="W151" s="145">
        <f t="shared" si="1"/>
        <v>0.0008130084242</v>
      </c>
      <c r="AC151" s="38"/>
    </row>
    <row r="152" ht="15.75" customHeight="1">
      <c r="A152" s="1" t="s">
        <v>1926</v>
      </c>
      <c r="B152" s="1" t="s">
        <v>2127</v>
      </c>
      <c r="C152" s="63">
        <v>46218.0</v>
      </c>
      <c r="D152" s="63" t="s">
        <v>130</v>
      </c>
      <c r="E152" s="68">
        <v>0.9905558</v>
      </c>
      <c r="F152" s="1"/>
      <c r="G152" s="23">
        <v>5000000.0</v>
      </c>
      <c r="H152" s="23">
        <v>4952779.02</v>
      </c>
      <c r="I152" s="23">
        <v>5000000.0</v>
      </c>
      <c r="J152" s="23">
        <v>4952779.02</v>
      </c>
      <c r="K152" s="24">
        <v>1.67796E7</v>
      </c>
      <c r="L152" s="1" t="s">
        <v>1776</v>
      </c>
      <c r="M152" s="1" t="s">
        <v>2128</v>
      </c>
      <c r="N152" s="63" t="s">
        <v>628</v>
      </c>
      <c r="O152" s="63" t="s">
        <v>628</v>
      </c>
      <c r="P152" s="68">
        <v>29.0</v>
      </c>
      <c r="Q152" s="1" t="s">
        <v>2130</v>
      </c>
      <c r="R152" s="1" t="s">
        <v>13</v>
      </c>
      <c r="S152" s="1"/>
      <c r="T152" s="1"/>
      <c r="U152" s="1" t="s">
        <v>644</v>
      </c>
      <c r="V152" s="1" t="s">
        <v>644</v>
      </c>
      <c r="W152" s="145">
        <f t="shared" si="1"/>
        <v>0.0001013140926</v>
      </c>
      <c r="AC152" s="38"/>
    </row>
    <row r="153" ht="15.75" customHeight="1">
      <c r="A153" s="1" t="s">
        <v>1926</v>
      </c>
      <c r="B153" s="1" t="s">
        <v>2127</v>
      </c>
      <c r="C153" s="63">
        <v>46218.0</v>
      </c>
      <c r="D153" s="63" t="s">
        <v>130</v>
      </c>
      <c r="E153" s="68">
        <v>0.99055581</v>
      </c>
      <c r="F153" s="1"/>
      <c r="G153" s="23">
        <v>5000000.0</v>
      </c>
      <c r="H153" s="23">
        <v>4952779.07</v>
      </c>
      <c r="I153" s="23">
        <v>5000000.0</v>
      </c>
      <c r="J153" s="23">
        <v>4952779.07</v>
      </c>
      <c r="K153" s="24">
        <v>1.6771073E7</v>
      </c>
      <c r="L153" s="1" t="s">
        <v>1776</v>
      </c>
      <c r="M153" s="1" t="s">
        <v>2128</v>
      </c>
      <c r="N153" s="63" t="s">
        <v>360</v>
      </c>
      <c r="O153" s="63" t="s">
        <v>360</v>
      </c>
      <c r="P153" s="68">
        <v>29.0</v>
      </c>
      <c r="Q153" s="1" t="s">
        <v>2130</v>
      </c>
      <c r="R153" s="1" t="s">
        <v>13</v>
      </c>
      <c r="S153" s="1"/>
      <c r="T153" s="1"/>
      <c r="U153" s="1" t="s">
        <v>362</v>
      </c>
      <c r="V153" s="1" t="s">
        <v>362</v>
      </c>
      <c r="W153" s="145">
        <f t="shared" si="1"/>
        <v>0.0001013140937</v>
      </c>
      <c r="AC153" s="38"/>
    </row>
    <row r="154" ht="15.75" customHeight="1">
      <c r="A154" s="1" t="s">
        <v>1926</v>
      </c>
      <c r="B154" s="1" t="s">
        <v>2127</v>
      </c>
      <c r="C154" s="63">
        <v>46218.0</v>
      </c>
      <c r="D154" s="63" t="s">
        <v>130</v>
      </c>
      <c r="E154" s="68">
        <v>0.99055586</v>
      </c>
      <c r="F154" s="1"/>
      <c r="G154" s="23">
        <v>788284.3</v>
      </c>
      <c r="H154" s="23">
        <v>780839.63</v>
      </c>
      <c r="I154" s="23">
        <v>788284.3</v>
      </c>
      <c r="J154" s="23">
        <v>780839.63</v>
      </c>
      <c r="K154" s="24">
        <v>5375.0</v>
      </c>
      <c r="L154" s="1" t="s">
        <v>1776</v>
      </c>
      <c r="M154" s="1" t="s">
        <v>2128</v>
      </c>
      <c r="N154" s="63" t="s">
        <v>446</v>
      </c>
      <c r="O154" s="63" t="s">
        <v>446</v>
      </c>
      <c r="P154" s="68">
        <v>29.0</v>
      </c>
      <c r="Q154" s="1" t="s">
        <v>2130</v>
      </c>
      <c r="R154" s="1" t="s">
        <v>13</v>
      </c>
      <c r="S154" s="1"/>
      <c r="T154" s="1"/>
      <c r="U154" s="1" t="s">
        <v>457</v>
      </c>
      <c r="V154" s="1" t="s">
        <v>457</v>
      </c>
      <c r="W154" s="145">
        <f t="shared" si="1"/>
        <v>0.00001597286257</v>
      </c>
      <c r="AC154" s="38"/>
    </row>
    <row r="155" ht="15.75" customHeight="1">
      <c r="A155" s="1" t="s">
        <v>1948</v>
      </c>
      <c r="B155" s="1" t="s">
        <v>2127</v>
      </c>
      <c r="C155" s="63">
        <v>46218.0</v>
      </c>
      <c r="D155" s="63" t="s">
        <v>130</v>
      </c>
      <c r="E155" s="68">
        <v>0.99055583</v>
      </c>
      <c r="F155" s="1"/>
      <c r="G155" s="23">
        <v>1.25E7</v>
      </c>
      <c r="H155" s="23">
        <v>1.238194785E7</v>
      </c>
      <c r="I155" s="23">
        <v>1.25E7</v>
      </c>
      <c r="J155" s="23">
        <v>1.238194785E7</v>
      </c>
      <c r="K155" s="24">
        <v>2.8996511E7</v>
      </c>
      <c r="L155" s="1" t="s">
        <v>1776</v>
      </c>
      <c r="M155" s="1" t="s">
        <v>2128</v>
      </c>
      <c r="N155" s="63" t="s">
        <v>207</v>
      </c>
      <c r="O155" s="63" t="s">
        <v>207</v>
      </c>
      <c r="P155" s="68">
        <v>29.0</v>
      </c>
      <c r="Q155" s="1" t="s">
        <v>2130</v>
      </c>
      <c r="R155" s="1" t="s">
        <v>13</v>
      </c>
      <c r="S155" s="1"/>
      <c r="T155" s="1"/>
      <c r="U155" s="1" t="s">
        <v>212</v>
      </c>
      <c r="V155" s="1" t="s">
        <v>212</v>
      </c>
      <c r="W155" s="145">
        <f t="shared" si="1"/>
        <v>0.0002532852377</v>
      </c>
      <c r="AC155" s="38"/>
    </row>
    <row r="156" ht="15.75" customHeight="1">
      <c r="A156" s="1" t="s">
        <v>2053</v>
      </c>
      <c r="B156" s="1" t="s">
        <v>2127</v>
      </c>
      <c r="C156" s="63">
        <v>46218.0</v>
      </c>
      <c r="D156" s="63" t="s">
        <v>130</v>
      </c>
      <c r="E156" s="68">
        <v>0.98862415</v>
      </c>
      <c r="F156" s="1"/>
      <c r="G156" s="23">
        <v>267293.51</v>
      </c>
      <c r="H156" s="23">
        <v>264252.82</v>
      </c>
      <c r="I156" s="23">
        <v>267293.51</v>
      </c>
      <c r="J156" s="23">
        <v>264252.82</v>
      </c>
      <c r="K156" s="24">
        <v>9.0000757E7</v>
      </c>
      <c r="L156" s="1" t="s">
        <v>1776</v>
      </c>
      <c r="M156" s="1" t="s">
        <v>2128</v>
      </c>
      <c r="N156" s="63" t="s">
        <v>1245</v>
      </c>
      <c r="O156" s="63" t="s">
        <v>1245</v>
      </c>
      <c r="P156" s="68">
        <v>35.0</v>
      </c>
      <c r="Q156" s="1" t="s">
        <v>2130</v>
      </c>
      <c r="R156" s="1" t="s">
        <v>13</v>
      </c>
      <c r="S156" s="1"/>
      <c r="T156" s="1"/>
      <c r="U156" s="1" t="s">
        <v>1246</v>
      </c>
      <c r="V156" s="1" t="s">
        <v>1246</v>
      </c>
      <c r="W156" s="145">
        <f t="shared" si="1"/>
        <v>0.000005405558087</v>
      </c>
      <c r="AC156" s="38"/>
    </row>
    <row r="157" ht="15.75" customHeight="1">
      <c r="A157" s="1" t="s">
        <v>2053</v>
      </c>
      <c r="B157" s="1" t="s">
        <v>2127</v>
      </c>
      <c r="C157" s="63">
        <v>46218.0</v>
      </c>
      <c r="D157" s="63" t="s">
        <v>130</v>
      </c>
      <c r="E157" s="68">
        <v>0.98862413</v>
      </c>
      <c r="F157" s="1"/>
      <c r="G157" s="23">
        <v>992261.57</v>
      </c>
      <c r="H157" s="23">
        <v>980973.73</v>
      </c>
      <c r="I157" s="23">
        <v>992261.57</v>
      </c>
      <c r="J157" s="23">
        <v>980973.73</v>
      </c>
      <c r="K157" s="24">
        <v>4135.0</v>
      </c>
      <c r="L157" s="1" t="s">
        <v>1776</v>
      </c>
      <c r="M157" s="1" t="s">
        <v>2128</v>
      </c>
      <c r="N157" s="63" t="s">
        <v>1245</v>
      </c>
      <c r="O157" s="63" t="s">
        <v>1245</v>
      </c>
      <c r="P157" s="68">
        <v>35.0</v>
      </c>
      <c r="Q157" s="1" t="s">
        <v>2130</v>
      </c>
      <c r="R157" s="1" t="s">
        <v>13</v>
      </c>
      <c r="S157" s="1"/>
      <c r="T157" s="1"/>
      <c r="U157" s="1" t="s">
        <v>1247</v>
      </c>
      <c r="V157" s="1" t="s">
        <v>1247</v>
      </c>
      <c r="W157" s="145">
        <f t="shared" si="1"/>
        <v>0.00002006680754</v>
      </c>
      <c r="AC157" s="38"/>
    </row>
    <row r="158" ht="15.75" customHeight="1">
      <c r="A158" s="1" t="s">
        <v>2032</v>
      </c>
      <c r="B158" s="1" t="s">
        <v>2127</v>
      </c>
      <c r="C158" s="63">
        <v>46218.0</v>
      </c>
      <c r="D158" s="63" t="s">
        <v>130</v>
      </c>
      <c r="E158" s="68">
        <v>0.98862413</v>
      </c>
      <c r="F158" s="1"/>
      <c r="G158" s="23">
        <v>2052371.88</v>
      </c>
      <c r="H158" s="23">
        <v>2029024.36</v>
      </c>
      <c r="I158" s="23">
        <v>2052371.88</v>
      </c>
      <c r="J158" s="23">
        <v>2029024.36</v>
      </c>
      <c r="K158" s="24">
        <v>8221.0</v>
      </c>
      <c r="L158" s="1" t="s">
        <v>1776</v>
      </c>
      <c r="M158" s="1" t="s">
        <v>2128</v>
      </c>
      <c r="N158" s="63" t="s">
        <v>1245</v>
      </c>
      <c r="O158" s="63" t="s">
        <v>1245</v>
      </c>
      <c r="P158" s="68">
        <v>35.0</v>
      </c>
      <c r="Q158" s="1" t="s">
        <v>2130</v>
      </c>
      <c r="R158" s="1" t="s">
        <v>13</v>
      </c>
      <c r="S158" s="1"/>
      <c r="T158" s="1"/>
      <c r="U158" s="1" t="s">
        <v>1251</v>
      </c>
      <c r="V158" s="1" t="s">
        <v>1251</v>
      </c>
      <c r="W158" s="145">
        <f t="shared" si="1"/>
        <v>0.00004150574075</v>
      </c>
      <c r="AC158" s="38"/>
    </row>
    <row r="159" ht="15.75" customHeight="1">
      <c r="A159" s="1" t="s">
        <v>2100</v>
      </c>
      <c r="B159" s="1" t="s">
        <v>2127</v>
      </c>
      <c r="C159" s="63">
        <v>46218.0</v>
      </c>
      <c r="D159" s="63" t="s">
        <v>130</v>
      </c>
      <c r="E159" s="68">
        <v>0.99184789</v>
      </c>
      <c r="F159" s="1"/>
      <c r="G159" s="23">
        <v>579362.0</v>
      </c>
      <c r="H159" s="23">
        <v>574638.98</v>
      </c>
      <c r="I159" s="23">
        <v>579362.0</v>
      </c>
      <c r="J159" s="23">
        <v>574638.98</v>
      </c>
      <c r="K159" s="24">
        <v>137.0</v>
      </c>
      <c r="L159" s="1" t="s">
        <v>1776</v>
      </c>
      <c r="M159" s="1" t="s">
        <v>2128</v>
      </c>
      <c r="N159" s="63" t="s">
        <v>1245</v>
      </c>
      <c r="O159" s="63" t="s">
        <v>1245</v>
      </c>
      <c r="P159" s="68">
        <v>25.0</v>
      </c>
      <c r="Q159" s="1" t="s">
        <v>2130</v>
      </c>
      <c r="R159" s="1" t="s">
        <v>13</v>
      </c>
      <c r="S159" s="1"/>
      <c r="T159" s="1"/>
      <c r="U159" s="1" t="s">
        <v>1263</v>
      </c>
      <c r="V159" s="1" t="s">
        <v>1263</v>
      </c>
      <c r="W159" s="145">
        <f t="shared" si="1"/>
        <v>0.0000117548202</v>
      </c>
      <c r="AC159" s="38"/>
    </row>
    <row r="160" ht="15.75" customHeight="1">
      <c r="A160" s="1" t="s">
        <v>2047</v>
      </c>
      <c r="B160" s="1" t="s">
        <v>2127</v>
      </c>
      <c r="C160" s="63">
        <v>46218.0</v>
      </c>
      <c r="D160" s="63" t="s">
        <v>130</v>
      </c>
      <c r="E160" s="68">
        <v>0.99023332</v>
      </c>
      <c r="F160" s="1"/>
      <c r="G160" s="23">
        <v>1770042.5</v>
      </c>
      <c r="H160" s="23">
        <v>1752755.07</v>
      </c>
      <c r="I160" s="23">
        <v>1770042.5</v>
      </c>
      <c r="J160" s="23">
        <v>1752755.07</v>
      </c>
      <c r="K160" s="24">
        <v>247.0</v>
      </c>
      <c r="L160" s="1" t="s">
        <v>1776</v>
      </c>
      <c r="M160" s="1" t="s">
        <v>2128</v>
      </c>
      <c r="N160" s="63" t="s">
        <v>1302</v>
      </c>
      <c r="O160" s="63" t="s">
        <v>1302</v>
      </c>
      <c r="P160" s="68">
        <v>30.0</v>
      </c>
      <c r="Q160" s="1" t="s">
        <v>2130</v>
      </c>
      <c r="R160" s="1" t="s">
        <v>13</v>
      </c>
      <c r="S160" s="1"/>
      <c r="T160" s="1"/>
      <c r="U160" s="1" t="s">
        <v>1307</v>
      </c>
      <c r="V160" s="1" t="s">
        <v>1307</v>
      </c>
      <c r="W160" s="145">
        <f t="shared" si="1"/>
        <v>0.00003585437364</v>
      </c>
      <c r="AC160" s="38"/>
    </row>
    <row r="161" ht="15.75" customHeight="1">
      <c r="A161" s="1" t="s">
        <v>2087</v>
      </c>
      <c r="B161" s="1" t="s">
        <v>2127</v>
      </c>
      <c r="C161" s="63">
        <v>46218.0</v>
      </c>
      <c r="D161" s="63" t="s">
        <v>130</v>
      </c>
      <c r="E161" s="68">
        <v>0.99023332</v>
      </c>
      <c r="F161" s="1"/>
      <c r="G161" s="23">
        <v>1297647.84</v>
      </c>
      <c r="H161" s="23">
        <v>1284974.13</v>
      </c>
      <c r="I161" s="23">
        <v>1297647.84</v>
      </c>
      <c r="J161" s="23">
        <v>1284974.13</v>
      </c>
      <c r="K161" s="24">
        <v>6.7473975E7</v>
      </c>
      <c r="L161" s="1" t="s">
        <v>1776</v>
      </c>
      <c r="M161" s="1" t="s">
        <v>2128</v>
      </c>
      <c r="N161" s="63" t="s">
        <v>1302</v>
      </c>
      <c r="O161" s="63" t="s">
        <v>1302</v>
      </c>
      <c r="P161" s="68">
        <v>30.0</v>
      </c>
      <c r="Q161" s="1" t="s">
        <v>2130</v>
      </c>
      <c r="R161" s="1" t="s">
        <v>13</v>
      </c>
      <c r="S161" s="1"/>
      <c r="T161" s="1"/>
      <c r="U161" s="1" t="s">
        <v>1301</v>
      </c>
      <c r="V161" s="1" t="s">
        <v>1301</v>
      </c>
      <c r="W161" s="145">
        <f t="shared" si="1"/>
        <v>0.00002628544248</v>
      </c>
      <c r="AC161" s="38"/>
    </row>
    <row r="162" ht="15.75" customHeight="1">
      <c r="A162" s="1" t="s">
        <v>1916</v>
      </c>
      <c r="B162" s="1" t="s">
        <v>2127</v>
      </c>
      <c r="C162" s="63">
        <v>46219.0</v>
      </c>
      <c r="D162" s="63" t="s">
        <v>130</v>
      </c>
      <c r="E162" s="68">
        <v>0.99082469</v>
      </c>
      <c r="F162" s="1"/>
      <c r="G162" s="23">
        <v>9.69599488E7</v>
      </c>
      <c r="H162" s="23">
        <v>9.60703114E7</v>
      </c>
      <c r="I162" s="23">
        <v>9.69599488E7</v>
      </c>
      <c r="J162" s="23">
        <v>9.60703114E7</v>
      </c>
      <c r="K162" s="24">
        <v>1289.0</v>
      </c>
      <c r="L162" s="1" t="s">
        <v>1776</v>
      </c>
      <c r="M162" s="1" t="s">
        <v>2128</v>
      </c>
      <c r="N162" s="63" t="s">
        <v>676</v>
      </c>
      <c r="O162" s="63" t="s">
        <v>676</v>
      </c>
      <c r="P162" s="68">
        <v>26.0</v>
      </c>
      <c r="Q162" s="1" t="s">
        <v>2130</v>
      </c>
      <c r="R162" s="1" t="s">
        <v>13</v>
      </c>
      <c r="S162" s="1"/>
      <c r="T162" s="1"/>
      <c r="U162" s="1" t="s">
        <v>695</v>
      </c>
      <c r="V162" s="1" t="s">
        <v>695</v>
      </c>
      <c r="W162" s="145">
        <f t="shared" si="1"/>
        <v>0.001965215163</v>
      </c>
    </row>
    <row r="163" ht="15.75" customHeight="1">
      <c r="A163" s="1" t="s">
        <v>1960</v>
      </c>
      <c r="B163" s="1" t="s">
        <v>2127</v>
      </c>
      <c r="C163" s="63">
        <v>46219.0</v>
      </c>
      <c r="D163" s="63" t="s">
        <v>130</v>
      </c>
      <c r="E163" s="68">
        <v>0.99012587</v>
      </c>
      <c r="F163" s="1"/>
      <c r="G163" s="23">
        <v>6500000.0</v>
      </c>
      <c r="H163" s="23">
        <v>6435818.16</v>
      </c>
      <c r="I163" s="23">
        <v>6500000.0</v>
      </c>
      <c r="J163" s="23">
        <v>6435818.16</v>
      </c>
      <c r="K163" s="24">
        <v>2.9175488E7</v>
      </c>
      <c r="L163" s="1" t="s">
        <v>1776</v>
      </c>
      <c r="M163" s="1" t="s">
        <v>2128</v>
      </c>
      <c r="N163" s="63" t="s">
        <v>676</v>
      </c>
      <c r="O163" s="63" t="s">
        <v>676</v>
      </c>
      <c r="P163" s="68">
        <v>28.0</v>
      </c>
      <c r="Q163" s="1" t="s">
        <v>2130</v>
      </c>
      <c r="R163" s="1" t="s">
        <v>13</v>
      </c>
      <c r="S163" s="1"/>
      <c r="T163" s="1"/>
      <c r="U163" s="1" t="s">
        <v>683</v>
      </c>
      <c r="V163" s="1" t="s">
        <v>683</v>
      </c>
      <c r="W163" s="145">
        <f t="shared" si="1"/>
        <v>0.0001316511548</v>
      </c>
      <c r="AC163" s="38"/>
    </row>
    <row r="164" ht="15.75" customHeight="1">
      <c r="A164" s="1" t="s">
        <v>2023</v>
      </c>
      <c r="B164" s="1" t="s">
        <v>2127</v>
      </c>
      <c r="C164" s="63">
        <v>46219.0</v>
      </c>
      <c r="D164" s="63" t="s">
        <v>130</v>
      </c>
      <c r="E164" s="68">
        <v>0.98942806</v>
      </c>
      <c r="F164" s="1"/>
      <c r="G164" s="23">
        <v>1.47E7</v>
      </c>
      <c r="H164" s="23">
        <v>1.45445925E7</v>
      </c>
      <c r="I164" s="23">
        <v>1.47E7</v>
      </c>
      <c r="J164" s="23">
        <v>1.45445925E7</v>
      </c>
      <c r="K164" s="24">
        <v>6.6589641E7</v>
      </c>
      <c r="L164" s="1" t="s">
        <v>1776</v>
      </c>
      <c r="M164" s="1" t="s">
        <v>2128</v>
      </c>
      <c r="N164" s="63" t="s">
        <v>624</v>
      </c>
      <c r="O164" s="63" t="s">
        <v>624</v>
      </c>
      <c r="P164" s="68">
        <v>30.0</v>
      </c>
      <c r="Q164" s="1" t="s">
        <v>2130</v>
      </c>
      <c r="R164" s="1" t="s">
        <v>13</v>
      </c>
      <c r="S164" s="1"/>
      <c r="T164" s="1"/>
      <c r="U164" s="1" t="s">
        <v>623</v>
      </c>
      <c r="V164" s="1" t="s">
        <v>623</v>
      </c>
      <c r="W164" s="145">
        <f t="shared" si="1"/>
        <v>0.0002975243164</v>
      </c>
      <c r="AC164" s="38"/>
    </row>
    <row r="165" ht="15.75" customHeight="1">
      <c r="A165" s="1" t="s">
        <v>2082</v>
      </c>
      <c r="B165" s="1" t="s">
        <v>2127</v>
      </c>
      <c r="C165" s="63">
        <v>46219.0</v>
      </c>
      <c r="D165" s="63" t="s">
        <v>130</v>
      </c>
      <c r="E165" s="68">
        <v>0.98838319</v>
      </c>
      <c r="F165" s="1"/>
      <c r="G165" s="23">
        <v>1449874.22</v>
      </c>
      <c r="H165" s="23">
        <v>1433031.31</v>
      </c>
      <c r="I165" s="23">
        <v>1449874.22</v>
      </c>
      <c r="J165" s="23">
        <v>1433031.31</v>
      </c>
      <c r="K165" s="24">
        <v>7704.0</v>
      </c>
      <c r="L165" s="1" t="s">
        <v>1776</v>
      </c>
      <c r="M165" s="1" t="s">
        <v>2128</v>
      </c>
      <c r="N165" s="63" t="s">
        <v>946</v>
      </c>
      <c r="O165" s="63" t="s">
        <v>946</v>
      </c>
      <c r="P165" s="68">
        <v>33.0</v>
      </c>
      <c r="Q165" s="1" t="s">
        <v>2130</v>
      </c>
      <c r="R165" s="1" t="s">
        <v>13</v>
      </c>
      <c r="S165" s="1"/>
      <c r="T165" s="1"/>
      <c r="U165" s="1" t="s">
        <v>1001</v>
      </c>
      <c r="V165" s="1" t="s">
        <v>1001</v>
      </c>
      <c r="W165" s="145">
        <f t="shared" si="1"/>
        <v>0.0000293141015</v>
      </c>
      <c r="AC165" s="38"/>
    </row>
    <row r="166" ht="15.75" customHeight="1">
      <c r="A166" s="1" t="s">
        <v>1961</v>
      </c>
      <c r="B166" s="1" t="s">
        <v>2127</v>
      </c>
      <c r="C166" s="63">
        <v>46219.0</v>
      </c>
      <c r="D166" s="63" t="s">
        <v>130</v>
      </c>
      <c r="E166" s="68">
        <v>0.9873404</v>
      </c>
      <c r="F166" s="1"/>
      <c r="G166" s="23">
        <v>3214300.0</v>
      </c>
      <c r="H166" s="23">
        <v>3173608.25</v>
      </c>
      <c r="I166" s="23">
        <v>3214300.0</v>
      </c>
      <c r="J166" s="23">
        <v>3173608.25</v>
      </c>
      <c r="K166" s="24">
        <v>2466.0</v>
      </c>
      <c r="L166" s="1" t="s">
        <v>1776</v>
      </c>
      <c r="M166" s="1" t="s">
        <v>2128</v>
      </c>
      <c r="N166" s="63" t="s">
        <v>676</v>
      </c>
      <c r="O166" s="63" t="s">
        <v>676</v>
      </c>
      <c r="P166" s="68">
        <v>36.0</v>
      </c>
      <c r="Q166" s="1" t="s">
        <v>2130</v>
      </c>
      <c r="R166" s="1" t="s">
        <v>13</v>
      </c>
      <c r="S166" s="1"/>
      <c r="T166" s="1"/>
      <c r="U166" s="1" t="s">
        <v>700</v>
      </c>
      <c r="V166" s="1" t="s">
        <v>700</v>
      </c>
      <c r="W166" s="145">
        <f t="shared" si="1"/>
        <v>0.0000649193592</v>
      </c>
      <c r="AC166" s="38"/>
    </row>
    <row r="167" ht="15.75" customHeight="1">
      <c r="A167" s="1" t="s">
        <v>1917</v>
      </c>
      <c r="B167" s="1" t="s">
        <v>2127</v>
      </c>
      <c r="C167" s="63">
        <v>46219.0</v>
      </c>
      <c r="D167" s="63" t="s">
        <v>130</v>
      </c>
      <c r="E167" s="68">
        <v>0.98942811</v>
      </c>
      <c r="F167" s="1"/>
      <c r="G167" s="23">
        <v>1.0E7</v>
      </c>
      <c r="H167" s="23">
        <v>9894281.1</v>
      </c>
      <c r="I167" s="23">
        <v>1.0E7</v>
      </c>
      <c r="J167" s="23">
        <v>9894281.1</v>
      </c>
      <c r="K167" s="24">
        <v>572.0</v>
      </c>
      <c r="L167" s="1" t="s">
        <v>1776</v>
      </c>
      <c r="M167" s="1" t="s">
        <v>2128</v>
      </c>
      <c r="N167" s="63" t="s">
        <v>1048</v>
      </c>
      <c r="O167" s="63" t="s">
        <v>1048</v>
      </c>
      <c r="P167" s="68">
        <v>30.0</v>
      </c>
      <c r="Q167" s="1" t="s">
        <v>2130</v>
      </c>
      <c r="R167" s="1" t="s">
        <v>13</v>
      </c>
      <c r="S167" s="1"/>
      <c r="T167" s="1"/>
      <c r="U167" s="1" t="s">
        <v>1054</v>
      </c>
      <c r="V167" s="1" t="s">
        <v>1054</v>
      </c>
      <c r="W167" s="145">
        <f t="shared" si="1"/>
        <v>0.0002023975041</v>
      </c>
      <c r="AC167" s="38"/>
    </row>
    <row r="168" ht="15.75" customHeight="1">
      <c r="A168" s="1" t="s">
        <v>1979</v>
      </c>
      <c r="B168" s="1" t="s">
        <v>2127</v>
      </c>
      <c r="C168" s="63">
        <v>46219.0</v>
      </c>
      <c r="D168" s="63" t="s">
        <v>130</v>
      </c>
      <c r="E168" s="68">
        <v>0.98595356</v>
      </c>
      <c r="F168" s="1"/>
      <c r="G168" s="23">
        <v>4100000.0</v>
      </c>
      <c r="H168" s="23">
        <v>4042409.61</v>
      </c>
      <c r="I168" s="23">
        <v>4100000.0</v>
      </c>
      <c r="J168" s="23">
        <v>4042409.61</v>
      </c>
      <c r="K168" s="24">
        <v>1019.0</v>
      </c>
      <c r="L168" s="1" t="s">
        <v>1776</v>
      </c>
      <c r="M168" s="1" t="s">
        <v>2128</v>
      </c>
      <c r="N168" s="63" t="s">
        <v>177</v>
      </c>
      <c r="O168" s="63" t="s">
        <v>177</v>
      </c>
      <c r="P168" s="68">
        <v>40.0</v>
      </c>
      <c r="Q168" s="1" t="s">
        <v>2130</v>
      </c>
      <c r="R168" s="1" t="s">
        <v>13</v>
      </c>
      <c r="S168" s="1"/>
      <c r="T168" s="1"/>
      <c r="U168" s="1" t="s">
        <v>176</v>
      </c>
      <c r="V168" s="1" t="s">
        <v>176</v>
      </c>
      <c r="W168" s="145">
        <f t="shared" si="1"/>
        <v>0.00008269156772</v>
      </c>
      <c r="AC168" s="38"/>
    </row>
    <row r="169" ht="15.75" customHeight="1">
      <c r="A169" s="1" t="s">
        <v>1949</v>
      </c>
      <c r="B169" s="1" t="s">
        <v>2127</v>
      </c>
      <c r="C169" s="63">
        <v>46219.0</v>
      </c>
      <c r="D169" s="63" t="s">
        <v>130</v>
      </c>
      <c r="E169" s="68">
        <v>0.98526158</v>
      </c>
      <c r="F169" s="1"/>
      <c r="G169" s="23">
        <v>2.0E7</v>
      </c>
      <c r="H169" s="23">
        <v>1.970523163E7</v>
      </c>
      <c r="I169" s="23">
        <v>2.0E7</v>
      </c>
      <c r="J169" s="23">
        <v>1.970523163E7</v>
      </c>
      <c r="K169" s="24">
        <v>4021.0</v>
      </c>
      <c r="L169" s="1" t="s">
        <v>1776</v>
      </c>
      <c r="M169" s="1" t="s">
        <v>2128</v>
      </c>
      <c r="N169" s="63" t="s">
        <v>198</v>
      </c>
      <c r="O169" s="63" t="s">
        <v>198</v>
      </c>
      <c r="P169" s="68">
        <v>42.0</v>
      </c>
      <c r="Q169" s="1" t="s">
        <v>2130</v>
      </c>
      <c r="R169" s="1" t="s">
        <v>13</v>
      </c>
      <c r="S169" s="1"/>
      <c r="T169" s="1"/>
      <c r="U169" s="1" t="s">
        <v>200</v>
      </c>
      <c r="V169" s="1" t="s">
        <v>200</v>
      </c>
      <c r="W169" s="145">
        <f t="shared" si="1"/>
        <v>0.0004030903973</v>
      </c>
      <c r="AC169" s="38"/>
    </row>
    <row r="170" ht="15.75" customHeight="1">
      <c r="A170" s="1" t="s">
        <v>1934</v>
      </c>
      <c r="B170" s="1" t="s">
        <v>2127</v>
      </c>
      <c r="C170" s="63">
        <v>46219.0</v>
      </c>
      <c r="D170" s="63" t="s">
        <v>130</v>
      </c>
      <c r="E170" s="68">
        <v>0.99047517</v>
      </c>
      <c r="F170" s="1"/>
      <c r="G170" s="23">
        <v>1.3E8</v>
      </c>
      <c r="H170" s="23">
        <v>1.2876177205E8</v>
      </c>
      <c r="I170" s="23">
        <v>1.3E8</v>
      </c>
      <c r="J170" s="23">
        <v>1.2876177205E8</v>
      </c>
      <c r="K170" s="24">
        <v>31.0</v>
      </c>
      <c r="L170" s="1" t="s">
        <v>1776</v>
      </c>
      <c r="M170" s="1" t="s">
        <v>2128</v>
      </c>
      <c r="N170" s="63" t="s">
        <v>307</v>
      </c>
      <c r="O170" s="63" t="s">
        <v>307</v>
      </c>
      <c r="P170" s="68">
        <v>27.0</v>
      </c>
      <c r="Q170" s="1" t="s">
        <v>2130</v>
      </c>
      <c r="R170" s="1" t="s">
        <v>13</v>
      </c>
      <c r="S170" s="1"/>
      <c r="T170" s="1"/>
      <c r="U170" s="1" t="s">
        <v>318</v>
      </c>
      <c r="V170" s="1" t="s">
        <v>318</v>
      </c>
      <c r="W170" s="145">
        <f t="shared" si="1"/>
        <v>0.002633951979</v>
      </c>
      <c r="AC170" s="38"/>
    </row>
    <row r="171" ht="15.75" customHeight="1">
      <c r="A171" s="1" t="s">
        <v>1934</v>
      </c>
      <c r="B171" s="1" t="s">
        <v>2127</v>
      </c>
      <c r="C171" s="63">
        <v>46219.0</v>
      </c>
      <c r="D171" s="63" t="s">
        <v>130</v>
      </c>
      <c r="E171" s="68">
        <v>0.99047517</v>
      </c>
      <c r="F171" s="1"/>
      <c r="G171" s="23">
        <v>1.5E8</v>
      </c>
      <c r="H171" s="23">
        <v>1.4857127544E8</v>
      </c>
      <c r="I171" s="23">
        <v>1.5E8</v>
      </c>
      <c r="J171" s="23">
        <v>1.4857127544E8</v>
      </c>
      <c r="K171" s="24">
        <v>30.0</v>
      </c>
      <c r="L171" s="1" t="s">
        <v>1776</v>
      </c>
      <c r="M171" s="1" t="s">
        <v>2128</v>
      </c>
      <c r="N171" s="63" t="s">
        <v>307</v>
      </c>
      <c r="O171" s="63" t="s">
        <v>307</v>
      </c>
      <c r="P171" s="68">
        <v>27.0</v>
      </c>
      <c r="Q171" s="1" t="s">
        <v>2130</v>
      </c>
      <c r="R171" s="1" t="s">
        <v>13</v>
      </c>
      <c r="S171" s="1"/>
      <c r="T171" s="1"/>
      <c r="U171" s="1" t="s">
        <v>319</v>
      </c>
      <c r="V171" s="1" t="s">
        <v>319</v>
      </c>
      <c r="W171" s="145">
        <f t="shared" si="1"/>
        <v>0.003039175361</v>
      </c>
      <c r="AC171" s="38"/>
    </row>
    <row r="172" ht="15.75" customHeight="1">
      <c r="A172" s="1" t="s">
        <v>1826</v>
      </c>
      <c r="B172" s="1" t="s">
        <v>2127</v>
      </c>
      <c r="C172" s="63">
        <v>46219.0</v>
      </c>
      <c r="D172" s="63" t="s">
        <v>130</v>
      </c>
      <c r="E172" s="68">
        <v>0.98664652</v>
      </c>
      <c r="F172" s="1"/>
      <c r="G172" s="23">
        <v>5450000.0</v>
      </c>
      <c r="H172" s="23">
        <v>5377223.56</v>
      </c>
      <c r="I172" s="23">
        <v>5450000.0</v>
      </c>
      <c r="J172" s="23">
        <v>5377223.56</v>
      </c>
      <c r="K172" s="24">
        <v>28515.0</v>
      </c>
      <c r="L172" s="1" t="s">
        <v>1776</v>
      </c>
      <c r="M172" s="1" t="s">
        <v>2128</v>
      </c>
      <c r="N172" s="63" t="s">
        <v>241</v>
      </c>
      <c r="O172" s="63" t="s">
        <v>241</v>
      </c>
      <c r="P172" s="68">
        <v>38.0</v>
      </c>
      <c r="Q172" s="1" t="s">
        <v>2130</v>
      </c>
      <c r="R172" s="1" t="s">
        <v>13</v>
      </c>
      <c r="S172" s="1"/>
      <c r="T172" s="1"/>
      <c r="U172" s="1" t="s">
        <v>242</v>
      </c>
      <c r="V172" s="1" t="s">
        <v>242</v>
      </c>
      <c r="W172" s="145">
        <f t="shared" si="1"/>
        <v>0.000109996534</v>
      </c>
      <c r="AC172" s="38"/>
    </row>
    <row r="173" ht="15.75" customHeight="1">
      <c r="A173" s="1" t="s">
        <v>2007</v>
      </c>
      <c r="B173" s="1" t="s">
        <v>2127</v>
      </c>
      <c r="C173" s="63">
        <v>46219.0</v>
      </c>
      <c r="D173" s="63" t="s">
        <v>130</v>
      </c>
      <c r="E173" s="68">
        <v>0.98942826</v>
      </c>
      <c r="F173" s="1"/>
      <c r="G173" s="23">
        <v>4118080.0</v>
      </c>
      <c r="H173" s="23">
        <v>4074544.71</v>
      </c>
      <c r="I173" s="23">
        <v>4118080.0</v>
      </c>
      <c r="J173" s="23">
        <v>4074544.71</v>
      </c>
      <c r="K173" s="24">
        <v>9.0044262E7</v>
      </c>
      <c r="L173" s="1" t="s">
        <v>1776</v>
      </c>
      <c r="M173" s="1" t="s">
        <v>2128</v>
      </c>
      <c r="N173" s="63" t="s">
        <v>1571</v>
      </c>
      <c r="O173" s="63" t="s">
        <v>1571</v>
      </c>
      <c r="P173" s="68">
        <v>30.0</v>
      </c>
      <c r="Q173" s="1" t="s">
        <v>2130</v>
      </c>
      <c r="R173" s="1" t="s">
        <v>13</v>
      </c>
      <c r="S173" s="1"/>
      <c r="T173" s="1"/>
      <c r="U173" s="1" t="s">
        <v>1573</v>
      </c>
      <c r="V173" s="1" t="s">
        <v>1573</v>
      </c>
      <c r="W173" s="145">
        <f t="shared" si="1"/>
        <v>0.00008334892362</v>
      </c>
      <c r="AC173" s="38"/>
    </row>
    <row r="174" ht="15.75" customHeight="1">
      <c r="A174" s="1" t="s">
        <v>2007</v>
      </c>
      <c r="B174" s="1" t="s">
        <v>2127</v>
      </c>
      <c r="C174" s="63">
        <v>46219.0</v>
      </c>
      <c r="D174" s="63" t="s">
        <v>130</v>
      </c>
      <c r="E174" s="68">
        <v>0.9894282</v>
      </c>
      <c r="F174" s="1"/>
      <c r="G174" s="23">
        <v>5667008.0</v>
      </c>
      <c r="H174" s="23">
        <v>5607097.51</v>
      </c>
      <c r="I174" s="23">
        <v>5667008.0</v>
      </c>
      <c r="J174" s="23">
        <v>5607097.51</v>
      </c>
      <c r="K174" s="24">
        <v>9.0044266E7</v>
      </c>
      <c r="L174" s="1" t="s">
        <v>1776</v>
      </c>
      <c r="M174" s="1" t="s">
        <v>2128</v>
      </c>
      <c r="N174" s="63" t="s">
        <v>1412</v>
      </c>
      <c r="O174" s="63" t="s">
        <v>1412</v>
      </c>
      <c r="P174" s="68">
        <v>30.0</v>
      </c>
      <c r="Q174" s="1" t="s">
        <v>2130</v>
      </c>
      <c r="R174" s="1" t="s">
        <v>13</v>
      </c>
      <c r="S174" s="1"/>
      <c r="T174" s="1"/>
      <c r="U174" s="1" t="s">
        <v>1416</v>
      </c>
      <c r="V174" s="1" t="s">
        <v>1416</v>
      </c>
      <c r="W174" s="145">
        <f t="shared" si="1"/>
        <v>0.0001146988376</v>
      </c>
      <c r="AC174" s="38"/>
    </row>
    <row r="175" ht="15.75" customHeight="1">
      <c r="A175" s="1" t="s">
        <v>1903</v>
      </c>
      <c r="B175" s="1" t="s">
        <v>2127</v>
      </c>
      <c r="C175" s="63">
        <v>46219.0</v>
      </c>
      <c r="D175" s="63" t="s">
        <v>130</v>
      </c>
      <c r="E175" s="68">
        <v>0.98977684</v>
      </c>
      <c r="F175" s="1"/>
      <c r="G175" s="23">
        <v>1200000.0</v>
      </c>
      <c r="H175" s="23">
        <v>1187732.21</v>
      </c>
      <c r="I175" s="23">
        <v>1200000.0</v>
      </c>
      <c r="J175" s="23">
        <v>1187732.21</v>
      </c>
      <c r="K175" s="24">
        <v>544.0</v>
      </c>
      <c r="L175" s="1" t="s">
        <v>1776</v>
      </c>
      <c r="M175" s="1" t="s">
        <v>2128</v>
      </c>
      <c r="N175" s="63" t="s">
        <v>608</v>
      </c>
      <c r="O175" s="63" t="s">
        <v>608</v>
      </c>
      <c r="P175" s="68">
        <v>29.0</v>
      </c>
      <c r="Q175" s="1" t="s">
        <v>2130</v>
      </c>
      <c r="R175" s="1" t="s">
        <v>13</v>
      </c>
      <c r="S175" s="1"/>
      <c r="T175" s="1"/>
      <c r="U175" s="1" t="s">
        <v>614</v>
      </c>
      <c r="V175" s="1" t="s">
        <v>614</v>
      </c>
      <c r="W175" s="145">
        <f t="shared" si="1"/>
        <v>0.00002429626088</v>
      </c>
      <c r="AC175" s="38"/>
    </row>
    <row r="176" ht="15.75" customHeight="1">
      <c r="A176" s="1" t="s">
        <v>1967</v>
      </c>
      <c r="B176" s="1" t="s">
        <v>2127</v>
      </c>
      <c r="C176" s="63">
        <v>46219.0</v>
      </c>
      <c r="D176" s="63" t="s">
        <v>130</v>
      </c>
      <c r="E176" s="68">
        <v>0.98734043</v>
      </c>
      <c r="F176" s="1"/>
      <c r="G176" s="23">
        <v>3750000.0</v>
      </c>
      <c r="H176" s="23">
        <v>3702526.62</v>
      </c>
      <c r="I176" s="23">
        <v>3750000.0</v>
      </c>
      <c r="J176" s="23">
        <v>3702526.62</v>
      </c>
      <c r="K176" s="24">
        <v>4.0742997E7</v>
      </c>
      <c r="L176" s="1" t="s">
        <v>1776</v>
      </c>
      <c r="M176" s="1" t="s">
        <v>2128</v>
      </c>
      <c r="N176" s="63" t="s">
        <v>849</v>
      </c>
      <c r="O176" s="63" t="s">
        <v>849</v>
      </c>
      <c r="P176" s="68">
        <v>36.0</v>
      </c>
      <c r="Q176" s="1" t="s">
        <v>2130</v>
      </c>
      <c r="R176" s="1" t="s">
        <v>13</v>
      </c>
      <c r="S176" s="1"/>
      <c r="T176" s="1"/>
      <c r="U176" s="1" t="s">
        <v>858</v>
      </c>
      <c r="V176" s="1" t="s">
        <v>858</v>
      </c>
      <c r="W176" s="145">
        <f t="shared" si="1"/>
        <v>0.00007573891819</v>
      </c>
      <c r="AC176" s="38"/>
    </row>
    <row r="177" ht="15.75" customHeight="1">
      <c r="A177" s="1" t="s">
        <v>2064</v>
      </c>
      <c r="B177" s="1" t="s">
        <v>2127</v>
      </c>
      <c r="C177" s="63">
        <v>46219.0</v>
      </c>
      <c r="D177" s="63" t="s">
        <v>130</v>
      </c>
      <c r="E177" s="68">
        <v>0.98838318</v>
      </c>
      <c r="F177" s="1"/>
      <c r="G177" s="23">
        <v>1918075.9</v>
      </c>
      <c r="H177" s="23">
        <v>1895793.96</v>
      </c>
      <c r="I177" s="23">
        <v>1918075.9</v>
      </c>
      <c r="J177" s="23">
        <v>1895793.96</v>
      </c>
      <c r="K177" s="24">
        <v>9.0015592E7</v>
      </c>
      <c r="L177" s="1" t="s">
        <v>1776</v>
      </c>
      <c r="M177" s="1" t="s">
        <v>2128</v>
      </c>
      <c r="N177" s="63" t="s">
        <v>946</v>
      </c>
      <c r="O177" s="63" t="s">
        <v>946</v>
      </c>
      <c r="P177" s="68">
        <v>33.0</v>
      </c>
      <c r="Q177" s="1" t="s">
        <v>2130</v>
      </c>
      <c r="R177" s="1" t="s">
        <v>13</v>
      </c>
      <c r="S177" s="1"/>
      <c r="T177" s="1"/>
      <c r="U177" s="1" t="s">
        <v>1030</v>
      </c>
      <c r="V177" s="1" t="s">
        <v>1030</v>
      </c>
      <c r="W177" s="145">
        <f t="shared" si="1"/>
        <v>0.00003878037847</v>
      </c>
      <c r="AC177" s="38"/>
    </row>
    <row r="178" ht="15.75" customHeight="1">
      <c r="A178" s="1" t="s">
        <v>1921</v>
      </c>
      <c r="B178" s="1" t="s">
        <v>2127</v>
      </c>
      <c r="C178" s="63">
        <v>46219.0</v>
      </c>
      <c r="D178" s="63" t="s">
        <v>130</v>
      </c>
      <c r="E178" s="68">
        <v>0.9911746</v>
      </c>
      <c r="F178" s="1"/>
      <c r="G178" s="23">
        <v>562500.0</v>
      </c>
      <c r="H178" s="23">
        <v>557535.71</v>
      </c>
      <c r="I178" s="23">
        <v>562500.0</v>
      </c>
      <c r="J178" s="23">
        <v>557535.71</v>
      </c>
      <c r="K178" s="24">
        <v>1125.0</v>
      </c>
      <c r="L178" s="1" t="s">
        <v>1776</v>
      </c>
      <c r="M178" s="1" t="s">
        <v>2128</v>
      </c>
      <c r="N178" s="63" t="s">
        <v>1488</v>
      </c>
      <c r="O178" s="63" t="s">
        <v>1488</v>
      </c>
      <c r="P178" s="68">
        <v>25.0</v>
      </c>
      <c r="Q178" s="1" t="s">
        <v>2130</v>
      </c>
      <c r="R178" s="1" t="s">
        <v>13</v>
      </c>
      <c r="S178" s="1"/>
      <c r="T178" s="1"/>
      <c r="U178" s="1" t="s">
        <v>1506</v>
      </c>
      <c r="V178" s="1" t="s">
        <v>1506</v>
      </c>
      <c r="W178" s="145">
        <f t="shared" si="1"/>
        <v>0.00001140495555</v>
      </c>
      <c r="AC178" s="38"/>
    </row>
    <row r="179" ht="15.75" customHeight="1">
      <c r="A179" s="1" t="s">
        <v>2016</v>
      </c>
      <c r="B179" s="1" t="s">
        <v>2127</v>
      </c>
      <c r="C179" s="63">
        <v>46219.0</v>
      </c>
      <c r="D179" s="63" t="s">
        <v>130</v>
      </c>
      <c r="E179" s="68">
        <v>0.98491595</v>
      </c>
      <c r="F179" s="1"/>
      <c r="G179" s="23">
        <v>3500000.0</v>
      </c>
      <c r="H179" s="23">
        <v>3447205.82</v>
      </c>
      <c r="I179" s="23">
        <v>3500000.0</v>
      </c>
      <c r="J179" s="23">
        <v>3447205.82</v>
      </c>
      <c r="K179" s="24">
        <v>3072.0</v>
      </c>
      <c r="L179" s="1" t="s">
        <v>1776</v>
      </c>
      <c r="M179" s="1" t="s">
        <v>2128</v>
      </c>
      <c r="N179" s="63" t="s">
        <v>154</v>
      </c>
      <c r="O179" s="63" t="s">
        <v>154</v>
      </c>
      <c r="P179" s="68">
        <v>43.0</v>
      </c>
      <c r="Q179" s="1" t="s">
        <v>2130</v>
      </c>
      <c r="R179" s="1" t="s">
        <v>13</v>
      </c>
      <c r="S179" s="1"/>
      <c r="T179" s="1"/>
      <c r="U179" s="1" t="s">
        <v>162</v>
      </c>
      <c r="V179" s="1" t="s">
        <v>162</v>
      </c>
      <c r="W179" s="145">
        <f t="shared" si="1"/>
        <v>0.00007051607358</v>
      </c>
      <c r="AC179" s="38"/>
    </row>
    <row r="180" ht="15.75" customHeight="1">
      <c r="A180" s="1" t="s">
        <v>1941</v>
      </c>
      <c r="B180" s="1" t="s">
        <v>2127</v>
      </c>
      <c r="C180" s="63">
        <v>46219.0</v>
      </c>
      <c r="D180" s="63" t="s">
        <v>130</v>
      </c>
      <c r="E180" s="68">
        <v>0.9922254</v>
      </c>
      <c r="F180" s="1"/>
      <c r="G180" s="23">
        <v>4.003169351E7</v>
      </c>
      <c r="H180" s="23">
        <v>3.972046303E7</v>
      </c>
      <c r="I180" s="23">
        <v>4.003169351E7</v>
      </c>
      <c r="J180" s="23">
        <v>3.972046303E7</v>
      </c>
      <c r="K180" s="24">
        <v>5179.0</v>
      </c>
      <c r="L180" s="1" t="s">
        <v>1776</v>
      </c>
      <c r="M180" s="1" t="s">
        <v>2128</v>
      </c>
      <c r="N180" s="63" t="s">
        <v>130</v>
      </c>
      <c r="O180" s="63" t="s">
        <v>130</v>
      </c>
      <c r="P180" s="68">
        <v>22.0</v>
      </c>
      <c r="Q180" s="1" t="s">
        <v>2130</v>
      </c>
      <c r="R180" s="1" t="s">
        <v>13</v>
      </c>
      <c r="S180" s="1"/>
      <c r="T180" s="1"/>
      <c r="U180" s="1" t="s">
        <v>1646</v>
      </c>
      <c r="V180" s="1" t="s">
        <v>1646</v>
      </c>
      <c r="W180" s="145">
        <f t="shared" si="1"/>
        <v>0.0008125221527</v>
      </c>
      <c r="AC180" s="38"/>
    </row>
    <row r="181" ht="15.75" customHeight="1">
      <c r="A181" s="1" t="s">
        <v>2030</v>
      </c>
      <c r="B181" s="1" t="s">
        <v>2127</v>
      </c>
      <c r="C181" s="63">
        <v>46219.0</v>
      </c>
      <c r="D181" s="63" t="s">
        <v>130</v>
      </c>
      <c r="E181" s="68">
        <v>0.98838319</v>
      </c>
      <c r="F181" s="1"/>
      <c r="G181" s="23">
        <v>1701000.0</v>
      </c>
      <c r="H181" s="23">
        <v>1681239.81</v>
      </c>
      <c r="I181" s="23">
        <v>1701000.0</v>
      </c>
      <c r="J181" s="23">
        <v>1681239.81</v>
      </c>
      <c r="K181" s="24">
        <v>6.7242787E7</v>
      </c>
      <c r="L181" s="1" t="s">
        <v>1776</v>
      </c>
      <c r="M181" s="1" t="s">
        <v>2128</v>
      </c>
      <c r="N181" s="63" t="s">
        <v>946</v>
      </c>
      <c r="O181" s="63" t="s">
        <v>946</v>
      </c>
      <c r="P181" s="68">
        <v>33.0</v>
      </c>
      <c r="Q181" s="1" t="s">
        <v>2130</v>
      </c>
      <c r="R181" s="1" t="s">
        <v>13</v>
      </c>
      <c r="S181" s="1"/>
      <c r="T181" s="1"/>
      <c r="U181" s="1" t="s">
        <v>1017</v>
      </c>
      <c r="V181" s="1" t="s">
        <v>1017</v>
      </c>
      <c r="W181" s="145">
        <f t="shared" si="1"/>
        <v>0.00003439145683</v>
      </c>
      <c r="AC181" s="38"/>
    </row>
    <row r="182" ht="15.75" customHeight="1">
      <c r="A182" s="1" t="s">
        <v>2101</v>
      </c>
      <c r="B182" s="1" t="s">
        <v>2127</v>
      </c>
      <c r="C182" s="63">
        <v>46219.0</v>
      </c>
      <c r="D182" s="63" t="s">
        <v>130</v>
      </c>
      <c r="E182" s="68">
        <v>0.98942819</v>
      </c>
      <c r="F182" s="1"/>
      <c r="G182" s="23">
        <v>250772.5</v>
      </c>
      <c r="H182" s="23">
        <v>248121.38</v>
      </c>
      <c r="I182" s="23">
        <v>250772.5</v>
      </c>
      <c r="J182" s="23">
        <v>248121.38</v>
      </c>
      <c r="K182" s="24">
        <v>1080.0</v>
      </c>
      <c r="L182" s="1" t="s">
        <v>1776</v>
      </c>
      <c r="M182" s="1" t="s">
        <v>2128</v>
      </c>
      <c r="N182" s="63" t="s">
        <v>1488</v>
      </c>
      <c r="O182" s="63" t="s">
        <v>1488</v>
      </c>
      <c r="P182" s="68">
        <v>30.0</v>
      </c>
      <c r="Q182" s="1" t="s">
        <v>2130</v>
      </c>
      <c r="R182" s="1" t="s">
        <v>13</v>
      </c>
      <c r="S182" s="1"/>
      <c r="T182" s="1"/>
      <c r="U182" s="1" t="s">
        <v>1536</v>
      </c>
      <c r="V182" s="1" t="s">
        <v>1536</v>
      </c>
      <c r="W182" s="145">
        <f t="shared" si="1"/>
        <v>0.000005075573204</v>
      </c>
      <c r="AC182" s="38"/>
    </row>
    <row r="183" ht="15.75" customHeight="1">
      <c r="A183" s="1" t="s">
        <v>2052</v>
      </c>
      <c r="B183" s="1" t="s">
        <v>2127</v>
      </c>
      <c r="C183" s="63">
        <v>46219.0</v>
      </c>
      <c r="D183" s="63" t="s">
        <v>130</v>
      </c>
      <c r="E183" s="68">
        <v>0.98942818</v>
      </c>
      <c r="F183" s="1"/>
      <c r="G183" s="23">
        <v>830000.0</v>
      </c>
      <c r="H183" s="23">
        <v>821225.39</v>
      </c>
      <c r="I183" s="23">
        <v>830000.0</v>
      </c>
      <c r="J183" s="23">
        <v>821225.39</v>
      </c>
      <c r="K183" s="24">
        <v>9918433.0</v>
      </c>
      <c r="L183" s="1" t="s">
        <v>1776</v>
      </c>
      <c r="M183" s="1" t="s">
        <v>2128</v>
      </c>
      <c r="N183" s="63" t="s">
        <v>1488</v>
      </c>
      <c r="O183" s="63" t="s">
        <v>1488</v>
      </c>
      <c r="P183" s="68">
        <v>30.0</v>
      </c>
      <c r="Q183" s="1" t="s">
        <v>2130</v>
      </c>
      <c r="R183" s="1" t="s">
        <v>13</v>
      </c>
      <c r="S183" s="1"/>
      <c r="T183" s="1"/>
      <c r="U183" s="1" t="s">
        <v>1539</v>
      </c>
      <c r="V183" s="1" t="s">
        <v>1539</v>
      </c>
      <c r="W183" s="145">
        <f t="shared" si="1"/>
        <v>0.00001679899404</v>
      </c>
      <c r="AC183" s="38"/>
    </row>
    <row r="184" ht="15.75" customHeight="1">
      <c r="A184" s="1" t="s">
        <v>1916</v>
      </c>
      <c r="B184" s="1" t="s">
        <v>2127</v>
      </c>
      <c r="C184" s="63">
        <v>46220.0</v>
      </c>
      <c r="D184" s="63" t="s">
        <v>130</v>
      </c>
      <c r="E184" s="68">
        <v>0.9893744</v>
      </c>
      <c r="F184" s="1"/>
      <c r="G184" s="23">
        <v>1.5E7</v>
      </c>
      <c r="H184" s="23">
        <v>1.484061595E7</v>
      </c>
      <c r="I184" s="23">
        <v>1.5E7</v>
      </c>
      <c r="J184" s="23">
        <v>1.484061595E7</v>
      </c>
      <c r="K184" s="24">
        <v>2.9131904E7</v>
      </c>
      <c r="L184" s="1" t="s">
        <v>1776</v>
      </c>
      <c r="M184" s="1" t="s">
        <v>2128</v>
      </c>
      <c r="N184" s="63" t="s">
        <v>404</v>
      </c>
      <c r="O184" s="63" t="s">
        <v>404</v>
      </c>
      <c r="P184" s="68">
        <v>28.0</v>
      </c>
      <c r="Q184" s="1" t="s">
        <v>2130</v>
      </c>
      <c r="R184" s="1" t="s">
        <v>13</v>
      </c>
      <c r="S184" s="1"/>
      <c r="T184" s="1"/>
      <c r="U184" s="1" t="s">
        <v>438</v>
      </c>
      <c r="V184" s="1" t="s">
        <v>438</v>
      </c>
      <c r="W184" s="145">
        <f t="shared" si="1"/>
        <v>0.0003035797747</v>
      </c>
      <c r="AC184" s="38"/>
    </row>
    <row r="185" ht="15.75" customHeight="1">
      <c r="A185" s="1" t="s">
        <v>1994</v>
      </c>
      <c r="B185" s="1" t="s">
        <v>2127</v>
      </c>
      <c r="C185" s="63">
        <v>46220.0</v>
      </c>
      <c r="D185" s="63" t="s">
        <v>130</v>
      </c>
      <c r="E185" s="68">
        <v>0.98675321</v>
      </c>
      <c r="F185" s="1"/>
      <c r="G185" s="23">
        <v>1500000.0</v>
      </c>
      <c r="H185" s="23">
        <v>1480129.82</v>
      </c>
      <c r="I185" s="23">
        <v>1500000.0</v>
      </c>
      <c r="J185" s="23">
        <v>1480129.82</v>
      </c>
      <c r="K185" s="24">
        <v>1.0</v>
      </c>
      <c r="L185" s="1" t="s">
        <v>1776</v>
      </c>
      <c r="M185" s="1" t="s">
        <v>2128</v>
      </c>
      <c r="N185" s="63" t="s">
        <v>532</v>
      </c>
      <c r="O185" s="63" t="s">
        <v>532</v>
      </c>
      <c r="P185" s="68">
        <v>35.0</v>
      </c>
      <c r="Q185" s="1" t="s">
        <v>2130</v>
      </c>
      <c r="R185" s="1" t="s">
        <v>13</v>
      </c>
      <c r="S185" s="1"/>
      <c r="T185" s="1"/>
      <c r="U185" s="1" t="s">
        <v>533</v>
      </c>
      <c r="V185" s="1" t="s">
        <v>533</v>
      </c>
      <c r="W185" s="145">
        <f t="shared" si="1"/>
        <v>0.00003027754905</v>
      </c>
      <c r="AC185" s="38"/>
    </row>
    <row r="186" ht="15.75" customHeight="1">
      <c r="A186" s="1" t="s">
        <v>1961</v>
      </c>
      <c r="B186" s="1" t="s">
        <v>2127</v>
      </c>
      <c r="C186" s="63">
        <v>46220.0</v>
      </c>
      <c r="D186" s="63" t="s">
        <v>130</v>
      </c>
      <c r="E186" s="68">
        <v>0.9863799</v>
      </c>
      <c r="F186" s="1"/>
      <c r="G186" s="23">
        <v>1250000.0</v>
      </c>
      <c r="H186" s="23">
        <v>1232974.87</v>
      </c>
      <c r="I186" s="23">
        <v>1250000.0</v>
      </c>
      <c r="J186" s="23">
        <v>1232974.87</v>
      </c>
      <c r="K186" s="24">
        <v>2499.0</v>
      </c>
      <c r="L186" s="1" t="s">
        <v>1776</v>
      </c>
      <c r="M186" s="1" t="s">
        <v>2128</v>
      </c>
      <c r="N186" s="63" t="s">
        <v>807</v>
      </c>
      <c r="O186" s="63" t="s">
        <v>807</v>
      </c>
      <c r="P186" s="68">
        <v>36.0</v>
      </c>
      <c r="Q186" s="1" t="s">
        <v>2130</v>
      </c>
      <c r="R186" s="1" t="s">
        <v>13</v>
      </c>
      <c r="S186" s="1"/>
      <c r="T186" s="1"/>
      <c r="U186" s="1" t="s">
        <v>811</v>
      </c>
      <c r="V186" s="1" t="s">
        <v>811</v>
      </c>
      <c r="W186" s="145">
        <f t="shared" si="1"/>
        <v>0.00002522174515</v>
      </c>
      <c r="AC186" s="38"/>
    </row>
    <row r="187" ht="15.75" customHeight="1">
      <c r="A187" s="1" t="s">
        <v>2090</v>
      </c>
      <c r="B187" s="1" t="s">
        <v>2127</v>
      </c>
      <c r="C187" s="63">
        <v>46220.0</v>
      </c>
      <c r="D187" s="63" t="s">
        <v>130</v>
      </c>
      <c r="E187" s="68">
        <v>0.98750074</v>
      </c>
      <c r="F187" s="1"/>
      <c r="G187" s="23">
        <v>1151000.0</v>
      </c>
      <c r="H187" s="23">
        <v>1136613.35</v>
      </c>
      <c r="I187" s="23">
        <v>1151000.0</v>
      </c>
      <c r="J187" s="23">
        <v>1136613.35</v>
      </c>
      <c r="K187" s="24">
        <v>2.9109534E7</v>
      </c>
      <c r="L187" s="1" t="s">
        <v>1776</v>
      </c>
      <c r="M187" s="1" t="s">
        <v>2128</v>
      </c>
      <c r="N187" s="63" t="s">
        <v>946</v>
      </c>
      <c r="O187" s="63" t="s">
        <v>946</v>
      </c>
      <c r="P187" s="68">
        <v>33.0</v>
      </c>
      <c r="Q187" s="1" t="s">
        <v>2130</v>
      </c>
      <c r="R187" s="1" t="s">
        <v>13</v>
      </c>
      <c r="S187" s="1"/>
      <c r="T187" s="1"/>
      <c r="U187" s="1" t="s">
        <v>1005</v>
      </c>
      <c r="V187" s="1" t="s">
        <v>1005</v>
      </c>
      <c r="W187" s="145">
        <f t="shared" si="1"/>
        <v>0.00002325057302</v>
      </c>
      <c r="AC187" s="38"/>
    </row>
    <row r="188" ht="15.75" customHeight="1">
      <c r="A188" s="1" t="s">
        <v>1917</v>
      </c>
      <c r="B188" s="1" t="s">
        <v>2127</v>
      </c>
      <c r="C188" s="63">
        <v>46220.0</v>
      </c>
      <c r="D188" s="63" t="s">
        <v>130</v>
      </c>
      <c r="E188" s="68">
        <v>0.98862411</v>
      </c>
      <c r="F188" s="1"/>
      <c r="G188" s="23">
        <v>1.0E7</v>
      </c>
      <c r="H188" s="23">
        <v>9886241.1</v>
      </c>
      <c r="I188" s="23">
        <v>1.0E7</v>
      </c>
      <c r="J188" s="23">
        <v>9886241.1</v>
      </c>
      <c r="K188" s="24">
        <v>518.0</v>
      </c>
      <c r="L188" s="1" t="s">
        <v>1776</v>
      </c>
      <c r="M188" s="1" t="s">
        <v>2128</v>
      </c>
      <c r="N188" s="63" t="s">
        <v>827</v>
      </c>
      <c r="O188" s="63" t="s">
        <v>827</v>
      </c>
      <c r="P188" s="68">
        <v>30.0</v>
      </c>
      <c r="Q188" s="1" t="s">
        <v>2130</v>
      </c>
      <c r="R188" s="1" t="s">
        <v>13</v>
      </c>
      <c r="S188" s="1"/>
      <c r="T188" s="1"/>
      <c r="U188" s="1" t="s">
        <v>840</v>
      </c>
      <c r="V188" s="1" t="s">
        <v>840</v>
      </c>
      <c r="W188" s="145">
        <f t="shared" si="1"/>
        <v>0.0002022330378</v>
      </c>
      <c r="AC188" s="38"/>
    </row>
    <row r="189" ht="15.75" customHeight="1">
      <c r="A189" s="1" t="s">
        <v>1903</v>
      </c>
      <c r="B189" s="1" t="s">
        <v>2127</v>
      </c>
      <c r="C189" s="63">
        <v>46220.0</v>
      </c>
      <c r="D189" s="63" t="s">
        <v>130</v>
      </c>
      <c r="E189" s="68">
        <v>0.9889991</v>
      </c>
      <c r="F189" s="1"/>
      <c r="G189" s="23">
        <v>3500000.0</v>
      </c>
      <c r="H189" s="23">
        <v>3461496.85</v>
      </c>
      <c r="I189" s="23">
        <v>3500000.0</v>
      </c>
      <c r="J189" s="23">
        <v>3461496.85</v>
      </c>
      <c r="K189" s="24">
        <v>404.0</v>
      </c>
      <c r="L189" s="1" t="s">
        <v>1776</v>
      </c>
      <c r="M189" s="1" t="s">
        <v>2128</v>
      </c>
      <c r="N189" s="63" t="s">
        <v>446</v>
      </c>
      <c r="O189" s="63" t="s">
        <v>446</v>
      </c>
      <c r="P189" s="68">
        <v>29.0</v>
      </c>
      <c r="Q189" s="1" t="s">
        <v>2130</v>
      </c>
      <c r="R189" s="1" t="s">
        <v>13</v>
      </c>
      <c r="S189" s="1"/>
      <c r="T189" s="1"/>
      <c r="U189" s="1" t="s">
        <v>527</v>
      </c>
      <c r="V189" s="1" t="s">
        <v>527</v>
      </c>
      <c r="W189" s="145">
        <f t="shared" si="1"/>
        <v>0.00007080841102</v>
      </c>
      <c r="AC189" s="38"/>
    </row>
    <row r="190" ht="15.75" customHeight="1">
      <c r="A190" s="1" t="s">
        <v>1979</v>
      </c>
      <c r="B190" s="1" t="s">
        <v>2127</v>
      </c>
      <c r="C190" s="63">
        <v>46220.0</v>
      </c>
      <c r="D190" s="63" t="s">
        <v>130</v>
      </c>
      <c r="E190" s="68">
        <v>0.98488939</v>
      </c>
      <c r="F190" s="1"/>
      <c r="G190" s="23">
        <v>4100000.0</v>
      </c>
      <c r="H190" s="23">
        <v>4038046.48</v>
      </c>
      <c r="I190" s="23">
        <v>4100000.0</v>
      </c>
      <c r="J190" s="23">
        <v>4038046.48</v>
      </c>
      <c r="K190" s="24">
        <v>1020.0</v>
      </c>
      <c r="L190" s="1" t="s">
        <v>1776</v>
      </c>
      <c r="M190" s="1" t="s">
        <v>2128</v>
      </c>
      <c r="N190" s="63" t="s">
        <v>177</v>
      </c>
      <c r="O190" s="63" t="s">
        <v>177</v>
      </c>
      <c r="P190" s="68">
        <v>40.0</v>
      </c>
      <c r="Q190" s="1" t="s">
        <v>2130</v>
      </c>
      <c r="R190" s="1" t="s">
        <v>13</v>
      </c>
      <c r="S190" s="1"/>
      <c r="T190" s="1"/>
      <c r="U190" s="1" t="s">
        <v>178</v>
      </c>
      <c r="V190" s="1" t="s">
        <v>178</v>
      </c>
      <c r="W190" s="145">
        <f t="shared" si="1"/>
        <v>0.00008260231549</v>
      </c>
      <c r="AC190" s="38"/>
    </row>
    <row r="191" ht="15.75" customHeight="1">
      <c r="A191" s="1" t="s">
        <v>1924</v>
      </c>
      <c r="B191" s="1" t="s">
        <v>2127</v>
      </c>
      <c r="C191" s="63">
        <v>46220.0</v>
      </c>
      <c r="D191" s="63" t="s">
        <v>130</v>
      </c>
      <c r="E191" s="68">
        <v>0.98899912</v>
      </c>
      <c r="F191" s="1"/>
      <c r="G191" s="23">
        <v>7.0E7</v>
      </c>
      <c r="H191" s="23">
        <v>6.922993832E7</v>
      </c>
      <c r="I191" s="23">
        <v>7.0E7</v>
      </c>
      <c r="J191" s="23">
        <v>6.922993832E7</v>
      </c>
      <c r="K191" s="24">
        <v>9.0041868E7</v>
      </c>
      <c r="L191" s="1" t="s">
        <v>1776</v>
      </c>
      <c r="M191" s="1" t="s">
        <v>2128</v>
      </c>
      <c r="N191" s="63" t="s">
        <v>360</v>
      </c>
      <c r="O191" s="63" t="s">
        <v>360</v>
      </c>
      <c r="P191" s="68">
        <v>29.0</v>
      </c>
      <c r="Q191" s="1" t="s">
        <v>2130</v>
      </c>
      <c r="R191" s="1" t="s">
        <v>13</v>
      </c>
      <c r="S191" s="1"/>
      <c r="T191" s="1"/>
      <c r="U191" s="1" t="s">
        <v>374</v>
      </c>
      <c r="V191" s="1" t="s">
        <v>374</v>
      </c>
      <c r="W191" s="145">
        <f t="shared" si="1"/>
        <v>0.001416168247</v>
      </c>
      <c r="AC191" s="38"/>
    </row>
    <row r="192" ht="15.75" customHeight="1">
      <c r="A192" s="1" t="s">
        <v>1971</v>
      </c>
      <c r="B192" s="1" t="s">
        <v>2127</v>
      </c>
      <c r="C192" s="63">
        <v>46220.0</v>
      </c>
      <c r="D192" s="63" t="s">
        <v>130</v>
      </c>
      <c r="E192" s="68">
        <v>0.98563405</v>
      </c>
      <c r="F192" s="1"/>
      <c r="G192" s="23">
        <v>2.0E7</v>
      </c>
      <c r="H192" s="23">
        <v>1.971268096E7</v>
      </c>
      <c r="I192" s="23">
        <v>2.0E7</v>
      </c>
      <c r="J192" s="23">
        <v>1.971268096E7</v>
      </c>
      <c r="K192" s="24">
        <v>6.5800709E7</v>
      </c>
      <c r="L192" s="1" t="s">
        <v>1776</v>
      </c>
      <c r="M192" s="1" t="s">
        <v>2128</v>
      </c>
      <c r="N192" s="63" t="s">
        <v>198</v>
      </c>
      <c r="O192" s="63" t="s">
        <v>198</v>
      </c>
      <c r="P192" s="68">
        <v>38.0</v>
      </c>
      <c r="Q192" s="1" t="s">
        <v>2130</v>
      </c>
      <c r="R192" s="1" t="s">
        <v>13</v>
      </c>
      <c r="S192" s="1"/>
      <c r="T192" s="1"/>
      <c r="U192" s="1" t="s">
        <v>202</v>
      </c>
      <c r="V192" s="1" t="s">
        <v>202</v>
      </c>
      <c r="W192" s="145">
        <f t="shared" si="1"/>
        <v>0.0004032427809</v>
      </c>
      <c r="AC192" s="38"/>
    </row>
    <row r="193" ht="15.75" customHeight="1">
      <c r="A193" s="1" t="s">
        <v>1967</v>
      </c>
      <c r="B193" s="1" t="s">
        <v>2127</v>
      </c>
      <c r="C193" s="63">
        <v>46220.0</v>
      </c>
      <c r="D193" s="63" t="s">
        <v>130</v>
      </c>
      <c r="E193" s="68">
        <v>0.9860068</v>
      </c>
      <c r="F193" s="1"/>
      <c r="G193" s="23">
        <v>5000000.0</v>
      </c>
      <c r="H193" s="23">
        <v>4930034.02</v>
      </c>
      <c r="I193" s="23">
        <v>5000000.0</v>
      </c>
      <c r="J193" s="23">
        <v>4930034.02</v>
      </c>
      <c r="K193" s="24">
        <v>4.0734595E7</v>
      </c>
      <c r="L193" s="1" t="s">
        <v>1776</v>
      </c>
      <c r="M193" s="1" t="s">
        <v>2128</v>
      </c>
      <c r="N193" s="63" t="s">
        <v>704</v>
      </c>
      <c r="O193" s="63" t="s">
        <v>704</v>
      </c>
      <c r="P193" s="68">
        <v>37.0</v>
      </c>
      <c r="Q193" s="1" t="s">
        <v>2130</v>
      </c>
      <c r="R193" s="1" t="s">
        <v>13</v>
      </c>
      <c r="S193" s="1"/>
      <c r="T193" s="1"/>
      <c r="U193" s="1" t="s">
        <v>711</v>
      </c>
      <c r="V193" s="1" t="s">
        <v>711</v>
      </c>
      <c r="W193" s="145">
        <f t="shared" si="1"/>
        <v>0.0001008488207</v>
      </c>
      <c r="AC193" s="38"/>
    </row>
    <row r="194" ht="15.75" customHeight="1">
      <c r="A194" s="1" t="s">
        <v>1938</v>
      </c>
      <c r="B194" s="1" t="s">
        <v>2127</v>
      </c>
      <c r="C194" s="63">
        <v>46220.0</v>
      </c>
      <c r="D194" s="63" t="s">
        <v>130</v>
      </c>
      <c r="E194" s="68">
        <v>0.98451748</v>
      </c>
      <c r="F194" s="1"/>
      <c r="G194" s="23">
        <v>4.5E7</v>
      </c>
      <c r="H194" s="23">
        <v>4.430328665E7</v>
      </c>
      <c r="I194" s="23">
        <v>4.5E7</v>
      </c>
      <c r="J194" s="23">
        <v>4.430328665E7</v>
      </c>
      <c r="K194" s="24">
        <v>6.4885072E7</v>
      </c>
      <c r="L194" s="1" t="s">
        <v>1776</v>
      </c>
      <c r="M194" s="1" t="s">
        <v>2128</v>
      </c>
      <c r="N194" s="63" t="s">
        <v>154</v>
      </c>
      <c r="O194" s="63" t="s">
        <v>154</v>
      </c>
      <c r="P194" s="68">
        <v>41.0</v>
      </c>
      <c r="Q194" s="1" t="s">
        <v>2130</v>
      </c>
      <c r="R194" s="1" t="s">
        <v>13</v>
      </c>
      <c r="S194" s="1"/>
      <c r="T194" s="1"/>
      <c r="U194" s="1" t="s">
        <v>152</v>
      </c>
      <c r="V194" s="1" t="s">
        <v>152</v>
      </c>
      <c r="W194" s="145">
        <f t="shared" si="1"/>
        <v>0.0009062684343</v>
      </c>
      <c r="AC194" s="38"/>
    </row>
    <row r="195" ht="15.75" customHeight="1">
      <c r="A195" s="1" t="s">
        <v>1939</v>
      </c>
      <c r="B195" s="1" t="s">
        <v>2127</v>
      </c>
      <c r="C195" s="63">
        <v>46220.0</v>
      </c>
      <c r="D195" s="63" t="s">
        <v>130</v>
      </c>
      <c r="E195" s="68">
        <v>0.98488941</v>
      </c>
      <c r="F195" s="1"/>
      <c r="G195" s="23">
        <v>4.0E7</v>
      </c>
      <c r="H195" s="23">
        <v>3.939557628E7</v>
      </c>
      <c r="I195" s="23">
        <v>4.0E7</v>
      </c>
      <c r="J195" s="23">
        <v>3.939557628E7</v>
      </c>
      <c r="K195" s="24">
        <v>224.0</v>
      </c>
      <c r="L195" s="1" t="s">
        <v>1776</v>
      </c>
      <c r="M195" s="1" t="s">
        <v>2128</v>
      </c>
      <c r="N195" s="63" t="s">
        <v>192</v>
      </c>
      <c r="O195" s="63" t="s">
        <v>192</v>
      </c>
      <c r="P195" s="68">
        <v>40.0</v>
      </c>
      <c r="Q195" s="1" t="s">
        <v>2130</v>
      </c>
      <c r="R195" s="1" t="s">
        <v>13</v>
      </c>
      <c r="S195" s="1"/>
      <c r="T195" s="1"/>
      <c r="U195" s="1" t="s">
        <v>193</v>
      </c>
      <c r="V195" s="1" t="s">
        <v>193</v>
      </c>
      <c r="W195" s="145">
        <f t="shared" si="1"/>
        <v>0.0008058762664</v>
      </c>
      <c r="AC195" s="38"/>
    </row>
    <row r="196" ht="15.75" customHeight="1">
      <c r="A196" s="1" t="s">
        <v>1921</v>
      </c>
      <c r="B196" s="1" t="s">
        <v>2127</v>
      </c>
      <c r="C196" s="63">
        <v>46220.0</v>
      </c>
      <c r="D196" s="63" t="s">
        <v>130</v>
      </c>
      <c r="E196" s="68">
        <v>0.9905021</v>
      </c>
      <c r="F196" s="1"/>
      <c r="G196" s="23">
        <v>2224137.97</v>
      </c>
      <c r="H196" s="23">
        <v>2203013.33</v>
      </c>
      <c r="I196" s="23">
        <v>2224137.97</v>
      </c>
      <c r="J196" s="23">
        <v>2203013.33</v>
      </c>
      <c r="K196" s="24">
        <v>9856539.0</v>
      </c>
      <c r="L196" s="1" t="s">
        <v>1776</v>
      </c>
      <c r="M196" s="1" t="s">
        <v>2128</v>
      </c>
      <c r="N196" s="63" t="s">
        <v>1488</v>
      </c>
      <c r="O196" s="63" t="s">
        <v>1488</v>
      </c>
      <c r="P196" s="68">
        <v>25.0</v>
      </c>
      <c r="Q196" s="1" t="s">
        <v>2130</v>
      </c>
      <c r="R196" s="1" t="s">
        <v>13</v>
      </c>
      <c r="S196" s="1"/>
      <c r="T196" s="1"/>
      <c r="U196" s="1" t="s">
        <v>1504</v>
      </c>
      <c r="V196" s="1" t="s">
        <v>1504</v>
      </c>
      <c r="W196" s="145">
        <f t="shared" si="1"/>
        <v>0.0000450648607</v>
      </c>
      <c r="AC196" s="38"/>
    </row>
    <row r="197" ht="15.75" customHeight="1">
      <c r="A197" s="1" t="s">
        <v>1921</v>
      </c>
      <c r="B197" s="1" t="s">
        <v>2127</v>
      </c>
      <c r="C197" s="63">
        <v>46220.0</v>
      </c>
      <c r="D197" s="63" t="s">
        <v>130</v>
      </c>
      <c r="E197" s="68">
        <v>0.99050211</v>
      </c>
      <c r="F197" s="1"/>
      <c r="G197" s="23">
        <v>2275297.0</v>
      </c>
      <c r="H197" s="23">
        <v>2253686.47</v>
      </c>
      <c r="I197" s="23">
        <v>2275297.0</v>
      </c>
      <c r="J197" s="23">
        <v>2253686.47</v>
      </c>
      <c r="K197" s="24">
        <v>6.6998387E7</v>
      </c>
      <c r="L197" s="1" t="s">
        <v>1776</v>
      </c>
      <c r="M197" s="1" t="s">
        <v>2128</v>
      </c>
      <c r="N197" s="63" t="s">
        <v>1488</v>
      </c>
      <c r="O197" s="63" t="s">
        <v>1488</v>
      </c>
      <c r="P197" s="68">
        <v>25.0</v>
      </c>
      <c r="Q197" s="1" t="s">
        <v>2130</v>
      </c>
      <c r="R197" s="1" t="s">
        <v>13</v>
      </c>
      <c r="S197" s="1"/>
      <c r="T197" s="1"/>
      <c r="U197" s="1" t="s">
        <v>1505</v>
      </c>
      <c r="V197" s="1" t="s">
        <v>1505</v>
      </c>
      <c r="W197" s="145">
        <f t="shared" si="1"/>
        <v>0.00004610143091</v>
      </c>
      <c r="AC197" s="38"/>
    </row>
    <row r="198" ht="15.75" customHeight="1">
      <c r="A198" s="1" t="s">
        <v>2016</v>
      </c>
      <c r="B198" s="1" t="s">
        <v>2127</v>
      </c>
      <c r="C198" s="63">
        <v>46220.0</v>
      </c>
      <c r="D198" s="63" t="s">
        <v>130</v>
      </c>
      <c r="E198" s="68">
        <v>0.98377449</v>
      </c>
      <c r="F198" s="1"/>
      <c r="G198" s="23">
        <v>3500000.0</v>
      </c>
      <c r="H198" s="23">
        <v>3443210.71</v>
      </c>
      <c r="I198" s="23">
        <v>3500000.0</v>
      </c>
      <c r="J198" s="23">
        <v>3443210.71</v>
      </c>
      <c r="K198" s="24">
        <v>3073.0</v>
      </c>
      <c r="L198" s="1" t="s">
        <v>1776</v>
      </c>
      <c r="M198" s="1" t="s">
        <v>2128</v>
      </c>
      <c r="N198" s="63" t="s">
        <v>154</v>
      </c>
      <c r="O198" s="63" t="s">
        <v>154</v>
      </c>
      <c r="P198" s="68">
        <v>43.0</v>
      </c>
      <c r="Q198" s="1" t="s">
        <v>2130</v>
      </c>
      <c r="R198" s="1" t="s">
        <v>13</v>
      </c>
      <c r="S198" s="1"/>
      <c r="T198" s="1"/>
      <c r="U198" s="1" t="s">
        <v>165</v>
      </c>
      <c r="V198" s="1" t="s">
        <v>165</v>
      </c>
      <c r="W198" s="145">
        <f t="shared" si="1"/>
        <v>0.00007043434958</v>
      </c>
      <c r="AC198" s="38"/>
    </row>
    <row r="199" ht="15.75" customHeight="1">
      <c r="A199" s="1" t="s">
        <v>2006</v>
      </c>
      <c r="B199" s="1" t="s">
        <v>2127</v>
      </c>
      <c r="C199" s="63">
        <v>46220.0</v>
      </c>
      <c r="D199" s="63" t="s">
        <v>130</v>
      </c>
      <c r="E199" s="68">
        <v>0.98750068</v>
      </c>
      <c r="F199" s="1"/>
      <c r="G199" s="23">
        <v>2.474687131E7</v>
      </c>
      <c r="H199" s="23">
        <v>2.443755221E7</v>
      </c>
      <c r="I199" s="23">
        <v>2.474687131E7</v>
      </c>
      <c r="J199" s="23">
        <v>2.443755221E7</v>
      </c>
      <c r="K199" s="24">
        <v>89.0</v>
      </c>
      <c r="L199" s="1" t="s">
        <v>1776</v>
      </c>
      <c r="M199" s="1" t="s">
        <v>2128</v>
      </c>
      <c r="N199" s="63" t="s">
        <v>902</v>
      </c>
      <c r="O199" s="63" t="s">
        <v>902</v>
      </c>
      <c r="P199" s="68">
        <v>33.0</v>
      </c>
      <c r="Q199" s="1" t="s">
        <v>2130</v>
      </c>
      <c r="R199" s="1" t="s">
        <v>13</v>
      </c>
      <c r="S199" s="1"/>
      <c r="T199" s="1"/>
      <c r="U199" s="1" t="s">
        <v>922</v>
      </c>
      <c r="V199" s="1" t="s">
        <v>922</v>
      </c>
      <c r="W199" s="145">
        <f t="shared" si="1"/>
        <v>0.0004998947901</v>
      </c>
      <c r="AC199" s="38"/>
    </row>
    <row r="200" ht="15.75" customHeight="1">
      <c r="A200" s="1" t="s">
        <v>1926</v>
      </c>
      <c r="B200" s="1" t="s">
        <v>2127</v>
      </c>
      <c r="C200" s="63">
        <v>46220.0</v>
      </c>
      <c r="D200" s="63" t="s">
        <v>130</v>
      </c>
      <c r="E200" s="68">
        <v>0.98937441</v>
      </c>
      <c r="F200" s="1"/>
      <c r="G200" s="23">
        <v>1000000.0</v>
      </c>
      <c r="H200" s="23">
        <v>989374.41</v>
      </c>
      <c r="I200" s="23">
        <v>1000000.0</v>
      </c>
      <c r="J200" s="23">
        <v>989374.41</v>
      </c>
      <c r="K200" s="24">
        <v>1.0805445E7</v>
      </c>
      <c r="L200" s="1" t="s">
        <v>1776</v>
      </c>
      <c r="M200" s="1" t="s">
        <v>2128</v>
      </c>
      <c r="N200" s="63" t="s">
        <v>446</v>
      </c>
      <c r="O200" s="63" t="s">
        <v>446</v>
      </c>
      <c r="P200" s="68">
        <v>28.0</v>
      </c>
      <c r="Q200" s="1" t="s">
        <v>2130</v>
      </c>
      <c r="R200" s="1" t="s">
        <v>13</v>
      </c>
      <c r="S200" s="1"/>
      <c r="T200" s="1"/>
      <c r="U200" s="1" t="s">
        <v>489</v>
      </c>
      <c r="V200" s="1" t="s">
        <v>489</v>
      </c>
      <c r="W200" s="145">
        <f t="shared" si="1"/>
        <v>0.00002023865192</v>
      </c>
      <c r="AC200" s="38"/>
    </row>
    <row r="201" ht="15.75" customHeight="1">
      <c r="A201" s="1" t="s">
        <v>1948</v>
      </c>
      <c r="B201" s="1" t="s">
        <v>2127</v>
      </c>
      <c r="C201" s="63">
        <v>46220.0</v>
      </c>
      <c r="D201" s="63" t="s">
        <v>130</v>
      </c>
      <c r="E201" s="68">
        <v>0.98899909</v>
      </c>
      <c r="F201" s="1"/>
      <c r="G201" s="23">
        <v>1.25E7</v>
      </c>
      <c r="H201" s="23">
        <v>1.236248867E7</v>
      </c>
      <c r="I201" s="23">
        <v>1.25E7</v>
      </c>
      <c r="J201" s="23">
        <v>1.236248867E7</v>
      </c>
      <c r="K201" s="24">
        <v>2.8996509E7</v>
      </c>
      <c r="L201" s="1" t="s">
        <v>1776</v>
      </c>
      <c r="M201" s="1" t="s">
        <v>2128</v>
      </c>
      <c r="N201" s="63" t="s">
        <v>207</v>
      </c>
      <c r="O201" s="63" t="s">
        <v>207</v>
      </c>
      <c r="P201" s="68">
        <v>29.0</v>
      </c>
      <c r="Q201" s="1" t="s">
        <v>2130</v>
      </c>
      <c r="R201" s="1" t="s">
        <v>13</v>
      </c>
      <c r="S201" s="1"/>
      <c r="T201" s="1"/>
      <c r="U201" s="1" t="s">
        <v>213</v>
      </c>
      <c r="V201" s="1" t="s">
        <v>213</v>
      </c>
      <c r="W201" s="145">
        <f t="shared" si="1"/>
        <v>0.0002528871806</v>
      </c>
      <c r="AC201" s="38"/>
    </row>
    <row r="202" ht="15.75" customHeight="1">
      <c r="A202" s="1" t="s">
        <v>2060</v>
      </c>
      <c r="B202" s="1" t="s">
        <v>2127</v>
      </c>
      <c r="C202" s="63">
        <v>46220.0</v>
      </c>
      <c r="D202" s="63" t="s">
        <v>130</v>
      </c>
      <c r="E202" s="68">
        <v>0.98750074</v>
      </c>
      <c r="F202" s="1"/>
      <c r="G202" s="23">
        <v>1317268.23</v>
      </c>
      <c r="H202" s="23">
        <v>1300803.35</v>
      </c>
      <c r="I202" s="23">
        <v>1317268.23</v>
      </c>
      <c r="J202" s="23">
        <v>1300803.35</v>
      </c>
      <c r="K202" s="24">
        <v>6.7204031E7</v>
      </c>
      <c r="L202" s="1" t="s">
        <v>1776</v>
      </c>
      <c r="M202" s="1" t="s">
        <v>2128</v>
      </c>
      <c r="N202" s="63" t="s">
        <v>946</v>
      </c>
      <c r="O202" s="63" t="s">
        <v>946</v>
      </c>
      <c r="P202" s="68">
        <v>33.0</v>
      </c>
      <c r="Q202" s="1" t="s">
        <v>2130</v>
      </c>
      <c r="R202" s="1" t="s">
        <v>13</v>
      </c>
      <c r="S202" s="1"/>
      <c r="T202" s="1"/>
      <c r="U202" s="1" t="s">
        <v>1025</v>
      </c>
      <c r="V202" s="1" t="s">
        <v>1025</v>
      </c>
      <c r="W202" s="145">
        <f t="shared" si="1"/>
        <v>0.00002660924515</v>
      </c>
      <c r="AC202" s="38"/>
    </row>
    <row r="203" ht="15.75" customHeight="1">
      <c r="A203" s="1" t="s">
        <v>2069</v>
      </c>
      <c r="B203" s="1" t="s">
        <v>2127</v>
      </c>
      <c r="C203" s="63">
        <v>46220.0</v>
      </c>
      <c r="D203" s="63" t="s">
        <v>130</v>
      </c>
      <c r="E203" s="68">
        <v>0.98862414</v>
      </c>
      <c r="F203" s="1"/>
      <c r="G203" s="23">
        <v>1278434.35</v>
      </c>
      <c r="H203" s="23">
        <v>1263891.06</v>
      </c>
      <c r="I203" s="23">
        <v>1278434.35</v>
      </c>
      <c r="J203" s="23">
        <v>1263891.06</v>
      </c>
      <c r="K203" s="24">
        <v>2.0325323E7</v>
      </c>
      <c r="L203" s="1" t="s">
        <v>1776</v>
      </c>
      <c r="M203" s="1" t="s">
        <v>2128</v>
      </c>
      <c r="N203" s="63" t="s">
        <v>1488</v>
      </c>
      <c r="O203" s="63" t="s">
        <v>1488</v>
      </c>
      <c r="P203" s="68">
        <v>30.0</v>
      </c>
      <c r="Q203" s="1" t="s">
        <v>2130</v>
      </c>
      <c r="R203" s="1" t="s">
        <v>13</v>
      </c>
      <c r="S203" s="1"/>
      <c r="T203" s="1"/>
      <c r="U203" s="1" t="s">
        <v>1555</v>
      </c>
      <c r="V203" s="1" t="s">
        <v>1555</v>
      </c>
      <c r="W203" s="145">
        <f t="shared" si="1"/>
        <v>0.00002585416701</v>
      </c>
      <c r="AC203" s="38"/>
    </row>
    <row r="204" ht="15.75" customHeight="1">
      <c r="A204" s="1" t="s">
        <v>1953</v>
      </c>
      <c r="B204" s="1" t="s">
        <v>2127</v>
      </c>
      <c r="C204" s="63">
        <v>46223.0</v>
      </c>
      <c r="D204" s="63" t="s">
        <v>130</v>
      </c>
      <c r="E204" s="68">
        <v>0.99077095</v>
      </c>
      <c r="F204" s="1"/>
      <c r="G204" s="23">
        <v>2500000.0</v>
      </c>
      <c r="H204" s="23">
        <v>2476927.37</v>
      </c>
      <c r="I204" s="23">
        <v>2500000.0</v>
      </c>
      <c r="J204" s="23">
        <v>2476927.37</v>
      </c>
      <c r="K204" s="24">
        <v>6124.0</v>
      </c>
      <c r="L204" s="1" t="s">
        <v>1776</v>
      </c>
      <c r="M204" s="1" t="s">
        <v>2128</v>
      </c>
      <c r="N204" s="63" t="s">
        <v>946</v>
      </c>
      <c r="O204" s="63" t="s">
        <v>946</v>
      </c>
      <c r="P204" s="68">
        <v>20.0</v>
      </c>
      <c r="Q204" s="1" t="s">
        <v>2130</v>
      </c>
      <c r="R204" s="1" t="s">
        <v>13</v>
      </c>
      <c r="S204" s="1"/>
      <c r="T204" s="1"/>
      <c r="U204" s="1" t="s">
        <v>963</v>
      </c>
      <c r="V204" s="1" t="s">
        <v>963</v>
      </c>
      <c r="W204" s="145">
        <f t="shared" si="1"/>
        <v>0.00005066804879</v>
      </c>
      <c r="AC204" s="38"/>
    </row>
    <row r="205" ht="15.75" customHeight="1">
      <c r="A205" s="1" t="s">
        <v>2067</v>
      </c>
      <c r="B205" s="1" t="s">
        <v>2127</v>
      </c>
      <c r="C205" s="63">
        <v>46223.0</v>
      </c>
      <c r="D205" s="63" t="s">
        <v>130</v>
      </c>
      <c r="E205" s="68">
        <v>0.98486288</v>
      </c>
      <c r="F205" s="1"/>
      <c r="G205" s="23">
        <v>2890000.0</v>
      </c>
      <c r="H205" s="23">
        <v>2846253.71</v>
      </c>
      <c r="I205" s="23">
        <v>2890000.0</v>
      </c>
      <c r="J205" s="23">
        <v>2846253.71</v>
      </c>
      <c r="K205" s="24">
        <v>1236.0</v>
      </c>
      <c r="L205" s="1" t="s">
        <v>1776</v>
      </c>
      <c r="M205" s="1" t="s">
        <v>2128</v>
      </c>
      <c r="N205" s="63" t="s">
        <v>946</v>
      </c>
      <c r="O205" s="63" t="s">
        <v>946</v>
      </c>
      <c r="P205" s="68">
        <v>33.0</v>
      </c>
      <c r="Q205" s="1" t="s">
        <v>2130</v>
      </c>
      <c r="R205" s="1" t="s">
        <v>13</v>
      </c>
      <c r="S205" s="1"/>
      <c r="T205" s="1"/>
      <c r="U205" s="1" t="s">
        <v>1002</v>
      </c>
      <c r="V205" s="1" t="s">
        <v>1002</v>
      </c>
      <c r="W205" s="145">
        <f t="shared" si="1"/>
        <v>0.00005822299176</v>
      </c>
      <c r="AC205" s="38"/>
    </row>
    <row r="206" ht="15.75" customHeight="1">
      <c r="A206" s="1" t="s">
        <v>1917</v>
      </c>
      <c r="B206" s="1" t="s">
        <v>2127</v>
      </c>
      <c r="C206" s="63">
        <v>46223.0</v>
      </c>
      <c r="D206" s="63" t="s">
        <v>130</v>
      </c>
      <c r="E206" s="68">
        <v>0.98621996</v>
      </c>
      <c r="F206" s="1"/>
      <c r="G206" s="23">
        <v>1.0E7</v>
      </c>
      <c r="H206" s="23">
        <v>9862199.64</v>
      </c>
      <c r="I206" s="23">
        <v>1.0E7</v>
      </c>
      <c r="J206" s="23">
        <v>9862199.64</v>
      </c>
      <c r="K206" s="24">
        <v>522.0</v>
      </c>
      <c r="L206" s="1" t="s">
        <v>1776</v>
      </c>
      <c r="M206" s="1" t="s">
        <v>2128</v>
      </c>
      <c r="N206" s="63" t="s">
        <v>849</v>
      </c>
      <c r="O206" s="63" t="s">
        <v>849</v>
      </c>
      <c r="P206" s="68">
        <v>30.0</v>
      </c>
      <c r="Q206" s="1" t="s">
        <v>2130</v>
      </c>
      <c r="R206" s="1" t="s">
        <v>13</v>
      </c>
      <c r="S206" s="1"/>
      <c r="T206" s="1"/>
      <c r="U206" s="1" t="s">
        <v>848</v>
      </c>
      <c r="V206" s="1" t="s">
        <v>848</v>
      </c>
      <c r="W206" s="145">
        <f t="shared" si="1"/>
        <v>0.0002017412455</v>
      </c>
      <c r="AC206" s="38"/>
    </row>
    <row r="207" ht="15.75" customHeight="1">
      <c r="A207" s="1" t="s">
        <v>1906</v>
      </c>
      <c r="B207" s="1" t="s">
        <v>2127</v>
      </c>
      <c r="C207" s="63">
        <v>46223.0</v>
      </c>
      <c r="D207" s="63" t="s">
        <v>130</v>
      </c>
      <c r="E207" s="68">
        <v>0.9857672</v>
      </c>
      <c r="F207" s="1"/>
      <c r="G207" s="23">
        <v>1.5E7</v>
      </c>
      <c r="H207" s="23">
        <v>1.478650805E7</v>
      </c>
      <c r="I207" s="23">
        <v>1.5E7</v>
      </c>
      <c r="J207" s="23">
        <v>1.478650805E7</v>
      </c>
      <c r="K207" s="24">
        <v>7.0219528E7</v>
      </c>
      <c r="L207" s="1" t="s">
        <v>1776</v>
      </c>
      <c r="M207" s="1" t="s">
        <v>2128</v>
      </c>
      <c r="N207" s="63" t="s">
        <v>739</v>
      </c>
      <c r="O207" s="63" t="s">
        <v>739</v>
      </c>
      <c r="P207" s="68">
        <v>31.0</v>
      </c>
      <c r="Q207" s="1" t="s">
        <v>2130</v>
      </c>
      <c r="R207" s="1" t="s">
        <v>13</v>
      </c>
      <c r="S207" s="1"/>
      <c r="T207" s="1"/>
      <c r="U207" s="1" t="s">
        <v>746</v>
      </c>
      <c r="V207" s="1" t="s">
        <v>746</v>
      </c>
      <c r="W207" s="145">
        <f t="shared" si="1"/>
        <v>0.0003024729431</v>
      </c>
      <c r="AC207" s="38"/>
    </row>
    <row r="208" ht="15.75" customHeight="1">
      <c r="A208" s="1" t="s">
        <v>1964</v>
      </c>
      <c r="B208" s="1" t="s">
        <v>2127</v>
      </c>
      <c r="C208" s="63">
        <v>46223.0</v>
      </c>
      <c r="D208" s="63" t="s">
        <v>130</v>
      </c>
      <c r="E208" s="68">
        <v>0.98260918</v>
      </c>
      <c r="F208" s="1"/>
      <c r="G208" s="23">
        <v>8000000.0</v>
      </c>
      <c r="H208" s="23">
        <v>7860873.44</v>
      </c>
      <c r="I208" s="23">
        <v>8000000.0</v>
      </c>
      <c r="J208" s="23">
        <v>7860873.44</v>
      </c>
      <c r="K208" s="24">
        <v>6.052409E7</v>
      </c>
      <c r="L208" s="1" t="s">
        <v>1776</v>
      </c>
      <c r="M208" s="1" t="s">
        <v>2128</v>
      </c>
      <c r="N208" s="63" t="s">
        <v>196</v>
      </c>
      <c r="O208" s="63" t="s">
        <v>196</v>
      </c>
      <c r="P208" s="68">
        <v>38.0</v>
      </c>
      <c r="Q208" s="1" t="s">
        <v>2130</v>
      </c>
      <c r="R208" s="1" t="s">
        <v>13</v>
      </c>
      <c r="S208" s="1"/>
      <c r="T208" s="1"/>
      <c r="U208" s="1" t="s">
        <v>195</v>
      </c>
      <c r="V208" s="1" t="s">
        <v>195</v>
      </c>
      <c r="W208" s="145">
        <f t="shared" si="1"/>
        <v>0.0001608020985</v>
      </c>
      <c r="AC208" s="38"/>
    </row>
    <row r="209" ht="15.75" customHeight="1">
      <c r="A209" s="1" t="s">
        <v>1964</v>
      </c>
      <c r="B209" s="1" t="s">
        <v>2127</v>
      </c>
      <c r="C209" s="63">
        <v>46223.0</v>
      </c>
      <c r="D209" s="63" t="s">
        <v>130</v>
      </c>
      <c r="E209" s="68">
        <v>0.98171063</v>
      </c>
      <c r="F209" s="1"/>
      <c r="G209" s="23">
        <v>3500000.0</v>
      </c>
      <c r="H209" s="23">
        <v>3435987.22</v>
      </c>
      <c r="I209" s="23">
        <v>3500000.0</v>
      </c>
      <c r="J209" s="23">
        <v>3435987.22</v>
      </c>
      <c r="K209" s="24">
        <v>6.0524036E7</v>
      </c>
      <c r="L209" s="1" t="s">
        <v>1776</v>
      </c>
      <c r="M209" s="1" t="s">
        <v>2128</v>
      </c>
      <c r="N209" s="63" t="s">
        <v>171</v>
      </c>
      <c r="O209" s="63" t="s">
        <v>171</v>
      </c>
      <c r="P209" s="68">
        <v>40.0</v>
      </c>
      <c r="Q209" s="1" t="s">
        <v>2130</v>
      </c>
      <c r="R209" s="1" t="s">
        <v>13</v>
      </c>
      <c r="S209" s="1"/>
      <c r="T209" s="1"/>
      <c r="U209" s="1" t="s">
        <v>169</v>
      </c>
      <c r="V209" s="1" t="s">
        <v>169</v>
      </c>
      <c r="W209" s="145">
        <f t="shared" si="1"/>
        <v>0.0000702865858</v>
      </c>
      <c r="AC209" s="38"/>
    </row>
    <row r="210" ht="15.75" customHeight="1">
      <c r="A210" s="1" t="s">
        <v>1979</v>
      </c>
      <c r="B210" s="1" t="s">
        <v>2127</v>
      </c>
      <c r="C210" s="63">
        <v>46223.0</v>
      </c>
      <c r="D210" s="63" t="s">
        <v>130</v>
      </c>
      <c r="E210" s="68">
        <v>0.98171063</v>
      </c>
      <c r="F210" s="1"/>
      <c r="G210" s="23">
        <v>4100000.0</v>
      </c>
      <c r="H210" s="23">
        <v>4025013.58</v>
      </c>
      <c r="I210" s="23">
        <v>4100000.0</v>
      </c>
      <c r="J210" s="23">
        <v>4025013.58</v>
      </c>
      <c r="K210" s="24">
        <v>1021.0</v>
      </c>
      <c r="L210" s="1" t="s">
        <v>1776</v>
      </c>
      <c r="M210" s="1" t="s">
        <v>2128</v>
      </c>
      <c r="N210" s="63" t="s">
        <v>177</v>
      </c>
      <c r="O210" s="63" t="s">
        <v>177</v>
      </c>
      <c r="P210" s="68">
        <v>40.0</v>
      </c>
      <c r="Q210" s="1" t="s">
        <v>2130</v>
      </c>
      <c r="R210" s="1" t="s">
        <v>13</v>
      </c>
      <c r="S210" s="1"/>
      <c r="T210" s="1"/>
      <c r="U210" s="1" t="s">
        <v>179</v>
      </c>
      <c r="V210" s="1" t="s">
        <v>179</v>
      </c>
      <c r="W210" s="145">
        <f t="shared" si="1"/>
        <v>0.00008233571437</v>
      </c>
      <c r="AC210" s="38"/>
    </row>
    <row r="211" ht="15.75" customHeight="1">
      <c r="A211" s="1" t="s">
        <v>1967</v>
      </c>
      <c r="B211" s="1" t="s">
        <v>2127</v>
      </c>
      <c r="C211" s="63">
        <v>46223.0</v>
      </c>
      <c r="D211" s="63" t="s">
        <v>130</v>
      </c>
      <c r="E211" s="68">
        <v>0.9835094</v>
      </c>
      <c r="F211" s="1"/>
      <c r="G211" s="23">
        <v>3000000.0</v>
      </c>
      <c r="H211" s="23">
        <v>2950528.21</v>
      </c>
      <c r="I211" s="23">
        <v>3000000.0</v>
      </c>
      <c r="J211" s="23">
        <v>2950528.21</v>
      </c>
      <c r="K211" s="24">
        <v>4.0743001E7</v>
      </c>
      <c r="L211" s="1" t="s">
        <v>1776</v>
      </c>
      <c r="M211" s="1" t="s">
        <v>2128</v>
      </c>
      <c r="N211" s="63" t="s">
        <v>849</v>
      </c>
      <c r="O211" s="63" t="s">
        <v>849</v>
      </c>
      <c r="P211" s="68">
        <v>36.0</v>
      </c>
      <c r="Q211" s="1" t="s">
        <v>2130</v>
      </c>
      <c r="R211" s="1" t="s">
        <v>13</v>
      </c>
      <c r="S211" s="1"/>
      <c r="T211" s="1"/>
      <c r="U211" s="1" t="s">
        <v>853</v>
      </c>
      <c r="V211" s="1" t="s">
        <v>853</v>
      </c>
      <c r="W211" s="145">
        <f t="shared" si="1"/>
        <v>0.00006035603188</v>
      </c>
      <c r="AC211" s="38"/>
    </row>
    <row r="212" ht="15.75" customHeight="1">
      <c r="A212" s="1" t="s">
        <v>1933</v>
      </c>
      <c r="B212" s="1" t="s">
        <v>2127</v>
      </c>
      <c r="C212" s="63">
        <v>46223.0</v>
      </c>
      <c r="D212" s="63" t="s">
        <v>130</v>
      </c>
      <c r="E212" s="68">
        <v>0.98531477</v>
      </c>
      <c r="F212" s="1"/>
      <c r="G212" s="23">
        <v>1.5E7</v>
      </c>
      <c r="H212" s="23">
        <v>1.477972162E7</v>
      </c>
      <c r="I212" s="23">
        <v>1.5E7</v>
      </c>
      <c r="J212" s="23">
        <v>1.477972162E7</v>
      </c>
      <c r="K212" s="24">
        <v>172.0</v>
      </c>
      <c r="L212" s="1" t="s">
        <v>1776</v>
      </c>
      <c r="M212" s="1" t="s">
        <v>2128</v>
      </c>
      <c r="N212" s="63" t="s">
        <v>307</v>
      </c>
      <c r="O212" s="63" t="s">
        <v>307</v>
      </c>
      <c r="P212" s="68">
        <v>32.0</v>
      </c>
      <c r="Q212" s="1" t="s">
        <v>2130</v>
      </c>
      <c r="R212" s="1" t="s">
        <v>13</v>
      </c>
      <c r="S212" s="1"/>
      <c r="T212" s="1"/>
      <c r="U212" s="1" t="s">
        <v>321</v>
      </c>
      <c r="V212" s="1" t="s">
        <v>321</v>
      </c>
      <c r="W212" s="145">
        <f t="shared" si="1"/>
        <v>0.0003023341198</v>
      </c>
      <c r="AC212" s="38"/>
    </row>
    <row r="213" ht="15.75" customHeight="1">
      <c r="A213" s="1" t="s">
        <v>1921</v>
      </c>
      <c r="B213" s="1" t="s">
        <v>2127</v>
      </c>
      <c r="C213" s="63">
        <v>46223.0</v>
      </c>
      <c r="D213" s="63" t="s">
        <v>130</v>
      </c>
      <c r="E213" s="68">
        <v>0.98849029</v>
      </c>
      <c r="F213" s="1"/>
      <c r="G213" s="23">
        <v>1500000.0</v>
      </c>
      <c r="H213" s="23">
        <v>1482735.43</v>
      </c>
      <c r="I213" s="23">
        <v>1500000.0</v>
      </c>
      <c r="J213" s="23">
        <v>1482735.43</v>
      </c>
      <c r="K213" s="24">
        <v>821.0</v>
      </c>
      <c r="L213" s="1" t="s">
        <v>1776</v>
      </c>
      <c r="M213" s="1" t="s">
        <v>2128</v>
      </c>
      <c r="N213" s="63" t="s">
        <v>1488</v>
      </c>
      <c r="O213" s="63" t="s">
        <v>1488</v>
      </c>
      <c r="P213" s="68">
        <v>25.0</v>
      </c>
      <c r="Q213" s="1" t="s">
        <v>2130</v>
      </c>
      <c r="R213" s="1" t="s">
        <v>13</v>
      </c>
      <c r="S213" s="1"/>
      <c r="T213" s="1"/>
      <c r="U213" s="1" t="s">
        <v>1502</v>
      </c>
      <c r="V213" s="1" t="s">
        <v>1502</v>
      </c>
      <c r="W213" s="145">
        <f t="shared" si="1"/>
        <v>0.00003033084943</v>
      </c>
      <c r="AC213" s="38"/>
    </row>
    <row r="214" ht="15.75" customHeight="1">
      <c r="A214" s="1" t="s">
        <v>1921</v>
      </c>
      <c r="B214" s="1" t="s">
        <v>2127</v>
      </c>
      <c r="C214" s="63">
        <v>46223.0</v>
      </c>
      <c r="D214" s="63" t="s">
        <v>130</v>
      </c>
      <c r="E214" s="68">
        <v>0.98849029</v>
      </c>
      <c r="F214" s="1"/>
      <c r="G214" s="23">
        <v>2360000.0</v>
      </c>
      <c r="H214" s="23">
        <v>2332837.09</v>
      </c>
      <c r="I214" s="23">
        <v>2360000.0</v>
      </c>
      <c r="J214" s="23">
        <v>2332837.09</v>
      </c>
      <c r="K214" s="24">
        <v>450.0</v>
      </c>
      <c r="L214" s="1" t="s">
        <v>1776</v>
      </c>
      <c r="M214" s="1" t="s">
        <v>2128</v>
      </c>
      <c r="N214" s="63" t="s">
        <v>1488</v>
      </c>
      <c r="O214" s="63" t="s">
        <v>1488</v>
      </c>
      <c r="P214" s="68">
        <v>25.0</v>
      </c>
      <c r="Q214" s="1" t="s">
        <v>2130</v>
      </c>
      <c r="R214" s="1" t="s">
        <v>13</v>
      </c>
      <c r="S214" s="1"/>
      <c r="T214" s="1"/>
      <c r="U214" s="1" t="s">
        <v>1503</v>
      </c>
      <c r="V214" s="1" t="s">
        <v>1503</v>
      </c>
      <c r="W214" s="145">
        <f t="shared" si="1"/>
        <v>0.00004772053671</v>
      </c>
      <c r="AC214" s="38"/>
    </row>
    <row r="215" ht="15.75" customHeight="1">
      <c r="A215" s="1" t="s">
        <v>1959</v>
      </c>
      <c r="B215" s="1" t="s">
        <v>2127</v>
      </c>
      <c r="C215" s="63">
        <v>46223.0</v>
      </c>
      <c r="D215" s="63" t="s">
        <v>130</v>
      </c>
      <c r="E215" s="68">
        <v>0.98396017</v>
      </c>
      <c r="F215" s="1"/>
      <c r="G215" s="23">
        <v>1.0E8</v>
      </c>
      <c r="H215" s="23">
        <v>9.839601701E7</v>
      </c>
      <c r="I215" s="23">
        <v>1.0E8</v>
      </c>
      <c r="J215" s="23">
        <v>9.839601701E7</v>
      </c>
      <c r="K215" s="24">
        <v>693.0</v>
      </c>
      <c r="L215" s="1" t="s">
        <v>1776</v>
      </c>
      <c r="M215" s="1" t="s">
        <v>2128</v>
      </c>
      <c r="N215" s="63" t="s">
        <v>1039</v>
      </c>
      <c r="O215" s="63" t="s">
        <v>1039</v>
      </c>
      <c r="P215" s="68">
        <v>35.0</v>
      </c>
      <c r="Q215" s="1" t="s">
        <v>2130</v>
      </c>
      <c r="R215" s="1" t="s">
        <v>13</v>
      </c>
      <c r="S215" s="1"/>
      <c r="T215" s="1"/>
      <c r="U215" s="1" t="s">
        <v>1045</v>
      </c>
      <c r="V215" s="1" t="s">
        <v>1045</v>
      </c>
      <c r="W215" s="145">
        <f t="shared" si="1"/>
        <v>0.002012789818</v>
      </c>
      <c r="AC215" s="38"/>
    </row>
    <row r="216" ht="15.75" customHeight="1">
      <c r="A216" s="1" t="s">
        <v>1941</v>
      </c>
      <c r="B216" s="1" t="s">
        <v>2127</v>
      </c>
      <c r="C216" s="63">
        <v>46223.0</v>
      </c>
      <c r="D216" s="63" t="s">
        <v>130</v>
      </c>
      <c r="E216" s="68">
        <v>0.98985743</v>
      </c>
      <c r="F216" s="1"/>
      <c r="G216" s="23">
        <v>3.914177544E7</v>
      </c>
      <c r="H216" s="23">
        <v>3.874477709E7</v>
      </c>
      <c r="I216" s="23">
        <v>3.914177544E7</v>
      </c>
      <c r="J216" s="23">
        <v>3.874477709E7</v>
      </c>
      <c r="K216" s="24">
        <v>6.8114484E7</v>
      </c>
      <c r="L216" s="1" t="s">
        <v>1776</v>
      </c>
      <c r="M216" s="1" t="s">
        <v>2128</v>
      </c>
      <c r="N216" s="63" t="s">
        <v>130</v>
      </c>
      <c r="O216" s="63" t="s">
        <v>130</v>
      </c>
      <c r="P216" s="68">
        <v>22.0</v>
      </c>
      <c r="Q216" s="1" t="s">
        <v>2130</v>
      </c>
      <c r="R216" s="1" t="s">
        <v>13</v>
      </c>
      <c r="S216" s="1"/>
      <c r="T216" s="1"/>
      <c r="U216" s="1" t="s">
        <v>1647</v>
      </c>
      <c r="V216" s="1" t="s">
        <v>1647</v>
      </c>
      <c r="W216" s="145">
        <f t="shared" si="1"/>
        <v>0.0007925635123</v>
      </c>
      <c r="AC216" s="38"/>
    </row>
    <row r="217" ht="15.75" customHeight="1">
      <c r="A217" s="1" t="s">
        <v>1926</v>
      </c>
      <c r="B217" s="1" t="s">
        <v>2127</v>
      </c>
      <c r="C217" s="63">
        <v>46223.0</v>
      </c>
      <c r="D217" s="63" t="s">
        <v>130</v>
      </c>
      <c r="E217" s="68">
        <v>0.9866732</v>
      </c>
      <c r="F217" s="1"/>
      <c r="G217" s="23">
        <v>5000000.0</v>
      </c>
      <c r="H217" s="23">
        <v>4933366.01</v>
      </c>
      <c r="I217" s="23">
        <v>5000000.0</v>
      </c>
      <c r="J217" s="23">
        <v>4933366.01</v>
      </c>
      <c r="K217" s="24">
        <v>1.6779601E7</v>
      </c>
      <c r="L217" s="1" t="s">
        <v>1776</v>
      </c>
      <c r="M217" s="1" t="s">
        <v>2128</v>
      </c>
      <c r="N217" s="63" t="s">
        <v>628</v>
      </c>
      <c r="O217" s="63" t="s">
        <v>628</v>
      </c>
      <c r="P217" s="68">
        <v>29.0</v>
      </c>
      <c r="Q217" s="1" t="s">
        <v>2130</v>
      </c>
      <c r="R217" s="1" t="s">
        <v>13</v>
      </c>
      <c r="S217" s="1"/>
      <c r="T217" s="1"/>
      <c r="U217" s="1" t="s">
        <v>643</v>
      </c>
      <c r="V217" s="1" t="s">
        <v>643</v>
      </c>
      <c r="W217" s="145">
        <f t="shared" si="1"/>
        <v>0.0001009169799</v>
      </c>
      <c r="AC217" s="38"/>
    </row>
    <row r="218" ht="15.75" customHeight="1">
      <c r="A218" s="1" t="s">
        <v>1926</v>
      </c>
      <c r="B218" s="1" t="s">
        <v>2127</v>
      </c>
      <c r="C218" s="63">
        <v>46223.0</v>
      </c>
      <c r="D218" s="63" t="s">
        <v>130</v>
      </c>
      <c r="E218" s="68">
        <v>0.98758086</v>
      </c>
      <c r="F218" s="1"/>
      <c r="G218" s="23">
        <v>2.0E7</v>
      </c>
      <c r="H218" s="23">
        <v>1.975161727E7</v>
      </c>
      <c r="I218" s="23">
        <v>2.0E7</v>
      </c>
      <c r="J218" s="23">
        <v>1.975161727E7</v>
      </c>
      <c r="K218" s="24">
        <v>30169.0</v>
      </c>
      <c r="L218" s="1" t="s">
        <v>1776</v>
      </c>
      <c r="M218" s="1" t="s">
        <v>2128</v>
      </c>
      <c r="N218" s="63" t="s">
        <v>446</v>
      </c>
      <c r="O218" s="63" t="s">
        <v>446</v>
      </c>
      <c r="P218" s="68">
        <v>27.0</v>
      </c>
      <c r="Q218" s="1" t="s">
        <v>2130</v>
      </c>
      <c r="R218" s="1" t="s">
        <v>13</v>
      </c>
      <c r="S218" s="1"/>
      <c r="T218" s="1"/>
      <c r="U218" s="1" t="s">
        <v>496</v>
      </c>
      <c r="V218" s="1" t="s">
        <v>496</v>
      </c>
      <c r="W218" s="145">
        <f t="shared" si="1"/>
        <v>0.0004040392624</v>
      </c>
      <c r="AC218" s="38"/>
    </row>
    <row r="219" ht="15.75" customHeight="1">
      <c r="A219" s="1" t="s">
        <v>2098</v>
      </c>
      <c r="B219" s="1" t="s">
        <v>2127</v>
      </c>
      <c r="C219" s="63">
        <v>46223.0</v>
      </c>
      <c r="D219" s="63" t="s">
        <v>130</v>
      </c>
      <c r="E219" s="68">
        <v>0.98486287</v>
      </c>
      <c r="F219" s="1"/>
      <c r="G219" s="23">
        <v>1000000.0</v>
      </c>
      <c r="H219" s="23">
        <v>984862.87</v>
      </c>
      <c r="I219" s="23">
        <v>1000000.0</v>
      </c>
      <c r="J219" s="23">
        <v>984862.87</v>
      </c>
      <c r="K219" s="24">
        <v>677.0</v>
      </c>
      <c r="L219" s="1" t="s">
        <v>1776</v>
      </c>
      <c r="M219" s="1" t="s">
        <v>2128</v>
      </c>
      <c r="N219" s="63" t="s">
        <v>946</v>
      </c>
      <c r="O219" s="63" t="s">
        <v>946</v>
      </c>
      <c r="P219" s="68">
        <v>33.0</v>
      </c>
      <c r="Q219" s="1" t="s">
        <v>2130</v>
      </c>
      <c r="R219" s="1" t="s">
        <v>13</v>
      </c>
      <c r="S219" s="1"/>
      <c r="T219" s="1"/>
      <c r="U219" s="1" t="s">
        <v>1023</v>
      </c>
      <c r="V219" s="1" t="s">
        <v>1023</v>
      </c>
      <c r="W219" s="145">
        <f t="shared" si="1"/>
        <v>0.00002014636382</v>
      </c>
      <c r="AC219" s="38"/>
    </row>
    <row r="220" ht="15.75" customHeight="1">
      <c r="A220" s="1" t="s">
        <v>2075</v>
      </c>
      <c r="B220" s="1" t="s">
        <v>2127</v>
      </c>
      <c r="C220" s="63">
        <v>46223.0</v>
      </c>
      <c r="D220" s="63" t="s">
        <v>130</v>
      </c>
      <c r="E220" s="68">
        <v>0.98486286</v>
      </c>
      <c r="F220" s="1"/>
      <c r="G220" s="23">
        <v>1039967.56</v>
      </c>
      <c r="H220" s="23">
        <v>1024225.43</v>
      </c>
      <c r="I220" s="23">
        <v>1039967.56</v>
      </c>
      <c r="J220" s="23">
        <v>1024225.43</v>
      </c>
      <c r="K220" s="24">
        <v>1117.0</v>
      </c>
      <c r="L220" s="1" t="s">
        <v>1776</v>
      </c>
      <c r="M220" s="1" t="s">
        <v>2128</v>
      </c>
      <c r="N220" s="63" t="s">
        <v>946</v>
      </c>
      <c r="O220" s="63" t="s">
        <v>946</v>
      </c>
      <c r="P220" s="68">
        <v>33.0</v>
      </c>
      <c r="Q220" s="1" t="s">
        <v>2130</v>
      </c>
      <c r="R220" s="1" t="s">
        <v>13</v>
      </c>
      <c r="S220" s="1"/>
      <c r="T220" s="1"/>
      <c r="U220" s="1" t="s">
        <v>1031</v>
      </c>
      <c r="V220" s="1" t="s">
        <v>1031</v>
      </c>
      <c r="W220" s="145">
        <f t="shared" si="1"/>
        <v>0.0000209515647</v>
      </c>
      <c r="AC220" s="38"/>
    </row>
    <row r="221" ht="15.75" customHeight="1">
      <c r="A221" s="1" t="s">
        <v>1986</v>
      </c>
      <c r="B221" s="1" t="s">
        <v>2127</v>
      </c>
      <c r="C221" s="63">
        <v>46223.0</v>
      </c>
      <c r="D221" s="63" t="s">
        <v>130</v>
      </c>
      <c r="E221" s="68">
        <v>0.98441133</v>
      </c>
      <c r="F221" s="1"/>
      <c r="G221" s="23">
        <v>1.0E7</v>
      </c>
      <c r="H221" s="23">
        <v>9844113.28</v>
      </c>
      <c r="I221" s="23">
        <v>1.0E7</v>
      </c>
      <c r="J221" s="23">
        <v>9844113.28</v>
      </c>
      <c r="K221" s="24">
        <v>215.0</v>
      </c>
      <c r="L221" s="1" t="s">
        <v>1776</v>
      </c>
      <c r="M221" s="1" t="s">
        <v>2128</v>
      </c>
      <c r="N221" s="63" t="s">
        <v>1272</v>
      </c>
      <c r="O221" s="63" t="s">
        <v>1272</v>
      </c>
      <c r="P221" s="68">
        <v>34.0</v>
      </c>
      <c r="Q221" s="1" t="s">
        <v>2130</v>
      </c>
      <c r="R221" s="1" t="s">
        <v>13</v>
      </c>
      <c r="S221" s="1"/>
      <c r="T221" s="1"/>
      <c r="U221" s="1" t="s">
        <v>1292</v>
      </c>
      <c r="V221" s="1" t="s">
        <v>1292</v>
      </c>
      <c r="W221" s="145">
        <f t="shared" si="1"/>
        <v>0.0002013712707</v>
      </c>
      <c r="AC221" s="38"/>
    </row>
    <row r="222" ht="15.75" customHeight="1">
      <c r="A222" s="1" t="s">
        <v>2014</v>
      </c>
      <c r="B222" s="1" t="s">
        <v>2127</v>
      </c>
      <c r="C222" s="63">
        <v>46224.0</v>
      </c>
      <c r="D222" s="63" t="s">
        <v>130</v>
      </c>
      <c r="E222" s="68">
        <v>0.98303264</v>
      </c>
      <c r="F222" s="1"/>
      <c r="G222" s="23">
        <v>1.0E7</v>
      </c>
      <c r="H222" s="23">
        <v>9830326.42</v>
      </c>
      <c r="I222" s="23">
        <v>1.0E7</v>
      </c>
      <c r="J222" s="23">
        <v>9830326.42</v>
      </c>
      <c r="K222" s="24">
        <v>4.062431E7</v>
      </c>
      <c r="L222" s="1" t="s">
        <v>1776</v>
      </c>
      <c r="M222" s="1" t="s">
        <v>2128</v>
      </c>
      <c r="N222" s="63" t="s">
        <v>360</v>
      </c>
      <c r="O222" s="63" t="s">
        <v>360</v>
      </c>
      <c r="P222" s="68">
        <v>35.0</v>
      </c>
      <c r="Q222" s="1" t="s">
        <v>2130</v>
      </c>
      <c r="R222" s="1" t="s">
        <v>13</v>
      </c>
      <c r="S222" s="1"/>
      <c r="T222" s="1"/>
      <c r="U222" s="1" t="s">
        <v>389</v>
      </c>
      <c r="V222" s="1" t="s">
        <v>389</v>
      </c>
      <c r="W222" s="145">
        <f t="shared" si="1"/>
        <v>0.0002010892466</v>
      </c>
      <c r="AC222" s="38"/>
    </row>
    <row r="223" ht="15.75" customHeight="1">
      <c r="A223" s="1" t="s">
        <v>2041</v>
      </c>
      <c r="B223" s="1" t="s">
        <v>2127</v>
      </c>
      <c r="C223" s="63">
        <v>46224.0</v>
      </c>
      <c r="D223" s="63" t="s">
        <v>130</v>
      </c>
      <c r="E223" s="68">
        <v>0.98398667</v>
      </c>
      <c r="F223" s="1"/>
      <c r="G223" s="23">
        <v>4190169.08</v>
      </c>
      <c r="H223" s="23">
        <v>4123070.52</v>
      </c>
      <c r="I223" s="23">
        <v>4190169.08</v>
      </c>
      <c r="J223" s="23">
        <v>4123070.52</v>
      </c>
      <c r="K223" s="24">
        <v>1.3668587E7</v>
      </c>
      <c r="L223" s="1" t="s">
        <v>1776</v>
      </c>
      <c r="M223" s="1" t="s">
        <v>2128</v>
      </c>
      <c r="N223" s="63" t="s">
        <v>1272</v>
      </c>
      <c r="O223" s="63" t="s">
        <v>1272</v>
      </c>
      <c r="P223" s="68">
        <v>33.0</v>
      </c>
      <c r="Q223" s="1" t="s">
        <v>2130</v>
      </c>
      <c r="R223" s="1" t="s">
        <v>13</v>
      </c>
      <c r="S223" s="1"/>
      <c r="T223" s="1"/>
      <c r="U223" s="1" t="s">
        <v>1285</v>
      </c>
      <c r="V223" s="1" t="s">
        <v>1285</v>
      </c>
      <c r="W223" s="145">
        <f t="shared" si="1"/>
        <v>0.00008434156803</v>
      </c>
      <c r="AC223" s="38"/>
    </row>
    <row r="224" ht="15.75" customHeight="1">
      <c r="A224" s="1" t="s">
        <v>2029</v>
      </c>
      <c r="B224" s="1" t="s">
        <v>2127</v>
      </c>
      <c r="C224" s="63">
        <v>46224.0</v>
      </c>
      <c r="D224" s="63" t="s">
        <v>130</v>
      </c>
      <c r="E224" s="68">
        <v>0.98208041</v>
      </c>
      <c r="F224" s="1"/>
      <c r="G224" s="23">
        <v>5000000.0</v>
      </c>
      <c r="H224" s="23">
        <v>4910402.04</v>
      </c>
      <c r="I224" s="23">
        <v>5000000.0</v>
      </c>
      <c r="J224" s="23">
        <v>4910402.04</v>
      </c>
      <c r="K224" s="24">
        <v>6.6786647E7</v>
      </c>
      <c r="L224" s="1" t="s">
        <v>1776</v>
      </c>
      <c r="M224" s="1" t="s">
        <v>2128</v>
      </c>
      <c r="N224" s="63" t="s">
        <v>765</v>
      </c>
      <c r="O224" s="63" t="s">
        <v>765</v>
      </c>
      <c r="P224" s="68">
        <v>37.0</v>
      </c>
      <c r="Q224" s="1" t="s">
        <v>2130</v>
      </c>
      <c r="R224" s="1" t="s">
        <v>13</v>
      </c>
      <c r="S224" s="1"/>
      <c r="T224" s="1"/>
      <c r="U224" s="1" t="s">
        <v>789</v>
      </c>
      <c r="V224" s="1" t="s">
        <v>789</v>
      </c>
      <c r="W224" s="145">
        <f t="shared" si="1"/>
        <v>0.0001004472288</v>
      </c>
      <c r="AC224" s="38"/>
    </row>
    <row r="225" ht="15.75" customHeight="1">
      <c r="A225" s="1" t="s">
        <v>1913</v>
      </c>
      <c r="B225" s="1" t="s">
        <v>2127</v>
      </c>
      <c r="C225" s="63">
        <v>46224.0</v>
      </c>
      <c r="D225" s="63" t="s">
        <v>130</v>
      </c>
      <c r="E225" s="68">
        <v>0.98303262</v>
      </c>
      <c r="F225" s="1"/>
      <c r="G225" s="23">
        <v>1.0E9</v>
      </c>
      <c r="H225" s="23">
        <v>9.830326168E8</v>
      </c>
      <c r="I225" s="23">
        <v>1.0E9</v>
      </c>
      <c r="J225" s="23">
        <v>9.830326168E8</v>
      </c>
      <c r="K225" s="24">
        <v>150840.0</v>
      </c>
      <c r="L225" s="1" t="s">
        <v>1776</v>
      </c>
      <c r="M225" s="1" t="s">
        <v>2128</v>
      </c>
      <c r="N225" s="63" t="s">
        <v>863</v>
      </c>
      <c r="O225" s="63" t="s">
        <v>863</v>
      </c>
      <c r="P225" s="68">
        <v>35.0</v>
      </c>
      <c r="Q225" s="1" t="s">
        <v>2130</v>
      </c>
      <c r="R225" s="1" t="s">
        <v>13</v>
      </c>
      <c r="S225" s="1"/>
      <c r="T225" s="1"/>
      <c r="U225" s="1" t="s">
        <v>880</v>
      </c>
      <c r="V225" s="1" t="s">
        <v>880</v>
      </c>
      <c r="W225" s="145">
        <f t="shared" si="1"/>
        <v>0.02010892414</v>
      </c>
      <c r="AC225" s="38"/>
    </row>
    <row r="226" ht="15.75" customHeight="1">
      <c r="A226" s="1" t="s">
        <v>1917</v>
      </c>
      <c r="B226" s="1" t="s">
        <v>2127</v>
      </c>
      <c r="C226" s="63">
        <v>46224.0</v>
      </c>
      <c r="D226" s="63" t="s">
        <v>130</v>
      </c>
      <c r="E226" s="68">
        <v>0.98542121</v>
      </c>
      <c r="F226" s="1"/>
      <c r="G226" s="23">
        <v>1.025E7</v>
      </c>
      <c r="H226" s="23">
        <v>1.01005674E7</v>
      </c>
      <c r="I226" s="23">
        <v>1.025E7</v>
      </c>
      <c r="J226" s="23">
        <v>1.01005674E7</v>
      </c>
      <c r="K226" s="24">
        <v>454.0</v>
      </c>
      <c r="L226" s="1" t="s">
        <v>1776</v>
      </c>
      <c r="M226" s="1" t="s">
        <v>2128</v>
      </c>
      <c r="N226" s="63" t="s">
        <v>676</v>
      </c>
      <c r="O226" s="63" t="s">
        <v>676</v>
      </c>
      <c r="P226" s="68">
        <v>30.0</v>
      </c>
      <c r="Q226" s="1" t="s">
        <v>2130</v>
      </c>
      <c r="R226" s="1" t="s">
        <v>13</v>
      </c>
      <c r="S226" s="1"/>
      <c r="T226" s="1"/>
      <c r="U226" s="1" t="s">
        <v>699</v>
      </c>
      <c r="V226" s="1" t="s">
        <v>699</v>
      </c>
      <c r="W226" s="145">
        <f t="shared" si="1"/>
        <v>0.0002066172985</v>
      </c>
      <c r="AC226" s="38"/>
    </row>
    <row r="227" ht="15.75" customHeight="1">
      <c r="A227" s="1" t="s">
        <v>1940</v>
      </c>
      <c r="B227" s="1" t="s">
        <v>2127</v>
      </c>
      <c r="C227" s="63">
        <v>46224.0</v>
      </c>
      <c r="D227" s="63" t="s">
        <v>130</v>
      </c>
      <c r="E227" s="68">
        <v>0.9806556</v>
      </c>
      <c r="F227" s="1"/>
      <c r="G227" s="23">
        <v>1.0E8</v>
      </c>
      <c r="H227" s="23">
        <v>9.806556033E7</v>
      </c>
      <c r="I227" s="23">
        <v>1.0E8</v>
      </c>
      <c r="J227" s="23">
        <v>9.806556033E7</v>
      </c>
      <c r="K227" s="24">
        <v>305.0</v>
      </c>
      <c r="L227" s="1" t="s">
        <v>1776</v>
      </c>
      <c r="M227" s="1" t="s">
        <v>2128</v>
      </c>
      <c r="N227" s="63" t="s">
        <v>192</v>
      </c>
      <c r="O227" s="63" t="s">
        <v>192</v>
      </c>
      <c r="P227" s="68">
        <v>40.0</v>
      </c>
      <c r="Q227" s="1" t="s">
        <v>2130</v>
      </c>
      <c r="R227" s="1" t="s">
        <v>13</v>
      </c>
      <c r="S227" s="1"/>
      <c r="T227" s="1"/>
      <c r="U227" s="1" t="s">
        <v>191</v>
      </c>
      <c r="V227" s="1" t="s">
        <v>191</v>
      </c>
      <c r="W227" s="145">
        <f t="shared" si="1"/>
        <v>0.002006029993</v>
      </c>
      <c r="AC227" s="38"/>
    </row>
    <row r="228" ht="15.75" customHeight="1">
      <c r="A228" s="1" t="s">
        <v>1954</v>
      </c>
      <c r="B228" s="1" t="s">
        <v>2127</v>
      </c>
      <c r="C228" s="63">
        <v>46224.0</v>
      </c>
      <c r="D228" s="63" t="s">
        <v>130</v>
      </c>
      <c r="E228" s="68">
        <v>0.98255633</v>
      </c>
      <c r="F228" s="1"/>
      <c r="G228" s="23">
        <v>2.0E7</v>
      </c>
      <c r="H228" s="23">
        <v>1.96511267E7</v>
      </c>
      <c r="I228" s="23">
        <v>2.0E7</v>
      </c>
      <c r="J228" s="23">
        <v>1.96511267E7</v>
      </c>
      <c r="K228" s="24">
        <v>436.0</v>
      </c>
      <c r="L228" s="1" t="s">
        <v>1776</v>
      </c>
      <c r="M228" s="1" t="s">
        <v>2128</v>
      </c>
      <c r="N228" s="63" t="s">
        <v>886</v>
      </c>
      <c r="O228" s="63" t="s">
        <v>886</v>
      </c>
      <c r="P228" s="68">
        <v>36.0</v>
      </c>
      <c r="Q228" s="1" t="s">
        <v>2130</v>
      </c>
      <c r="R228" s="1" t="s">
        <v>13</v>
      </c>
      <c r="S228" s="1"/>
      <c r="T228" s="1"/>
      <c r="U228" s="1" t="s">
        <v>900</v>
      </c>
      <c r="V228" s="1" t="s">
        <v>900</v>
      </c>
      <c r="W228" s="145">
        <f t="shared" si="1"/>
        <v>0.0004019836264</v>
      </c>
      <c r="AC228" s="38"/>
    </row>
    <row r="229" ht="15.75" customHeight="1">
      <c r="A229" s="1" t="s">
        <v>1972</v>
      </c>
      <c r="B229" s="1" t="s">
        <v>2127</v>
      </c>
      <c r="C229" s="63">
        <v>46224.0</v>
      </c>
      <c r="D229" s="63" t="s">
        <v>130</v>
      </c>
      <c r="E229" s="68">
        <v>0.9839867</v>
      </c>
      <c r="F229" s="1"/>
      <c r="G229" s="23">
        <v>1.0E7</v>
      </c>
      <c r="H229" s="23">
        <v>9839866.96</v>
      </c>
      <c r="I229" s="23">
        <v>1.0E7</v>
      </c>
      <c r="J229" s="23">
        <v>9839866.96</v>
      </c>
      <c r="K229" s="24">
        <v>1.3633526E7</v>
      </c>
      <c r="L229" s="1" t="s">
        <v>1776</v>
      </c>
      <c r="M229" s="1" t="s">
        <v>2128</v>
      </c>
      <c r="N229" s="63" t="s">
        <v>827</v>
      </c>
      <c r="O229" s="63" t="s">
        <v>827</v>
      </c>
      <c r="P229" s="68">
        <v>33.0</v>
      </c>
      <c r="Q229" s="1" t="s">
        <v>2130</v>
      </c>
      <c r="R229" s="1" t="s">
        <v>13</v>
      </c>
      <c r="S229" s="1"/>
      <c r="T229" s="1"/>
      <c r="U229" s="1" t="s">
        <v>836</v>
      </c>
      <c r="V229" s="1" t="s">
        <v>836</v>
      </c>
      <c r="W229" s="145">
        <f t="shared" si="1"/>
        <v>0.000201284408</v>
      </c>
      <c r="AC229" s="38"/>
    </row>
    <row r="230" ht="15.75" customHeight="1">
      <c r="A230" s="1" t="s">
        <v>1936</v>
      </c>
      <c r="B230" s="1" t="s">
        <v>2127</v>
      </c>
      <c r="C230" s="63">
        <v>46224.0</v>
      </c>
      <c r="D230" s="63" t="s">
        <v>130</v>
      </c>
      <c r="E230" s="68">
        <v>0.98398664</v>
      </c>
      <c r="F230" s="1"/>
      <c r="G230" s="23">
        <v>5.0E7</v>
      </c>
      <c r="H230" s="23">
        <v>4.919933224E7</v>
      </c>
      <c r="I230" s="23">
        <v>5.0E7</v>
      </c>
      <c r="J230" s="23">
        <v>4.919933224E7</v>
      </c>
      <c r="K230" s="24">
        <v>2.9007572E7</v>
      </c>
      <c r="L230" s="1" t="s">
        <v>1776</v>
      </c>
      <c r="M230" s="1" t="s">
        <v>2128</v>
      </c>
      <c r="N230" s="63" t="s">
        <v>207</v>
      </c>
      <c r="O230" s="63" t="s">
        <v>207</v>
      </c>
      <c r="P230" s="68">
        <v>33.0</v>
      </c>
      <c r="Q230" s="1" t="s">
        <v>2130</v>
      </c>
      <c r="R230" s="1" t="s">
        <v>13</v>
      </c>
      <c r="S230" s="1"/>
      <c r="T230" s="1"/>
      <c r="U230" s="1" t="s">
        <v>221</v>
      </c>
      <c r="V230" s="1" t="s">
        <v>221</v>
      </c>
      <c r="W230" s="145">
        <f t="shared" si="1"/>
        <v>0.001006421987</v>
      </c>
      <c r="AC230" s="38"/>
    </row>
    <row r="231" ht="15.75" customHeight="1">
      <c r="A231" s="1" t="s">
        <v>2046</v>
      </c>
      <c r="B231" s="1" t="s">
        <v>2127</v>
      </c>
      <c r="C231" s="63">
        <v>46224.0</v>
      </c>
      <c r="D231" s="63" t="s">
        <v>130</v>
      </c>
      <c r="E231" s="68">
        <v>0.98398668</v>
      </c>
      <c r="F231" s="1"/>
      <c r="G231" s="23">
        <v>1000000.0</v>
      </c>
      <c r="H231" s="23">
        <v>983986.68</v>
      </c>
      <c r="I231" s="23">
        <v>1000000.0</v>
      </c>
      <c r="J231" s="23">
        <v>983986.68</v>
      </c>
      <c r="K231" s="24">
        <v>2417.0</v>
      </c>
      <c r="L231" s="1" t="s">
        <v>1776</v>
      </c>
      <c r="M231" s="1" t="s">
        <v>2128</v>
      </c>
      <c r="N231" s="63" t="s">
        <v>946</v>
      </c>
      <c r="O231" s="63" t="s">
        <v>946</v>
      </c>
      <c r="P231" s="68">
        <v>33.0</v>
      </c>
      <c r="Q231" s="1" t="s">
        <v>2130</v>
      </c>
      <c r="R231" s="1" t="s">
        <v>13</v>
      </c>
      <c r="S231" s="1"/>
      <c r="T231" s="1"/>
      <c r="U231" s="1" t="s">
        <v>1003</v>
      </c>
      <c r="V231" s="1" t="s">
        <v>1003</v>
      </c>
      <c r="W231" s="145">
        <f t="shared" si="1"/>
        <v>0.00002012844047</v>
      </c>
      <c r="AC231" s="38"/>
    </row>
    <row r="232" ht="15.75" customHeight="1">
      <c r="A232" s="1" t="s">
        <v>2021</v>
      </c>
      <c r="B232" s="1" t="s">
        <v>2127</v>
      </c>
      <c r="C232" s="63">
        <v>46224.0</v>
      </c>
      <c r="D232" s="63" t="s">
        <v>130</v>
      </c>
      <c r="E232" s="68">
        <v>0.98446453</v>
      </c>
      <c r="F232" s="1"/>
      <c r="G232" s="23">
        <v>1.521978537E7</v>
      </c>
      <c r="H232" s="23">
        <v>1.498333888E7</v>
      </c>
      <c r="I232" s="23">
        <v>1.521978537E7</v>
      </c>
      <c r="J232" s="23">
        <v>1.498333888E7</v>
      </c>
      <c r="K232" s="24">
        <v>8.4234464E7</v>
      </c>
      <c r="L232" s="1" t="s">
        <v>1776</v>
      </c>
      <c r="M232" s="1" t="s">
        <v>2128</v>
      </c>
      <c r="N232" s="63" t="s">
        <v>1428</v>
      </c>
      <c r="O232" s="63" t="s">
        <v>1428</v>
      </c>
      <c r="P232" s="68">
        <v>32.0</v>
      </c>
      <c r="Q232" s="1" t="s">
        <v>2130</v>
      </c>
      <c r="R232" s="1" t="s">
        <v>13</v>
      </c>
      <c r="S232" s="1"/>
      <c r="T232" s="1"/>
      <c r="U232" s="1" t="s">
        <v>1456</v>
      </c>
      <c r="V232" s="1" t="s">
        <v>1456</v>
      </c>
      <c r="W232" s="145">
        <f t="shared" si="1"/>
        <v>0.0003064993163</v>
      </c>
      <c r="AC232" s="38"/>
    </row>
    <row r="233" ht="15.75" customHeight="1">
      <c r="A233" s="1" t="s">
        <v>1828</v>
      </c>
      <c r="B233" s="1" t="s">
        <v>2127</v>
      </c>
      <c r="C233" s="63">
        <v>46224.0</v>
      </c>
      <c r="D233" s="63" t="s">
        <v>130</v>
      </c>
      <c r="E233" s="68">
        <v>0.97781828</v>
      </c>
      <c r="F233" s="1"/>
      <c r="G233" s="23">
        <v>1.0E7</v>
      </c>
      <c r="H233" s="23">
        <v>9778182.78</v>
      </c>
      <c r="I233" s="23">
        <v>1.0E7</v>
      </c>
      <c r="J233" s="23">
        <v>9778182.78</v>
      </c>
      <c r="K233" s="24">
        <v>3925.0</v>
      </c>
      <c r="L233" s="1" t="s">
        <v>1776</v>
      </c>
      <c r="M233" s="1" t="s">
        <v>2128</v>
      </c>
      <c r="N233" s="63" t="s">
        <v>141</v>
      </c>
      <c r="O233" s="63" t="s">
        <v>141</v>
      </c>
      <c r="P233" s="68">
        <v>46.0</v>
      </c>
      <c r="Q233" s="1" t="s">
        <v>2130</v>
      </c>
      <c r="R233" s="1" t="s">
        <v>13</v>
      </c>
      <c r="S233" s="1"/>
      <c r="T233" s="1"/>
      <c r="U233" s="1" t="s">
        <v>139</v>
      </c>
      <c r="V233" s="1" t="s">
        <v>139</v>
      </c>
      <c r="W233" s="145">
        <f t="shared" si="1"/>
        <v>0.0002000225958</v>
      </c>
      <c r="AC233" s="38"/>
    </row>
    <row r="234" ht="15.75" customHeight="1">
      <c r="A234" s="1" t="s">
        <v>1979</v>
      </c>
      <c r="B234" s="1" t="s">
        <v>2127</v>
      </c>
      <c r="C234" s="63">
        <v>46224.0</v>
      </c>
      <c r="D234" s="63" t="s">
        <v>130</v>
      </c>
      <c r="E234" s="68">
        <v>0.98065557</v>
      </c>
      <c r="F234" s="1"/>
      <c r="G234" s="23">
        <v>4100000.0</v>
      </c>
      <c r="H234" s="23">
        <v>4020687.85</v>
      </c>
      <c r="I234" s="23">
        <v>4100000.0</v>
      </c>
      <c r="J234" s="23">
        <v>4020687.85</v>
      </c>
      <c r="K234" s="24">
        <v>1022.0</v>
      </c>
      <c r="L234" s="1" t="s">
        <v>1776</v>
      </c>
      <c r="M234" s="1" t="s">
        <v>2128</v>
      </c>
      <c r="N234" s="63" t="s">
        <v>177</v>
      </c>
      <c r="O234" s="63" t="s">
        <v>177</v>
      </c>
      <c r="P234" s="68">
        <v>40.0</v>
      </c>
      <c r="Q234" s="1" t="s">
        <v>2130</v>
      </c>
      <c r="R234" s="1" t="s">
        <v>13</v>
      </c>
      <c r="S234" s="1"/>
      <c r="T234" s="1"/>
      <c r="U234" s="1" t="s">
        <v>180</v>
      </c>
      <c r="V234" s="1" t="s">
        <v>180</v>
      </c>
      <c r="W234" s="145">
        <f t="shared" si="1"/>
        <v>0.0000822472272</v>
      </c>
      <c r="AC234" s="38"/>
    </row>
    <row r="235" ht="15.75" customHeight="1">
      <c r="A235" s="1" t="s">
        <v>1949</v>
      </c>
      <c r="B235" s="1" t="s">
        <v>2127</v>
      </c>
      <c r="C235" s="63">
        <v>46224.0</v>
      </c>
      <c r="D235" s="63" t="s">
        <v>130</v>
      </c>
      <c r="E235" s="68">
        <v>0.97970803</v>
      </c>
      <c r="F235" s="1"/>
      <c r="G235" s="23">
        <v>2.0E7</v>
      </c>
      <c r="H235" s="23">
        <v>1.95941605E7</v>
      </c>
      <c r="I235" s="23">
        <v>2.0E7</v>
      </c>
      <c r="J235" s="23">
        <v>1.95941605E7</v>
      </c>
      <c r="K235" s="24">
        <v>4022.0</v>
      </c>
      <c r="L235" s="1" t="s">
        <v>1776</v>
      </c>
      <c r="M235" s="1" t="s">
        <v>2128</v>
      </c>
      <c r="N235" s="63" t="s">
        <v>198</v>
      </c>
      <c r="O235" s="63" t="s">
        <v>198</v>
      </c>
      <c r="P235" s="68">
        <v>42.0</v>
      </c>
      <c r="Q235" s="1" t="s">
        <v>2130</v>
      </c>
      <c r="R235" s="1" t="s">
        <v>13</v>
      </c>
      <c r="S235" s="1"/>
      <c r="T235" s="1"/>
      <c r="U235" s="1" t="s">
        <v>197</v>
      </c>
      <c r="V235" s="1" t="s">
        <v>197</v>
      </c>
      <c r="W235" s="145">
        <f t="shared" si="1"/>
        <v>0.0004008183253</v>
      </c>
      <c r="AC235" s="38"/>
    </row>
    <row r="236" ht="15.75" customHeight="1">
      <c r="A236" s="1" t="s">
        <v>1921</v>
      </c>
      <c r="B236" s="1" t="s">
        <v>2127</v>
      </c>
      <c r="C236" s="63">
        <v>46224.0</v>
      </c>
      <c r="D236" s="63" t="s">
        <v>130</v>
      </c>
      <c r="E236" s="68">
        <v>0.98782145</v>
      </c>
      <c r="F236" s="1"/>
      <c r="G236" s="23">
        <v>464617.82</v>
      </c>
      <c r="H236" s="23">
        <v>458959.45</v>
      </c>
      <c r="I236" s="23">
        <v>464617.82</v>
      </c>
      <c r="J236" s="23">
        <v>458959.45</v>
      </c>
      <c r="K236" s="24">
        <v>359.0</v>
      </c>
      <c r="L236" s="1" t="s">
        <v>1776</v>
      </c>
      <c r="M236" s="1" t="s">
        <v>2128</v>
      </c>
      <c r="N236" s="63" t="s">
        <v>1488</v>
      </c>
      <c r="O236" s="63" t="s">
        <v>1488</v>
      </c>
      <c r="P236" s="68">
        <v>25.0</v>
      </c>
      <c r="Q236" s="1" t="s">
        <v>2130</v>
      </c>
      <c r="R236" s="1" t="s">
        <v>13</v>
      </c>
      <c r="S236" s="1"/>
      <c r="T236" s="1"/>
      <c r="U236" s="1" t="s">
        <v>1495</v>
      </c>
      <c r="V236" s="1" t="s">
        <v>1495</v>
      </c>
      <c r="W236" s="145">
        <f t="shared" si="1"/>
        <v>0.00000938847868</v>
      </c>
      <c r="AC236" s="38"/>
    </row>
    <row r="237" ht="15.75" customHeight="1">
      <c r="A237" s="1" t="s">
        <v>1921</v>
      </c>
      <c r="B237" s="1" t="s">
        <v>2127</v>
      </c>
      <c r="C237" s="63">
        <v>46224.0</v>
      </c>
      <c r="D237" s="63" t="s">
        <v>130</v>
      </c>
      <c r="E237" s="68">
        <v>0.98782143</v>
      </c>
      <c r="F237" s="1"/>
      <c r="G237" s="23">
        <v>2931229.1</v>
      </c>
      <c r="H237" s="23">
        <v>2895530.93</v>
      </c>
      <c r="I237" s="23">
        <v>2931229.1</v>
      </c>
      <c r="J237" s="23">
        <v>2895530.93</v>
      </c>
      <c r="K237" s="24">
        <v>9.003183E7</v>
      </c>
      <c r="L237" s="1" t="s">
        <v>1776</v>
      </c>
      <c r="M237" s="1" t="s">
        <v>2128</v>
      </c>
      <c r="N237" s="63" t="s">
        <v>1488</v>
      </c>
      <c r="O237" s="63" t="s">
        <v>1488</v>
      </c>
      <c r="P237" s="68">
        <v>25.0</v>
      </c>
      <c r="Q237" s="1" t="s">
        <v>2130</v>
      </c>
      <c r="R237" s="1" t="s">
        <v>13</v>
      </c>
      <c r="S237" s="1"/>
      <c r="T237" s="1"/>
      <c r="U237" s="1" t="s">
        <v>1496</v>
      </c>
      <c r="V237" s="1" t="s">
        <v>1496</v>
      </c>
      <c r="W237" s="145">
        <f t="shared" si="1"/>
        <v>0.00005923100702</v>
      </c>
      <c r="AC237" s="38"/>
    </row>
    <row r="238" ht="15.75" customHeight="1">
      <c r="A238" s="1" t="s">
        <v>1967</v>
      </c>
      <c r="B238" s="1" t="s">
        <v>2127</v>
      </c>
      <c r="C238" s="63">
        <v>46224.0</v>
      </c>
      <c r="D238" s="63" t="s">
        <v>130</v>
      </c>
      <c r="E238" s="68">
        <v>0.98255626</v>
      </c>
      <c r="F238" s="1"/>
      <c r="G238" s="23">
        <v>3750000.0</v>
      </c>
      <c r="H238" s="23">
        <v>3684585.98</v>
      </c>
      <c r="I238" s="23">
        <v>3750000.0</v>
      </c>
      <c r="J238" s="23">
        <v>3684585.98</v>
      </c>
      <c r="K238" s="24">
        <v>4.0742998E7</v>
      </c>
      <c r="L238" s="1" t="s">
        <v>1776</v>
      </c>
      <c r="M238" s="1" t="s">
        <v>2128</v>
      </c>
      <c r="N238" s="63" t="s">
        <v>849</v>
      </c>
      <c r="O238" s="63" t="s">
        <v>849</v>
      </c>
      <c r="P238" s="68">
        <v>36.0</v>
      </c>
      <c r="Q238" s="1" t="s">
        <v>2130</v>
      </c>
      <c r="R238" s="1" t="s">
        <v>13</v>
      </c>
      <c r="S238" s="1"/>
      <c r="T238" s="1"/>
      <c r="U238" s="1" t="s">
        <v>854</v>
      </c>
      <c r="V238" s="1" t="s">
        <v>854</v>
      </c>
      <c r="W238" s="145">
        <f t="shared" si="1"/>
        <v>0.00007537192429</v>
      </c>
      <c r="AC238" s="38"/>
    </row>
    <row r="239" ht="15.75" customHeight="1">
      <c r="A239" s="1" t="s">
        <v>2064</v>
      </c>
      <c r="B239" s="1" t="s">
        <v>2127</v>
      </c>
      <c r="C239" s="63">
        <v>46224.0</v>
      </c>
      <c r="D239" s="63" t="s">
        <v>130</v>
      </c>
      <c r="E239" s="68">
        <v>0.98398667</v>
      </c>
      <c r="F239" s="1"/>
      <c r="G239" s="23">
        <v>1583767.68</v>
      </c>
      <c r="H239" s="23">
        <v>1558406.28</v>
      </c>
      <c r="I239" s="23">
        <v>1583767.68</v>
      </c>
      <c r="J239" s="23">
        <v>1558406.28</v>
      </c>
      <c r="K239" s="24">
        <v>9.0015591E7</v>
      </c>
      <c r="L239" s="1" t="s">
        <v>1776</v>
      </c>
      <c r="M239" s="1" t="s">
        <v>2128</v>
      </c>
      <c r="N239" s="63" t="s">
        <v>946</v>
      </c>
      <c r="O239" s="63" t="s">
        <v>946</v>
      </c>
      <c r="P239" s="68">
        <v>33.0</v>
      </c>
      <c r="Q239" s="1" t="s">
        <v>2130</v>
      </c>
      <c r="R239" s="1" t="s">
        <v>13</v>
      </c>
      <c r="S239" s="1"/>
      <c r="T239" s="1"/>
      <c r="U239" s="1" t="s">
        <v>1029</v>
      </c>
      <c r="V239" s="1" t="s">
        <v>1029</v>
      </c>
      <c r="W239" s="145">
        <f t="shared" si="1"/>
        <v>0.00003187877303</v>
      </c>
    </row>
    <row r="240" ht="15.75" customHeight="1">
      <c r="A240" s="1" t="s">
        <v>1921</v>
      </c>
      <c r="B240" s="1" t="s">
        <v>2127</v>
      </c>
      <c r="C240" s="63">
        <v>46224.0</v>
      </c>
      <c r="D240" s="63" t="s">
        <v>130</v>
      </c>
      <c r="E240" s="68">
        <v>0.98782143</v>
      </c>
      <c r="F240" s="1"/>
      <c r="G240" s="23">
        <v>1.638948037E7</v>
      </c>
      <c r="H240" s="23">
        <v>1.618987996E7</v>
      </c>
      <c r="I240" s="23">
        <v>1.638948037E7</v>
      </c>
      <c r="J240" s="23">
        <v>1.618987996E7</v>
      </c>
      <c r="K240" s="24">
        <v>2.9496673E7</v>
      </c>
      <c r="L240" s="1" t="s">
        <v>1776</v>
      </c>
      <c r="M240" s="1" t="s">
        <v>2128</v>
      </c>
      <c r="N240" s="63" t="s">
        <v>1488</v>
      </c>
      <c r="O240" s="63" t="s">
        <v>1488</v>
      </c>
      <c r="P240" s="68">
        <v>25.0</v>
      </c>
      <c r="Q240" s="1" t="s">
        <v>2130</v>
      </c>
      <c r="R240" s="1" t="s">
        <v>13</v>
      </c>
      <c r="S240" s="1"/>
      <c r="T240" s="1"/>
      <c r="U240" s="1" t="s">
        <v>1497</v>
      </c>
      <c r="V240" s="1" t="s">
        <v>1497</v>
      </c>
      <c r="W240" s="145">
        <f t="shared" si="1"/>
        <v>0.0003311803316</v>
      </c>
      <c r="AC240" s="38"/>
    </row>
    <row r="241" ht="15.75" customHeight="1">
      <c r="A241" s="1" t="s">
        <v>1921</v>
      </c>
      <c r="B241" s="1" t="s">
        <v>2127</v>
      </c>
      <c r="C241" s="63">
        <v>46224.0</v>
      </c>
      <c r="D241" s="63" t="s">
        <v>130</v>
      </c>
      <c r="E241" s="68">
        <v>0.98782143</v>
      </c>
      <c r="F241" s="1"/>
      <c r="G241" s="23">
        <v>1.687762205E7</v>
      </c>
      <c r="H241" s="23">
        <v>1.667207678E7</v>
      </c>
      <c r="I241" s="23">
        <v>1.687762205E7</v>
      </c>
      <c r="J241" s="23">
        <v>1.667207678E7</v>
      </c>
      <c r="K241" s="24">
        <v>5.0448693E7</v>
      </c>
      <c r="L241" s="1" t="s">
        <v>1776</v>
      </c>
      <c r="M241" s="1" t="s">
        <v>2128</v>
      </c>
      <c r="N241" s="63" t="s">
        <v>1488</v>
      </c>
      <c r="O241" s="63" t="s">
        <v>1488</v>
      </c>
      <c r="P241" s="68">
        <v>25.0</v>
      </c>
      <c r="Q241" s="1" t="s">
        <v>2130</v>
      </c>
      <c r="R241" s="1" t="s">
        <v>13</v>
      </c>
      <c r="S241" s="1"/>
      <c r="T241" s="1"/>
      <c r="U241" s="1" t="s">
        <v>1498</v>
      </c>
      <c r="V241" s="1" t="s">
        <v>1498</v>
      </c>
      <c r="W241" s="145">
        <f t="shared" si="1"/>
        <v>0.0003410441541</v>
      </c>
      <c r="AC241" s="38"/>
    </row>
    <row r="242" ht="15.75" customHeight="1">
      <c r="A242" s="1" t="s">
        <v>1921</v>
      </c>
      <c r="B242" s="1" t="s">
        <v>2127</v>
      </c>
      <c r="C242" s="63">
        <v>46224.0</v>
      </c>
      <c r="D242" s="63" t="s">
        <v>130</v>
      </c>
      <c r="E242" s="68">
        <v>0.98782145</v>
      </c>
      <c r="F242" s="1"/>
      <c r="G242" s="23">
        <v>600000.0</v>
      </c>
      <c r="H242" s="23">
        <v>592692.87</v>
      </c>
      <c r="I242" s="23">
        <v>600000.0</v>
      </c>
      <c r="J242" s="23">
        <v>592692.87</v>
      </c>
      <c r="K242" s="24">
        <v>839.0</v>
      </c>
      <c r="L242" s="1" t="s">
        <v>1776</v>
      </c>
      <c r="M242" s="1" t="s">
        <v>2128</v>
      </c>
      <c r="N242" s="63" t="s">
        <v>1488</v>
      </c>
      <c r="O242" s="63" t="s">
        <v>1488</v>
      </c>
      <c r="P242" s="68">
        <v>25.0</v>
      </c>
      <c r="Q242" s="1" t="s">
        <v>2130</v>
      </c>
      <c r="R242" s="1" t="s">
        <v>13</v>
      </c>
      <c r="S242" s="1"/>
      <c r="T242" s="1"/>
      <c r="U242" s="1" t="s">
        <v>1499</v>
      </c>
      <c r="V242" s="1" t="s">
        <v>1499</v>
      </c>
      <c r="W242" s="145">
        <f t="shared" si="1"/>
        <v>0.00001212413074</v>
      </c>
      <c r="AC242" s="38"/>
    </row>
    <row r="243" ht="15.75" customHeight="1">
      <c r="A243" s="1" t="s">
        <v>1921</v>
      </c>
      <c r="B243" s="1" t="s">
        <v>2127</v>
      </c>
      <c r="C243" s="63">
        <v>46224.0</v>
      </c>
      <c r="D243" s="63" t="s">
        <v>130</v>
      </c>
      <c r="E243" s="68">
        <v>0.98782141</v>
      </c>
      <c r="F243" s="1"/>
      <c r="G243" s="23">
        <v>121501.73</v>
      </c>
      <c r="H243" s="23">
        <v>120022.01</v>
      </c>
      <c r="I243" s="23">
        <v>121501.73</v>
      </c>
      <c r="J243" s="23">
        <v>120022.01</v>
      </c>
      <c r="K243" s="24">
        <v>159.0</v>
      </c>
      <c r="L243" s="1" t="s">
        <v>1776</v>
      </c>
      <c r="M243" s="1" t="s">
        <v>2128</v>
      </c>
      <c r="N243" s="63" t="s">
        <v>1488</v>
      </c>
      <c r="O243" s="63" t="s">
        <v>1488</v>
      </c>
      <c r="P243" s="68">
        <v>25.0</v>
      </c>
      <c r="Q243" s="1" t="s">
        <v>2130</v>
      </c>
      <c r="R243" s="1" t="s">
        <v>13</v>
      </c>
      <c r="S243" s="1"/>
      <c r="T243" s="1"/>
      <c r="U243" s="1" t="s">
        <v>1500</v>
      </c>
      <c r="V243" s="1" t="s">
        <v>1500</v>
      </c>
      <c r="W243" s="145">
        <f t="shared" si="1"/>
        <v>0.000002455171327</v>
      </c>
      <c r="AC243" s="38"/>
    </row>
    <row r="244" ht="15.75" customHeight="1">
      <c r="A244" s="1" t="s">
        <v>1921</v>
      </c>
      <c r="B244" s="1" t="s">
        <v>2127</v>
      </c>
      <c r="C244" s="63">
        <v>46224.0</v>
      </c>
      <c r="D244" s="63" t="s">
        <v>130</v>
      </c>
      <c r="E244" s="68">
        <v>0.98782143</v>
      </c>
      <c r="F244" s="1"/>
      <c r="G244" s="23">
        <v>1500000.0</v>
      </c>
      <c r="H244" s="23">
        <v>1481732.15</v>
      </c>
      <c r="I244" s="23">
        <v>1500000.0</v>
      </c>
      <c r="J244" s="23">
        <v>1481732.15</v>
      </c>
      <c r="K244" s="24">
        <v>809.0</v>
      </c>
      <c r="L244" s="1" t="s">
        <v>1776</v>
      </c>
      <c r="M244" s="1" t="s">
        <v>2128</v>
      </c>
      <c r="N244" s="63" t="s">
        <v>1488</v>
      </c>
      <c r="O244" s="63" t="s">
        <v>1488</v>
      </c>
      <c r="P244" s="68">
        <v>25.0</v>
      </c>
      <c r="Q244" s="1" t="s">
        <v>2130</v>
      </c>
      <c r="R244" s="1" t="s">
        <v>13</v>
      </c>
      <c r="S244" s="1"/>
      <c r="T244" s="1"/>
      <c r="U244" s="1" t="s">
        <v>1501</v>
      </c>
      <c r="V244" s="1" t="s">
        <v>1501</v>
      </c>
      <c r="W244" s="145">
        <f t="shared" si="1"/>
        <v>0.00003031032633</v>
      </c>
      <c r="AC244" s="38"/>
    </row>
    <row r="245" ht="15.75" customHeight="1">
      <c r="A245" s="1" t="s">
        <v>1967</v>
      </c>
      <c r="B245" s="1" t="s">
        <v>2127</v>
      </c>
      <c r="C245" s="63">
        <v>46224.0</v>
      </c>
      <c r="D245" s="63" t="s">
        <v>130</v>
      </c>
      <c r="E245" s="68">
        <v>0.98208047</v>
      </c>
      <c r="F245" s="1"/>
      <c r="G245" s="23">
        <v>5000000.0</v>
      </c>
      <c r="H245" s="23">
        <v>4910402.37</v>
      </c>
      <c r="I245" s="23">
        <v>5000000.0</v>
      </c>
      <c r="J245" s="23">
        <v>4910402.37</v>
      </c>
      <c r="K245" s="24">
        <v>4.0734601E7</v>
      </c>
      <c r="L245" s="1" t="s">
        <v>1776</v>
      </c>
      <c r="M245" s="1" t="s">
        <v>2128</v>
      </c>
      <c r="N245" s="63" t="s">
        <v>704</v>
      </c>
      <c r="O245" s="63" t="s">
        <v>704</v>
      </c>
      <c r="P245" s="68">
        <v>37.0</v>
      </c>
      <c r="Q245" s="1" t="s">
        <v>2130</v>
      </c>
      <c r="R245" s="1" t="s">
        <v>13</v>
      </c>
      <c r="S245" s="1"/>
      <c r="T245" s="1"/>
      <c r="U245" s="1" t="s">
        <v>709</v>
      </c>
      <c r="V245" s="1" t="s">
        <v>709</v>
      </c>
      <c r="W245" s="145">
        <f t="shared" si="1"/>
        <v>0.0001004472355</v>
      </c>
      <c r="AC245" s="38"/>
    </row>
    <row r="246" ht="15.75" customHeight="1">
      <c r="A246" s="1" t="s">
        <v>1926</v>
      </c>
      <c r="B246" s="1" t="s">
        <v>2127</v>
      </c>
      <c r="C246" s="63">
        <v>46224.0</v>
      </c>
      <c r="D246" s="63" t="s">
        <v>130</v>
      </c>
      <c r="E246" s="68">
        <v>0.98590031</v>
      </c>
      <c r="F246" s="1"/>
      <c r="G246" s="23">
        <v>5000000.0</v>
      </c>
      <c r="H246" s="23">
        <v>4929501.57</v>
      </c>
      <c r="I246" s="23">
        <v>5000000.0</v>
      </c>
      <c r="J246" s="23">
        <v>4929501.57</v>
      </c>
      <c r="K246" s="24">
        <v>1.6771074E7</v>
      </c>
      <c r="L246" s="1" t="s">
        <v>1776</v>
      </c>
      <c r="M246" s="1" t="s">
        <v>2128</v>
      </c>
      <c r="N246" s="63" t="s">
        <v>360</v>
      </c>
      <c r="O246" s="63" t="s">
        <v>360</v>
      </c>
      <c r="P246" s="68">
        <v>29.0</v>
      </c>
      <c r="Q246" s="1" t="s">
        <v>2130</v>
      </c>
      <c r="R246" s="1" t="s">
        <v>13</v>
      </c>
      <c r="S246" s="1"/>
      <c r="T246" s="1"/>
      <c r="U246" s="1" t="s">
        <v>361</v>
      </c>
      <c r="V246" s="1" t="s">
        <v>361</v>
      </c>
      <c r="W246" s="145">
        <f t="shared" si="1"/>
        <v>0.0001008379289</v>
      </c>
      <c r="AC246" s="38"/>
    </row>
    <row r="247" ht="15.75" customHeight="1">
      <c r="A247" s="1" t="s">
        <v>1948</v>
      </c>
      <c r="B247" s="1" t="s">
        <v>2127</v>
      </c>
      <c r="C247" s="63">
        <v>46224.0</v>
      </c>
      <c r="D247" s="63" t="s">
        <v>130</v>
      </c>
      <c r="E247" s="68">
        <v>0.98590029</v>
      </c>
      <c r="F247" s="1"/>
      <c r="G247" s="23">
        <v>1.25E7</v>
      </c>
      <c r="H247" s="23">
        <v>1.232375364E7</v>
      </c>
      <c r="I247" s="23">
        <v>1.25E7</v>
      </c>
      <c r="J247" s="23">
        <v>1.232375364E7</v>
      </c>
      <c r="K247" s="24">
        <v>2.8996504E7</v>
      </c>
      <c r="L247" s="1" t="s">
        <v>1776</v>
      </c>
      <c r="M247" s="1" t="s">
        <v>2128</v>
      </c>
      <c r="N247" s="63" t="s">
        <v>207</v>
      </c>
      <c r="O247" s="63" t="s">
        <v>207</v>
      </c>
      <c r="P247" s="68">
        <v>29.0</v>
      </c>
      <c r="Q247" s="1" t="s">
        <v>2130</v>
      </c>
      <c r="R247" s="1" t="s">
        <v>13</v>
      </c>
      <c r="S247" s="1"/>
      <c r="T247" s="1"/>
      <c r="U247" s="1" t="s">
        <v>214</v>
      </c>
      <c r="V247" s="1" t="s">
        <v>214</v>
      </c>
      <c r="W247" s="145">
        <f t="shared" si="1"/>
        <v>0.0002520948165</v>
      </c>
      <c r="AC247" s="38"/>
    </row>
    <row r="248" ht="15.75" customHeight="1">
      <c r="A248" s="1" t="s">
        <v>2074</v>
      </c>
      <c r="B248" s="1" t="s">
        <v>2127</v>
      </c>
      <c r="C248" s="63">
        <v>46224.0</v>
      </c>
      <c r="D248" s="63" t="s">
        <v>130</v>
      </c>
      <c r="E248" s="68">
        <v>0.98398668</v>
      </c>
      <c r="F248" s="1"/>
      <c r="G248" s="23">
        <v>1100000.0</v>
      </c>
      <c r="H248" s="23">
        <v>1082385.35</v>
      </c>
      <c r="I248" s="23">
        <v>1100000.0</v>
      </c>
      <c r="J248" s="23">
        <v>1082385.35</v>
      </c>
      <c r="K248" s="24">
        <v>2229.0</v>
      </c>
      <c r="L248" s="1" t="s">
        <v>1776</v>
      </c>
      <c r="M248" s="1" t="s">
        <v>2128</v>
      </c>
      <c r="N248" s="63" t="s">
        <v>946</v>
      </c>
      <c r="O248" s="63" t="s">
        <v>946</v>
      </c>
      <c r="P248" s="68">
        <v>33.0</v>
      </c>
      <c r="Q248" s="1" t="s">
        <v>2130</v>
      </c>
      <c r="R248" s="1" t="s">
        <v>13</v>
      </c>
      <c r="S248" s="1"/>
      <c r="T248" s="1"/>
      <c r="U248" s="1" t="s">
        <v>1033</v>
      </c>
      <c r="V248" s="1" t="s">
        <v>1033</v>
      </c>
      <c r="W248" s="145">
        <f t="shared" si="1"/>
        <v>0.00002214128456</v>
      </c>
      <c r="AC248" s="38"/>
    </row>
    <row r="249" ht="15.75" customHeight="1">
      <c r="A249" s="1" t="s">
        <v>1953</v>
      </c>
      <c r="B249" s="1" t="s">
        <v>2127</v>
      </c>
      <c r="C249" s="63">
        <v>46225.0</v>
      </c>
      <c r="D249" s="63" t="s">
        <v>130</v>
      </c>
      <c r="E249" s="68">
        <v>0.98969633</v>
      </c>
      <c r="F249" s="1"/>
      <c r="G249" s="23">
        <v>2500000.0</v>
      </c>
      <c r="H249" s="23">
        <v>2474240.82</v>
      </c>
      <c r="I249" s="23">
        <v>2500000.0</v>
      </c>
      <c r="J249" s="23">
        <v>2474240.82</v>
      </c>
      <c r="K249" s="24">
        <v>6125.0</v>
      </c>
      <c r="L249" s="1" t="s">
        <v>1776</v>
      </c>
      <c r="M249" s="1" t="s">
        <v>2128</v>
      </c>
      <c r="N249" s="63" t="s">
        <v>946</v>
      </c>
      <c r="O249" s="63" t="s">
        <v>946</v>
      </c>
      <c r="P249" s="68">
        <v>20.0</v>
      </c>
      <c r="Q249" s="1" t="s">
        <v>2130</v>
      </c>
      <c r="R249" s="1" t="s">
        <v>13</v>
      </c>
      <c r="S249" s="1"/>
      <c r="T249" s="1"/>
      <c r="U249" s="1" t="s">
        <v>961</v>
      </c>
      <c r="V249" s="1" t="s">
        <v>961</v>
      </c>
      <c r="W249" s="145">
        <f t="shared" si="1"/>
        <v>0.0000506130927</v>
      </c>
      <c r="AC249" s="38"/>
    </row>
    <row r="250" ht="15.75" customHeight="1">
      <c r="A250" s="1" t="s">
        <v>1960</v>
      </c>
      <c r="B250" s="1" t="s">
        <v>2127</v>
      </c>
      <c r="C250" s="63">
        <v>46225.0</v>
      </c>
      <c r="D250" s="63" t="s">
        <v>130</v>
      </c>
      <c r="E250" s="68">
        <v>0.98563407</v>
      </c>
      <c r="F250" s="1"/>
      <c r="G250" s="23">
        <v>6500000.0</v>
      </c>
      <c r="H250" s="23">
        <v>6406621.46</v>
      </c>
      <c r="I250" s="23">
        <v>6500000.0</v>
      </c>
      <c r="J250" s="23">
        <v>6406621.46</v>
      </c>
      <c r="K250" s="24">
        <v>2.9175495E7</v>
      </c>
      <c r="L250" s="1" t="s">
        <v>1776</v>
      </c>
      <c r="M250" s="1" t="s">
        <v>2128</v>
      </c>
      <c r="N250" s="63" t="s">
        <v>676</v>
      </c>
      <c r="O250" s="63" t="s">
        <v>676</v>
      </c>
      <c r="P250" s="68">
        <v>28.0</v>
      </c>
      <c r="Q250" s="1" t="s">
        <v>2130</v>
      </c>
      <c r="R250" s="1" t="s">
        <v>13</v>
      </c>
      <c r="S250" s="1"/>
      <c r="T250" s="1"/>
      <c r="U250" s="1" t="s">
        <v>686</v>
      </c>
      <c r="V250" s="1" t="s">
        <v>686</v>
      </c>
      <c r="W250" s="145">
        <f t="shared" si="1"/>
        <v>0.0001310539068</v>
      </c>
      <c r="AC250" s="38"/>
    </row>
    <row r="251" ht="15.75" customHeight="1">
      <c r="A251" s="1" t="s">
        <v>2051</v>
      </c>
      <c r="B251" s="1" t="s">
        <v>2127</v>
      </c>
      <c r="C251" s="63">
        <v>46225.0</v>
      </c>
      <c r="D251" s="63" t="s">
        <v>130</v>
      </c>
      <c r="E251" s="68">
        <v>0.98060292</v>
      </c>
      <c r="F251" s="1"/>
      <c r="G251" s="23">
        <v>3116595.02</v>
      </c>
      <c r="H251" s="23">
        <v>3056142.17</v>
      </c>
      <c r="I251" s="23">
        <v>3116595.02</v>
      </c>
      <c r="J251" s="23">
        <v>3056142.17</v>
      </c>
      <c r="K251" s="24">
        <v>103.0</v>
      </c>
      <c r="L251" s="1" t="s">
        <v>1776</v>
      </c>
      <c r="M251" s="1" t="s">
        <v>2128</v>
      </c>
      <c r="N251" s="63" t="s">
        <v>307</v>
      </c>
      <c r="O251" s="63" t="s">
        <v>307</v>
      </c>
      <c r="P251" s="68">
        <v>38.0</v>
      </c>
      <c r="Q251" s="1" t="s">
        <v>2130</v>
      </c>
      <c r="R251" s="1" t="s">
        <v>13</v>
      </c>
      <c r="S251" s="1"/>
      <c r="T251" s="1"/>
      <c r="U251" s="1" t="s">
        <v>333</v>
      </c>
      <c r="V251" s="1" t="s">
        <v>333</v>
      </c>
      <c r="W251" s="145">
        <f t="shared" si="1"/>
        <v>0.000062516472</v>
      </c>
      <c r="AC251" s="38"/>
    </row>
    <row r="252" ht="15.75" customHeight="1">
      <c r="A252" s="1" t="s">
        <v>2029</v>
      </c>
      <c r="B252" s="1" t="s">
        <v>2127</v>
      </c>
      <c r="C252" s="63">
        <v>46225.0</v>
      </c>
      <c r="D252" s="63" t="s">
        <v>130</v>
      </c>
      <c r="E252" s="68">
        <v>0.98110375</v>
      </c>
      <c r="F252" s="1"/>
      <c r="G252" s="23">
        <v>5454223.66</v>
      </c>
      <c r="H252" s="23">
        <v>5351159.31</v>
      </c>
      <c r="I252" s="23">
        <v>5454223.66</v>
      </c>
      <c r="J252" s="23">
        <v>5351159.31</v>
      </c>
      <c r="K252" s="24">
        <v>6.6786698E7</v>
      </c>
      <c r="L252" s="1" t="s">
        <v>1776</v>
      </c>
      <c r="M252" s="1" t="s">
        <v>2128</v>
      </c>
      <c r="N252" s="63" t="s">
        <v>765</v>
      </c>
      <c r="O252" s="63" t="s">
        <v>765</v>
      </c>
      <c r="P252" s="68">
        <v>37.0</v>
      </c>
      <c r="Q252" s="1" t="s">
        <v>2130</v>
      </c>
      <c r="R252" s="1" t="s">
        <v>13</v>
      </c>
      <c r="S252" s="1"/>
      <c r="T252" s="1"/>
      <c r="U252" s="1" t="s">
        <v>790</v>
      </c>
      <c r="V252" s="1" t="s">
        <v>790</v>
      </c>
      <c r="W252" s="145">
        <f t="shared" si="1"/>
        <v>0.0001094633635</v>
      </c>
      <c r="AC252" s="38"/>
    </row>
    <row r="253" ht="15.75" customHeight="1">
      <c r="A253" s="1" t="s">
        <v>1940</v>
      </c>
      <c r="B253" s="1" t="s">
        <v>2127</v>
      </c>
      <c r="C253" s="63">
        <v>46225.0</v>
      </c>
      <c r="D253" s="63" t="s">
        <v>130</v>
      </c>
      <c r="E253" s="68">
        <v>0.98160504</v>
      </c>
      <c r="F253" s="1"/>
      <c r="G253" s="23">
        <v>6.5E7</v>
      </c>
      <c r="H253" s="23">
        <v>6.38043277E7</v>
      </c>
      <c r="I253" s="23">
        <v>6.5E7</v>
      </c>
      <c r="J253" s="23">
        <v>6.38043277E7</v>
      </c>
      <c r="K253" s="24">
        <v>311.0</v>
      </c>
      <c r="L253" s="1" t="s">
        <v>1776</v>
      </c>
      <c r="M253" s="1" t="s">
        <v>2128</v>
      </c>
      <c r="N253" s="63" t="s">
        <v>248</v>
      </c>
      <c r="O253" s="63" t="s">
        <v>248</v>
      </c>
      <c r="P253" s="68">
        <v>36.0</v>
      </c>
      <c r="Q253" s="1" t="s">
        <v>2130</v>
      </c>
      <c r="R253" s="1" t="s">
        <v>13</v>
      </c>
      <c r="S253" s="1"/>
      <c r="T253" s="1"/>
      <c r="U253" s="1" t="s">
        <v>249</v>
      </c>
      <c r="V253" s="1" t="s">
        <v>249</v>
      </c>
      <c r="W253" s="145">
        <f t="shared" si="1"/>
        <v>0.001305181907</v>
      </c>
      <c r="AC253" s="38"/>
    </row>
    <row r="254" ht="15.75" customHeight="1">
      <c r="A254" s="1" t="s">
        <v>1954</v>
      </c>
      <c r="B254" s="1" t="s">
        <v>2127</v>
      </c>
      <c r="C254" s="63">
        <v>46225.0</v>
      </c>
      <c r="D254" s="63" t="s">
        <v>130</v>
      </c>
      <c r="E254" s="68">
        <v>0.98160499</v>
      </c>
      <c r="F254" s="1"/>
      <c r="G254" s="23">
        <v>2.0E7</v>
      </c>
      <c r="H254" s="23">
        <v>1.963209986E7</v>
      </c>
      <c r="I254" s="23">
        <v>2.0E7</v>
      </c>
      <c r="J254" s="23">
        <v>1.963209986E7</v>
      </c>
      <c r="K254" s="24">
        <v>422.0</v>
      </c>
      <c r="L254" s="1" t="s">
        <v>1776</v>
      </c>
      <c r="M254" s="1" t="s">
        <v>2128</v>
      </c>
      <c r="N254" s="63" t="s">
        <v>863</v>
      </c>
      <c r="O254" s="63" t="s">
        <v>863</v>
      </c>
      <c r="P254" s="68">
        <v>36.0</v>
      </c>
      <c r="Q254" s="1" t="s">
        <v>2130</v>
      </c>
      <c r="R254" s="1" t="s">
        <v>13</v>
      </c>
      <c r="S254" s="1"/>
      <c r="T254" s="1"/>
      <c r="U254" s="1" t="s">
        <v>873</v>
      </c>
      <c r="V254" s="1" t="s">
        <v>873</v>
      </c>
      <c r="W254" s="145">
        <f t="shared" si="1"/>
        <v>0.0004015944132</v>
      </c>
      <c r="AC254" s="38"/>
    </row>
    <row r="255" ht="15.75" customHeight="1">
      <c r="A255" s="1" t="s">
        <v>2054</v>
      </c>
      <c r="B255" s="1" t="s">
        <v>2127</v>
      </c>
      <c r="C255" s="63">
        <v>46225.0</v>
      </c>
      <c r="D255" s="63" t="s">
        <v>130</v>
      </c>
      <c r="E255" s="68">
        <v>0.98361541</v>
      </c>
      <c r="F255" s="1"/>
      <c r="G255" s="23">
        <v>1809446.0</v>
      </c>
      <c r="H255" s="23">
        <v>1779798.97</v>
      </c>
      <c r="I255" s="23">
        <v>1809446.0</v>
      </c>
      <c r="J255" s="23">
        <v>1779798.97</v>
      </c>
      <c r="K255" s="24">
        <v>9947.0</v>
      </c>
      <c r="L255" s="1" t="s">
        <v>1776</v>
      </c>
      <c r="M255" s="1" t="s">
        <v>2128</v>
      </c>
      <c r="N255" s="63" t="s">
        <v>628</v>
      </c>
      <c r="O255" s="63" t="s">
        <v>628</v>
      </c>
      <c r="P255" s="68">
        <v>32.0</v>
      </c>
      <c r="Q255" s="1" t="s">
        <v>2130</v>
      </c>
      <c r="R255" s="1" t="s">
        <v>13</v>
      </c>
      <c r="S255" s="1"/>
      <c r="T255" s="1"/>
      <c r="U255" s="1" t="s">
        <v>674</v>
      </c>
      <c r="V255" s="1" t="s">
        <v>674</v>
      </c>
      <c r="W255" s="145">
        <f t="shared" si="1"/>
        <v>0.00003640758391</v>
      </c>
      <c r="AC255" s="38"/>
    </row>
    <row r="256" ht="15.75" customHeight="1">
      <c r="A256" s="1" t="s">
        <v>2073</v>
      </c>
      <c r="B256" s="1" t="s">
        <v>2127</v>
      </c>
      <c r="C256" s="63">
        <v>46225.0</v>
      </c>
      <c r="D256" s="63" t="s">
        <v>130</v>
      </c>
      <c r="E256" s="68">
        <v>0.98311204</v>
      </c>
      <c r="F256" s="1"/>
      <c r="G256" s="23">
        <v>2368425.38</v>
      </c>
      <c r="H256" s="23">
        <v>2328427.51</v>
      </c>
      <c r="I256" s="23">
        <v>2368425.38</v>
      </c>
      <c r="J256" s="23">
        <v>2328427.51</v>
      </c>
      <c r="K256" s="24">
        <v>9870354.0</v>
      </c>
      <c r="L256" s="1" t="s">
        <v>1776</v>
      </c>
      <c r="M256" s="1" t="s">
        <v>2128</v>
      </c>
      <c r="N256" s="63" t="s">
        <v>946</v>
      </c>
      <c r="O256" s="63" t="s">
        <v>946</v>
      </c>
      <c r="P256" s="68">
        <v>33.0</v>
      </c>
      <c r="Q256" s="1" t="s">
        <v>2130</v>
      </c>
      <c r="R256" s="1" t="s">
        <v>13</v>
      </c>
      <c r="S256" s="1"/>
      <c r="T256" s="1"/>
      <c r="U256" s="1" t="s">
        <v>1036</v>
      </c>
      <c r="V256" s="1" t="s">
        <v>1036</v>
      </c>
      <c r="W256" s="145">
        <f t="shared" si="1"/>
        <v>0.00004763033431</v>
      </c>
      <c r="AC256" s="38"/>
    </row>
    <row r="257" ht="15.75" customHeight="1">
      <c r="A257" s="1" t="s">
        <v>1917</v>
      </c>
      <c r="B257" s="1" t="s">
        <v>2127</v>
      </c>
      <c r="C257" s="63">
        <v>46225.0</v>
      </c>
      <c r="D257" s="63" t="s">
        <v>130</v>
      </c>
      <c r="E257" s="68">
        <v>0.9846237</v>
      </c>
      <c r="F257" s="1"/>
      <c r="G257" s="23">
        <v>1.0E7</v>
      </c>
      <c r="H257" s="23">
        <v>9846237.01</v>
      </c>
      <c r="I257" s="23">
        <v>1.0E7</v>
      </c>
      <c r="J257" s="23">
        <v>9846237.01</v>
      </c>
      <c r="K257" s="24">
        <v>606.0</v>
      </c>
      <c r="L257" s="1" t="s">
        <v>1776</v>
      </c>
      <c r="M257" s="1" t="s">
        <v>2128</v>
      </c>
      <c r="N257" s="63" t="s">
        <v>1209</v>
      </c>
      <c r="O257" s="63" t="s">
        <v>1209</v>
      </c>
      <c r="P257" s="68">
        <v>30.0</v>
      </c>
      <c r="Q257" s="1" t="s">
        <v>2130</v>
      </c>
      <c r="R257" s="1" t="s">
        <v>13</v>
      </c>
      <c r="S257" s="1"/>
      <c r="T257" s="1"/>
      <c r="U257" s="1" t="s">
        <v>1212</v>
      </c>
      <c r="V257" s="1" t="s">
        <v>1212</v>
      </c>
      <c r="W257" s="145">
        <f t="shared" si="1"/>
        <v>0.0002014147138</v>
      </c>
      <c r="AC257" s="38"/>
    </row>
    <row r="258" ht="15.75" customHeight="1">
      <c r="A258" s="1" t="s">
        <v>1917</v>
      </c>
      <c r="B258" s="1" t="s">
        <v>2127</v>
      </c>
      <c r="C258" s="63">
        <v>46225.0</v>
      </c>
      <c r="D258" s="63" t="s">
        <v>130</v>
      </c>
      <c r="E258" s="68">
        <v>0.98462369</v>
      </c>
      <c r="F258" s="1"/>
      <c r="G258" s="23">
        <v>8750000.0</v>
      </c>
      <c r="H258" s="23">
        <v>8615457.28</v>
      </c>
      <c r="I258" s="23">
        <v>8750000.0</v>
      </c>
      <c r="J258" s="23">
        <v>8615457.28</v>
      </c>
      <c r="K258" s="24">
        <v>631.0</v>
      </c>
      <c r="L258" s="1" t="s">
        <v>1776</v>
      </c>
      <c r="M258" s="1" t="s">
        <v>2128</v>
      </c>
      <c r="N258" s="63" t="s">
        <v>1272</v>
      </c>
      <c r="O258" s="63" t="s">
        <v>1272</v>
      </c>
      <c r="P258" s="68">
        <v>30.0</v>
      </c>
      <c r="Q258" s="1" t="s">
        <v>2130</v>
      </c>
      <c r="R258" s="1" t="s">
        <v>13</v>
      </c>
      <c r="S258" s="1"/>
      <c r="T258" s="1"/>
      <c r="U258" s="1" t="s">
        <v>1294</v>
      </c>
      <c r="V258" s="1" t="s">
        <v>1294</v>
      </c>
      <c r="W258" s="145">
        <f t="shared" si="1"/>
        <v>0.0001762378724</v>
      </c>
      <c r="AC258" s="38"/>
    </row>
    <row r="259" ht="15.75" customHeight="1">
      <c r="A259" s="1" t="s">
        <v>1917</v>
      </c>
      <c r="B259" s="1" t="s">
        <v>2127</v>
      </c>
      <c r="C259" s="63">
        <v>46225.0</v>
      </c>
      <c r="D259" s="63" t="s">
        <v>130</v>
      </c>
      <c r="E259" s="68">
        <v>0.98462373</v>
      </c>
      <c r="F259" s="1"/>
      <c r="G259" s="23">
        <v>1.0E7</v>
      </c>
      <c r="H259" s="23">
        <v>9846237.26</v>
      </c>
      <c r="I259" s="23">
        <v>1.0E7</v>
      </c>
      <c r="J259" s="23">
        <v>9846237.26</v>
      </c>
      <c r="K259" s="24">
        <v>519.0</v>
      </c>
      <c r="L259" s="1" t="s">
        <v>1776</v>
      </c>
      <c r="M259" s="1" t="s">
        <v>2128</v>
      </c>
      <c r="N259" s="63" t="s">
        <v>827</v>
      </c>
      <c r="O259" s="63" t="s">
        <v>827</v>
      </c>
      <c r="P259" s="68">
        <v>30.0</v>
      </c>
      <c r="Q259" s="1" t="s">
        <v>2130</v>
      </c>
      <c r="R259" s="1" t="s">
        <v>13</v>
      </c>
      <c r="S259" s="1"/>
      <c r="T259" s="1"/>
      <c r="U259" s="1" t="s">
        <v>841</v>
      </c>
      <c r="V259" s="1" t="s">
        <v>841</v>
      </c>
      <c r="W259" s="145">
        <f t="shared" si="1"/>
        <v>0.0002014147189</v>
      </c>
      <c r="AC259" s="38"/>
    </row>
    <row r="260" ht="15.75" customHeight="1">
      <c r="A260" s="1" t="s">
        <v>1903</v>
      </c>
      <c r="B260" s="1" t="s">
        <v>2127</v>
      </c>
      <c r="C260" s="63">
        <v>46225.0</v>
      </c>
      <c r="D260" s="63" t="s">
        <v>130</v>
      </c>
      <c r="E260" s="68">
        <v>0.98512861</v>
      </c>
      <c r="F260" s="1"/>
      <c r="G260" s="23">
        <v>3500000.0</v>
      </c>
      <c r="H260" s="23">
        <v>3447950.13</v>
      </c>
      <c r="I260" s="23">
        <v>3500000.0</v>
      </c>
      <c r="J260" s="23">
        <v>3447950.13</v>
      </c>
      <c r="K260" s="24">
        <v>405.0</v>
      </c>
      <c r="L260" s="1" t="s">
        <v>1776</v>
      </c>
      <c r="M260" s="1" t="s">
        <v>2128</v>
      </c>
      <c r="N260" s="63" t="s">
        <v>446</v>
      </c>
      <c r="O260" s="63" t="s">
        <v>446</v>
      </c>
      <c r="P260" s="68">
        <v>29.0</v>
      </c>
      <c r="Q260" s="1" t="s">
        <v>2130</v>
      </c>
      <c r="R260" s="1" t="s">
        <v>13</v>
      </c>
      <c r="S260" s="1"/>
      <c r="T260" s="1"/>
      <c r="U260" s="1" t="s">
        <v>528</v>
      </c>
      <c r="V260" s="1" t="s">
        <v>528</v>
      </c>
      <c r="W260" s="145">
        <f t="shared" si="1"/>
        <v>0.00007053129919</v>
      </c>
      <c r="AC260" s="38"/>
    </row>
    <row r="261" ht="15.75" customHeight="1">
      <c r="A261" s="1" t="s">
        <v>1903</v>
      </c>
      <c r="B261" s="1" t="s">
        <v>2127</v>
      </c>
      <c r="C261" s="63">
        <v>46225.0</v>
      </c>
      <c r="D261" s="63" t="s">
        <v>130</v>
      </c>
      <c r="E261" s="68">
        <v>0.98512865</v>
      </c>
      <c r="F261" s="1"/>
      <c r="G261" s="23">
        <v>1.1E7</v>
      </c>
      <c r="H261" s="23">
        <v>1.083641519E7</v>
      </c>
      <c r="I261" s="23">
        <v>1.1E7</v>
      </c>
      <c r="J261" s="23">
        <v>1.083641519E7</v>
      </c>
      <c r="K261" s="24">
        <v>269.0</v>
      </c>
      <c r="L261" s="1" t="s">
        <v>1776</v>
      </c>
      <c r="M261" s="1" t="s">
        <v>2128</v>
      </c>
      <c r="N261" s="63" t="s">
        <v>256</v>
      </c>
      <c r="O261" s="63" t="s">
        <v>256</v>
      </c>
      <c r="P261" s="68">
        <v>29.0</v>
      </c>
      <c r="Q261" s="1" t="s">
        <v>2130</v>
      </c>
      <c r="R261" s="1" t="s">
        <v>13</v>
      </c>
      <c r="S261" s="1"/>
      <c r="T261" s="1"/>
      <c r="U261" s="1" t="s">
        <v>263</v>
      </c>
      <c r="V261" s="1" t="s">
        <v>263</v>
      </c>
      <c r="W261" s="145">
        <f t="shared" si="1"/>
        <v>0.0002216698076</v>
      </c>
      <c r="AC261" s="38"/>
    </row>
    <row r="262" ht="15.75" customHeight="1">
      <c r="A262" s="1" t="s">
        <v>1911</v>
      </c>
      <c r="B262" s="1" t="s">
        <v>2127</v>
      </c>
      <c r="C262" s="63">
        <v>46225.0</v>
      </c>
      <c r="D262" s="63" t="s">
        <v>130</v>
      </c>
      <c r="E262" s="68">
        <v>0.98060292</v>
      </c>
      <c r="F262" s="1"/>
      <c r="G262" s="23">
        <v>5.0E7</v>
      </c>
      <c r="H262" s="23">
        <v>4.903014579E7</v>
      </c>
      <c r="I262" s="23">
        <v>5.0E7</v>
      </c>
      <c r="J262" s="23">
        <v>4.903014579E7</v>
      </c>
      <c r="K262" s="24">
        <v>6.7105505E7</v>
      </c>
      <c r="L262" s="1" t="s">
        <v>1776</v>
      </c>
      <c r="M262" s="1" t="s">
        <v>2128</v>
      </c>
      <c r="N262" s="63" t="s">
        <v>886</v>
      </c>
      <c r="O262" s="63" t="s">
        <v>886</v>
      </c>
      <c r="P262" s="68">
        <v>38.0</v>
      </c>
      <c r="Q262" s="1" t="s">
        <v>2130</v>
      </c>
      <c r="R262" s="1" t="s">
        <v>13</v>
      </c>
      <c r="S262" s="1"/>
      <c r="T262" s="1"/>
      <c r="U262" s="1" t="s">
        <v>885</v>
      </c>
      <c r="V262" s="1" t="s">
        <v>885</v>
      </c>
      <c r="W262" s="145">
        <f t="shared" si="1"/>
        <v>0.001002961108</v>
      </c>
      <c r="AC262" s="38"/>
    </row>
    <row r="263" ht="15.75" customHeight="1">
      <c r="A263" s="1" t="s">
        <v>1979</v>
      </c>
      <c r="B263" s="1" t="s">
        <v>2127</v>
      </c>
      <c r="C263" s="63">
        <v>46225.0</v>
      </c>
      <c r="D263" s="63" t="s">
        <v>130</v>
      </c>
      <c r="E263" s="68">
        <v>0.97960279</v>
      </c>
      <c r="F263" s="1"/>
      <c r="G263" s="23">
        <v>4100000.0</v>
      </c>
      <c r="H263" s="23">
        <v>4016371.42</v>
      </c>
      <c r="I263" s="23">
        <v>4100000.0</v>
      </c>
      <c r="J263" s="23">
        <v>4016371.42</v>
      </c>
      <c r="K263" s="24">
        <v>1023.0</v>
      </c>
      <c r="L263" s="1" t="s">
        <v>1776</v>
      </c>
      <c r="M263" s="1" t="s">
        <v>2128</v>
      </c>
      <c r="N263" s="63" t="s">
        <v>177</v>
      </c>
      <c r="O263" s="63" t="s">
        <v>177</v>
      </c>
      <c r="P263" s="68">
        <v>40.0</v>
      </c>
      <c r="Q263" s="1" t="s">
        <v>2130</v>
      </c>
      <c r="R263" s="1" t="s">
        <v>13</v>
      </c>
      <c r="S263" s="1"/>
      <c r="T263" s="1"/>
      <c r="U263" s="1" t="s">
        <v>184</v>
      </c>
      <c r="V263" s="1" t="s">
        <v>184</v>
      </c>
      <c r="W263" s="145">
        <f t="shared" si="1"/>
        <v>0.00008215893027</v>
      </c>
      <c r="AC263" s="38"/>
    </row>
    <row r="264" ht="15.75" customHeight="1">
      <c r="A264" s="1" t="s">
        <v>2058</v>
      </c>
      <c r="B264" s="1" t="s">
        <v>2127</v>
      </c>
      <c r="C264" s="63">
        <v>46225.0</v>
      </c>
      <c r="D264" s="63" t="s">
        <v>130</v>
      </c>
      <c r="E264" s="68">
        <v>0.98462371</v>
      </c>
      <c r="F264" s="1"/>
      <c r="G264" s="23">
        <v>1606134.0</v>
      </c>
      <c r="H264" s="23">
        <v>1581437.61</v>
      </c>
      <c r="I264" s="23">
        <v>1606134.0</v>
      </c>
      <c r="J264" s="23">
        <v>1581437.61</v>
      </c>
      <c r="K264" s="24">
        <v>6.7236921E7</v>
      </c>
      <c r="L264" s="1" t="s">
        <v>1776</v>
      </c>
      <c r="M264" s="1" t="s">
        <v>2128</v>
      </c>
      <c r="N264" s="63" t="s">
        <v>1302</v>
      </c>
      <c r="O264" s="63" t="s">
        <v>1302</v>
      </c>
      <c r="P264" s="68">
        <v>30.0</v>
      </c>
      <c r="Q264" s="1" t="s">
        <v>2130</v>
      </c>
      <c r="R264" s="1" t="s">
        <v>13</v>
      </c>
      <c r="S264" s="1"/>
      <c r="T264" s="1"/>
      <c r="U264" s="1" t="s">
        <v>1305</v>
      </c>
      <c r="V264" s="1" t="s">
        <v>1305</v>
      </c>
      <c r="W264" s="145">
        <f t="shared" si="1"/>
        <v>0.00003234990212</v>
      </c>
      <c r="AC264" s="38"/>
    </row>
    <row r="265" ht="15.75" customHeight="1">
      <c r="A265" s="1" t="s">
        <v>1920</v>
      </c>
      <c r="B265" s="1" t="s">
        <v>2127</v>
      </c>
      <c r="C265" s="63">
        <v>46225.0</v>
      </c>
      <c r="D265" s="63" t="s">
        <v>130</v>
      </c>
      <c r="E265" s="68">
        <v>0.9811037</v>
      </c>
      <c r="F265" s="1"/>
      <c r="G265" s="23">
        <v>1.0E8</v>
      </c>
      <c r="H265" s="23">
        <v>9.811037E7</v>
      </c>
      <c r="I265" s="23">
        <v>1.0E8</v>
      </c>
      <c r="J265" s="23">
        <v>9.811037E7</v>
      </c>
      <c r="K265" s="24">
        <v>7376.0</v>
      </c>
      <c r="L265" s="1" t="s">
        <v>1776</v>
      </c>
      <c r="M265" s="1" t="s">
        <v>2128</v>
      </c>
      <c r="N265" s="63" t="s">
        <v>532</v>
      </c>
      <c r="O265" s="63" t="s">
        <v>532</v>
      </c>
      <c r="P265" s="68">
        <v>37.0</v>
      </c>
      <c r="Q265" s="1" t="s">
        <v>2130</v>
      </c>
      <c r="R265" s="1" t="s">
        <v>13</v>
      </c>
      <c r="S265" s="1"/>
      <c r="T265" s="1"/>
      <c r="U265" s="1" t="s">
        <v>538</v>
      </c>
      <c r="V265" s="1" t="s">
        <v>538</v>
      </c>
      <c r="W265" s="145">
        <f t="shared" si="1"/>
        <v>0.00200694662</v>
      </c>
      <c r="AC265" s="38"/>
    </row>
    <row r="266" ht="15.75" customHeight="1">
      <c r="A266" s="1" t="s">
        <v>1934</v>
      </c>
      <c r="B266" s="1" t="s">
        <v>2127</v>
      </c>
      <c r="C266" s="63">
        <v>46225.0</v>
      </c>
      <c r="D266" s="63" t="s">
        <v>130</v>
      </c>
      <c r="E266" s="68">
        <v>0.98462373</v>
      </c>
      <c r="F266" s="1"/>
      <c r="G266" s="23">
        <v>1.5E7</v>
      </c>
      <c r="H266" s="23">
        <v>1.476935599E7</v>
      </c>
      <c r="I266" s="23">
        <v>1.5E7</v>
      </c>
      <c r="J266" s="23">
        <v>1.476935599E7</v>
      </c>
      <c r="K266" s="24">
        <v>2833124.0</v>
      </c>
      <c r="L266" s="1" t="s">
        <v>1776</v>
      </c>
      <c r="M266" s="1" t="s">
        <v>2128</v>
      </c>
      <c r="N266" s="63" t="s">
        <v>404</v>
      </c>
      <c r="O266" s="63" t="s">
        <v>404</v>
      </c>
      <c r="P266" s="68">
        <v>30.0</v>
      </c>
      <c r="Q266" s="1" t="s">
        <v>2130</v>
      </c>
      <c r="R266" s="1" t="s">
        <v>13</v>
      </c>
      <c r="S266" s="1"/>
      <c r="T266" s="1"/>
      <c r="U266" s="1" t="s">
        <v>435</v>
      </c>
      <c r="V266" s="1" t="s">
        <v>435</v>
      </c>
      <c r="W266" s="145">
        <f t="shared" si="1"/>
        <v>0.0003021220804</v>
      </c>
      <c r="AC266" s="38"/>
    </row>
    <row r="267" ht="15.75" customHeight="1">
      <c r="A267" s="1" t="s">
        <v>1989</v>
      </c>
      <c r="B267" s="1" t="s">
        <v>2127</v>
      </c>
      <c r="C267" s="63">
        <v>46225.0</v>
      </c>
      <c r="D267" s="63" t="s">
        <v>130</v>
      </c>
      <c r="E267" s="68">
        <v>0.98462375</v>
      </c>
      <c r="F267" s="1"/>
      <c r="G267" s="23">
        <v>2700000.0</v>
      </c>
      <c r="H267" s="23">
        <v>2658484.13</v>
      </c>
      <c r="I267" s="23">
        <v>2700000.0</v>
      </c>
      <c r="J267" s="23">
        <v>2658484.13</v>
      </c>
      <c r="K267" s="24">
        <v>6266.0</v>
      </c>
      <c r="L267" s="1" t="s">
        <v>1776</v>
      </c>
      <c r="M267" s="1" t="s">
        <v>2128</v>
      </c>
      <c r="N267" s="63" t="s">
        <v>1332</v>
      </c>
      <c r="O267" s="63" t="s">
        <v>1332</v>
      </c>
      <c r="P267" s="68">
        <v>30.0</v>
      </c>
      <c r="Q267" s="1" t="s">
        <v>2130</v>
      </c>
      <c r="R267" s="1" t="s">
        <v>13</v>
      </c>
      <c r="S267" s="1"/>
      <c r="T267" s="1"/>
      <c r="U267" s="1" t="s">
        <v>1342</v>
      </c>
      <c r="V267" s="1" t="s">
        <v>1342</v>
      </c>
      <c r="W267" s="145">
        <f t="shared" si="1"/>
        <v>0.00005438197552</v>
      </c>
      <c r="AC267" s="38"/>
    </row>
    <row r="268" ht="15.75" customHeight="1">
      <c r="A268" s="1" t="s">
        <v>1921</v>
      </c>
      <c r="B268" s="1" t="s">
        <v>2127</v>
      </c>
      <c r="C268" s="63">
        <v>46225.0</v>
      </c>
      <c r="D268" s="63" t="s">
        <v>130</v>
      </c>
      <c r="E268" s="68">
        <v>0.98715369</v>
      </c>
      <c r="F268" s="1"/>
      <c r="G268" s="23">
        <v>4.263481359E7</v>
      </c>
      <c r="H268" s="23">
        <v>4.208711343E7</v>
      </c>
      <c r="I268" s="23">
        <v>4.263481359E7</v>
      </c>
      <c r="J268" s="23">
        <v>4.208711343E7</v>
      </c>
      <c r="K268" s="24">
        <v>588.0</v>
      </c>
      <c r="L268" s="1" t="s">
        <v>1776</v>
      </c>
      <c r="M268" s="1" t="s">
        <v>2128</v>
      </c>
      <c r="N268" s="63" t="s">
        <v>1488</v>
      </c>
      <c r="O268" s="63" t="s">
        <v>1488</v>
      </c>
      <c r="P268" s="68">
        <v>25.0</v>
      </c>
      <c r="Q268" s="1" t="s">
        <v>2130</v>
      </c>
      <c r="R268" s="1" t="s">
        <v>13</v>
      </c>
      <c r="S268" s="1"/>
      <c r="T268" s="1"/>
      <c r="U268" s="1" t="s">
        <v>1494</v>
      </c>
      <c r="V268" s="1" t="s">
        <v>1494</v>
      </c>
      <c r="W268" s="145">
        <f t="shared" si="1"/>
        <v>0.0008609343748</v>
      </c>
      <c r="AC268" s="38"/>
    </row>
    <row r="269" ht="15.75" customHeight="1">
      <c r="A269" s="1" t="s">
        <v>1903</v>
      </c>
      <c r="B269" s="1" t="s">
        <v>2127</v>
      </c>
      <c r="C269" s="63">
        <v>46225.0</v>
      </c>
      <c r="D269" s="63" t="s">
        <v>130</v>
      </c>
      <c r="E269" s="68">
        <v>0.98512865</v>
      </c>
      <c r="F269" s="1"/>
      <c r="G269" s="23">
        <v>4.0E7</v>
      </c>
      <c r="H269" s="23">
        <v>3.940514606E7</v>
      </c>
      <c r="I269" s="23">
        <v>4.0E7</v>
      </c>
      <c r="J269" s="23">
        <v>3.940514606E7</v>
      </c>
      <c r="K269" s="24">
        <v>5.4026408E7</v>
      </c>
      <c r="L269" s="1" t="s">
        <v>1776</v>
      </c>
      <c r="M269" s="1" t="s">
        <v>2128</v>
      </c>
      <c r="N269" s="63" t="s">
        <v>608</v>
      </c>
      <c r="O269" s="63" t="s">
        <v>608</v>
      </c>
      <c r="P269" s="68">
        <v>29.0</v>
      </c>
      <c r="Q269" s="1" t="s">
        <v>2130</v>
      </c>
      <c r="R269" s="1" t="s">
        <v>13</v>
      </c>
      <c r="S269" s="1"/>
      <c r="T269" s="1"/>
      <c r="U269" s="1" t="s">
        <v>611</v>
      </c>
      <c r="V269" s="1" t="s">
        <v>611</v>
      </c>
      <c r="W269" s="145">
        <f t="shared" si="1"/>
        <v>0.0008060720259</v>
      </c>
      <c r="AC269" s="38"/>
    </row>
    <row r="270" ht="15.75" customHeight="1">
      <c r="A270" s="1" t="s">
        <v>1903</v>
      </c>
      <c r="B270" s="1" t="s">
        <v>2127</v>
      </c>
      <c r="C270" s="63">
        <v>46225.0</v>
      </c>
      <c r="D270" s="63" t="s">
        <v>130</v>
      </c>
      <c r="E270" s="68">
        <v>0.98512865</v>
      </c>
      <c r="F270" s="1"/>
      <c r="G270" s="23">
        <v>1.25E7</v>
      </c>
      <c r="H270" s="23">
        <v>1.231410814E7</v>
      </c>
      <c r="I270" s="23">
        <v>1.25E7</v>
      </c>
      <c r="J270" s="23">
        <v>1.231410814E7</v>
      </c>
      <c r="K270" s="24">
        <v>9798603.0</v>
      </c>
      <c r="L270" s="1" t="s">
        <v>1776</v>
      </c>
      <c r="M270" s="1" t="s">
        <v>2128</v>
      </c>
      <c r="N270" s="63" t="s">
        <v>608</v>
      </c>
      <c r="O270" s="63" t="s">
        <v>608</v>
      </c>
      <c r="P270" s="68">
        <v>29.0</v>
      </c>
      <c r="Q270" s="1" t="s">
        <v>2130</v>
      </c>
      <c r="R270" s="1" t="s">
        <v>13</v>
      </c>
      <c r="S270" s="1"/>
      <c r="T270" s="1"/>
      <c r="U270" s="1" t="s">
        <v>619</v>
      </c>
      <c r="V270" s="1" t="s">
        <v>619</v>
      </c>
      <c r="W270" s="145">
        <f t="shared" si="1"/>
        <v>0.000251897508</v>
      </c>
      <c r="AC270" s="38"/>
    </row>
    <row r="271" ht="15.75" customHeight="1">
      <c r="A271" s="1" t="s">
        <v>1903</v>
      </c>
      <c r="B271" s="1" t="s">
        <v>2127</v>
      </c>
      <c r="C271" s="63">
        <v>46225.0</v>
      </c>
      <c r="D271" s="63" t="s">
        <v>130</v>
      </c>
      <c r="E271" s="68">
        <v>0.98512862</v>
      </c>
      <c r="F271" s="1"/>
      <c r="G271" s="23">
        <v>4166666.7</v>
      </c>
      <c r="H271" s="23">
        <v>4104702.63</v>
      </c>
      <c r="I271" s="23">
        <v>4166666.7</v>
      </c>
      <c r="J271" s="23">
        <v>4104702.63</v>
      </c>
      <c r="K271" s="24">
        <v>1.3567715E7</v>
      </c>
      <c r="L271" s="1" t="s">
        <v>1776</v>
      </c>
      <c r="M271" s="1" t="s">
        <v>2128</v>
      </c>
      <c r="N271" s="63" t="s">
        <v>628</v>
      </c>
      <c r="O271" s="63" t="s">
        <v>628</v>
      </c>
      <c r="P271" s="68">
        <v>29.0</v>
      </c>
      <c r="Q271" s="1" t="s">
        <v>2130</v>
      </c>
      <c r="R271" s="1" t="s">
        <v>13</v>
      </c>
      <c r="S271" s="1"/>
      <c r="T271" s="1"/>
      <c r="U271" s="1" t="s">
        <v>665</v>
      </c>
      <c r="V271" s="1" t="s">
        <v>665</v>
      </c>
      <c r="W271" s="145">
        <f t="shared" si="1"/>
        <v>0.0000839658343</v>
      </c>
      <c r="AC271" s="38"/>
    </row>
    <row r="272" ht="15.75" customHeight="1">
      <c r="A272" s="1" t="s">
        <v>1903</v>
      </c>
      <c r="B272" s="1" t="s">
        <v>2127</v>
      </c>
      <c r="C272" s="63">
        <v>46225.0</v>
      </c>
      <c r="D272" s="63" t="s">
        <v>130</v>
      </c>
      <c r="E272" s="68">
        <v>0.98512862</v>
      </c>
      <c r="F272" s="1"/>
      <c r="G272" s="23">
        <v>1.0E7</v>
      </c>
      <c r="H272" s="23">
        <v>9851286.24</v>
      </c>
      <c r="I272" s="23">
        <v>1.0E7</v>
      </c>
      <c r="J272" s="23">
        <v>9851286.24</v>
      </c>
      <c r="K272" s="24">
        <v>6.6581708E7</v>
      </c>
      <c r="L272" s="1" t="s">
        <v>1776</v>
      </c>
      <c r="M272" s="1" t="s">
        <v>2128</v>
      </c>
      <c r="N272" s="63" t="s">
        <v>628</v>
      </c>
      <c r="O272" s="63" t="s">
        <v>628</v>
      </c>
      <c r="P272" s="68">
        <v>29.0</v>
      </c>
      <c r="Q272" s="1" t="s">
        <v>2130</v>
      </c>
      <c r="R272" s="1" t="s">
        <v>13</v>
      </c>
      <c r="S272" s="1"/>
      <c r="T272" s="1"/>
      <c r="U272" s="1" t="s">
        <v>666</v>
      </c>
      <c r="V272" s="1" t="s">
        <v>666</v>
      </c>
      <c r="W272" s="145">
        <f t="shared" si="1"/>
        <v>0.0002015180009</v>
      </c>
      <c r="AC272" s="38"/>
    </row>
    <row r="273" ht="15.75" customHeight="1">
      <c r="A273" s="1" t="s">
        <v>1967</v>
      </c>
      <c r="B273" s="1" t="s">
        <v>2127</v>
      </c>
      <c r="C273" s="63">
        <v>46225.0</v>
      </c>
      <c r="D273" s="63" t="s">
        <v>130</v>
      </c>
      <c r="E273" s="68">
        <v>0.98160507</v>
      </c>
      <c r="F273" s="1"/>
      <c r="G273" s="23">
        <v>5000000.0</v>
      </c>
      <c r="H273" s="23">
        <v>4908025.35</v>
      </c>
      <c r="I273" s="23">
        <v>5000000.0</v>
      </c>
      <c r="J273" s="23">
        <v>4908025.35</v>
      </c>
      <c r="K273" s="24">
        <v>4.074299E7</v>
      </c>
      <c r="L273" s="1" t="s">
        <v>1776</v>
      </c>
      <c r="M273" s="1" t="s">
        <v>2128</v>
      </c>
      <c r="N273" s="63" t="s">
        <v>849</v>
      </c>
      <c r="O273" s="63" t="s">
        <v>849</v>
      </c>
      <c r="P273" s="68">
        <v>36.0</v>
      </c>
      <c r="Q273" s="1" t="s">
        <v>2130</v>
      </c>
      <c r="R273" s="1" t="s">
        <v>13</v>
      </c>
      <c r="S273" s="1"/>
      <c r="T273" s="1"/>
      <c r="U273" s="1" t="s">
        <v>855</v>
      </c>
      <c r="V273" s="1" t="s">
        <v>855</v>
      </c>
      <c r="W273" s="145">
        <f t="shared" si="1"/>
        <v>0.0001003986112</v>
      </c>
      <c r="AC273" s="38"/>
    </row>
    <row r="274" ht="15.75" customHeight="1">
      <c r="A274" s="1" t="s">
        <v>1957</v>
      </c>
      <c r="B274" s="1" t="s">
        <v>2127</v>
      </c>
      <c r="C274" s="63">
        <v>46225.0</v>
      </c>
      <c r="D274" s="63" t="s">
        <v>130</v>
      </c>
      <c r="E274" s="68">
        <v>0.98361551</v>
      </c>
      <c r="F274" s="1"/>
      <c r="G274" s="23">
        <v>7.0E7</v>
      </c>
      <c r="H274" s="23">
        <v>6.885308579E7</v>
      </c>
      <c r="I274" s="23">
        <v>7.0E7</v>
      </c>
      <c r="J274" s="23">
        <v>6.885308579E7</v>
      </c>
      <c r="K274" s="24">
        <v>9756466.0</v>
      </c>
      <c r="L274" s="1" t="s">
        <v>1776</v>
      </c>
      <c r="M274" s="1" t="s">
        <v>2128</v>
      </c>
      <c r="N274" s="63" t="s">
        <v>1370</v>
      </c>
      <c r="O274" s="63" t="s">
        <v>1370</v>
      </c>
      <c r="P274" s="68">
        <v>32.0</v>
      </c>
      <c r="Q274" s="1" t="s">
        <v>2130</v>
      </c>
      <c r="R274" s="1" t="s">
        <v>13</v>
      </c>
      <c r="S274" s="1"/>
      <c r="T274" s="1"/>
      <c r="U274" s="1" t="s">
        <v>1371</v>
      </c>
      <c r="V274" s="1" t="s">
        <v>1371</v>
      </c>
      <c r="W274" s="145">
        <f t="shared" si="1"/>
        <v>0.001408459349</v>
      </c>
      <c r="AC274" s="38"/>
    </row>
    <row r="275" ht="15.75" customHeight="1">
      <c r="A275" s="1" t="s">
        <v>2080</v>
      </c>
      <c r="B275" s="1" t="s">
        <v>2127</v>
      </c>
      <c r="C275" s="63">
        <v>46225.0</v>
      </c>
      <c r="D275" s="63" t="s">
        <v>130</v>
      </c>
      <c r="E275" s="68">
        <v>0.98311204</v>
      </c>
      <c r="F275" s="1"/>
      <c r="G275" s="23">
        <v>1666000.0</v>
      </c>
      <c r="H275" s="23">
        <v>1637864.66</v>
      </c>
      <c r="I275" s="23">
        <v>1666000.0</v>
      </c>
      <c r="J275" s="23">
        <v>1637864.66</v>
      </c>
      <c r="K275" s="24">
        <v>2845.0</v>
      </c>
      <c r="L275" s="1" t="s">
        <v>1776</v>
      </c>
      <c r="M275" s="1" t="s">
        <v>2128</v>
      </c>
      <c r="N275" s="63" t="s">
        <v>946</v>
      </c>
      <c r="O275" s="63" t="s">
        <v>946</v>
      </c>
      <c r="P275" s="68">
        <v>33.0</v>
      </c>
      <c r="Q275" s="1" t="s">
        <v>2130</v>
      </c>
      <c r="R275" s="1" t="s">
        <v>13</v>
      </c>
      <c r="S275" s="1"/>
      <c r="T275" s="1"/>
      <c r="U275" s="1" t="s">
        <v>1006</v>
      </c>
      <c r="V275" s="1" t="s">
        <v>1006</v>
      </c>
      <c r="W275" s="145">
        <f t="shared" si="1"/>
        <v>0.00003350417437</v>
      </c>
      <c r="AC275" s="38"/>
    </row>
    <row r="276" ht="15.75" customHeight="1">
      <c r="A276" s="1" t="s">
        <v>1946</v>
      </c>
      <c r="B276" s="1" t="s">
        <v>2127</v>
      </c>
      <c r="C276" s="63">
        <v>46225.0</v>
      </c>
      <c r="D276" s="63" t="s">
        <v>130</v>
      </c>
      <c r="E276" s="68">
        <v>0.98311209</v>
      </c>
      <c r="F276" s="1"/>
      <c r="G276" s="23">
        <v>5.0E7</v>
      </c>
      <c r="H276" s="23">
        <v>4.915560459E7</v>
      </c>
      <c r="I276" s="23">
        <v>5.0E7</v>
      </c>
      <c r="J276" s="23">
        <v>4.915560459E7</v>
      </c>
      <c r="K276" s="24">
        <v>134.0</v>
      </c>
      <c r="L276" s="1" t="s">
        <v>1776</v>
      </c>
      <c r="M276" s="1" t="s">
        <v>2128</v>
      </c>
      <c r="N276" s="63" t="s">
        <v>765</v>
      </c>
      <c r="O276" s="63" t="s">
        <v>765</v>
      </c>
      <c r="P276" s="68">
        <v>33.0</v>
      </c>
      <c r="Q276" s="1" t="s">
        <v>2130</v>
      </c>
      <c r="R276" s="1" t="s">
        <v>13</v>
      </c>
      <c r="S276" s="1"/>
      <c r="T276" s="1"/>
      <c r="U276" s="1" t="s">
        <v>788</v>
      </c>
      <c r="V276" s="1" t="s">
        <v>788</v>
      </c>
      <c r="W276" s="145">
        <f t="shared" si="1"/>
        <v>0.001005527494</v>
      </c>
      <c r="AC276" s="38"/>
    </row>
    <row r="277" ht="15.75" customHeight="1">
      <c r="A277" s="1" t="s">
        <v>1921</v>
      </c>
      <c r="B277" s="1" t="s">
        <v>2127</v>
      </c>
      <c r="C277" s="63">
        <v>46225.0</v>
      </c>
      <c r="D277" s="63" t="s">
        <v>130</v>
      </c>
      <c r="E277" s="68">
        <v>0.98715369</v>
      </c>
      <c r="F277" s="1"/>
      <c r="G277" s="23">
        <v>9902875.5</v>
      </c>
      <c r="H277" s="23">
        <v>9775660.06</v>
      </c>
      <c r="I277" s="23">
        <v>9902875.5</v>
      </c>
      <c r="J277" s="23">
        <v>9775660.06</v>
      </c>
      <c r="K277" s="24">
        <v>2.9577227E7</v>
      </c>
      <c r="L277" s="1" t="s">
        <v>1776</v>
      </c>
      <c r="M277" s="1" t="s">
        <v>2128</v>
      </c>
      <c r="N277" s="63" t="s">
        <v>1488</v>
      </c>
      <c r="O277" s="63" t="s">
        <v>1488</v>
      </c>
      <c r="P277" s="68">
        <v>25.0</v>
      </c>
      <c r="Q277" s="1" t="s">
        <v>2130</v>
      </c>
      <c r="R277" s="1" t="s">
        <v>13</v>
      </c>
      <c r="S277" s="1"/>
      <c r="T277" s="1"/>
      <c r="U277" s="1" t="s">
        <v>1523</v>
      </c>
      <c r="V277" s="1" t="s">
        <v>1523</v>
      </c>
      <c r="W277" s="145">
        <f t="shared" si="1"/>
        <v>0.000199970991</v>
      </c>
      <c r="AC277" s="38"/>
    </row>
    <row r="278" ht="15.75" customHeight="1">
      <c r="A278" s="1" t="s">
        <v>1921</v>
      </c>
      <c r="B278" s="1" t="s">
        <v>2127</v>
      </c>
      <c r="C278" s="63">
        <v>46225.0</v>
      </c>
      <c r="D278" s="63" t="s">
        <v>130</v>
      </c>
      <c r="E278" s="68">
        <v>0.98715369</v>
      </c>
      <c r="F278" s="1"/>
      <c r="G278" s="23">
        <v>1000000.0</v>
      </c>
      <c r="H278" s="23">
        <v>987153.69</v>
      </c>
      <c r="I278" s="23">
        <v>1000000.0</v>
      </c>
      <c r="J278" s="23">
        <v>987153.69</v>
      </c>
      <c r="K278" s="24">
        <v>1.0174481E7</v>
      </c>
      <c r="L278" s="1" t="s">
        <v>1776</v>
      </c>
      <c r="M278" s="1" t="s">
        <v>2128</v>
      </c>
      <c r="N278" s="63" t="s">
        <v>1488</v>
      </c>
      <c r="O278" s="63" t="s">
        <v>1488</v>
      </c>
      <c r="P278" s="68">
        <v>25.0</v>
      </c>
      <c r="Q278" s="1" t="s">
        <v>2130</v>
      </c>
      <c r="R278" s="1" t="s">
        <v>13</v>
      </c>
      <c r="S278" s="1"/>
      <c r="T278" s="1"/>
      <c r="U278" s="1" t="s">
        <v>1525</v>
      </c>
      <c r="V278" s="1" t="s">
        <v>1525</v>
      </c>
      <c r="W278" s="145">
        <f t="shared" si="1"/>
        <v>0.00002019322485</v>
      </c>
      <c r="AC278" s="38"/>
    </row>
    <row r="279" ht="15.75" customHeight="1">
      <c r="A279" s="1" t="s">
        <v>1921</v>
      </c>
      <c r="B279" s="1" t="s">
        <v>2127</v>
      </c>
      <c r="C279" s="63">
        <v>46225.0</v>
      </c>
      <c r="D279" s="63" t="s">
        <v>130</v>
      </c>
      <c r="E279" s="68">
        <v>0.98715369</v>
      </c>
      <c r="F279" s="1"/>
      <c r="G279" s="23">
        <v>2008734.21</v>
      </c>
      <c r="H279" s="23">
        <v>1982929.39</v>
      </c>
      <c r="I279" s="23">
        <v>2008734.21</v>
      </c>
      <c r="J279" s="23">
        <v>1982929.39</v>
      </c>
      <c r="K279" s="24">
        <v>842389.0</v>
      </c>
      <c r="L279" s="1" t="s">
        <v>1776</v>
      </c>
      <c r="M279" s="1" t="s">
        <v>2128</v>
      </c>
      <c r="N279" s="63" t="s">
        <v>1488</v>
      </c>
      <c r="O279" s="63" t="s">
        <v>1488</v>
      </c>
      <c r="P279" s="68">
        <v>25.0</v>
      </c>
      <c r="Q279" s="1" t="s">
        <v>2130</v>
      </c>
      <c r="R279" s="1" t="s">
        <v>13</v>
      </c>
      <c r="S279" s="1"/>
      <c r="T279" s="1"/>
      <c r="U279" s="1" t="s">
        <v>1526</v>
      </c>
      <c r="V279" s="1" t="s">
        <v>1526</v>
      </c>
      <c r="W279" s="145">
        <f t="shared" si="1"/>
        <v>0.00004056282162</v>
      </c>
      <c r="AC279" s="38"/>
    </row>
    <row r="280" ht="15.75" customHeight="1">
      <c r="A280" s="1" t="s">
        <v>1921</v>
      </c>
      <c r="B280" s="1" t="s">
        <v>2127</v>
      </c>
      <c r="C280" s="63">
        <v>46225.0</v>
      </c>
      <c r="D280" s="63" t="s">
        <v>130</v>
      </c>
      <c r="E280" s="68">
        <v>0.98715369</v>
      </c>
      <c r="F280" s="1"/>
      <c r="G280" s="23">
        <v>1000000.0</v>
      </c>
      <c r="H280" s="23">
        <v>987153.69</v>
      </c>
      <c r="I280" s="23">
        <v>1000000.0</v>
      </c>
      <c r="J280" s="23">
        <v>987153.69</v>
      </c>
      <c r="K280" s="24">
        <v>850.0</v>
      </c>
      <c r="L280" s="1" t="s">
        <v>1776</v>
      </c>
      <c r="M280" s="1" t="s">
        <v>2128</v>
      </c>
      <c r="N280" s="63" t="s">
        <v>1488</v>
      </c>
      <c r="O280" s="63" t="s">
        <v>1488</v>
      </c>
      <c r="P280" s="68">
        <v>25.0</v>
      </c>
      <c r="Q280" s="1" t="s">
        <v>2130</v>
      </c>
      <c r="R280" s="1" t="s">
        <v>13</v>
      </c>
      <c r="S280" s="1"/>
      <c r="T280" s="1"/>
      <c r="U280" s="1" t="s">
        <v>1527</v>
      </c>
      <c r="V280" s="1" t="s">
        <v>1527</v>
      </c>
      <c r="W280" s="145">
        <f t="shared" si="1"/>
        <v>0.00002019322485</v>
      </c>
      <c r="AC280" s="38"/>
    </row>
    <row r="281" ht="15.75" customHeight="1">
      <c r="A281" s="1" t="s">
        <v>1921</v>
      </c>
      <c r="B281" s="1" t="s">
        <v>2127</v>
      </c>
      <c r="C281" s="63">
        <v>46225.0</v>
      </c>
      <c r="D281" s="63" t="s">
        <v>130</v>
      </c>
      <c r="E281" s="68">
        <v>0.98715369</v>
      </c>
      <c r="F281" s="1"/>
      <c r="G281" s="23">
        <v>1948054.0</v>
      </c>
      <c r="H281" s="23">
        <v>1923028.69</v>
      </c>
      <c r="I281" s="23">
        <v>1948054.0</v>
      </c>
      <c r="J281" s="23">
        <v>1923028.69</v>
      </c>
      <c r="K281" s="24">
        <v>1.0035319E7</v>
      </c>
      <c r="L281" s="1" t="s">
        <v>1776</v>
      </c>
      <c r="M281" s="1" t="s">
        <v>2128</v>
      </c>
      <c r="N281" s="63" t="s">
        <v>1488</v>
      </c>
      <c r="O281" s="63" t="s">
        <v>1488</v>
      </c>
      <c r="P281" s="68">
        <v>25.0</v>
      </c>
      <c r="Q281" s="1" t="s">
        <v>2130</v>
      </c>
      <c r="R281" s="1" t="s">
        <v>13</v>
      </c>
      <c r="S281" s="1"/>
      <c r="T281" s="1"/>
      <c r="U281" s="1" t="s">
        <v>1528</v>
      </c>
      <c r="V281" s="1" t="s">
        <v>1528</v>
      </c>
      <c r="W281" s="145">
        <f t="shared" si="1"/>
        <v>0.00003933749236</v>
      </c>
      <c r="AC281" s="38"/>
    </row>
    <row r="282" ht="15.75" customHeight="1">
      <c r="A282" s="1" t="s">
        <v>1921</v>
      </c>
      <c r="B282" s="1" t="s">
        <v>2127</v>
      </c>
      <c r="C282" s="63">
        <v>46225.0</v>
      </c>
      <c r="D282" s="63" t="s">
        <v>130</v>
      </c>
      <c r="E282" s="68">
        <v>0.98715368</v>
      </c>
      <c r="F282" s="1"/>
      <c r="G282" s="23">
        <v>500000.0</v>
      </c>
      <c r="H282" s="23">
        <v>493576.84</v>
      </c>
      <c r="I282" s="23">
        <v>500000.0</v>
      </c>
      <c r="J282" s="23">
        <v>493576.84</v>
      </c>
      <c r="K282" s="24">
        <v>851.0</v>
      </c>
      <c r="L282" s="1" t="s">
        <v>1776</v>
      </c>
      <c r="M282" s="1" t="s">
        <v>2128</v>
      </c>
      <c r="N282" s="63" t="s">
        <v>1488</v>
      </c>
      <c r="O282" s="63" t="s">
        <v>1488</v>
      </c>
      <c r="P282" s="68">
        <v>25.0</v>
      </c>
      <c r="Q282" s="1" t="s">
        <v>2130</v>
      </c>
      <c r="R282" s="1" t="s">
        <v>13</v>
      </c>
      <c r="S282" s="1"/>
      <c r="T282" s="1"/>
      <c r="U282" s="1" t="s">
        <v>1531</v>
      </c>
      <c r="V282" s="1" t="s">
        <v>1531</v>
      </c>
      <c r="W282" s="145">
        <f t="shared" si="1"/>
        <v>0.00001009661232</v>
      </c>
      <c r="AC282" s="38"/>
    </row>
    <row r="283" ht="15.75" customHeight="1">
      <c r="A283" s="1" t="s">
        <v>1921</v>
      </c>
      <c r="B283" s="1" t="s">
        <v>2127</v>
      </c>
      <c r="C283" s="63">
        <v>46225.0</v>
      </c>
      <c r="D283" s="63" t="s">
        <v>130</v>
      </c>
      <c r="E283" s="68">
        <v>0.98715369</v>
      </c>
      <c r="F283" s="1"/>
      <c r="G283" s="23">
        <v>5000000.0</v>
      </c>
      <c r="H283" s="23">
        <v>4935768.44</v>
      </c>
      <c r="I283" s="23">
        <v>5000000.0</v>
      </c>
      <c r="J283" s="23">
        <v>4935768.44</v>
      </c>
      <c r="K283" s="24">
        <v>4.45001E7</v>
      </c>
      <c r="L283" s="1" t="s">
        <v>1776</v>
      </c>
      <c r="M283" s="1" t="s">
        <v>2128</v>
      </c>
      <c r="N283" s="63" t="s">
        <v>1488</v>
      </c>
      <c r="O283" s="63" t="s">
        <v>1488</v>
      </c>
      <c r="P283" s="68">
        <v>25.0</v>
      </c>
      <c r="Q283" s="1" t="s">
        <v>2130</v>
      </c>
      <c r="R283" s="1" t="s">
        <v>13</v>
      </c>
      <c r="S283" s="1"/>
      <c r="T283" s="1"/>
      <c r="U283" s="1" t="s">
        <v>1532</v>
      </c>
      <c r="V283" s="1" t="s">
        <v>1532</v>
      </c>
      <c r="W283" s="145">
        <f t="shared" si="1"/>
        <v>0.0001009661241</v>
      </c>
      <c r="AC283" s="38"/>
    </row>
    <row r="284" ht="15.75" customHeight="1">
      <c r="A284" s="1" t="s">
        <v>1941</v>
      </c>
      <c r="B284" s="1" t="s">
        <v>2127</v>
      </c>
      <c r="C284" s="63">
        <v>46225.0</v>
      </c>
      <c r="D284" s="63" t="s">
        <v>130</v>
      </c>
      <c r="E284" s="68">
        <v>0.98867778</v>
      </c>
      <c r="F284" s="1"/>
      <c r="G284" s="23">
        <v>3.914177544E7</v>
      </c>
      <c r="H284" s="23">
        <v>3.869860368E7</v>
      </c>
      <c r="I284" s="23">
        <v>3.914177544E7</v>
      </c>
      <c r="J284" s="23">
        <v>3.869860368E7</v>
      </c>
      <c r="K284" s="24">
        <v>6.8114485E7</v>
      </c>
      <c r="L284" s="1" t="s">
        <v>1776</v>
      </c>
      <c r="M284" s="1" t="s">
        <v>2128</v>
      </c>
      <c r="N284" s="63" t="s">
        <v>130</v>
      </c>
      <c r="O284" s="63" t="s">
        <v>130</v>
      </c>
      <c r="P284" s="68">
        <v>22.0</v>
      </c>
      <c r="Q284" s="1" t="s">
        <v>2130</v>
      </c>
      <c r="R284" s="1" t="s">
        <v>13</v>
      </c>
      <c r="S284" s="1"/>
      <c r="T284" s="1"/>
      <c r="U284" s="1" t="s">
        <v>1648</v>
      </c>
      <c r="V284" s="1" t="s">
        <v>1648</v>
      </c>
      <c r="W284" s="145">
        <f t="shared" si="1"/>
        <v>0.0007916189886</v>
      </c>
      <c r="AC284" s="38"/>
    </row>
    <row r="285" ht="15.75" customHeight="1">
      <c r="A285" s="1" t="s">
        <v>1926</v>
      </c>
      <c r="B285" s="1" t="s">
        <v>2127</v>
      </c>
      <c r="C285" s="63">
        <v>46225.0</v>
      </c>
      <c r="D285" s="63" t="s">
        <v>130</v>
      </c>
      <c r="E285" s="68">
        <v>0.98512864</v>
      </c>
      <c r="F285" s="1"/>
      <c r="G285" s="23">
        <v>5000000.0</v>
      </c>
      <c r="H285" s="23">
        <v>4925643.18</v>
      </c>
      <c r="I285" s="23">
        <v>5000000.0</v>
      </c>
      <c r="J285" s="23">
        <v>4925643.18</v>
      </c>
      <c r="K285" s="24">
        <v>1.6771075E7</v>
      </c>
      <c r="L285" s="1" t="s">
        <v>1776</v>
      </c>
      <c r="M285" s="1" t="s">
        <v>2128</v>
      </c>
      <c r="N285" s="63" t="s">
        <v>360</v>
      </c>
      <c r="O285" s="63" t="s">
        <v>360</v>
      </c>
      <c r="P285" s="68">
        <v>29.0</v>
      </c>
      <c r="Q285" s="1" t="s">
        <v>2130</v>
      </c>
      <c r="R285" s="1" t="s">
        <v>13</v>
      </c>
      <c r="S285" s="1"/>
      <c r="T285" s="1"/>
      <c r="U285" s="1" t="s">
        <v>363</v>
      </c>
      <c r="V285" s="1" t="s">
        <v>363</v>
      </c>
      <c r="W285" s="145">
        <f t="shared" si="1"/>
        <v>0.0001007590017</v>
      </c>
      <c r="AC285" s="38"/>
    </row>
    <row r="286" ht="15.75" customHeight="1">
      <c r="A286" s="1" t="s">
        <v>2030</v>
      </c>
      <c r="B286" s="1" t="s">
        <v>2127</v>
      </c>
      <c r="C286" s="63">
        <v>46225.0</v>
      </c>
      <c r="D286" s="63" t="s">
        <v>130</v>
      </c>
      <c r="E286" s="68">
        <v>0.98311205</v>
      </c>
      <c r="F286" s="1"/>
      <c r="G286" s="23">
        <v>1701000.0</v>
      </c>
      <c r="H286" s="23">
        <v>1672273.6</v>
      </c>
      <c r="I286" s="23">
        <v>1701000.0</v>
      </c>
      <c r="J286" s="23">
        <v>1672273.6</v>
      </c>
      <c r="K286" s="24">
        <v>6.7242828E7</v>
      </c>
      <c r="L286" s="1" t="s">
        <v>1776</v>
      </c>
      <c r="M286" s="1" t="s">
        <v>2128</v>
      </c>
      <c r="N286" s="63" t="s">
        <v>946</v>
      </c>
      <c r="O286" s="63" t="s">
        <v>946</v>
      </c>
      <c r="P286" s="68">
        <v>33.0</v>
      </c>
      <c r="Q286" s="1" t="s">
        <v>2130</v>
      </c>
      <c r="R286" s="1" t="s">
        <v>13</v>
      </c>
      <c r="S286" s="1"/>
      <c r="T286" s="1"/>
      <c r="U286" s="1" t="s">
        <v>1019</v>
      </c>
      <c r="V286" s="1" t="s">
        <v>1019</v>
      </c>
      <c r="W286" s="145">
        <f t="shared" si="1"/>
        <v>0.00003420804396</v>
      </c>
      <c r="AC286" s="38"/>
    </row>
    <row r="287" ht="15.75" customHeight="1">
      <c r="A287" s="1" t="s">
        <v>2059</v>
      </c>
      <c r="B287" s="1" t="s">
        <v>2127</v>
      </c>
      <c r="C287" s="63">
        <v>46225.0</v>
      </c>
      <c r="D287" s="63" t="s">
        <v>130</v>
      </c>
      <c r="E287" s="68">
        <v>0.98311204</v>
      </c>
      <c r="F287" s="1"/>
      <c r="G287" s="23">
        <v>2300000.0</v>
      </c>
      <c r="H287" s="23">
        <v>2261157.7</v>
      </c>
      <c r="I287" s="23">
        <v>2300000.0</v>
      </c>
      <c r="J287" s="23">
        <v>2261157.7</v>
      </c>
      <c r="K287" s="24">
        <v>1395.0</v>
      </c>
      <c r="L287" s="1" t="s">
        <v>1776</v>
      </c>
      <c r="M287" s="1" t="s">
        <v>2128</v>
      </c>
      <c r="N287" s="63" t="s">
        <v>946</v>
      </c>
      <c r="O287" s="63" t="s">
        <v>946</v>
      </c>
      <c r="P287" s="68">
        <v>33.0</v>
      </c>
      <c r="Q287" s="1" t="s">
        <v>2130</v>
      </c>
      <c r="R287" s="1" t="s">
        <v>13</v>
      </c>
      <c r="S287" s="1"/>
      <c r="T287" s="1"/>
      <c r="U287" s="1" t="s">
        <v>1021</v>
      </c>
      <c r="V287" s="1" t="s">
        <v>1021</v>
      </c>
      <c r="W287" s="145">
        <f t="shared" si="1"/>
        <v>0.00004625426246</v>
      </c>
      <c r="AC287" s="38"/>
    </row>
    <row r="288" ht="15.75" customHeight="1">
      <c r="A288" s="1" t="s">
        <v>2088</v>
      </c>
      <c r="B288" s="1" t="s">
        <v>2127</v>
      </c>
      <c r="C288" s="63">
        <v>46225.0</v>
      </c>
      <c r="D288" s="63" t="s">
        <v>130</v>
      </c>
      <c r="E288" s="68">
        <v>0.98311204</v>
      </c>
      <c r="F288" s="1"/>
      <c r="G288" s="23">
        <v>1211666.8</v>
      </c>
      <c r="H288" s="23">
        <v>1191204.22</v>
      </c>
      <c r="I288" s="23">
        <v>1211666.8</v>
      </c>
      <c r="J288" s="23">
        <v>1191204.22</v>
      </c>
      <c r="K288" s="24">
        <v>1798382.0</v>
      </c>
      <c r="L288" s="1" t="s">
        <v>1776</v>
      </c>
      <c r="M288" s="1" t="s">
        <v>2128</v>
      </c>
      <c r="N288" s="63" t="s">
        <v>946</v>
      </c>
      <c r="O288" s="63" t="s">
        <v>946</v>
      </c>
      <c r="P288" s="68">
        <v>33.0</v>
      </c>
      <c r="Q288" s="1" t="s">
        <v>2130</v>
      </c>
      <c r="R288" s="1" t="s">
        <v>13</v>
      </c>
      <c r="S288" s="1"/>
      <c r="T288" s="1"/>
      <c r="U288" s="1" t="s">
        <v>1035</v>
      </c>
      <c r="V288" s="1" t="s">
        <v>1035</v>
      </c>
      <c r="W288" s="145">
        <f t="shared" si="1"/>
        <v>0.00002436728435</v>
      </c>
      <c r="AC288" s="38"/>
    </row>
    <row r="289" ht="15.75" customHeight="1">
      <c r="A289" s="1" t="s">
        <v>2043</v>
      </c>
      <c r="B289" s="1" t="s">
        <v>2127</v>
      </c>
      <c r="C289" s="63">
        <v>46225.0</v>
      </c>
      <c r="D289" s="63" t="s">
        <v>130</v>
      </c>
      <c r="E289" s="68">
        <v>0.98361549</v>
      </c>
      <c r="F289" s="1"/>
      <c r="G289" s="23">
        <v>5188161.21</v>
      </c>
      <c r="H289" s="23">
        <v>5103155.75</v>
      </c>
      <c r="I289" s="23">
        <v>5188161.21</v>
      </c>
      <c r="J289" s="23">
        <v>5103155.75</v>
      </c>
      <c r="K289" s="24">
        <v>6570.0</v>
      </c>
      <c r="L289" s="1" t="s">
        <v>1776</v>
      </c>
      <c r="M289" s="1" t="s">
        <v>2128</v>
      </c>
      <c r="N289" s="63" t="s">
        <v>1118</v>
      </c>
      <c r="O289" s="63" t="s">
        <v>1118</v>
      </c>
      <c r="P289" s="68">
        <v>32.0</v>
      </c>
      <c r="Q289" s="1" t="s">
        <v>2130</v>
      </c>
      <c r="R289" s="1" t="s">
        <v>13</v>
      </c>
      <c r="S289" s="1"/>
      <c r="T289" s="1"/>
      <c r="U289" s="1" t="s">
        <v>1181</v>
      </c>
      <c r="V289" s="1" t="s">
        <v>1181</v>
      </c>
      <c r="W289" s="145">
        <f t="shared" si="1"/>
        <v>0.0001043902004</v>
      </c>
      <c r="AC289" s="38"/>
    </row>
    <row r="290" ht="15.75" customHeight="1">
      <c r="A290" s="1" t="s">
        <v>2066</v>
      </c>
      <c r="B290" s="1" t="s">
        <v>2127</v>
      </c>
      <c r="C290" s="63">
        <v>46225.0</v>
      </c>
      <c r="D290" s="63" t="s">
        <v>130</v>
      </c>
      <c r="E290" s="68">
        <v>0.9836155</v>
      </c>
      <c r="F290" s="1"/>
      <c r="G290" s="23">
        <v>1050000.0</v>
      </c>
      <c r="H290" s="23">
        <v>1032796.27</v>
      </c>
      <c r="I290" s="23">
        <v>1050000.0</v>
      </c>
      <c r="J290" s="23">
        <v>1032796.27</v>
      </c>
      <c r="K290" s="24">
        <v>3467332.0</v>
      </c>
      <c r="L290" s="1" t="s">
        <v>1776</v>
      </c>
      <c r="M290" s="1" t="s">
        <v>2128</v>
      </c>
      <c r="N290" s="63" t="s">
        <v>1118</v>
      </c>
      <c r="O290" s="63" t="s">
        <v>1118</v>
      </c>
      <c r="P290" s="68">
        <v>32.0</v>
      </c>
      <c r="Q290" s="1" t="s">
        <v>2130</v>
      </c>
      <c r="R290" s="1" t="s">
        <v>13</v>
      </c>
      <c r="S290" s="1"/>
      <c r="T290" s="1"/>
      <c r="U290" s="1" t="s">
        <v>1197</v>
      </c>
      <c r="V290" s="1" t="s">
        <v>1197</v>
      </c>
      <c r="W290" s="145">
        <f t="shared" si="1"/>
        <v>0.00002112688989</v>
      </c>
      <c r="AC290" s="38"/>
    </row>
    <row r="291" ht="15.75" customHeight="1">
      <c r="A291" s="1" t="s">
        <v>2077</v>
      </c>
      <c r="B291" s="1" t="s">
        <v>2127</v>
      </c>
      <c r="C291" s="63">
        <v>46225.0</v>
      </c>
      <c r="D291" s="63" t="s">
        <v>130</v>
      </c>
      <c r="E291" s="68">
        <v>0.9836155</v>
      </c>
      <c r="F291" s="1"/>
      <c r="G291" s="23">
        <v>1982063.64</v>
      </c>
      <c r="H291" s="23">
        <v>1949588.51</v>
      </c>
      <c r="I291" s="23">
        <v>1982063.64</v>
      </c>
      <c r="J291" s="23">
        <v>1949588.51</v>
      </c>
      <c r="K291" s="24">
        <v>1.1265545E7</v>
      </c>
      <c r="L291" s="1" t="s">
        <v>1776</v>
      </c>
      <c r="M291" s="1" t="s">
        <v>2128</v>
      </c>
      <c r="N291" s="63" t="s">
        <v>1118</v>
      </c>
      <c r="O291" s="63" t="s">
        <v>1118</v>
      </c>
      <c r="P291" s="68">
        <v>32.0</v>
      </c>
      <c r="Q291" s="1" t="s">
        <v>2130</v>
      </c>
      <c r="R291" s="1" t="s">
        <v>13</v>
      </c>
      <c r="S291" s="1"/>
      <c r="T291" s="1"/>
      <c r="U291" s="1" t="s">
        <v>1204</v>
      </c>
      <c r="V291" s="1" t="s">
        <v>1204</v>
      </c>
      <c r="W291" s="145">
        <f t="shared" si="1"/>
        <v>0.00003988080028</v>
      </c>
      <c r="AC291" s="38"/>
    </row>
    <row r="292" ht="15.75" customHeight="1">
      <c r="A292" s="1" t="s">
        <v>2032</v>
      </c>
      <c r="B292" s="1" t="s">
        <v>2127</v>
      </c>
      <c r="C292" s="63">
        <v>46225.0</v>
      </c>
      <c r="D292" s="63" t="s">
        <v>130</v>
      </c>
      <c r="E292" s="68">
        <v>0.98210694</v>
      </c>
      <c r="F292" s="1"/>
      <c r="G292" s="23">
        <v>2501996.42</v>
      </c>
      <c r="H292" s="23">
        <v>2457228.04</v>
      </c>
      <c r="I292" s="23">
        <v>2501996.42</v>
      </c>
      <c r="J292" s="23">
        <v>2457228.04</v>
      </c>
      <c r="K292" s="24">
        <v>8222.0</v>
      </c>
      <c r="L292" s="1" t="s">
        <v>1776</v>
      </c>
      <c r="M292" s="1" t="s">
        <v>2128</v>
      </c>
      <c r="N292" s="63" t="s">
        <v>1245</v>
      </c>
      <c r="O292" s="63" t="s">
        <v>1245</v>
      </c>
      <c r="P292" s="68">
        <v>35.0</v>
      </c>
      <c r="Q292" s="1" t="s">
        <v>2130</v>
      </c>
      <c r="R292" s="1" t="s">
        <v>13</v>
      </c>
      <c r="S292" s="1"/>
      <c r="T292" s="1"/>
      <c r="U292" s="1" t="s">
        <v>1252</v>
      </c>
      <c r="V292" s="1" t="s">
        <v>1252</v>
      </c>
      <c r="W292" s="145">
        <f t="shared" si="1"/>
        <v>0.00005026507912</v>
      </c>
      <c r="AC292" s="38"/>
    </row>
    <row r="293" ht="15.75" customHeight="1">
      <c r="A293" s="1" t="s">
        <v>2028</v>
      </c>
      <c r="B293" s="1" t="s">
        <v>2127</v>
      </c>
      <c r="C293" s="63">
        <v>46225.0</v>
      </c>
      <c r="D293" s="63" t="s">
        <v>130</v>
      </c>
      <c r="E293" s="68">
        <v>0.98462371</v>
      </c>
      <c r="F293" s="1"/>
      <c r="G293" s="23">
        <v>3533450.77</v>
      </c>
      <c r="H293" s="23">
        <v>3479119.4</v>
      </c>
      <c r="I293" s="23">
        <v>3533450.77</v>
      </c>
      <c r="J293" s="23">
        <v>3479119.4</v>
      </c>
      <c r="K293" s="24">
        <v>9755699.0</v>
      </c>
      <c r="L293" s="1" t="s">
        <v>1776</v>
      </c>
      <c r="M293" s="1" t="s">
        <v>2128</v>
      </c>
      <c r="N293" s="63" t="s">
        <v>1302</v>
      </c>
      <c r="O293" s="63" t="s">
        <v>1302</v>
      </c>
      <c r="P293" s="68">
        <v>30.0</v>
      </c>
      <c r="Q293" s="1" t="s">
        <v>2130</v>
      </c>
      <c r="R293" s="1" t="s">
        <v>13</v>
      </c>
      <c r="S293" s="1"/>
      <c r="T293" s="1"/>
      <c r="U293" s="1" t="s">
        <v>1312</v>
      </c>
      <c r="V293" s="1" t="s">
        <v>1312</v>
      </c>
      <c r="W293" s="145">
        <f t="shared" si="1"/>
        <v>0.00007116889807</v>
      </c>
      <c r="AC293" s="38"/>
    </row>
    <row r="294" ht="15.75" customHeight="1">
      <c r="A294" s="1" t="s">
        <v>1960</v>
      </c>
      <c r="B294" s="1" t="s">
        <v>2127</v>
      </c>
      <c r="C294" s="63">
        <v>46226.0</v>
      </c>
      <c r="D294" s="63" t="s">
        <v>130</v>
      </c>
      <c r="E294" s="68">
        <v>0.98488937</v>
      </c>
      <c r="F294" s="1"/>
      <c r="G294" s="23">
        <v>6500000.0</v>
      </c>
      <c r="H294" s="23">
        <v>6401780.92</v>
      </c>
      <c r="I294" s="23">
        <v>6500000.0</v>
      </c>
      <c r="J294" s="23">
        <v>6401780.92</v>
      </c>
      <c r="K294" s="24">
        <v>2.9175489E7</v>
      </c>
      <c r="L294" s="1" t="s">
        <v>1776</v>
      </c>
      <c r="M294" s="1" t="s">
        <v>2128</v>
      </c>
      <c r="N294" s="63" t="s">
        <v>676</v>
      </c>
      <c r="O294" s="63" t="s">
        <v>676</v>
      </c>
      <c r="P294" s="68">
        <v>28.0</v>
      </c>
      <c r="Q294" s="1" t="s">
        <v>2130</v>
      </c>
      <c r="R294" s="1" t="s">
        <v>13</v>
      </c>
      <c r="S294" s="1"/>
      <c r="T294" s="1"/>
      <c r="U294" s="1" t="s">
        <v>687</v>
      </c>
      <c r="V294" s="1" t="s">
        <v>687</v>
      </c>
      <c r="W294" s="145">
        <f t="shared" si="1"/>
        <v>0.0001309548887</v>
      </c>
      <c r="AC294" s="38"/>
    </row>
    <row r="295" ht="15.75" customHeight="1">
      <c r="A295" s="1" t="s">
        <v>1922</v>
      </c>
      <c r="B295" s="1" t="s">
        <v>2127</v>
      </c>
      <c r="C295" s="63">
        <v>46226.0</v>
      </c>
      <c r="D295" s="63" t="s">
        <v>130</v>
      </c>
      <c r="E295" s="68">
        <v>0.97960298</v>
      </c>
      <c r="F295" s="1"/>
      <c r="G295" s="23">
        <v>7.5E8</v>
      </c>
      <c r="H295" s="23">
        <v>7.3470223575E8</v>
      </c>
      <c r="I295" s="23">
        <v>7.5E8</v>
      </c>
      <c r="J295" s="23">
        <v>7.3470223575E8</v>
      </c>
      <c r="K295" s="24">
        <v>155861.0</v>
      </c>
      <c r="L295" s="1" t="s">
        <v>1776</v>
      </c>
      <c r="M295" s="1" t="s">
        <v>2128</v>
      </c>
      <c r="N295" s="63" t="s">
        <v>130</v>
      </c>
      <c r="O295" s="63" t="s">
        <v>130</v>
      </c>
      <c r="P295" s="68">
        <v>38.0</v>
      </c>
      <c r="Q295" s="1" t="s">
        <v>2130</v>
      </c>
      <c r="R295" s="1" t="s">
        <v>13</v>
      </c>
      <c r="S295" s="1"/>
      <c r="T295" s="1"/>
      <c r="U295" s="1" t="s">
        <v>1636</v>
      </c>
      <c r="V295" s="1" t="s">
        <v>1636</v>
      </c>
      <c r="W295" s="145">
        <f t="shared" si="1"/>
        <v>0.01502907561</v>
      </c>
      <c r="AC295" s="38"/>
    </row>
    <row r="296" ht="15.75" customHeight="1">
      <c r="A296" s="1" t="s">
        <v>1961</v>
      </c>
      <c r="B296" s="1" t="s">
        <v>2127</v>
      </c>
      <c r="C296" s="63">
        <v>46226.0</v>
      </c>
      <c r="D296" s="63" t="s">
        <v>130</v>
      </c>
      <c r="E296" s="68">
        <v>0.98065555</v>
      </c>
      <c r="F296" s="1"/>
      <c r="G296" s="23">
        <v>1250000.0</v>
      </c>
      <c r="H296" s="23">
        <v>1225819.44</v>
      </c>
      <c r="I296" s="23">
        <v>1250000.0</v>
      </c>
      <c r="J296" s="23">
        <v>1225819.44</v>
      </c>
      <c r="K296" s="24">
        <v>2503.0</v>
      </c>
      <c r="L296" s="1" t="s">
        <v>1776</v>
      </c>
      <c r="M296" s="1" t="s">
        <v>2128</v>
      </c>
      <c r="N296" s="63" t="s">
        <v>807</v>
      </c>
      <c r="O296" s="63" t="s">
        <v>807</v>
      </c>
      <c r="P296" s="68">
        <v>36.0</v>
      </c>
      <c r="Q296" s="1" t="s">
        <v>2130</v>
      </c>
      <c r="R296" s="1" t="s">
        <v>13</v>
      </c>
      <c r="S296" s="1"/>
      <c r="T296" s="1"/>
      <c r="U296" s="1" t="s">
        <v>812</v>
      </c>
      <c r="V296" s="1" t="s">
        <v>812</v>
      </c>
      <c r="W296" s="145">
        <f t="shared" si="1"/>
        <v>0.00002507537361</v>
      </c>
      <c r="AC296" s="38"/>
    </row>
    <row r="297" ht="15.75" customHeight="1">
      <c r="A297" s="1" t="s">
        <v>1917</v>
      </c>
      <c r="B297" s="1" t="s">
        <v>2127</v>
      </c>
      <c r="C297" s="63">
        <v>46226.0</v>
      </c>
      <c r="D297" s="63" t="s">
        <v>130</v>
      </c>
      <c r="E297" s="68">
        <v>0.98382756</v>
      </c>
      <c r="F297" s="1"/>
      <c r="G297" s="23">
        <v>1.0E7</v>
      </c>
      <c r="H297" s="23">
        <v>9838275.63</v>
      </c>
      <c r="I297" s="23">
        <v>1.0E7</v>
      </c>
      <c r="J297" s="23">
        <v>9838275.63</v>
      </c>
      <c r="K297" s="24">
        <v>547.0</v>
      </c>
      <c r="L297" s="1" t="s">
        <v>1776</v>
      </c>
      <c r="M297" s="1" t="s">
        <v>2128</v>
      </c>
      <c r="N297" s="63" t="s">
        <v>863</v>
      </c>
      <c r="O297" s="63" t="s">
        <v>863</v>
      </c>
      <c r="P297" s="68">
        <v>30.0</v>
      </c>
      <c r="Q297" s="1" t="s">
        <v>2130</v>
      </c>
      <c r="R297" s="1" t="s">
        <v>13</v>
      </c>
      <c r="S297" s="1"/>
      <c r="T297" s="1"/>
      <c r="U297" s="1" t="s">
        <v>877</v>
      </c>
      <c r="V297" s="1" t="s">
        <v>877</v>
      </c>
      <c r="W297" s="145">
        <f t="shared" si="1"/>
        <v>0.0002012518557</v>
      </c>
      <c r="AC297" s="38"/>
    </row>
    <row r="298" ht="15.75" customHeight="1">
      <c r="A298" s="1" t="s">
        <v>1949</v>
      </c>
      <c r="B298" s="1" t="s">
        <v>2127</v>
      </c>
      <c r="C298" s="63">
        <v>46226.0</v>
      </c>
      <c r="D298" s="63" t="s">
        <v>130</v>
      </c>
      <c r="E298" s="68">
        <v>0.97855231</v>
      </c>
      <c r="F298" s="1"/>
      <c r="G298" s="23">
        <v>1.0E7</v>
      </c>
      <c r="H298" s="23">
        <v>9785523.12</v>
      </c>
      <c r="I298" s="23">
        <v>1.0E7</v>
      </c>
      <c r="J298" s="23">
        <v>9785523.12</v>
      </c>
      <c r="K298" s="24">
        <v>4093.0</v>
      </c>
      <c r="L298" s="1" t="s">
        <v>1776</v>
      </c>
      <c r="M298" s="1" t="s">
        <v>2128</v>
      </c>
      <c r="N298" s="63" t="s">
        <v>307</v>
      </c>
      <c r="O298" s="63" t="s">
        <v>307</v>
      </c>
      <c r="P298" s="68">
        <v>40.0</v>
      </c>
      <c r="Q298" s="1" t="s">
        <v>2130</v>
      </c>
      <c r="R298" s="1" t="s">
        <v>13</v>
      </c>
      <c r="S298" s="1"/>
      <c r="T298" s="1"/>
      <c r="U298" s="1" t="s">
        <v>329</v>
      </c>
      <c r="V298" s="1" t="s">
        <v>329</v>
      </c>
      <c r="W298" s="145">
        <f t="shared" si="1"/>
        <v>0.0002001727499</v>
      </c>
      <c r="AC298" s="38"/>
    </row>
    <row r="299" ht="15.75" customHeight="1">
      <c r="A299" s="1" t="s">
        <v>1910</v>
      </c>
      <c r="B299" s="1" t="s">
        <v>2127</v>
      </c>
      <c r="C299" s="63">
        <v>46226.0</v>
      </c>
      <c r="D299" s="63" t="s">
        <v>130</v>
      </c>
      <c r="E299" s="68">
        <v>0.98488939</v>
      </c>
      <c r="F299" s="1"/>
      <c r="G299" s="23">
        <v>5.0E7</v>
      </c>
      <c r="H299" s="23">
        <v>4.924446965E7</v>
      </c>
      <c r="I299" s="23">
        <v>5.0E7</v>
      </c>
      <c r="J299" s="23">
        <v>4.924446965E7</v>
      </c>
      <c r="K299" s="24">
        <v>4576.0</v>
      </c>
      <c r="L299" s="1" t="s">
        <v>1776</v>
      </c>
      <c r="M299" s="1" t="s">
        <v>2128</v>
      </c>
      <c r="N299" s="63" t="s">
        <v>704</v>
      </c>
      <c r="O299" s="63" t="s">
        <v>704</v>
      </c>
      <c r="P299" s="68">
        <v>28.0</v>
      </c>
      <c r="Q299" s="1" t="s">
        <v>2130</v>
      </c>
      <c r="R299" s="1" t="s">
        <v>13</v>
      </c>
      <c r="S299" s="1"/>
      <c r="T299" s="1"/>
      <c r="U299" s="1" t="s">
        <v>718</v>
      </c>
      <c r="V299" s="1" t="s">
        <v>718</v>
      </c>
      <c r="W299" s="145">
        <f t="shared" si="1"/>
        <v>0.001007345319</v>
      </c>
      <c r="AC299" s="38"/>
    </row>
    <row r="300" ht="15.75" customHeight="1">
      <c r="A300" s="1" t="s">
        <v>1903</v>
      </c>
      <c r="B300" s="1" t="s">
        <v>2127</v>
      </c>
      <c r="C300" s="63">
        <v>46226.0</v>
      </c>
      <c r="D300" s="63" t="s">
        <v>130</v>
      </c>
      <c r="E300" s="68">
        <v>0.98435821</v>
      </c>
      <c r="F300" s="1"/>
      <c r="G300" s="23">
        <v>2.5E7</v>
      </c>
      <c r="H300" s="23">
        <v>2.460895526E7</v>
      </c>
      <c r="I300" s="23">
        <v>2.5E7</v>
      </c>
      <c r="J300" s="23">
        <v>2.460895526E7</v>
      </c>
      <c r="K300" s="24">
        <v>3419.0</v>
      </c>
      <c r="L300" s="1" t="s">
        <v>1776</v>
      </c>
      <c r="M300" s="1" t="s">
        <v>2128</v>
      </c>
      <c r="N300" s="63" t="s">
        <v>628</v>
      </c>
      <c r="O300" s="63" t="s">
        <v>628</v>
      </c>
      <c r="P300" s="68">
        <v>29.0</v>
      </c>
      <c r="Q300" s="1" t="s">
        <v>2130</v>
      </c>
      <c r="R300" s="1" t="s">
        <v>13</v>
      </c>
      <c r="S300" s="1"/>
      <c r="T300" s="1"/>
      <c r="U300" s="1" t="s">
        <v>661</v>
      </c>
      <c r="V300" s="1" t="s">
        <v>661</v>
      </c>
      <c r="W300" s="145">
        <f t="shared" si="1"/>
        <v>0.0005034010124</v>
      </c>
      <c r="AC300" s="38"/>
    </row>
    <row r="301" ht="15.75" customHeight="1">
      <c r="A301" s="1" t="s">
        <v>1903</v>
      </c>
      <c r="B301" s="1" t="s">
        <v>2127</v>
      </c>
      <c r="C301" s="63">
        <v>46226.0</v>
      </c>
      <c r="D301" s="63" t="s">
        <v>130</v>
      </c>
      <c r="E301" s="68">
        <v>0.98435821</v>
      </c>
      <c r="F301" s="1"/>
      <c r="G301" s="23">
        <v>1.0E7</v>
      </c>
      <c r="H301" s="23">
        <v>9843582.09</v>
      </c>
      <c r="I301" s="23">
        <v>1.0E7</v>
      </c>
      <c r="J301" s="23">
        <v>9843582.09</v>
      </c>
      <c r="K301" s="24">
        <v>6.6581742E7</v>
      </c>
      <c r="L301" s="1" t="s">
        <v>1776</v>
      </c>
      <c r="M301" s="1" t="s">
        <v>2128</v>
      </c>
      <c r="N301" s="63" t="s">
        <v>628</v>
      </c>
      <c r="O301" s="63" t="s">
        <v>628</v>
      </c>
      <c r="P301" s="68">
        <v>29.0</v>
      </c>
      <c r="Q301" s="1" t="s">
        <v>2130</v>
      </c>
      <c r="R301" s="1" t="s">
        <v>13</v>
      </c>
      <c r="S301" s="1"/>
      <c r="T301" s="1"/>
      <c r="U301" s="1" t="s">
        <v>667</v>
      </c>
      <c r="V301" s="1" t="s">
        <v>667</v>
      </c>
      <c r="W301" s="145">
        <f t="shared" si="1"/>
        <v>0.0002013604047</v>
      </c>
      <c r="AC301" s="38"/>
    </row>
    <row r="302" ht="15.75" customHeight="1">
      <c r="A302" s="1" t="s">
        <v>1980</v>
      </c>
      <c r="B302" s="1" t="s">
        <v>2127</v>
      </c>
      <c r="C302" s="63">
        <v>46226.0</v>
      </c>
      <c r="D302" s="63" t="s">
        <v>130</v>
      </c>
      <c r="E302" s="68">
        <v>0.98488942</v>
      </c>
      <c r="F302" s="1"/>
      <c r="G302" s="23">
        <v>2.5E7</v>
      </c>
      <c r="H302" s="23">
        <v>2.462223539E7</v>
      </c>
      <c r="I302" s="23">
        <v>2.5E7</v>
      </c>
      <c r="J302" s="23">
        <v>2.462223539E7</v>
      </c>
      <c r="K302" s="24">
        <v>895.0</v>
      </c>
      <c r="L302" s="1" t="s">
        <v>1776</v>
      </c>
      <c r="M302" s="1" t="s">
        <v>2128</v>
      </c>
      <c r="N302" s="63" t="s">
        <v>446</v>
      </c>
      <c r="O302" s="63" t="s">
        <v>446</v>
      </c>
      <c r="P302" s="68">
        <v>28.0</v>
      </c>
      <c r="Q302" s="1" t="s">
        <v>2130</v>
      </c>
      <c r="R302" s="1" t="s">
        <v>13</v>
      </c>
      <c r="S302" s="1"/>
      <c r="T302" s="1"/>
      <c r="U302" s="1" t="s">
        <v>501</v>
      </c>
      <c r="V302" s="1" t="s">
        <v>501</v>
      </c>
      <c r="W302" s="145">
        <f t="shared" si="1"/>
        <v>0.0005036726709</v>
      </c>
      <c r="AC302" s="38"/>
    </row>
    <row r="303" ht="15.75" customHeight="1">
      <c r="A303" s="1" t="s">
        <v>1921</v>
      </c>
      <c r="B303" s="1" t="s">
        <v>2127</v>
      </c>
      <c r="C303" s="63">
        <v>46226.0</v>
      </c>
      <c r="D303" s="63" t="s">
        <v>130</v>
      </c>
      <c r="E303" s="68">
        <v>0.98648662</v>
      </c>
      <c r="F303" s="1"/>
      <c r="G303" s="23">
        <v>500000.0</v>
      </c>
      <c r="H303" s="23">
        <v>493243.31</v>
      </c>
      <c r="I303" s="23">
        <v>500000.0</v>
      </c>
      <c r="J303" s="23">
        <v>493243.31</v>
      </c>
      <c r="K303" s="24">
        <v>6.7962937E7</v>
      </c>
      <c r="L303" s="1" t="s">
        <v>1776</v>
      </c>
      <c r="M303" s="1" t="s">
        <v>2128</v>
      </c>
      <c r="N303" s="63" t="s">
        <v>1488</v>
      </c>
      <c r="O303" s="63" t="s">
        <v>1488</v>
      </c>
      <c r="P303" s="68">
        <v>25.0</v>
      </c>
      <c r="Q303" s="1" t="s">
        <v>2130</v>
      </c>
      <c r="R303" s="1" t="s">
        <v>13</v>
      </c>
      <c r="S303" s="1"/>
      <c r="T303" s="1"/>
      <c r="U303" s="1" t="s">
        <v>1533</v>
      </c>
      <c r="V303" s="1" t="s">
        <v>1533</v>
      </c>
      <c r="W303" s="145">
        <f t="shared" si="1"/>
        <v>0.00001008978963</v>
      </c>
      <c r="AC303" s="38"/>
    </row>
    <row r="304" ht="15.75" customHeight="1">
      <c r="A304" s="1" t="s">
        <v>1935</v>
      </c>
      <c r="B304" s="1" t="s">
        <v>2127</v>
      </c>
      <c r="C304" s="63">
        <v>46226.0</v>
      </c>
      <c r="D304" s="63" t="s">
        <v>130</v>
      </c>
      <c r="E304" s="68">
        <v>0.98382756</v>
      </c>
      <c r="F304" s="1"/>
      <c r="G304" s="23">
        <v>1.0E8</v>
      </c>
      <c r="H304" s="23">
        <v>9.838275617E7</v>
      </c>
      <c r="I304" s="23">
        <v>1.0E8</v>
      </c>
      <c r="J304" s="23">
        <v>9.838275617E7</v>
      </c>
      <c r="K304" s="24">
        <v>1.6751418E7</v>
      </c>
      <c r="L304" s="1" t="s">
        <v>1776</v>
      </c>
      <c r="M304" s="1" t="s">
        <v>2128</v>
      </c>
      <c r="N304" s="63" t="s">
        <v>1370</v>
      </c>
      <c r="O304" s="63" t="s">
        <v>1370</v>
      </c>
      <c r="P304" s="68">
        <v>30.0</v>
      </c>
      <c r="Q304" s="1" t="s">
        <v>2130</v>
      </c>
      <c r="R304" s="1" t="s">
        <v>13</v>
      </c>
      <c r="S304" s="1"/>
      <c r="T304" s="1"/>
      <c r="U304" s="1" t="s">
        <v>1373</v>
      </c>
      <c r="V304" s="1" t="s">
        <v>1373</v>
      </c>
      <c r="W304" s="145">
        <f t="shared" si="1"/>
        <v>0.002012518554</v>
      </c>
      <c r="AC304" s="38"/>
    </row>
    <row r="305" ht="15.75" customHeight="1">
      <c r="A305" s="1" t="s">
        <v>2005</v>
      </c>
      <c r="B305" s="1" t="s">
        <v>2127</v>
      </c>
      <c r="C305" s="63">
        <v>46226.0</v>
      </c>
      <c r="D305" s="63" t="s">
        <v>130</v>
      </c>
      <c r="E305" s="68">
        <v>0.98118281</v>
      </c>
      <c r="F305" s="1"/>
      <c r="G305" s="23">
        <v>5450000.0</v>
      </c>
      <c r="H305" s="23">
        <v>5347446.33</v>
      </c>
      <c r="I305" s="23">
        <v>5450000.0</v>
      </c>
      <c r="J305" s="23">
        <v>5347446.33</v>
      </c>
      <c r="K305" s="24">
        <v>6898.0</v>
      </c>
      <c r="L305" s="1" t="s">
        <v>1776</v>
      </c>
      <c r="M305" s="1" t="s">
        <v>2128</v>
      </c>
      <c r="N305" s="63" t="s">
        <v>360</v>
      </c>
      <c r="O305" s="63" t="s">
        <v>360</v>
      </c>
      <c r="P305" s="68">
        <v>35.0</v>
      </c>
      <c r="Q305" s="1" t="s">
        <v>2130</v>
      </c>
      <c r="R305" s="1" t="s">
        <v>13</v>
      </c>
      <c r="S305" s="1"/>
      <c r="T305" s="1"/>
      <c r="U305" s="1" t="s">
        <v>391</v>
      </c>
      <c r="V305" s="1" t="s">
        <v>391</v>
      </c>
      <c r="W305" s="145">
        <f t="shared" si="1"/>
        <v>0.0001093874107</v>
      </c>
      <c r="AC305" s="38"/>
    </row>
    <row r="306" ht="15.75" customHeight="1">
      <c r="A306" s="1" t="s">
        <v>1926</v>
      </c>
      <c r="B306" s="1" t="s">
        <v>2127</v>
      </c>
      <c r="C306" s="63">
        <v>46226.0</v>
      </c>
      <c r="D306" s="63" t="s">
        <v>130</v>
      </c>
      <c r="E306" s="68">
        <v>0.98435821</v>
      </c>
      <c r="F306" s="1"/>
      <c r="G306" s="23">
        <v>5000000.0</v>
      </c>
      <c r="H306" s="23">
        <v>4921791.04</v>
      </c>
      <c r="I306" s="23">
        <v>5000000.0</v>
      </c>
      <c r="J306" s="23">
        <v>4921791.04</v>
      </c>
      <c r="K306" s="24">
        <v>1.6779602E7</v>
      </c>
      <c r="L306" s="1" t="s">
        <v>1776</v>
      </c>
      <c r="M306" s="1" t="s">
        <v>2128</v>
      </c>
      <c r="N306" s="63" t="s">
        <v>628</v>
      </c>
      <c r="O306" s="63" t="s">
        <v>628</v>
      </c>
      <c r="P306" s="68">
        <v>29.0</v>
      </c>
      <c r="Q306" s="1" t="s">
        <v>2130</v>
      </c>
      <c r="R306" s="1" t="s">
        <v>13</v>
      </c>
      <c r="S306" s="1"/>
      <c r="T306" s="1"/>
      <c r="U306" s="1" t="s">
        <v>642</v>
      </c>
      <c r="V306" s="1" t="s">
        <v>642</v>
      </c>
      <c r="W306" s="145">
        <f t="shared" si="1"/>
        <v>0.0001006802022</v>
      </c>
      <c r="AC306" s="38"/>
    </row>
    <row r="307" ht="15.75" customHeight="1">
      <c r="A307" s="1" t="s">
        <v>2072</v>
      </c>
      <c r="B307" s="1" t="s">
        <v>2127</v>
      </c>
      <c r="C307" s="63">
        <v>46226.0</v>
      </c>
      <c r="D307" s="63" t="s">
        <v>130</v>
      </c>
      <c r="E307" s="68">
        <v>0.98223907</v>
      </c>
      <c r="F307" s="1"/>
      <c r="G307" s="23">
        <v>2387682.0</v>
      </c>
      <c r="H307" s="23">
        <v>2345274.55</v>
      </c>
      <c r="I307" s="23">
        <v>2387682.0</v>
      </c>
      <c r="J307" s="23">
        <v>2345274.55</v>
      </c>
      <c r="K307" s="24">
        <v>8.4084371E7</v>
      </c>
      <c r="L307" s="1" t="s">
        <v>1776</v>
      </c>
      <c r="M307" s="1" t="s">
        <v>2128</v>
      </c>
      <c r="N307" s="63" t="s">
        <v>946</v>
      </c>
      <c r="O307" s="63" t="s">
        <v>946</v>
      </c>
      <c r="P307" s="68">
        <v>33.0</v>
      </c>
      <c r="Q307" s="1" t="s">
        <v>2130</v>
      </c>
      <c r="R307" s="1" t="s">
        <v>13</v>
      </c>
      <c r="S307" s="1"/>
      <c r="T307" s="1"/>
      <c r="U307" s="1" t="s">
        <v>1032</v>
      </c>
      <c r="V307" s="1" t="s">
        <v>1032</v>
      </c>
      <c r="W307" s="145">
        <f t="shared" si="1"/>
        <v>0.00004797495751</v>
      </c>
      <c r="AC307" s="38"/>
    </row>
    <row r="308" ht="15.75" customHeight="1">
      <c r="A308" s="1" t="s">
        <v>2052</v>
      </c>
      <c r="B308" s="1" t="s">
        <v>2127</v>
      </c>
      <c r="C308" s="63">
        <v>46226.0</v>
      </c>
      <c r="D308" s="63" t="s">
        <v>130</v>
      </c>
      <c r="E308" s="68">
        <v>0.98382767</v>
      </c>
      <c r="F308" s="1"/>
      <c r="G308" s="23">
        <v>330000.0</v>
      </c>
      <c r="H308" s="23">
        <v>324663.13</v>
      </c>
      <c r="I308" s="23">
        <v>330000.0</v>
      </c>
      <c r="J308" s="23">
        <v>324663.13</v>
      </c>
      <c r="K308" s="24">
        <v>9918440.0</v>
      </c>
      <c r="L308" s="1" t="s">
        <v>1776</v>
      </c>
      <c r="M308" s="1" t="s">
        <v>2128</v>
      </c>
      <c r="N308" s="63" t="s">
        <v>1488</v>
      </c>
      <c r="O308" s="63" t="s">
        <v>1488</v>
      </c>
      <c r="P308" s="68">
        <v>30.0</v>
      </c>
      <c r="Q308" s="1" t="s">
        <v>2130</v>
      </c>
      <c r="R308" s="1" t="s">
        <v>13</v>
      </c>
      <c r="S308" s="1"/>
      <c r="T308" s="1"/>
      <c r="U308" s="1" t="s">
        <v>1537</v>
      </c>
      <c r="V308" s="1" t="s">
        <v>1537</v>
      </c>
      <c r="W308" s="145">
        <f t="shared" si="1"/>
        <v>0.000006641311938</v>
      </c>
      <c r="AC308" s="38"/>
    </row>
    <row r="309" ht="15.75" customHeight="1">
      <c r="A309" s="1" t="s">
        <v>2052</v>
      </c>
      <c r="B309" s="1" t="s">
        <v>2127</v>
      </c>
      <c r="C309" s="63">
        <v>46226.0</v>
      </c>
      <c r="D309" s="63" t="s">
        <v>130</v>
      </c>
      <c r="E309" s="68">
        <v>0.98382766</v>
      </c>
      <c r="F309" s="1"/>
      <c r="G309" s="23">
        <v>415000.0</v>
      </c>
      <c r="H309" s="23">
        <v>408288.48</v>
      </c>
      <c r="I309" s="23">
        <v>415000.0</v>
      </c>
      <c r="J309" s="23">
        <v>408288.48</v>
      </c>
      <c r="K309" s="24">
        <v>9918434.0</v>
      </c>
      <c r="L309" s="1" t="s">
        <v>1776</v>
      </c>
      <c r="M309" s="1" t="s">
        <v>2128</v>
      </c>
      <c r="N309" s="63" t="s">
        <v>1488</v>
      </c>
      <c r="O309" s="63" t="s">
        <v>1488</v>
      </c>
      <c r="P309" s="68">
        <v>30.0</v>
      </c>
      <c r="Q309" s="1" t="s">
        <v>2130</v>
      </c>
      <c r="R309" s="1" t="s">
        <v>13</v>
      </c>
      <c r="S309" s="1"/>
      <c r="T309" s="1"/>
      <c r="U309" s="1" t="s">
        <v>1540</v>
      </c>
      <c r="V309" s="1" t="s">
        <v>1540</v>
      </c>
      <c r="W309" s="145">
        <f t="shared" si="1"/>
        <v>0.000008351952857</v>
      </c>
      <c r="AC309" s="38"/>
    </row>
    <row r="310" ht="15.75" customHeight="1">
      <c r="A310" s="1" t="s">
        <v>1953</v>
      </c>
      <c r="B310" s="1" t="s">
        <v>2127</v>
      </c>
      <c r="C310" s="63">
        <v>46227.0</v>
      </c>
      <c r="D310" s="63" t="s">
        <v>130</v>
      </c>
      <c r="E310" s="68">
        <v>0.9886241</v>
      </c>
      <c r="F310" s="1"/>
      <c r="G310" s="23">
        <v>2500000.0</v>
      </c>
      <c r="H310" s="23">
        <v>2471560.25</v>
      </c>
      <c r="I310" s="23">
        <v>2500000.0</v>
      </c>
      <c r="J310" s="23">
        <v>2471560.25</v>
      </c>
      <c r="K310" s="24">
        <v>6126.0</v>
      </c>
      <c r="L310" s="1" t="s">
        <v>1776</v>
      </c>
      <c r="M310" s="1" t="s">
        <v>2128</v>
      </c>
      <c r="N310" s="63" t="s">
        <v>946</v>
      </c>
      <c r="O310" s="63" t="s">
        <v>946</v>
      </c>
      <c r="P310" s="68">
        <v>20.0</v>
      </c>
      <c r="Q310" s="1" t="s">
        <v>2130</v>
      </c>
      <c r="R310" s="1" t="s">
        <v>13</v>
      </c>
      <c r="S310" s="1"/>
      <c r="T310" s="1"/>
      <c r="U310" s="1" t="s">
        <v>960</v>
      </c>
      <c r="V310" s="1" t="s">
        <v>960</v>
      </c>
      <c r="W310" s="145">
        <f t="shared" si="1"/>
        <v>0.00005055825894</v>
      </c>
      <c r="AC310" s="38"/>
    </row>
    <row r="311" ht="15.75" customHeight="1">
      <c r="A311" s="1" t="s">
        <v>1916</v>
      </c>
      <c r="B311" s="1" t="s">
        <v>2127</v>
      </c>
      <c r="C311" s="63">
        <v>46227.0</v>
      </c>
      <c r="D311" s="63" t="s">
        <v>130</v>
      </c>
      <c r="E311" s="68">
        <v>0.98414583</v>
      </c>
      <c r="F311" s="1"/>
      <c r="G311" s="23">
        <v>1.5E7</v>
      </c>
      <c r="H311" s="23">
        <v>1.476218746E7</v>
      </c>
      <c r="I311" s="23">
        <v>1.5E7</v>
      </c>
      <c r="J311" s="23">
        <v>1.476218746E7</v>
      </c>
      <c r="K311" s="24">
        <v>2.9131906E7</v>
      </c>
      <c r="L311" s="1" t="s">
        <v>1776</v>
      </c>
      <c r="M311" s="1" t="s">
        <v>2128</v>
      </c>
      <c r="N311" s="63" t="s">
        <v>404</v>
      </c>
      <c r="O311" s="63" t="s">
        <v>404</v>
      </c>
      <c r="P311" s="68">
        <v>28.0</v>
      </c>
      <c r="Q311" s="1" t="s">
        <v>2130</v>
      </c>
      <c r="R311" s="1" t="s">
        <v>13</v>
      </c>
      <c r="S311" s="1"/>
      <c r="T311" s="1"/>
      <c r="U311" s="1" t="s">
        <v>439</v>
      </c>
      <c r="V311" s="1" t="s">
        <v>439</v>
      </c>
      <c r="W311" s="145">
        <f t="shared" si="1"/>
        <v>0.0003019754408</v>
      </c>
      <c r="AC311" s="38"/>
    </row>
    <row r="312" ht="15.75" customHeight="1">
      <c r="A312" s="1" t="s">
        <v>2018</v>
      </c>
      <c r="B312" s="1" t="s">
        <v>2127</v>
      </c>
      <c r="C312" s="63">
        <v>46227.0</v>
      </c>
      <c r="D312" s="63" t="s">
        <v>130</v>
      </c>
      <c r="E312" s="68">
        <v>0.98303264</v>
      </c>
      <c r="F312" s="1"/>
      <c r="G312" s="23">
        <v>6013017.5</v>
      </c>
      <c r="H312" s="23">
        <v>5910992.46</v>
      </c>
      <c r="I312" s="23">
        <v>6013017.5</v>
      </c>
      <c r="J312" s="23">
        <v>5910992.46</v>
      </c>
      <c r="K312" s="24">
        <v>6.6632353E7</v>
      </c>
      <c r="L312" s="1" t="s">
        <v>1776</v>
      </c>
      <c r="M312" s="1" t="s">
        <v>2128</v>
      </c>
      <c r="N312" s="63" t="s">
        <v>628</v>
      </c>
      <c r="O312" s="63" t="s">
        <v>628</v>
      </c>
      <c r="P312" s="68">
        <v>30.0</v>
      </c>
      <c r="Q312" s="1" t="s">
        <v>2130</v>
      </c>
      <c r="R312" s="1" t="s">
        <v>13</v>
      </c>
      <c r="S312" s="1"/>
      <c r="T312" s="1"/>
      <c r="U312" s="1" t="s">
        <v>653</v>
      </c>
      <c r="V312" s="1" t="s">
        <v>653</v>
      </c>
      <c r="W312" s="145">
        <f t="shared" si="1"/>
        <v>0.0001209153155</v>
      </c>
      <c r="AC312" s="38"/>
    </row>
    <row r="313" ht="15.75" customHeight="1">
      <c r="A313" s="1" t="s">
        <v>2018</v>
      </c>
      <c r="B313" s="1" t="s">
        <v>2127</v>
      </c>
      <c r="C313" s="63">
        <v>46227.0</v>
      </c>
      <c r="D313" s="63" t="s">
        <v>130</v>
      </c>
      <c r="E313" s="68">
        <v>0.98303264</v>
      </c>
      <c r="F313" s="1"/>
      <c r="G313" s="23">
        <v>6013017.5</v>
      </c>
      <c r="H313" s="23">
        <v>5910992.46</v>
      </c>
      <c r="I313" s="23">
        <v>6013017.5</v>
      </c>
      <c r="J313" s="23">
        <v>5910992.46</v>
      </c>
      <c r="K313" s="24">
        <v>6.663232E7</v>
      </c>
      <c r="L313" s="1" t="s">
        <v>1776</v>
      </c>
      <c r="M313" s="1" t="s">
        <v>2128</v>
      </c>
      <c r="N313" s="63" t="s">
        <v>628</v>
      </c>
      <c r="O313" s="63" t="s">
        <v>628</v>
      </c>
      <c r="P313" s="68">
        <v>30.0</v>
      </c>
      <c r="Q313" s="1" t="s">
        <v>2130</v>
      </c>
      <c r="R313" s="1" t="s">
        <v>13</v>
      </c>
      <c r="S313" s="1"/>
      <c r="T313" s="1"/>
      <c r="U313" s="1" t="s">
        <v>654</v>
      </c>
      <c r="V313" s="1" t="s">
        <v>654</v>
      </c>
      <c r="W313" s="145">
        <f t="shared" si="1"/>
        <v>0.0001209153155</v>
      </c>
      <c r="AC313" s="38"/>
    </row>
    <row r="314" ht="15.75" customHeight="1">
      <c r="A314" s="1" t="s">
        <v>2018</v>
      </c>
      <c r="B314" s="1" t="s">
        <v>2127</v>
      </c>
      <c r="C314" s="63">
        <v>46227.0</v>
      </c>
      <c r="D314" s="63" t="s">
        <v>130</v>
      </c>
      <c r="E314" s="68">
        <v>0.98303264</v>
      </c>
      <c r="F314" s="1"/>
      <c r="G314" s="23">
        <v>6013017.5</v>
      </c>
      <c r="H314" s="23">
        <v>5910992.46</v>
      </c>
      <c r="I314" s="23">
        <v>6013017.5</v>
      </c>
      <c r="J314" s="23">
        <v>5910992.46</v>
      </c>
      <c r="K314" s="24">
        <v>6.6632294E7</v>
      </c>
      <c r="L314" s="1" t="s">
        <v>1776</v>
      </c>
      <c r="M314" s="1" t="s">
        <v>2128</v>
      </c>
      <c r="N314" s="63" t="s">
        <v>628</v>
      </c>
      <c r="O314" s="63" t="s">
        <v>628</v>
      </c>
      <c r="P314" s="68">
        <v>30.0</v>
      </c>
      <c r="Q314" s="1" t="s">
        <v>2130</v>
      </c>
      <c r="R314" s="1" t="s">
        <v>13</v>
      </c>
      <c r="S314" s="1"/>
      <c r="T314" s="1"/>
      <c r="U314" s="1" t="s">
        <v>655</v>
      </c>
      <c r="V314" s="1" t="s">
        <v>655</v>
      </c>
      <c r="W314" s="145">
        <f t="shared" si="1"/>
        <v>0.0001209153155</v>
      </c>
      <c r="AC314" s="38"/>
    </row>
    <row r="315" ht="15.75" customHeight="1">
      <c r="A315" s="1" t="s">
        <v>2071</v>
      </c>
      <c r="B315" s="1" t="s">
        <v>2127</v>
      </c>
      <c r="C315" s="63">
        <v>46227.0</v>
      </c>
      <c r="D315" s="63" t="s">
        <v>130</v>
      </c>
      <c r="E315" s="68">
        <v>0.98136754</v>
      </c>
      <c r="F315" s="1"/>
      <c r="G315" s="23">
        <v>2429673.98</v>
      </c>
      <c r="H315" s="23">
        <v>2384403.18</v>
      </c>
      <c r="I315" s="23">
        <v>2429673.98</v>
      </c>
      <c r="J315" s="23">
        <v>2384403.18</v>
      </c>
      <c r="K315" s="24">
        <v>26.0</v>
      </c>
      <c r="L315" s="1" t="s">
        <v>1776</v>
      </c>
      <c r="M315" s="1" t="s">
        <v>2128</v>
      </c>
      <c r="N315" s="63" t="s">
        <v>946</v>
      </c>
      <c r="O315" s="63" t="s">
        <v>946</v>
      </c>
      <c r="P315" s="68">
        <v>33.0</v>
      </c>
      <c r="Q315" s="1" t="s">
        <v>2130</v>
      </c>
      <c r="R315" s="1" t="s">
        <v>13</v>
      </c>
      <c r="S315" s="1"/>
      <c r="T315" s="1"/>
      <c r="U315" s="1" t="s">
        <v>999</v>
      </c>
      <c r="V315" s="1" t="s">
        <v>999</v>
      </c>
      <c r="W315" s="145">
        <f t="shared" si="1"/>
        <v>0.00004877537312</v>
      </c>
      <c r="AC315" s="38"/>
    </row>
    <row r="316" ht="15.75" customHeight="1">
      <c r="A316" s="1" t="s">
        <v>1917</v>
      </c>
      <c r="B316" s="1" t="s">
        <v>2127</v>
      </c>
      <c r="C316" s="63">
        <v>46227.0</v>
      </c>
      <c r="D316" s="63" t="s">
        <v>130</v>
      </c>
      <c r="E316" s="68">
        <v>0.98303261</v>
      </c>
      <c r="F316" s="1"/>
      <c r="G316" s="23">
        <v>1.0E7</v>
      </c>
      <c r="H316" s="23">
        <v>9830326.06</v>
      </c>
      <c r="I316" s="23">
        <v>1.0E7</v>
      </c>
      <c r="J316" s="23">
        <v>9830326.06</v>
      </c>
      <c r="K316" s="24">
        <v>523.0</v>
      </c>
      <c r="L316" s="1" t="s">
        <v>1776</v>
      </c>
      <c r="M316" s="1" t="s">
        <v>2128</v>
      </c>
      <c r="N316" s="63" t="s">
        <v>849</v>
      </c>
      <c r="O316" s="63" t="s">
        <v>849</v>
      </c>
      <c r="P316" s="68">
        <v>30.0</v>
      </c>
      <c r="Q316" s="1" t="s">
        <v>2130</v>
      </c>
      <c r="R316" s="1" t="s">
        <v>13</v>
      </c>
      <c r="S316" s="1"/>
      <c r="T316" s="1"/>
      <c r="U316" s="1" t="s">
        <v>850</v>
      </c>
      <c r="V316" s="1" t="s">
        <v>850</v>
      </c>
      <c r="W316" s="145">
        <f t="shared" si="1"/>
        <v>0.0002010892392</v>
      </c>
      <c r="AC316" s="38"/>
    </row>
    <row r="317" ht="15.75" customHeight="1">
      <c r="A317" s="1" t="s">
        <v>1903</v>
      </c>
      <c r="B317" s="1" t="s">
        <v>2127</v>
      </c>
      <c r="C317" s="63">
        <v>46227.0</v>
      </c>
      <c r="D317" s="63" t="s">
        <v>130</v>
      </c>
      <c r="E317" s="68">
        <v>0.98358889</v>
      </c>
      <c r="F317" s="1"/>
      <c r="G317" s="23">
        <v>1.25E7</v>
      </c>
      <c r="H317" s="23">
        <v>1.229486116E7</v>
      </c>
      <c r="I317" s="23">
        <v>1.25E7</v>
      </c>
      <c r="J317" s="23">
        <v>1.229486116E7</v>
      </c>
      <c r="K317" s="24">
        <v>4954.0</v>
      </c>
      <c r="L317" s="1" t="s">
        <v>1776</v>
      </c>
      <c r="M317" s="1" t="s">
        <v>2128</v>
      </c>
      <c r="N317" s="63" t="s">
        <v>543</v>
      </c>
      <c r="O317" s="63" t="s">
        <v>543</v>
      </c>
      <c r="P317" s="68">
        <v>29.0</v>
      </c>
      <c r="Q317" s="1" t="s">
        <v>2130</v>
      </c>
      <c r="R317" s="1" t="s">
        <v>13</v>
      </c>
      <c r="S317" s="1"/>
      <c r="T317" s="1"/>
      <c r="U317" s="1" t="s">
        <v>547</v>
      </c>
      <c r="V317" s="1" t="s">
        <v>547</v>
      </c>
      <c r="W317" s="145">
        <f t="shared" si="1"/>
        <v>0.0002515037916</v>
      </c>
      <c r="AC317" s="38"/>
    </row>
    <row r="318" ht="15.75" customHeight="1">
      <c r="A318" s="1" t="s">
        <v>1903</v>
      </c>
      <c r="B318" s="1" t="s">
        <v>2127</v>
      </c>
      <c r="C318" s="63">
        <v>46227.0</v>
      </c>
      <c r="D318" s="63" t="s">
        <v>130</v>
      </c>
      <c r="E318" s="68">
        <v>0.98303263</v>
      </c>
      <c r="F318" s="1"/>
      <c r="G318" s="23">
        <v>1.0E7</v>
      </c>
      <c r="H318" s="23">
        <v>9830326.29</v>
      </c>
      <c r="I318" s="23">
        <v>1.0E7</v>
      </c>
      <c r="J318" s="23">
        <v>9830326.29</v>
      </c>
      <c r="K318" s="24">
        <v>1372330.0</v>
      </c>
      <c r="L318" s="1" t="s">
        <v>1776</v>
      </c>
      <c r="M318" s="1" t="s">
        <v>2128</v>
      </c>
      <c r="N318" s="63" t="s">
        <v>230</v>
      </c>
      <c r="O318" s="63" t="s">
        <v>230</v>
      </c>
      <c r="P318" s="68">
        <v>30.0</v>
      </c>
      <c r="Q318" s="1" t="s">
        <v>2130</v>
      </c>
      <c r="R318" s="1" t="s">
        <v>13</v>
      </c>
      <c r="S318" s="1"/>
      <c r="T318" s="1"/>
      <c r="U318" s="1" t="s">
        <v>229</v>
      </c>
      <c r="V318" s="1" t="s">
        <v>229</v>
      </c>
      <c r="W318" s="145">
        <f t="shared" si="1"/>
        <v>0.0002010892439</v>
      </c>
      <c r="AC318" s="38"/>
    </row>
    <row r="319" ht="15.75" customHeight="1">
      <c r="A319" s="1" t="s">
        <v>1903</v>
      </c>
      <c r="B319" s="1" t="s">
        <v>2127</v>
      </c>
      <c r="C319" s="63">
        <v>46227.0</v>
      </c>
      <c r="D319" s="63" t="s">
        <v>130</v>
      </c>
      <c r="E319" s="68">
        <v>0.98358891</v>
      </c>
      <c r="F319" s="1"/>
      <c r="G319" s="23">
        <v>2.0E7</v>
      </c>
      <c r="H319" s="23">
        <v>1.967177813E7</v>
      </c>
      <c r="I319" s="23">
        <v>2.0E7</v>
      </c>
      <c r="J319" s="23">
        <v>1.967177813E7</v>
      </c>
      <c r="K319" s="24">
        <v>6.6179083E7</v>
      </c>
      <c r="L319" s="1" t="s">
        <v>1776</v>
      </c>
      <c r="M319" s="1" t="s">
        <v>2128</v>
      </c>
      <c r="N319" s="63" t="s">
        <v>256</v>
      </c>
      <c r="O319" s="63" t="s">
        <v>256</v>
      </c>
      <c r="P319" s="68">
        <v>29.0</v>
      </c>
      <c r="Q319" s="1" t="s">
        <v>2130</v>
      </c>
      <c r="R319" s="1" t="s">
        <v>13</v>
      </c>
      <c r="S319" s="1"/>
      <c r="T319" s="1"/>
      <c r="U319" s="1" t="s">
        <v>265</v>
      </c>
      <c r="V319" s="1" t="s">
        <v>265</v>
      </c>
      <c r="W319" s="145">
        <f t="shared" si="1"/>
        <v>0.0004024060722</v>
      </c>
      <c r="AC319" s="38"/>
    </row>
    <row r="320" ht="15.75" customHeight="1">
      <c r="A320" s="1" t="s">
        <v>1903</v>
      </c>
      <c r="B320" s="1" t="s">
        <v>2127</v>
      </c>
      <c r="C320" s="63">
        <v>46227.0</v>
      </c>
      <c r="D320" s="63" t="s">
        <v>130</v>
      </c>
      <c r="E320" s="68">
        <v>0.98358891</v>
      </c>
      <c r="F320" s="1"/>
      <c r="G320" s="23">
        <v>1.0E7</v>
      </c>
      <c r="H320" s="23">
        <v>9835889.06</v>
      </c>
      <c r="I320" s="23">
        <v>1.0E7</v>
      </c>
      <c r="J320" s="23">
        <v>9835889.06</v>
      </c>
      <c r="K320" s="24">
        <v>491333.0</v>
      </c>
      <c r="L320" s="1" t="s">
        <v>1776</v>
      </c>
      <c r="M320" s="1" t="s">
        <v>2128</v>
      </c>
      <c r="N320" s="63" t="s">
        <v>256</v>
      </c>
      <c r="O320" s="63" t="s">
        <v>256</v>
      </c>
      <c r="P320" s="68">
        <v>29.0</v>
      </c>
      <c r="Q320" s="1" t="s">
        <v>2130</v>
      </c>
      <c r="R320" s="1" t="s">
        <v>13</v>
      </c>
      <c r="S320" s="1"/>
      <c r="T320" s="1"/>
      <c r="U320" s="1" t="s">
        <v>266</v>
      </c>
      <c r="V320" s="1" t="s">
        <v>266</v>
      </c>
      <c r="W320" s="145">
        <f t="shared" si="1"/>
        <v>0.000201203036</v>
      </c>
      <c r="AC320" s="38"/>
    </row>
    <row r="321" ht="15.75" customHeight="1">
      <c r="A321" s="1" t="s">
        <v>1964</v>
      </c>
      <c r="B321" s="1" t="s">
        <v>2127</v>
      </c>
      <c r="C321" s="63">
        <v>46227.0</v>
      </c>
      <c r="D321" s="63" t="s">
        <v>130</v>
      </c>
      <c r="E321" s="68">
        <v>0.97750405</v>
      </c>
      <c r="F321" s="1"/>
      <c r="G321" s="23">
        <v>3500000.0</v>
      </c>
      <c r="H321" s="23">
        <v>3421264.18</v>
      </c>
      <c r="I321" s="23">
        <v>3500000.0</v>
      </c>
      <c r="J321" s="23">
        <v>3421264.18</v>
      </c>
      <c r="K321" s="24">
        <v>6.0524037E7</v>
      </c>
      <c r="L321" s="1" t="s">
        <v>1776</v>
      </c>
      <c r="M321" s="1" t="s">
        <v>2128</v>
      </c>
      <c r="N321" s="63" t="s">
        <v>171</v>
      </c>
      <c r="O321" s="63" t="s">
        <v>171</v>
      </c>
      <c r="P321" s="68">
        <v>40.0</v>
      </c>
      <c r="Q321" s="1" t="s">
        <v>2130</v>
      </c>
      <c r="R321" s="1" t="s">
        <v>13</v>
      </c>
      <c r="S321" s="1"/>
      <c r="T321" s="1"/>
      <c r="U321" s="1" t="s">
        <v>172</v>
      </c>
      <c r="V321" s="1" t="s">
        <v>172</v>
      </c>
      <c r="W321" s="145">
        <f t="shared" si="1"/>
        <v>0.00006998541116</v>
      </c>
      <c r="AC321" s="38"/>
    </row>
    <row r="322" ht="15.75" customHeight="1">
      <c r="A322" s="1" t="s">
        <v>1910</v>
      </c>
      <c r="B322" s="1" t="s">
        <v>2127</v>
      </c>
      <c r="C322" s="63">
        <v>46227.0</v>
      </c>
      <c r="D322" s="63" t="s">
        <v>130</v>
      </c>
      <c r="E322" s="68">
        <v>0.98414582</v>
      </c>
      <c r="F322" s="1"/>
      <c r="G322" s="23">
        <v>5.0E7</v>
      </c>
      <c r="H322" s="23">
        <v>4.920729077E7</v>
      </c>
      <c r="I322" s="23">
        <v>5.0E7</v>
      </c>
      <c r="J322" s="23">
        <v>4.920729077E7</v>
      </c>
      <c r="K322" s="24">
        <v>4635.0</v>
      </c>
      <c r="L322" s="1" t="s">
        <v>1776</v>
      </c>
      <c r="M322" s="1" t="s">
        <v>2128</v>
      </c>
      <c r="N322" s="63" t="s">
        <v>748</v>
      </c>
      <c r="O322" s="63" t="s">
        <v>748</v>
      </c>
      <c r="P322" s="68">
        <v>28.0</v>
      </c>
      <c r="Q322" s="1" t="s">
        <v>2130</v>
      </c>
      <c r="R322" s="1" t="s">
        <v>13</v>
      </c>
      <c r="S322" s="1"/>
      <c r="T322" s="1"/>
      <c r="U322" s="1" t="s">
        <v>759</v>
      </c>
      <c r="V322" s="1" t="s">
        <v>759</v>
      </c>
      <c r="W322" s="145">
        <f t="shared" si="1"/>
        <v>0.001006584787</v>
      </c>
      <c r="AC322" s="38"/>
    </row>
    <row r="323" ht="15.75" customHeight="1">
      <c r="A323" s="1" t="s">
        <v>1921</v>
      </c>
      <c r="B323" s="1" t="s">
        <v>2127</v>
      </c>
      <c r="C323" s="63">
        <v>46227.0</v>
      </c>
      <c r="D323" s="63" t="s">
        <v>130</v>
      </c>
      <c r="E323" s="68">
        <v>0.98582048</v>
      </c>
      <c r="F323" s="1"/>
      <c r="G323" s="23">
        <v>1754500.0</v>
      </c>
      <c r="H323" s="23">
        <v>1729622.04</v>
      </c>
      <c r="I323" s="23">
        <v>1754500.0</v>
      </c>
      <c r="J323" s="23">
        <v>1729622.04</v>
      </c>
      <c r="K323" s="24">
        <v>1420.0</v>
      </c>
      <c r="L323" s="1" t="s">
        <v>1776</v>
      </c>
      <c r="M323" s="1" t="s">
        <v>2128</v>
      </c>
      <c r="N323" s="63" t="s">
        <v>1488</v>
      </c>
      <c r="O323" s="63" t="s">
        <v>1488</v>
      </c>
      <c r="P323" s="68">
        <v>25.0</v>
      </c>
      <c r="Q323" s="1" t="s">
        <v>2130</v>
      </c>
      <c r="R323" s="1" t="s">
        <v>13</v>
      </c>
      <c r="S323" s="1"/>
      <c r="T323" s="1"/>
      <c r="U323" s="1" t="s">
        <v>1487</v>
      </c>
      <c r="V323" s="1" t="s">
        <v>1487</v>
      </c>
      <c r="W323" s="145">
        <f t="shared" si="1"/>
        <v>0.00003538116417</v>
      </c>
      <c r="AC323" s="38"/>
    </row>
    <row r="324" ht="15.75" customHeight="1">
      <c r="A324" s="1" t="s">
        <v>1921</v>
      </c>
      <c r="B324" s="1" t="s">
        <v>2127</v>
      </c>
      <c r="C324" s="63">
        <v>46227.0</v>
      </c>
      <c r="D324" s="63" t="s">
        <v>130</v>
      </c>
      <c r="E324" s="68">
        <v>0.98582048</v>
      </c>
      <c r="F324" s="1"/>
      <c r="G324" s="23">
        <v>1000000.0</v>
      </c>
      <c r="H324" s="23">
        <v>985820.48</v>
      </c>
      <c r="I324" s="23">
        <v>1000000.0</v>
      </c>
      <c r="J324" s="23">
        <v>985820.48</v>
      </c>
      <c r="K324" s="24">
        <v>852.0</v>
      </c>
      <c r="L324" s="1" t="s">
        <v>1776</v>
      </c>
      <c r="M324" s="1" t="s">
        <v>2128</v>
      </c>
      <c r="N324" s="63" t="s">
        <v>1488</v>
      </c>
      <c r="O324" s="63" t="s">
        <v>1488</v>
      </c>
      <c r="P324" s="68">
        <v>25.0</v>
      </c>
      <c r="Q324" s="1" t="s">
        <v>2130</v>
      </c>
      <c r="R324" s="1" t="s">
        <v>13</v>
      </c>
      <c r="S324" s="1"/>
      <c r="T324" s="1"/>
      <c r="U324" s="1" t="s">
        <v>1489</v>
      </c>
      <c r="V324" s="1" t="s">
        <v>1489</v>
      </c>
      <c r="W324" s="145">
        <f t="shared" si="1"/>
        <v>0.0000201659527</v>
      </c>
      <c r="AC324" s="38"/>
    </row>
    <row r="325" ht="15.75" customHeight="1">
      <c r="A325" s="1" t="s">
        <v>1903</v>
      </c>
      <c r="B325" s="1" t="s">
        <v>2127</v>
      </c>
      <c r="C325" s="63">
        <v>46227.0</v>
      </c>
      <c r="D325" s="63" t="s">
        <v>130</v>
      </c>
      <c r="E325" s="68">
        <v>0.9835889</v>
      </c>
      <c r="F325" s="1"/>
      <c r="G325" s="23">
        <v>4.0E7</v>
      </c>
      <c r="H325" s="23">
        <v>3.934355592E7</v>
      </c>
      <c r="I325" s="23">
        <v>4.0E7</v>
      </c>
      <c r="J325" s="23">
        <v>3.934355592E7</v>
      </c>
      <c r="K325" s="24">
        <v>5.4026409E7</v>
      </c>
      <c r="L325" s="1" t="s">
        <v>1776</v>
      </c>
      <c r="M325" s="1" t="s">
        <v>2128</v>
      </c>
      <c r="N325" s="63" t="s">
        <v>608</v>
      </c>
      <c r="O325" s="63" t="s">
        <v>608</v>
      </c>
      <c r="P325" s="68">
        <v>29.0</v>
      </c>
      <c r="Q325" s="1" t="s">
        <v>2130</v>
      </c>
      <c r="R325" s="1" t="s">
        <v>13</v>
      </c>
      <c r="S325" s="1"/>
      <c r="T325" s="1"/>
      <c r="U325" s="1" t="s">
        <v>612</v>
      </c>
      <c r="V325" s="1" t="s">
        <v>612</v>
      </c>
      <c r="W325" s="145">
        <f t="shared" si="1"/>
        <v>0.0008048121375</v>
      </c>
      <c r="AC325" s="38"/>
    </row>
    <row r="326" ht="15.75" customHeight="1">
      <c r="A326" s="1" t="s">
        <v>1939</v>
      </c>
      <c r="B326" s="1" t="s">
        <v>2127</v>
      </c>
      <c r="C326" s="63">
        <v>46227.0</v>
      </c>
      <c r="D326" s="63" t="s">
        <v>130</v>
      </c>
      <c r="E326" s="68">
        <v>0.98026053</v>
      </c>
      <c r="F326" s="1"/>
      <c r="G326" s="23">
        <v>1.66E7</v>
      </c>
      <c r="H326" s="23">
        <v>1.627232481E7</v>
      </c>
      <c r="I326" s="23">
        <v>1.66E7</v>
      </c>
      <c r="J326" s="23">
        <v>1.627232481E7</v>
      </c>
      <c r="K326" s="24">
        <v>290.0</v>
      </c>
      <c r="L326" s="1" t="s">
        <v>1776</v>
      </c>
      <c r="M326" s="1" t="s">
        <v>2128</v>
      </c>
      <c r="N326" s="63" t="s">
        <v>256</v>
      </c>
      <c r="O326" s="63" t="s">
        <v>256</v>
      </c>
      <c r="P326" s="68">
        <v>35.0</v>
      </c>
      <c r="Q326" s="1" t="s">
        <v>2130</v>
      </c>
      <c r="R326" s="1" t="s">
        <v>13</v>
      </c>
      <c r="S326" s="1"/>
      <c r="T326" s="1"/>
      <c r="U326" s="1" t="s">
        <v>276</v>
      </c>
      <c r="V326" s="1" t="s">
        <v>276</v>
      </c>
      <c r="W326" s="145">
        <f t="shared" si="1"/>
        <v>0.0003328668242</v>
      </c>
      <c r="AC326" s="38"/>
    </row>
    <row r="327" ht="15.75" customHeight="1">
      <c r="A327" s="1" t="s">
        <v>1950</v>
      </c>
      <c r="B327" s="1" t="s">
        <v>2127</v>
      </c>
      <c r="C327" s="63">
        <v>46227.0</v>
      </c>
      <c r="D327" s="63" t="s">
        <v>130</v>
      </c>
      <c r="E327" s="68">
        <v>0.98582045</v>
      </c>
      <c r="F327" s="1"/>
      <c r="G327" s="23">
        <v>1.0E8</v>
      </c>
      <c r="H327" s="23">
        <v>9.858204515E7</v>
      </c>
      <c r="I327" s="23">
        <v>1.0E8</v>
      </c>
      <c r="J327" s="23">
        <v>9.858204515E7</v>
      </c>
      <c r="K327" s="24">
        <v>1.1967244E7</v>
      </c>
      <c r="L327" s="1" t="s">
        <v>1776</v>
      </c>
      <c r="M327" s="1" t="s">
        <v>2128</v>
      </c>
      <c r="N327" s="63" t="s">
        <v>130</v>
      </c>
      <c r="O327" s="63" t="s">
        <v>130</v>
      </c>
      <c r="P327" s="68">
        <v>25.0</v>
      </c>
      <c r="Q327" s="1" t="s">
        <v>2130</v>
      </c>
      <c r="R327" s="1" t="s">
        <v>13</v>
      </c>
      <c r="S327" s="1"/>
      <c r="T327" s="1"/>
      <c r="U327" s="1" t="s">
        <v>1629</v>
      </c>
      <c r="V327" s="1" t="s">
        <v>1629</v>
      </c>
      <c r="W327" s="145">
        <f t="shared" si="1"/>
        <v>0.002016595212</v>
      </c>
      <c r="AC327" s="38"/>
    </row>
    <row r="328" ht="15.75" customHeight="1">
      <c r="A328" s="1" t="s">
        <v>1921</v>
      </c>
      <c r="B328" s="1" t="s">
        <v>2127</v>
      </c>
      <c r="C328" s="63">
        <v>46227.0</v>
      </c>
      <c r="D328" s="63" t="s">
        <v>130</v>
      </c>
      <c r="E328" s="68">
        <v>0.98582047</v>
      </c>
      <c r="F328" s="1"/>
      <c r="G328" s="23">
        <v>755183.27</v>
      </c>
      <c r="H328" s="23">
        <v>744475.13</v>
      </c>
      <c r="I328" s="23">
        <v>755183.27</v>
      </c>
      <c r="J328" s="23">
        <v>744475.13</v>
      </c>
      <c r="K328" s="24">
        <v>1857772.0</v>
      </c>
      <c r="L328" s="1" t="s">
        <v>1776</v>
      </c>
      <c r="M328" s="1" t="s">
        <v>2128</v>
      </c>
      <c r="N328" s="63" t="s">
        <v>1488</v>
      </c>
      <c r="O328" s="63" t="s">
        <v>1488</v>
      </c>
      <c r="P328" s="68">
        <v>25.0</v>
      </c>
      <c r="Q328" s="1" t="s">
        <v>2130</v>
      </c>
      <c r="R328" s="1" t="s">
        <v>13</v>
      </c>
      <c r="S328" s="1"/>
      <c r="T328" s="1"/>
      <c r="U328" s="1" t="s">
        <v>1534</v>
      </c>
      <c r="V328" s="1" t="s">
        <v>1534</v>
      </c>
      <c r="W328" s="145">
        <f t="shared" si="1"/>
        <v>0.00001522899003</v>
      </c>
      <c r="AC328" s="38"/>
    </row>
    <row r="329" ht="15.75" customHeight="1">
      <c r="A329" s="1" t="s">
        <v>1921</v>
      </c>
      <c r="B329" s="1" t="s">
        <v>2127</v>
      </c>
      <c r="C329" s="63">
        <v>46227.0</v>
      </c>
      <c r="D329" s="63" t="s">
        <v>130</v>
      </c>
      <c r="E329" s="68">
        <v>0.98582049</v>
      </c>
      <c r="F329" s="1"/>
      <c r="G329" s="23">
        <v>700000.0</v>
      </c>
      <c r="H329" s="23">
        <v>690074.34</v>
      </c>
      <c r="I329" s="23">
        <v>700000.0</v>
      </c>
      <c r="J329" s="23">
        <v>690074.34</v>
      </c>
      <c r="K329" s="24">
        <v>816.0</v>
      </c>
      <c r="L329" s="1" t="s">
        <v>1776</v>
      </c>
      <c r="M329" s="1" t="s">
        <v>2128</v>
      </c>
      <c r="N329" s="63" t="s">
        <v>1488</v>
      </c>
      <c r="O329" s="63" t="s">
        <v>1488</v>
      </c>
      <c r="P329" s="68">
        <v>25.0</v>
      </c>
      <c r="Q329" s="1" t="s">
        <v>2130</v>
      </c>
      <c r="R329" s="1" t="s">
        <v>13</v>
      </c>
      <c r="S329" s="1"/>
      <c r="T329" s="1"/>
      <c r="U329" s="1" t="s">
        <v>1535</v>
      </c>
      <c r="V329" s="1" t="s">
        <v>1535</v>
      </c>
      <c r="W329" s="145">
        <f t="shared" si="1"/>
        <v>0.00001411616697</v>
      </c>
      <c r="AC329" s="38"/>
    </row>
    <row r="330" ht="15.75" customHeight="1">
      <c r="A330" s="1" t="s">
        <v>1935</v>
      </c>
      <c r="B330" s="1" t="s">
        <v>2127</v>
      </c>
      <c r="C330" s="63">
        <v>46227.0</v>
      </c>
      <c r="D330" s="63" t="s">
        <v>130</v>
      </c>
      <c r="E330" s="68">
        <v>0.98303266</v>
      </c>
      <c r="F330" s="1"/>
      <c r="G330" s="23">
        <v>1.0E8</v>
      </c>
      <c r="H330" s="23">
        <v>9.830326599E7</v>
      </c>
      <c r="I330" s="23">
        <v>1.0E8</v>
      </c>
      <c r="J330" s="23">
        <v>9.830326599E7</v>
      </c>
      <c r="K330" s="24">
        <v>1.6751419E7</v>
      </c>
      <c r="L330" s="1" t="s">
        <v>1776</v>
      </c>
      <c r="M330" s="1" t="s">
        <v>2128</v>
      </c>
      <c r="N330" s="63" t="s">
        <v>1375</v>
      </c>
      <c r="O330" s="63" t="s">
        <v>1375</v>
      </c>
      <c r="P330" s="68">
        <v>30.0</v>
      </c>
      <c r="Q330" s="1" t="s">
        <v>2130</v>
      </c>
      <c r="R330" s="1" t="s">
        <v>13</v>
      </c>
      <c r="S330" s="1"/>
      <c r="T330" s="1"/>
      <c r="U330" s="1" t="s">
        <v>1377</v>
      </c>
      <c r="V330" s="1" t="s">
        <v>1377</v>
      </c>
      <c r="W330" s="145">
        <f t="shared" si="1"/>
        <v>0.002010892502</v>
      </c>
      <c r="AC330" s="38"/>
    </row>
    <row r="331" ht="15.75" customHeight="1">
      <c r="A331" s="1" t="s">
        <v>1926</v>
      </c>
      <c r="B331" s="1" t="s">
        <v>2127</v>
      </c>
      <c r="C331" s="63">
        <v>46227.0</v>
      </c>
      <c r="D331" s="63" t="s">
        <v>130</v>
      </c>
      <c r="E331" s="68">
        <v>0.98303262</v>
      </c>
      <c r="F331" s="1"/>
      <c r="G331" s="23">
        <v>1040000.0</v>
      </c>
      <c r="H331" s="23">
        <v>1022353.93</v>
      </c>
      <c r="I331" s="23">
        <v>1040000.0</v>
      </c>
      <c r="J331" s="23">
        <v>1022353.93</v>
      </c>
      <c r="K331" s="24">
        <v>1.220155E7</v>
      </c>
      <c r="L331" s="1" t="s">
        <v>1776</v>
      </c>
      <c r="M331" s="1" t="s">
        <v>2128</v>
      </c>
      <c r="N331" s="63" t="s">
        <v>628</v>
      </c>
      <c r="O331" s="63" t="s">
        <v>628</v>
      </c>
      <c r="P331" s="68">
        <v>30.0</v>
      </c>
      <c r="Q331" s="1" t="s">
        <v>2130</v>
      </c>
      <c r="R331" s="1" t="s">
        <v>13</v>
      </c>
      <c r="S331" s="1"/>
      <c r="T331" s="1"/>
      <c r="U331" s="1" t="s">
        <v>633</v>
      </c>
      <c r="V331" s="1" t="s">
        <v>633</v>
      </c>
      <c r="W331" s="145">
        <f t="shared" si="1"/>
        <v>0.00002091328128</v>
      </c>
      <c r="AC331" s="38"/>
    </row>
    <row r="332" ht="15.75" customHeight="1">
      <c r="A332" s="1" t="s">
        <v>1926</v>
      </c>
      <c r="B332" s="1" t="s">
        <v>2127</v>
      </c>
      <c r="C332" s="63">
        <v>46227.0</v>
      </c>
      <c r="D332" s="63" t="s">
        <v>130</v>
      </c>
      <c r="E332" s="68">
        <v>0.98358894</v>
      </c>
      <c r="F332" s="1"/>
      <c r="G332" s="23">
        <v>5000000.0</v>
      </c>
      <c r="H332" s="23">
        <v>4917944.68</v>
      </c>
      <c r="I332" s="23">
        <v>5000000.0</v>
      </c>
      <c r="J332" s="23">
        <v>4917944.68</v>
      </c>
      <c r="K332" s="24">
        <v>1.6779603E7</v>
      </c>
      <c r="L332" s="1" t="s">
        <v>1776</v>
      </c>
      <c r="M332" s="1" t="s">
        <v>2128</v>
      </c>
      <c r="N332" s="63" t="s">
        <v>628</v>
      </c>
      <c r="O332" s="63" t="s">
        <v>628</v>
      </c>
      <c r="P332" s="68">
        <v>29.0</v>
      </c>
      <c r="Q332" s="1" t="s">
        <v>2130</v>
      </c>
      <c r="R332" s="1" t="s">
        <v>13</v>
      </c>
      <c r="S332" s="1"/>
      <c r="T332" s="1"/>
      <c r="U332" s="1" t="s">
        <v>641</v>
      </c>
      <c r="V332" s="1" t="s">
        <v>641</v>
      </c>
      <c r="W332" s="145">
        <f t="shared" si="1"/>
        <v>0.0001006015211</v>
      </c>
      <c r="AC332" s="38"/>
    </row>
    <row r="333" ht="15.75" customHeight="1">
      <c r="A333" s="1" t="s">
        <v>1948</v>
      </c>
      <c r="B333" s="1" t="s">
        <v>2127</v>
      </c>
      <c r="C333" s="63">
        <v>46227.0</v>
      </c>
      <c r="D333" s="63" t="s">
        <v>130</v>
      </c>
      <c r="E333" s="68">
        <v>0.98358891</v>
      </c>
      <c r="F333" s="1"/>
      <c r="G333" s="23">
        <v>1.25E7</v>
      </c>
      <c r="H333" s="23">
        <v>1.22948614E7</v>
      </c>
      <c r="I333" s="23">
        <v>1.25E7</v>
      </c>
      <c r="J333" s="23">
        <v>1.22948614E7</v>
      </c>
      <c r="K333" s="24">
        <v>2.899651E7</v>
      </c>
      <c r="L333" s="1" t="s">
        <v>1776</v>
      </c>
      <c r="M333" s="1" t="s">
        <v>2128</v>
      </c>
      <c r="N333" s="63" t="s">
        <v>207</v>
      </c>
      <c r="O333" s="63" t="s">
        <v>207</v>
      </c>
      <c r="P333" s="68">
        <v>29.0</v>
      </c>
      <c r="Q333" s="1" t="s">
        <v>2130</v>
      </c>
      <c r="R333" s="1" t="s">
        <v>13</v>
      </c>
      <c r="S333" s="1"/>
      <c r="T333" s="1"/>
      <c r="U333" s="1" t="s">
        <v>215</v>
      </c>
      <c r="V333" s="1" t="s">
        <v>215</v>
      </c>
      <c r="W333" s="145">
        <f t="shared" si="1"/>
        <v>0.0002515037965</v>
      </c>
      <c r="AC333" s="38"/>
    </row>
    <row r="334" ht="15.75" customHeight="1">
      <c r="A334" s="1" t="s">
        <v>2074</v>
      </c>
      <c r="B334" s="1" t="s">
        <v>2127</v>
      </c>
      <c r="C334" s="63">
        <v>46227.0</v>
      </c>
      <c r="D334" s="63" t="s">
        <v>130</v>
      </c>
      <c r="E334" s="68">
        <v>0.98136754</v>
      </c>
      <c r="F334" s="1"/>
      <c r="G334" s="23">
        <v>1134249.7</v>
      </c>
      <c r="H334" s="23">
        <v>1113115.84</v>
      </c>
      <c r="I334" s="23">
        <v>1134249.7</v>
      </c>
      <c r="J334" s="23">
        <v>1113115.84</v>
      </c>
      <c r="K334" s="24">
        <v>2230.0</v>
      </c>
      <c r="L334" s="1" t="s">
        <v>1776</v>
      </c>
      <c r="M334" s="1" t="s">
        <v>2128</v>
      </c>
      <c r="N334" s="63" t="s">
        <v>946</v>
      </c>
      <c r="O334" s="63" t="s">
        <v>946</v>
      </c>
      <c r="P334" s="68">
        <v>33.0</v>
      </c>
      <c r="Q334" s="1" t="s">
        <v>2130</v>
      </c>
      <c r="R334" s="1" t="s">
        <v>13</v>
      </c>
      <c r="S334" s="1"/>
      <c r="T334" s="1"/>
      <c r="U334" s="1" t="s">
        <v>1034</v>
      </c>
      <c r="V334" s="1" t="s">
        <v>1034</v>
      </c>
      <c r="W334" s="145">
        <f t="shared" si="1"/>
        <v>0.00002276990774</v>
      </c>
      <c r="AC334" s="38"/>
    </row>
    <row r="335" ht="15.75" customHeight="1">
      <c r="A335" s="1" t="s">
        <v>2068</v>
      </c>
      <c r="B335" s="1" t="s">
        <v>2127</v>
      </c>
      <c r="C335" s="63">
        <v>46227.0</v>
      </c>
      <c r="D335" s="63" t="s">
        <v>130</v>
      </c>
      <c r="E335" s="68">
        <v>0.98303269</v>
      </c>
      <c r="F335" s="1"/>
      <c r="G335" s="23">
        <v>2734537.0</v>
      </c>
      <c r="H335" s="23">
        <v>2688139.27</v>
      </c>
      <c r="I335" s="23">
        <v>2734537.0</v>
      </c>
      <c r="J335" s="23">
        <v>2688139.27</v>
      </c>
      <c r="K335" s="24">
        <v>890.0</v>
      </c>
      <c r="L335" s="1" t="s">
        <v>1776</v>
      </c>
      <c r="M335" s="1" t="s">
        <v>2128</v>
      </c>
      <c r="N335" s="63" t="s">
        <v>1488</v>
      </c>
      <c r="O335" s="63" t="s">
        <v>1488</v>
      </c>
      <c r="P335" s="68">
        <v>30.0</v>
      </c>
      <c r="Q335" s="1" t="s">
        <v>2130</v>
      </c>
      <c r="R335" s="1" t="s">
        <v>13</v>
      </c>
      <c r="S335" s="1"/>
      <c r="T335" s="1"/>
      <c r="U335" s="1" t="s">
        <v>1553</v>
      </c>
      <c r="V335" s="1" t="s">
        <v>1553</v>
      </c>
      <c r="W335" s="145">
        <f t="shared" si="1"/>
        <v>0.00005498860134</v>
      </c>
      <c r="AC335" s="38"/>
    </row>
    <row r="336" ht="15.75" customHeight="1">
      <c r="A336" s="1" t="s">
        <v>1919</v>
      </c>
      <c r="B336" s="1" t="s">
        <v>2127</v>
      </c>
      <c r="C336" s="63">
        <v>46230.0</v>
      </c>
      <c r="D336" s="63" t="s">
        <v>130</v>
      </c>
      <c r="E336" s="68">
        <v>0.98446443</v>
      </c>
      <c r="F336" s="1"/>
      <c r="G336" s="23">
        <v>1068909.47</v>
      </c>
      <c r="H336" s="23">
        <v>1052303.35</v>
      </c>
      <c r="I336" s="23">
        <v>1068909.47</v>
      </c>
      <c r="J336" s="23">
        <v>1052303.35</v>
      </c>
      <c r="K336" s="24">
        <v>612119.0</v>
      </c>
      <c r="L336" s="1" t="s">
        <v>1776</v>
      </c>
      <c r="M336" s="1" t="s">
        <v>2128</v>
      </c>
      <c r="N336" s="63" t="s">
        <v>946</v>
      </c>
      <c r="O336" s="63" t="s">
        <v>946</v>
      </c>
      <c r="P336" s="68">
        <v>24.0</v>
      </c>
      <c r="Q336" s="1" t="s">
        <v>2130</v>
      </c>
      <c r="R336" s="1" t="s">
        <v>13</v>
      </c>
      <c r="S336" s="1"/>
      <c r="T336" s="1"/>
      <c r="U336" s="1" t="s">
        <v>980</v>
      </c>
      <c r="V336" s="1" t="s">
        <v>980</v>
      </c>
      <c r="W336" s="145">
        <f t="shared" si="1"/>
        <v>0.00002152592689</v>
      </c>
      <c r="AC336" s="38"/>
    </row>
    <row r="337" ht="15.75" customHeight="1">
      <c r="A337" s="1" t="s">
        <v>1919</v>
      </c>
      <c r="B337" s="1" t="s">
        <v>2127</v>
      </c>
      <c r="C337" s="63">
        <v>46230.0</v>
      </c>
      <c r="D337" s="63" t="s">
        <v>130</v>
      </c>
      <c r="E337" s="68">
        <v>0.98446445</v>
      </c>
      <c r="F337" s="1"/>
      <c r="G337" s="23">
        <v>505653.95</v>
      </c>
      <c r="H337" s="23">
        <v>497798.34</v>
      </c>
      <c r="I337" s="23">
        <v>505653.95</v>
      </c>
      <c r="J337" s="23">
        <v>497798.34</v>
      </c>
      <c r="K337" s="24">
        <v>612156.0</v>
      </c>
      <c r="L337" s="1" t="s">
        <v>1776</v>
      </c>
      <c r="M337" s="1" t="s">
        <v>2128</v>
      </c>
      <c r="N337" s="63" t="s">
        <v>946</v>
      </c>
      <c r="O337" s="63" t="s">
        <v>946</v>
      </c>
      <c r="P337" s="68">
        <v>24.0</v>
      </c>
      <c r="Q337" s="1" t="s">
        <v>2130</v>
      </c>
      <c r="R337" s="1" t="s">
        <v>13</v>
      </c>
      <c r="S337" s="1"/>
      <c r="T337" s="1"/>
      <c r="U337" s="1" t="s">
        <v>981</v>
      </c>
      <c r="V337" s="1" t="s">
        <v>981</v>
      </c>
      <c r="W337" s="145">
        <f t="shared" si="1"/>
        <v>0.00001018296737</v>
      </c>
      <c r="AC337" s="38"/>
    </row>
    <row r="338" ht="15.75" customHeight="1">
      <c r="A338" s="1" t="s">
        <v>1919</v>
      </c>
      <c r="B338" s="1" t="s">
        <v>2127</v>
      </c>
      <c r="C338" s="63">
        <v>46230.0</v>
      </c>
      <c r="D338" s="63" t="s">
        <v>130</v>
      </c>
      <c r="E338" s="68">
        <v>0.98446442</v>
      </c>
      <c r="F338" s="1"/>
      <c r="G338" s="23">
        <v>8802443.9</v>
      </c>
      <c r="H338" s="23">
        <v>8665692.85</v>
      </c>
      <c r="I338" s="23">
        <v>8802443.9</v>
      </c>
      <c r="J338" s="23">
        <v>8665692.85</v>
      </c>
      <c r="K338" s="24">
        <v>612236.0</v>
      </c>
      <c r="L338" s="1" t="s">
        <v>1776</v>
      </c>
      <c r="M338" s="1" t="s">
        <v>2128</v>
      </c>
      <c r="N338" s="63" t="s">
        <v>946</v>
      </c>
      <c r="O338" s="63" t="s">
        <v>946</v>
      </c>
      <c r="P338" s="68">
        <v>24.0</v>
      </c>
      <c r="Q338" s="1" t="s">
        <v>2130</v>
      </c>
      <c r="R338" s="1" t="s">
        <v>13</v>
      </c>
      <c r="S338" s="1"/>
      <c r="T338" s="1"/>
      <c r="U338" s="1" t="s">
        <v>987</v>
      </c>
      <c r="V338" s="1" t="s">
        <v>987</v>
      </c>
      <c r="W338" s="145">
        <f t="shared" si="1"/>
        <v>0.0001772654917</v>
      </c>
      <c r="AC338" s="38"/>
    </row>
    <row r="339" ht="15.75" customHeight="1">
      <c r="A339" s="1" t="s">
        <v>1919</v>
      </c>
      <c r="B339" s="1" t="s">
        <v>2127</v>
      </c>
      <c r="C339" s="63">
        <v>46230.0</v>
      </c>
      <c r="D339" s="63" t="s">
        <v>130</v>
      </c>
      <c r="E339" s="68">
        <v>0.98446441</v>
      </c>
      <c r="F339" s="1"/>
      <c r="G339" s="23">
        <v>970094.59</v>
      </c>
      <c r="H339" s="23">
        <v>955023.6</v>
      </c>
      <c r="I339" s="23">
        <v>970094.59</v>
      </c>
      <c r="J339" s="23">
        <v>955023.6</v>
      </c>
      <c r="K339" s="24">
        <v>612136.0</v>
      </c>
      <c r="L339" s="1" t="s">
        <v>1776</v>
      </c>
      <c r="M339" s="1" t="s">
        <v>2128</v>
      </c>
      <c r="N339" s="63" t="s">
        <v>946</v>
      </c>
      <c r="O339" s="63" t="s">
        <v>946</v>
      </c>
      <c r="P339" s="68">
        <v>24.0</v>
      </c>
      <c r="Q339" s="1" t="s">
        <v>2130</v>
      </c>
      <c r="R339" s="1" t="s">
        <v>13</v>
      </c>
      <c r="S339" s="1"/>
      <c r="T339" s="1"/>
      <c r="U339" s="1" t="s">
        <v>988</v>
      </c>
      <c r="V339" s="1" t="s">
        <v>988</v>
      </c>
      <c r="W339" s="145">
        <f t="shared" si="1"/>
        <v>0.00001953597144</v>
      </c>
      <c r="AC339" s="38"/>
    </row>
    <row r="340" ht="15.75" customHeight="1">
      <c r="A340" s="1" t="s">
        <v>1919</v>
      </c>
      <c r="B340" s="1" t="s">
        <v>2127</v>
      </c>
      <c r="C340" s="63">
        <v>46230.0</v>
      </c>
      <c r="D340" s="63" t="s">
        <v>130</v>
      </c>
      <c r="E340" s="68">
        <v>0.98446443</v>
      </c>
      <c r="F340" s="1"/>
      <c r="G340" s="23">
        <v>1044096.2</v>
      </c>
      <c r="H340" s="23">
        <v>1027875.57</v>
      </c>
      <c r="I340" s="23">
        <v>1044096.2</v>
      </c>
      <c r="J340" s="23">
        <v>1027875.57</v>
      </c>
      <c r="K340" s="24">
        <v>612237.0</v>
      </c>
      <c r="L340" s="1" t="s">
        <v>1776</v>
      </c>
      <c r="M340" s="1" t="s">
        <v>2128</v>
      </c>
      <c r="N340" s="63" t="s">
        <v>946</v>
      </c>
      <c r="O340" s="63" t="s">
        <v>946</v>
      </c>
      <c r="P340" s="68">
        <v>24.0</v>
      </c>
      <c r="Q340" s="1" t="s">
        <v>2130</v>
      </c>
      <c r="R340" s="1" t="s">
        <v>13</v>
      </c>
      <c r="S340" s="1"/>
      <c r="T340" s="1"/>
      <c r="U340" s="1" t="s">
        <v>989</v>
      </c>
      <c r="V340" s="1" t="s">
        <v>989</v>
      </c>
      <c r="W340" s="145">
        <f t="shared" si="1"/>
        <v>0.000021026232</v>
      </c>
      <c r="AC340" s="38"/>
    </row>
    <row r="341" ht="15.75" customHeight="1">
      <c r="A341" s="1" t="s">
        <v>1919</v>
      </c>
      <c r="B341" s="1" t="s">
        <v>2127</v>
      </c>
      <c r="C341" s="63">
        <v>46230.0</v>
      </c>
      <c r="D341" s="63" t="s">
        <v>130</v>
      </c>
      <c r="E341" s="68">
        <v>0.98446442</v>
      </c>
      <c r="F341" s="1"/>
      <c r="G341" s="23">
        <v>3745855.84</v>
      </c>
      <c r="H341" s="23">
        <v>3687661.79</v>
      </c>
      <c r="I341" s="23">
        <v>3745855.84</v>
      </c>
      <c r="J341" s="23">
        <v>3687661.79</v>
      </c>
      <c r="K341" s="24">
        <v>612155.0</v>
      </c>
      <c r="L341" s="1" t="s">
        <v>1776</v>
      </c>
      <c r="M341" s="1" t="s">
        <v>2128</v>
      </c>
      <c r="N341" s="63" t="s">
        <v>946</v>
      </c>
      <c r="O341" s="63" t="s">
        <v>946</v>
      </c>
      <c r="P341" s="68">
        <v>24.0</v>
      </c>
      <c r="Q341" s="1" t="s">
        <v>2130</v>
      </c>
      <c r="R341" s="1" t="s">
        <v>13</v>
      </c>
      <c r="S341" s="1"/>
      <c r="T341" s="1"/>
      <c r="U341" s="1" t="s">
        <v>990</v>
      </c>
      <c r="V341" s="1" t="s">
        <v>990</v>
      </c>
      <c r="W341" s="145">
        <f t="shared" si="1"/>
        <v>0.00007543484309</v>
      </c>
      <c r="AC341" s="38"/>
    </row>
    <row r="342" ht="15.75" customHeight="1">
      <c r="A342" s="1" t="s">
        <v>1919</v>
      </c>
      <c r="B342" s="1" t="s">
        <v>2127</v>
      </c>
      <c r="C342" s="63">
        <v>46230.0</v>
      </c>
      <c r="D342" s="63" t="s">
        <v>130</v>
      </c>
      <c r="E342" s="68">
        <v>0.98446438</v>
      </c>
      <c r="F342" s="1"/>
      <c r="G342" s="23">
        <v>128742.88</v>
      </c>
      <c r="H342" s="23">
        <v>126742.78</v>
      </c>
      <c r="I342" s="23">
        <v>128742.88</v>
      </c>
      <c r="J342" s="23">
        <v>126742.78</v>
      </c>
      <c r="K342" s="24">
        <v>612126.0</v>
      </c>
      <c r="L342" s="1" t="s">
        <v>1776</v>
      </c>
      <c r="M342" s="1" t="s">
        <v>2128</v>
      </c>
      <c r="N342" s="63" t="s">
        <v>946</v>
      </c>
      <c r="O342" s="63" t="s">
        <v>946</v>
      </c>
      <c r="P342" s="68">
        <v>24.0</v>
      </c>
      <c r="Q342" s="1" t="s">
        <v>2130</v>
      </c>
      <c r="R342" s="1" t="s">
        <v>13</v>
      </c>
      <c r="S342" s="1"/>
      <c r="T342" s="1"/>
      <c r="U342" s="1" t="s">
        <v>991</v>
      </c>
      <c r="V342" s="1" t="s">
        <v>991</v>
      </c>
      <c r="W342" s="145">
        <f t="shared" si="1"/>
        <v>0.00000259265146</v>
      </c>
      <c r="AC342" s="38"/>
    </row>
    <row r="343" ht="15.75" customHeight="1">
      <c r="A343" s="1" t="s">
        <v>1919</v>
      </c>
      <c r="B343" s="1" t="s">
        <v>2127</v>
      </c>
      <c r="C343" s="63">
        <v>46230.0</v>
      </c>
      <c r="D343" s="63" t="s">
        <v>130</v>
      </c>
      <c r="E343" s="68">
        <v>0.98446436</v>
      </c>
      <c r="F343" s="1"/>
      <c r="G343" s="23">
        <v>84170.31</v>
      </c>
      <c r="H343" s="23">
        <v>82862.67</v>
      </c>
      <c r="I343" s="23">
        <v>84170.31</v>
      </c>
      <c r="J343" s="23">
        <v>82862.67</v>
      </c>
      <c r="K343" s="24">
        <v>612115.0</v>
      </c>
      <c r="L343" s="1" t="s">
        <v>1776</v>
      </c>
      <c r="M343" s="1" t="s">
        <v>2128</v>
      </c>
      <c r="N343" s="63" t="s">
        <v>946</v>
      </c>
      <c r="O343" s="63" t="s">
        <v>946</v>
      </c>
      <c r="P343" s="68">
        <v>24.0</v>
      </c>
      <c r="Q343" s="1" t="s">
        <v>2130</v>
      </c>
      <c r="R343" s="1" t="s">
        <v>13</v>
      </c>
      <c r="S343" s="1"/>
      <c r="T343" s="1"/>
      <c r="U343" s="1" t="s">
        <v>992</v>
      </c>
      <c r="V343" s="1" t="s">
        <v>992</v>
      </c>
      <c r="W343" s="145">
        <f t="shared" si="1"/>
        <v>0.000001695039531</v>
      </c>
      <c r="AC343" s="38"/>
    </row>
    <row r="344" ht="15.75" customHeight="1">
      <c r="A344" s="1" t="s">
        <v>1919</v>
      </c>
      <c r="B344" s="1" t="s">
        <v>2127</v>
      </c>
      <c r="C344" s="63">
        <v>46230.0</v>
      </c>
      <c r="D344" s="63" t="s">
        <v>130</v>
      </c>
      <c r="E344" s="68">
        <v>0.98446443</v>
      </c>
      <c r="F344" s="1"/>
      <c r="G344" s="23">
        <v>1044096.2</v>
      </c>
      <c r="H344" s="23">
        <v>1027875.57</v>
      </c>
      <c r="I344" s="23">
        <v>1044096.2</v>
      </c>
      <c r="J344" s="23">
        <v>1027875.57</v>
      </c>
      <c r="K344" s="24">
        <v>612241.0</v>
      </c>
      <c r="L344" s="1" t="s">
        <v>1776</v>
      </c>
      <c r="M344" s="1" t="s">
        <v>2128</v>
      </c>
      <c r="N344" s="63" t="s">
        <v>946</v>
      </c>
      <c r="O344" s="63" t="s">
        <v>946</v>
      </c>
      <c r="P344" s="68">
        <v>24.0</v>
      </c>
      <c r="Q344" s="1" t="s">
        <v>2130</v>
      </c>
      <c r="R344" s="1" t="s">
        <v>13</v>
      </c>
      <c r="S344" s="1"/>
      <c r="T344" s="1"/>
      <c r="U344" s="1" t="s">
        <v>993</v>
      </c>
      <c r="V344" s="1" t="s">
        <v>993</v>
      </c>
      <c r="W344" s="145">
        <f t="shared" si="1"/>
        <v>0.000021026232</v>
      </c>
      <c r="AC344" s="38"/>
    </row>
    <row r="345" ht="15.75" customHeight="1">
      <c r="A345" s="1" t="s">
        <v>1917</v>
      </c>
      <c r="B345" s="1" t="s">
        <v>2127</v>
      </c>
      <c r="C345" s="63">
        <v>46230.0</v>
      </c>
      <c r="D345" s="63" t="s">
        <v>130</v>
      </c>
      <c r="E345" s="68">
        <v>0.98065558</v>
      </c>
      <c r="F345" s="1"/>
      <c r="G345" s="23">
        <v>1.0E7</v>
      </c>
      <c r="H345" s="23">
        <v>9806555.78</v>
      </c>
      <c r="I345" s="23">
        <v>1.0E7</v>
      </c>
      <c r="J345" s="23">
        <v>9806555.78</v>
      </c>
      <c r="K345" s="24">
        <v>471.0</v>
      </c>
      <c r="L345" s="1" t="s">
        <v>1776</v>
      </c>
      <c r="M345" s="1" t="s">
        <v>2128</v>
      </c>
      <c r="N345" s="63" t="s">
        <v>748</v>
      </c>
      <c r="O345" s="63" t="s">
        <v>748</v>
      </c>
      <c r="P345" s="68">
        <v>30.0</v>
      </c>
      <c r="Q345" s="1" t="s">
        <v>2130</v>
      </c>
      <c r="R345" s="1" t="s">
        <v>13</v>
      </c>
      <c r="S345" s="1"/>
      <c r="T345" s="1"/>
      <c r="U345" s="1" t="s">
        <v>757</v>
      </c>
      <c r="V345" s="1" t="s">
        <v>757</v>
      </c>
      <c r="W345" s="145">
        <f t="shared" si="1"/>
        <v>0.0002006029942</v>
      </c>
      <c r="AC345" s="38"/>
    </row>
    <row r="346" ht="15.75" customHeight="1">
      <c r="A346" s="1" t="s">
        <v>2096</v>
      </c>
      <c r="B346" s="1" t="s">
        <v>2127</v>
      </c>
      <c r="C346" s="63">
        <v>46230.0</v>
      </c>
      <c r="D346" s="63" t="s">
        <v>130</v>
      </c>
      <c r="E346" s="68">
        <v>0.97876231</v>
      </c>
      <c r="F346" s="1"/>
      <c r="G346" s="23">
        <v>1041333.16</v>
      </c>
      <c r="H346" s="23">
        <v>1019217.65</v>
      </c>
      <c r="I346" s="23">
        <v>1041333.16</v>
      </c>
      <c r="J346" s="23">
        <v>1019217.65</v>
      </c>
      <c r="K346" s="24">
        <v>1.0887325E7</v>
      </c>
      <c r="L346" s="1" t="s">
        <v>1776</v>
      </c>
      <c r="M346" s="1" t="s">
        <v>2128</v>
      </c>
      <c r="N346" s="63" t="s">
        <v>946</v>
      </c>
      <c r="O346" s="63" t="s">
        <v>946</v>
      </c>
      <c r="P346" s="68">
        <v>33.0</v>
      </c>
      <c r="Q346" s="1" t="s">
        <v>2130</v>
      </c>
      <c r="R346" s="1" t="s">
        <v>13</v>
      </c>
      <c r="S346" s="1"/>
      <c r="T346" s="1"/>
      <c r="U346" s="1" t="s">
        <v>1037</v>
      </c>
      <c r="V346" s="1" t="s">
        <v>1037</v>
      </c>
      <c r="W346" s="145">
        <f t="shared" si="1"/>
        <v>0.00002084912551</v>
      </c>
      <c r="AC346" s="38"/>
    </row>
    <row r="347" ht="15.75" customHeight="1">
      <c r="A347" s="1" t="s">
        <v>1961</v>
      </c>
      <c r="B347" s="1" t="s">
        <v>2127</v>
      </c>
      <c r="C347" s="63">
        <v>46230.0</v>
      </c>
      <c r="D347" s="63" t="s">
        <v>130</v>
      </c>
      <c r="E347" s="68">
        <v>0.97687614</v>
      </c>
      <c r="F347" s="1"/>
      <c r="G347" s="23">
        <v>1250000.0</v>
      </c>
      <c r="H347" s="23">
        <v>1221095.18</v>
      </c>
      <c r="I347" s="23">
        <v>1250000.0</v>
      </c>
      <c r="J347" s="23">
        <v>1221095.18</v>
      </c>
      <c r="K347" s="24">
        <v>2505.0</v>
      </c>
      <c r="L347" s="1" t="s">
        <v>1776</v>
      </c>
      <c r="M347" s="1" t="s">
        <v>2128</v>
      </c>
      <c r="N347" s="63" t="s">
        <v>807</v>
      </c>
      <c r="O347" s="63" t="s">
        <v>807</v>
      </c>
      <c r="P347" s="68">
        <v>36.0</v>
      </c>
      <c r="Q347" s="1" t="s">
        <v>2130</v>
      </c>
      <c r="R347" s="1" t="s">
        <v>13</v>
      </c>
      <c r="S347" s="1"/>
      <c r="T347" s="1"/>
      <c r="U347" s="1" t="s">
        <v>813</v>
      </c>
      <c r="V347" s="1" t="s">
        <v>813</v>
      </c>
      <c r="W347" s="145">
        <f t="shared" si="1"/>
        <v>0.0000249787341</v>
      </c>
      <c r="AC347" s="38"/>
    </row>
    <row r="348" ht="15.75" customHeight="1">
      <c r="A348" s="1" t="s">
        <v>1903</v>
      </c>
      <c r="B348" s="1" t="s">
        <v>2127</v>
      </c>
      <c r="C348" s="63">
        <v>46230.0</v>
      </c>
      <c r="D348" s="63" t="s">
        <v>130</v>
      </c>
      <c r="E348" s="68">
        <v>0.98223899</v>
      </c>
      <c r="F348" s="1"/>
      <c r="G348" s="23">
        <v>1.5E8</v>
      </c>
      <c r="H348" s="23">
        <v>1.4733584918E8</v>
      </c>
      <c r="I348" s="23">
        <v>1.5E8</v>
      </c>
      <c r="J348" s="23">
        <v>1.4733584918E8</v>
      </c>
      <c r="K348" s="24">
        <v>51.0</v>
      </c>
      <c r="L348" s="1" t="s">
        <v>1776</v>
      </c>
      <c r="M348" s="1" t="s">
        <v>2128</v>
      </c>
      <c r="N348" s="63" t="s">
        <v>404</v>
      </c>
      <c r="O348" s="63" t="s">
        <v>404</v>
      </c>
      <c r="P348" s="68">
        <v>27.5</v>
      </c>
      <c r="Q348" s="1" t="s">
        <v>2130</v>
      </c>
      <c r="R348" s="1" t="s">
        <v>13</v>
      </c>
      <c r="S348" s="1"/>
      <c r="T348" s="1"/>
      <c r="U348" s="1" t="s">
        <v>442</v>
      </c>
      <c r="V348" s="1" t="s">
        <v>442</v>
      </c>
      <c r="W348" s="145">
        <f t="shared" si="1"/>
        <v>0.00301390347</v>
      </c>
      <c r="AC348" s="38"/>
    </row>
    <row r="349" ht="15.75" customHeight="1">
      <c r="A349" s="1" t="s">
        <v>1979</v>
      </c>
      <c r="B349" s="1" t="s">
        <v>2127</v>
      </c>
      <c r="C349" s="63">
        <v>46230.0</v>
      </c>
      <c r="D349" s="63" t="s">
        <v>130</v>
      </c>
      <c r="E349" s="68">
        <v>0.97437271</v>
      </c>
      <c r="F349" s="1"/>
      <c r="G349" s="23">
        <v>4100000.0</v>
      </c>
      <c r="H349" s="23">
        <v>3994928.12</v>
      </c>
      <c r="I349" s="23">
        <v>4100000.0</v>
      </c>
      <c r="J349" s="23">
        <v>3994928.12</v>
      </c>
      <c r="K349" s="24">
        <v>1024.0</v>
      </c>
      <c r="L349" s="1" t="s">
        <v>1776</v>
      </c>
      <c r="M349" s="1" t="s">
        <v>2128</v>
      </c>
      <c r="N349" s="63" t="s">
        <v>177</v>
      </c>
      <c r="O349" s="63" t="s">
        <v>177</v>
      </c>
      <c r="P349" s="68">
        <v>40.0</v>
      </c>
      <c r="Q349" s="1" t="s">
        <v>2130</v>
      </c>
      <c r="R349" s="1" t="s">
        <v>13</v>
      </c>
      <c r="S349" s="1"/>
      <c r="T349" s="1"/>
      <c r="U349" s="1" t="s">
        <v>181</v>
      </c>
      <c r="V349" s="1" t="s">
        <v>181</v>
      </c>
      <c r="W349" s="145">
        <f t="shared" si="1"/>
        <v>0.00008172028593</v>
      </c>
      <c r="AC349" s="38"/>
    </row>
    <row r="350" ht="15.75" customHeight="1">
      <c r="A350" s="1" t="s">
        <v>1989</v>
      </c>
      <c r="B350" s="1" t="s">
        <v>2127</v>
      </c>
      <c r="C350" s="63">
        <v>46230.0</v>
      </c>
      <c r="D350" s="63" t="s">
        <v>130</v>
      </c>
      <c r="E350" s="68">
        <v>0.98065557</v>
      </c>
      <c r="F350" s="1"/>
      <c r="G350" s="23">
        <v>2700000.0</v>
      </c>
      <c r="H350" s="23">
        <v>2647770.04</v>
      </c>
      <c r="I350" s="23">
        <v>2700000.0</v>
      </c>
      <c r="J350" s="23">
        <v>2647770.04</v>
      </c>
      <c r="K350" s="24">
        <v>6267.0</v>
      </c>
      <c r="L350" s="1" t="s">
        <v>1776</v>
      </c>
      <c r="M350" s="1" t="s">
        <v>2128</v>
      </c>
      <c r="N350" s="63" t="s">
        <v>1332</v>
      </c>
      <c r="O350" s="63" t="s">
        <v>1332</v>
      </c>
      <c r="P350" s="68">
        <v>30.0</v>
      </c>
      <c r="Q350" s="1" t="s">
        <v>2130</v>
      </c>
      <c r="R350" s="1" t="s">
        <v>13</v>
      </c>
      <c r="S350" s="1"/>
      <c r="T350" s="1"/>
      <c r="U350" s="1" t="s">
        <v>1344</v>
      </c>
      <c r="V350" s="1" t="s">
        <v>1344</v>
      </c>
      <c r="W350" s="145">
        <f t="shared" si="1"/>
        <v>0.000054162808</v>
      </c>
      <c r="AC350" s="38"/>
    </row>
    <row r="351" ht="15.75" customHeight="1">
      <c r="A351" s="1" t="s">
        <v>1921</v>
      </c>
      <c r="B351" s="1" t="s">
        <v>2127</v>
      </c>
      <c r="C351" s="63">
        <v>46230.0</v>
      </c>
      <c r="D351" s="63" t="s">
        <v>130</v>
      </c>
      <c r="E351" s="68">
        <v>0.98382764</v>
      </c>
      <c r="F351" s="1"/>
      <c r="G351" s="23">
        <v>250000.0</v>
      </c>
      <c r="H351" s="23">
        <v>245956.91</v>
      </c>
      <c r="I351" s="23">
        <v>250000.0</v>
      </c>
      <c r="J351" s="23">
        <v>245956.91</v>
      </c>
      <c r="K351" s="24">
        <v>846.0</v>
      </c>
      <c r="L351" s="1" t="s">
        <v>1776</v>
      </c>
      <c r="M351" s="1" t="s">
        <v>2128</v>
      </c>
      <c r="N351" s="63" t="s">
        <v>1488</v>
      </c>
      <c r="O351" s="63" t="s">
        <v>1488</v>
      </c>
      <c r="P351" s="68">
        <v>25.0</v>
      </c>
      <c r="Q351" s="1" t="s">
        <v>2130</v>
      </c>
      <c r="R351" s="1" t="s">
        <v>13</v>
      </c>
      <c r="S351" s="1"/>
      <c r="T351" s="1"/>
      <c r="U351" s="1" t="s">
        <v>1490</v>
      </c>
      <c r="V351" s="1" t="s">
        <v>1490</v>
      </c>
      <c r="W351" s="145">
        <f t="shared" si="1"/>
        <v>0.000005031296786</v>
      </c>
      <c r="AC351" s="38"/>
    </row>
    <row r="352" ht="15.75" customHeight="1">
      <c r="A352" s="1" t="s">
        <v>1967</v>
      </c>
      <c r="B352" s="1" t="s">
        <v>2127</v>
      </c>
      <c r="C352" s="63">
        <v>46230.0</v>
      </c>
      <c r="D352" s="63" t="s">
        <v>130</v>
      </c>
      <c r="E352" s="68">
        <v>0.97687618</v>
      </c>
      <c r="F352" s="1"/>
      <c r="G352" s="23">
        <v>3000000.0</v>
      </c>
      <c r="H352" s="23">
        <v>2930628.55</v>
      </c>
      <c r="I352" s="23">
        <v>3000000.0</v>
      </c>
      <c r="J352" s="23">
        <v>2930628.55</v>
      </c>
      <c r="K352" s="24">
        <v>4.0743003E7</v>
      </c>
      <c r="L352" s="1" t="s">
        <v>1776</v>
      </c>
      <c r="M352" s="1" t="s">
        <v>2128</v>
      </c>
      <c r="N352" s="63" t="s">
        <v>849</v>
      </c>
      <c r="O352" s="63" t="s">
        <v>849</v>
      </c>
      <c r="P352" s="68">
        <v>36.0</v>
      </c>
      <c r="Q352" s="1" t="s">
        <v>2130</v>
      </c>
      <c r="R352" s="1" t="s">
        <v>13</v>
      </c>
      <c r="S352" s="1"/>
      <c r="T352" s="1"/>
      <c r="U352" s="1" t="s">
        <v>856</v>
      </c>
      <c r="V352" s="1" t="s">
        <v>856</v>
      </c>
      <c r="W352" s="145">
        <f t="shared" si="1"/>
        <v>0.00005994896425</v>
      </c>
      <c r="AC352" s="38"/>
    </row>
    <row r="353" ht="15.75" customHeight="1">
      <c r="A353" s="1" t="s">
        <v>1933</v>
      </c>
      <c r="B353" s="1" t="s">
        <v>2127</v>
      </c>
      <c r="C353" s="63">
        <v>46230.0</v>
      </c>
      <c r="D353" s="63" t="s">
        <v>130</v>
      </c>
      <c r="E353" s="68">
        <v>0.97939253</v>
      </c>
      <c r="F353" s="1"/>
      <c r="G353" s="23">
        <v>1.5E7</v>
      </c>
      <c r="H353" s="23">
        <v>1.469088798E7</v>
      </c>
      <c r="I353" s="23">
        <v>1.5E7</v>
      </c>
      <c r="J353" s="23">
        <v>1.469088798E7</v>
      </c>
      <c r="K353" s="24">
        <v>173.0</v>
      </c>
      <c r="L353" s="1" t="s">
        <v>1776</v>
      </c>
      <c r="M353" s="1" t="s">
        <v>2128</v>
      </c>
      <c r="N353" s="63" t="s">
        <v>307</v>
      </c>
      <c r="O353" s="63" t="s">
        <v>307</v>
      </c>
      <c r="P353" s="68">
        <v>32.0</v>
      </c>
      <c r="Q353" s="1" t="s">
        <v>2130</v>
      </c>
      <c r="R353" s="1" t="s">
        <v>13</v>
      </c>
      <c r="S353" s="1"/>
      <c r="T353" s="1"/>
      <c r="U353" s="1" t="s">
        <v>326</v>
      </c>
      <c r="V353" s="1" t="s">
        <v>326</v>
      </c>
      <c r="W353" s="145">
        <f t="shared" si="1"/>
        <v>0.000300516938</v>
      </c>
      <c r="AC353" s="38"/>
    </row>
    <row r="354" ht="15.75" customHeight="1">
      <c r="A354" s="1" t="s">
        <v>1921</v>
      </c>
      <c r="B354" s="1" t="s">
        <v>2127</v>
      </c>
      <c r="C354" s="63">
        <v>46230.0</v>
      </c>
      <c r="D354" s="63" t="s">
        <v>130</v>
      </c>
      <c r="E354" s="68">
        <v>0.98382762</v>
      </c>
      <c r="F354" s="1"/>
      <c r="G354" s="23">
        <v>2874076.13</v>
      </c>
      <c r="H354" s="23">
        <v>2827595.49</v>
      </c>
      <c r="I354" s="23">
        <v>2874076.13</v>
      </c>
      <c r="J354" s="23">
        <v>2827595.49</v>
      </c>
      <c r="K354" s="24">
        <v>186.0</v>
      </c>
      <c r="L354" s="1" t="s">
        <v>1776</v>
      </c>
      <c r="M354" s="1" t="s">
        <v>2128</v>
      </c>
      <c r="N354" s="63" t="s">
        <v>1488</v>
      </c>
      <c r="O354" s="63" t="s">
        <v>1488</v>
      </c>
      <c r="P354" s="68">
        <v>25.0</v>
      </c>
      <c r="Q354" s="1" t="s">
        <v>2130</v>
      </c>
      <c r="R354" s="1" t="s">
        <v>13</v>
      </c>
      <c r="S354" s="1"/>
      <c r="T354" s="1"/>
      <c r="U354" s="1" t="s">
        <v>1521</v>
      </c>
      <c r="V354" s="1" t="s">
        <v>1521</v>
      </c>
      <c r="W354" s="145">
        <f t="shared" si="1"/>
        <v>0.00005784131904</v>
      </c>
      <c r="AC354" s="38"/>
    </row>
    <row r="355" ht="15.75" customHeight="1">
      <c r="A355" s="1" t="s">
        <v>1921</v>
      </c>
      <c r="B355" s="1" t="s">
        <v>2127</v>
      </c>
      <c r="C355" s="63">
        <v>46230.0</v>
      </c>
      <c r="D355" s="63" t="s">
        <v>130</v>
      </c>
      <c r="E355" s="68">
        <v>0.98382759</v>
      </c>
      <c r="F355" s="1"/>
      <c r="G355" s="23">
        <v>323998.16</v>
      </c>
      <c r="H355" s="23">
        <v>318758.33</v>
      </c>
      <c r="I355" s="23">
        <v>323998.16</v>
      </c>
      <c r="J355" s="23">
        <v>318758.33</v>
      </c>
      <c r="K355" s="24">
        <v>9929.0</v>
      </c>
      <c r="L355" s="1" t="s">
        <v>1776</v>
      </c>
      <c r="M355" s="1" t="s">
        <v>2128</v>
      </c>
      <c r="N355" s="63" t="s">
        <v>1488</v>
      </c>
      <c r="O355" s="63" t="s">
        <v>1488</v>
      </c>
      <c r="P355" s="68">
        <v>25.0</v>
      </c>
      <c r="Q355" s="1" t="s">
        <v>2130</v>
      </c>
      <c r="R355" s="1" t="s">
        <v>13</v>
      </c>
      <c r="S355" s="1"/>
      <c r="T355" s="1"/>
      <c r="U355" s="1" t="s">
        <v>1522</v>
      </c>
      <c r="V355" s="1" t="s">
        <v>1522</v>
      </c>
      <c r="W355" s="145">
        <f t="shared" si="1"/>
        <v>0.000006520523295</v>
      </c>
      <c r="AC355" s="38"/>
    </row>
    <row r="356" ht="15.75" customHeight="1">
      <c r="A356" s="1" t="s">
        <v>1935</v>
      </c>
      <c r="B356" s="1" t="s">
        <v>2127</v>
      </c>
      <c r="C356" s="63">
        <v>46230.0</v>
      </c>
      <c r="D356" s="63" t="s">
        <v>130</v>
      </c>
      <c r="E356" s="68">
        <v>0.98065564</v>
      </c>
      <c r="F356" s="1"/>
      <c r="G356" s="23">
        <v>1.0E8</v>
      </c>
      <c r="H356" s="23">
        <v>9.806556431E7</v>
      </c>
      <c r="I356" s="23">
        <v>1.0E8</v>
      </c>
      <c r="J356" s="23">
        <v>9.806556431E7</v>
      </c>
      <c r="K356" s="24">
        <v>1.6751421E7</v>
      </c>
      <c r="L356" s="1" t="s">
        <v>1776</v>
      </c>
      <c r="M356" s="1" t="s">
        <v>2128</v>
      </c>
      <c r="N356" s="63" t="s">
        <v>1381</v>
      </c>
      <c r="O356" s="63" t="s">
        <v>1381</v>
      </c>
      <c r="P356" s="68">
        <v>30.0</v>
      </c>
      <c r="Q356" s="1" t="s">
        <v>2130</v>
      </c>
      <c r="R356" s="1" t="s">
        <v>13</v>
      </c>
      <c r="S356" s="1"/>
      <c r="T356" s="1"/>
      <c r="U356" s="1" t="s">
        <v>1397</v>
      </c>
      <c r="V356" s="1" t="s">
        <v>1397</v>
      </c>
      <c r="W356" s="145">
        <f t="shared" si="1"/>
        <v>0.002006030075</v>
      </c>
      <c r="AC356" s="38"/>
    </row>
    <row r="357" ht="15.75" customHeight="1">
      <c r="A357" s="1" t="s">
        <v>2005</v>
      </c>
      <c r="B357" s="1" t="s">
        <v>2127</v>
      </c>
      <c r="C357" s="63">
        <v>46230.0</v>
      </c>
      <c r="D357" s="63" t="s">
        <v>130</v>
      </c>
      <c r="E357" s="68">
        <v>0.97750403</v>
      </c>
      <c r="F357" s="1"/>
      <c r="G357" s="23">
        <v>5450000.0</v>
      </c>
      <c r="H357" s="23">
        <v>5327396.95</v>
      </c>
      <c r="I357" s="23">
        <v>5450000.0</v>
      </c>
      <c r="J357" s="23">
        <v>5327396.95</v>
      </c>
      <c r="K357" s="24">
        <v>6899.0</v>
      </c>
      <c r="L357" s="1" t="s">
        <v>1776</v>
      </c>
      <c r="M357" s="1" t="s">
        <v>2128</v>
      </c>
      <c r="N357" s="63" t="s">
        <v>360</v>
      </c>
      <c r="O357" s="63" t="s">
        <v>360</v>
      </c>
      <c r="P357" s="68">
        <v>35.0</v>
      </c>
      <c r="Q357" s="1" t="s">
        <v>2130</v>
      </c>
      <c r="R357" s="1" t="s">
        <v>13</v>
      </c>
      <c r="S357" s="1"/>
      <c r="T357" s="1"/>
      <c r="U357" s="1" t="s">
        <v>395</v>
      </c>
      <c r="V357" s="1" t="s">
        <v>395</v>
      </c>
      <c r="W357" s="145">
        <f t="shared" si="1"/>
        <v>0.0001089772804</v>
      </c>
      <c r="AC357" s="38"/>
    </row>
    <row r="358" ht="15.75" customHeight="1">
      <c r="A358" s="1" t="s">
        <v>1926</v>
      </c>
      <c r="B358" s="1" t="s">
        <v>2127</v>
      </c>
      <c r="C358" s="63">
        <v>46230.0</v>
      </c>
      <c r="D358" s="63" t="s">
        <v>130</v>
      </c>
      <c r="E358" s="68">
        <v>0.98128832</v>
      </c>
      <c r="F358" s="1"/>
      <c r="G358" s="23">
        <v>5000000.0</v>
      </c>
      <c r="H358" s="23">
        <v>4906441.62</v>
      </c>
      <c r="I358" s="23">
        <v>5000000.0</v>
      </c>
      <c r="J358" s="23">
        <v>4906441.62</v>
      </c>
      <c r="K358" s="24">
        <v>1.6779576E7</v>
      </c>
      <c r="L358" s="1" t="s">
        <v>1776</v>
      </c>
      <c r="M358" s="1" t="s">
        <v>2128</v>
      </c>
      <c r="N358" s="63" t="s">
        <v>360</v>
      </c>
      <c r="O358" s="63" t="s">
        <v>360</v>
      </c>
      <c r="P358" s="68">
        <v>29.0</v>
      </c>
      <c r="Q358" s="1" t="s">
        <v>2130</v>
      </c>
      <c r="R358" s="1" t="s">
        <v>13</v>
      </c>
      <c r="S358" s="1"/>
      <c r="T358" s="1"/>
      <c r="U358" s="1" t="s">
        <v>364</v>
      </c>
      <c r="V358" s="1" t="s">
        <v>364</v>
      </c>
      <c r="W358" s="145">
        <f t="shared" si="1"/>
        <v>0.0001003662144</v>
      </c>
      <c r="AC358" s="38"/>
    </row>
    <row r="359" ht="15.75" customHeight="1">
      <c r="A359" s="1" t="s">
        <v>1907</v>
      </c>
      <c r="B359" s="1" t="s">
        <v>2127</v>
      </c>
      <c r="C359" s="63">
        <v>46230.0</v>
      </c>
      <c r="D359" s="63" t="s">
        <v>130</v>
      </c>
      <c r="E359" s="68">
        <v>0.98128834</v>
      </c>
      <c r="F359" s="1"/>
      <c r="G359" s="23">
        <v>1.0E8</v>
      </c>
      <c r="H359" s="23">
        <v>9.812883359E7</v>
      </c>
      <c r="I359" s="23">
        <v>1.0E8</v>
      </c>
      <c r="J359" s="23">
        <v>9.812883359E7</v>
      </c>
      <c r="K359" s="24">
        <v>9.0003809E7</v>
      </c>
      <c r="L359" s="1" t="s">
        <v>1776</v>
      </c>
      <c r="M359" s="1" t="s">
        <v>2128</v>
      </c>
      <c r="N359" s="63" t="s">
        <v>1084</v>
      </c>
      <c r="O359" s="63" t="s">
        <v>1084</v>
      </c>
      <c r="P359" s="68">
        <v>29.0</v>
      </c>
      <c r="Q359" s="1" t="s">
        <v>2130</v>
      </c>
      <c r="R359" s="1" t="s">
        <v>13</v>
      </c>
      <c r="S359" s="1"/>
      <c r="T359" s="1"/>
      <c r="U359" s="1" t="s">
        <v>1092</v>
      </c>
      <c r="V359" s="1" t="s">
        <v>1092</v>
      </c>
      <c r="W359" s="145">
        <f t="shared" si="1"/>
        <v>0.002007324312</v>
      </c>
      <c r="AC359" s="38"/>
    </row>
    <row r="360" ht="15.75" customHeight="1">
      <c r="A360" s="1" t="s">
        <v>2052</v>
      </c>
      <c r="B360" s="1" t="s">
        <v>2127</v>
      </c>
      <c r="C360" s="63">
        <v>46230.0</v>
      </c>
      <c r="D360" s="63" t="s">
        <v>130</v>
      </c>
      <c r="E360" s="68">
        <v>0.98065573</v>
      </c>
      <c r="F360" s="1"/>
      <c r="G360" s="23">
        <v>330000.0</v>
      </c>
      <c r="H360" s="23">
        <v>323616.39</v>
      </c>
      <c r="I360" s="23">
        <v>330000.0</v>
      </c>
      <c r="J360" s="23">
        <v>323616.39</v>
      </c>
      <c r="K360" s="24">
        <v>9918441.0</v>
      </c>
      <c r="L360" s="1" t="s">
        <v>1776</v>
      </c>
      <c r="M360" s="1" t="s">
        <v>2128</v>
      </c>
      <c r="N360" s="63" t="s">
        <v>1488</v>
      </c>
      <c r="O360" s="63" t="s">
        <v>1488</v>
      </c>
      <c r="P360" s="68">
        <v>30.0</v>
      </c>
      <c r="Q360" s="1" t="s">
        <v>2130</v>
      </c>
      <c r="R360" s="1" t="s">
        <v>13</v>
      </c>
      <c r="S360" s="1"/>
      <c r="T360" s="1"/>
      <c r="U360" s="1" t="s">
        <v>1541</v>
      </c>
      <c r="V360" s="1" t="s">
        <v>1541</v>
      </c>
      <c r="W360" s="145">
        <f t="shared" si="1"/>
        <v>0.000006619899815</v>
      </c>
      <c r="AC360" s="38"/>
    </row>
    <row r="361" ht="15.75" customHeight="1">
      <c r="A361" s="1" t="s">
        <v>2052</v>
      </c>
      <c r="B361" s="1" t="s">
        <v>2127</v>
      </c>
      <c r="C361" s="63">
        <v>46230.0</v>
      </c>
      <c r="D361" s="63" t="s">
        <v>130</v>
      </c>
      <c r="E361" s="68">
        <v>0.98065571</v>
      </c>
      <c r="F361" s="1"/>
      <c r="G361" s="23">
        <v>415000.0</v>
      </c>
      <c r="H361" s="23">
        <v>406972.12</v>
      </c>
      <c r="I361" s="23">
        <v>415000.0</v>
      </c>
      <c r="J361" s="23">
        <v>406972.12</v>
      </c>
      <c r="K361" s="24">
        <v>9918435.0</v>
      </c>
      <c r="L361" s="1" t="s">
        <v>1776</v>
      </c>
      <c r="M361" s="1" t="s">
        <v>2128</v>
      </c>
      <c r="N361" s="63" t="s">
        <v>1488</v>
      </c>
      <c r="O361" s="63" t="s">
        <v>1488</v>
      </c>
      <c r="P361" s="68">
        <v>30.0</v>
      </c>
      <c r="Q361" s="1" t="s">
        <v>2130</v>
      </c>
      <c r="R361" s="1" t="s">
        <v>13</v>
      </c>
      <c r="S361" s="1"/>
      <c r="T361" s="1"/>
      <c r="U361" s="1" t="s">
        <v>1542</v>
      </c>
      <c r="V361" s="1" t="s">
        <v>1542</v>
      </c>
      <c r="W361" s="145">
        <f t="shared" si="1"/>
        <v>0.000008325025385</v>
      </c>
      <c r="AC361" s="38"/>
    </row>
    <row r="362" ht="15.75" customHeight="1">
      <c r="A362" s="1" t="s">
        <v>1952</v>
      </c>
      <c r="B362" s="1" t="s">
        <v>2127</v>
      </c>
      <c r="C362" s="63">
        <v>46231.0</v>
      </c>
      <c r="D362" s="63" t="s">
        <v>130</v>
      </c>
      <c r="E362" s="68">
        <v>0.97658863</v>
      </c>
      <c r="F362" s="1"/>
      <c r="G362" s="23">
        <v>7.5E7</v>
      </c>
      <c r="H362" s="23">
        <v>7.32441473E7</v>
      </c>
      <c r="I362" s="23">
        <v>7.5E7</v>
      </c>
      <c r="J362" s="23">
        <v>7.32441473E7</v>
      </c>
      <c r="K362" s="24">
        <v>9.5275288E7</v>
      </c>
      <c r="L362" s="1" t="s">
        <v>1776</v>
      </c>
      <c r="M362" s="1" t="s">
        <v>2128</v>
      </c>
      <c r="N362" s="63" t="s">
        <v>902</v>
      </c>
      <c r="O362" s="63" t="s">
        <v>902</v>
      </c>
      <c r="P362" s="68">
        <v>35.0</v>
      </c>
      <c r="Q362" s="1" t="s">
        <v>2130</v>
      </c>
      <c r="R362" s="1" t="s">
        <v>13</v>
      </c>
      <c r="S362" s="1"/>
      <c r="T362" s="1"/>
      <c r="U362" s="1" t="s">
        <v>903</v>
      </c>
      <c r="V362" s="1" t="s">
        <v>903</v>
      </c>
      <c r="W362" s="145">
        <f t="shared" si="1"/>
        <v>0.001498282943</v>
      </c>
      <c r="AC362" s="38"/>
    </row>
    <row r="363" ht="15.75" customHeight="1">
      <c r="A363" s="1" t="s">
        <v>2019</v>
      </c>
      <c r="B363" s="1" t="s">
        <v>2127</v>
      </c>
      <c r="C363" s="63">
        <v>46231.0</v>
      </c>
      <c r="D363" s="63" t="s">
        <v>130</v>
      </c>
      <c r="E363" s="68">
        <v>0.97789693</v>
      </c>
      <c r="F363" s="1"/>
      <c r="G363" s="23">
        <v>3000000.0</v>
      </c>
      <c r="H363" s="23">
        <v>2933690.78</v>
      </c>
      <c r="I363" s="23">
        <v>3000000.0</v>
      </c>
      <c r="J363" s="23">
        <v>2933690.78</v>
      </c>
      <c r="K363" s="24">
        <v>9.0015792E7</v>
      </c>
      <c r="L363" s="1" t="s">
        <v>1776</v>
      </c>
      <c r="M363" s="1" t="s">
        <v>2128</v>
      </c>
      <c r="N363" s="63" t="s">
        <v>946</v>
      </c>
      <c r="O363" s="63" t="s">
        <v>946</v>
      </c>
      <c r="P363" s="68">
        <v>33.0</v>
      </c>
      <c r="Q363" s="1" t="s">
        <v>2130</v>
      </c>
      <c r="R363" s="1" t="s">
        <v>13</v>
      </c>
      <c r="S363" s="1"/>
      <c r="T363" s="1"/>
      <c r="U363" s="1" t="s">
        <v>1010</v>
      </c>
      <c r="V363" s="1" t="s">
        <v>1010</v>
      </c>
      <c r="W363" s="145">
        <f t="shared" si="1"/>
        <v>0.00006001160526</v>
      </c>
      <c r="AC363" s="38"/>
    </row>
    <row r="364" ht="15.75" customHeight="1">
      <c r="A364" s="1" t="s">
        <v>1972</v>
      </c>
      <c r="B364" s="1" t="s">
        <v>2127</v>
      </c>
      <c r="C364" s="63">
        <v>46231.0</v>
      </c>
      <c r="D364" s="63" t="s">
        <v>130</v>
      </c>
      <c r="E364" s="68">
        <v>0.97789695</v>
      </c>
      <c r="F364" s="1"/>
      <c r="G364" s="23">
        <v>1.0E7</v>
      </c>
      <c r="H364" s="23">
        <v>9778969.48</v>
      </c>
      <c r="I364" s="23">
        <v>1.0E7</v>
      </c>
      <c r="J364" s="23">
        <v>9778969.48</v>
      </c>
      <c r="K364" s="24">
        <v>1.3633525E7</v>
      </c>
      <c r="L364" s="1" t="s">
        <v>1776</v>
      </c>
      <c r="M364" s="1" t="s">
        <v>2128</v>
      </c>
      <c r="N364" s="63" t="s">
        <v>827</v>
      </c>
      <c r="O364" s="63" t="s">
        <v>827</v>
      </c>
      <c r="P364" s="68">
        <v>33.0</v>
      </c>
      <c r="Q364" s="1" t="s">
        <v>2130</v>
      </c>
      <c r="R364" s="1" t="s">
        <v>13</v>
      </c>
      <c r="S364" s="1"/>
      <c r="T364" s="1"/>
      <c r="U364" s="1" t="s">
        <v>837</v>
      </c>
      <c r="V364" s="1" t="s">
        <v>837</v>
      </c>
      <c r="W364" s="145">
        <f t="shared" si="1"/>
        <v>0.0002000386886</v>
      </c>
      <c r="AC364" s="38"/>
    </row>
    <row r="365" ht="15.75" customHeight="1">
      <c r="A365" s="1" t="s">
        <v>1936</v>
      </c>
      <c r="B365" s="1" t="s">
        <v>2127</v>
      </c>
      <c r="C365" s="63">
        <v>46231.0</v>
      </c>
      <c r="D365" s="63" t="s">
        <v>130</v>
      </c>
      <c r="E365" s="68">
        <v>0.97789688</v>
      </c>
      <c r="F365" s="1"/>
      <c r="G365" s="23">
        <v>5.0E7</v>
      </c>
      <c r="H365" s="23">
        <v>4.889484391E7</v>
      </c>
      <c r="I365" s="23">
        <v>5.0E7</v>
      </c>
      <c r="J365" s="23">
        <v>4.889484391E7</v>
      </c>
      <c r="K365" s="24">
        <v>2.9007568E7</v>
      </c>
      <c r="L365" s="1" t="s">
        <v>1776</v>
      </c>
      <c r="M365" s="1" t="s">
        <v>2128</v>
      </c>
      <c r="N365" s="63" t="s">
        <v>207</v>
      </c>
      <c r="O365" s="63" t="s">
        <v>207</v>
      </c>
      <c r="P365" s="68">
        <v>33.0</v>
      </c>
      <c r="Q365" s="1" t="s">
        <v>2130</v>
      </c>
      <c r="R365" s="1" t="s">
        <v>13</v>
      </c>
      <c r="S365" s="1"/>
      <c r="T365" s="1"/>
      <c r="U365" s="1" t="s">
        <v>224</v>
      </c>
      <c r="V365" s="1" t="s">
        <v>224</v>
      </c>
      <c r="W365" s="145">
        <f t="shared" si="1"/>
        <v>0.001000193371</v>
      </c>
      <c r="AC365" s="38"/>
    </row>
    <row r="366" ht="15.75" customHeight="1">
      <c r="A366" s="1" t="s">
        <v>2046</v>
      </c>
      <c r="B366" s="1" t="s">
        <v>2127</v>
      </c>
      <c r="C366" s="63">
        <v>46231.0</v>
      </c>
      <c r="D366" s="63" t="s">
        <v>130</v>
      </c>
      <c r="E366" s="68">
        <v>0.97789692</v>
      </c>
      <c r="F366" s="1"/>
      <c r="G366" s="23">
        <v>1215528.29</v>
      </c>
      <c r="H366" s="23">
        <v>1188661.37</v>
      </c>
      <c r="I366" s="23">
        <v>1215528.29</v>
      </c>
      <c r="J366" s="23">
        <v>1188661.37</v>
      </c>
      <c r="K366" s="24">
        <v>2418.0</v>
      </c>
      <c r="L366" s="1" t="s">
        <v>1776</v>
      </c>
      <c r="M366" s="1" t="s">
        <v>2128</v>
      </c>
      <c r="N366" s="63" t="s">
        <v>946</v>
      </c>
      <c r="O366" s="63" t="s">
        <v>946</v>
      </c>
      <c r="P366" s="68">
        <v>33.0</v>
      </c>
      <c r="Q366" s="1" t="s">
        <v>2130</v>
      </c>
      <c r="R366" s="1" t="s">
        <v>13</v>
      </c>
      <c r="S366" s="1"/>
      <c r="T366" s="1"/>
      <c r="U366" s="1" t="s">
        <v>1004</v>
      </c>
      <c r="V366" s="1" t="s">
        <v>1004</v>
      </c>
      <c r="W366" s="145">
        <f t="shared" si="1"/>
        <v>0.00002431526779</v>
      </c>
      <c r="AC366" s="38"/>
    </row>
    <row r="367" ht="15.75" customHeight="1">
      <c r="A367" s="1" t="s">
        <v>1917</v>
      </c>
      <c r="B367" s="1" t="s">
        <v>2127</v>
      </c>
      <c r="C367" s="63">
        <v>46231.0</v>
      </c>
      <c r="D367" s="63" t="s">
        <v>130</v>
      </c>
      <c r="E367" s="68">
        <v>0.97986586</v>
      </c>
      <c r="F367" s="1"/>
      <c r="G367" s="23">
        <v>1.0E7</v>
      </c>
      <c r="H367" s="23">
        <v>9798658.57</v>
      </c>
      <c r="I367" s="23">
        <v>1.0E7</v>
      </c>
      <c r="J367" s="23">
        <v>9798658.57</v>
      </c>
      <c r="K367" s="24">
        <v>573.0</v>
      </c>
      <c r="L367" s="1" t="s">
        <v>1776</v>
      </c>
      <c r="M367" s="1" t="s">
        <v>2128</v>
      </c>
      <c r="N367" s="63" t="s">
        <v>1048</v>
      </c>
      <c r="O367" s="63" t="s">
        <v>1048</v>
      </c>
      <c r="P367" s="68">
        <v>30.0</v>
      </c>
      <c r="Q367" s="1" t="s">
        <v>2130</v>
      </c>
      <c r="R367" s="1" t="s">
        <v>13</v>
      </c>
      <c r="S367" s="1"/>
      <c r="T367" s="1"/>
      <c r="U367" s="1" t="s">
        <v>1056</v>
      </c>
      <c r="V367" s="1" t="s">
        <v>1056</v>
      </c>
      <c r="W367" s="145">
        <f t="shared" si="1"/>
        <v>0.0002004414488</v>
      </c>
      <c r="AC367" s="38"/>
    </row>
    <row r="368" ht="15.75" customHeight="1">
      <c r="A368" s="1" t="s">
        <v>1903</v>
      </c>
      <c r="B368" s="1" t="s">
        <v>2127</v>
      </c>
      <c r="C368" s="63">
        <v>46231.0</v>
      </c>
      <c r="D368" s="63" t="s">
        <v>130</v>
      </c>
      <c r="E368" s="68">
        <v>0.98151261</v>
      </c>
      <c r="F368" s="1"/>
      <c r="G368" s="23">
        <v>1.5E8</v>
      </c>
      <c r="H368" s="23">
        <v>1.4722689224E8</v>
      </c>
      <c r="I368" s="23">
        <v>1.5E8</v>
      </c>
      <c r="J368" s="23">
        <v>1.4722689224E8</v>
      </c>
      <c r="K368" s="24">
        <v>1762.0</v>
      </c>
      <c r="L368" s="1" t="s">
        <v>1776</v>
      </c>
      <c r="M368" s="1" t="s">
        <v>2128</v>
      </c>
      <c r="N368" s="63" t="s">
        <v>404</v>
      </c>
      <c r="O368" s="63" t="s">
        <v>404</v>
      </c>
      <c r="P368" s="68">
        <v>27.5</v>
      </c>
      <c r="Q368" s="1" t="s">
        <v>2130</v>
      </c>
      <c r="R368" s="1" t="s">
        <v>13</v>
      </c>
      <c r="S368" s="1"/>
      <c r="T368" s="1"/>
      <c r="U368" s="1" t="s">
        <v>443</v>
      </c>
      <c r="V368" s="1" t="s">
        <v>443</v>
      </c>
      <c r="W368" s="145">
        <f t="shared" si="1"/>
        <v>0.003011674646</v>
      </c>
      <c r="AC368" s="38"/>
    </row>
    <row r="369" ht="15.75" customHeight="1">
      <c r="A369" s="1" t="s">
        <v>1979</v>
      </c>
      <c r="B369" s="1" t="s">
        <v>2127</v>
      </c>
      <c r="C369" s="63">
        <v>46231.0</v>
      </c>
      <c r="D369" s="63" t="s">
        <v>130</v>
      </c>
      <c r="E369" s="68">
        <v>0.97333336</v>
      </c>
      <c r="F369" s="1"/>
      <c r="G369" s="23">
        <v>4100000.0</v>
      </c>
      <c r="H369" s="23">
        <v>3990666.76</v>
      </c>
      <c r="I369" s="23">
        <v>4100000.0</v>
      </c>
      <c r="J369" s="23">
        <v>3990666.76</v>
      </c>
      <c r="K369" s="24">
        <v>1025.0</v>
      </c>
      <c r="L369" s="1" t="s">
        <v>1776</v>
      </c>
      <c r="M369" s="1" t="s">
        <v>2128</v>
      </c>
      <c r="N369" s="63" t="s">
        <v>177</v>
      </c>
      <c r="O369" s="63" t="s">
        <v>177</v>
      </c>
      <c r="P369" s="68">
        <v>40.0</v>
      </c>
      <c r="Q369" s="1" t="s">
        <v>2130</v>
      </c>
      <c r="R369" s="1" t="s">
        <v>13</v>
      </c>
      <c r="S369" s="1"/>
      <c r="T369" s="1"/>
      <c r="U369" s="1" t="s">
        <v>186</v>
      </c>
      <c r="V369" s="1" t="s">
        <v>186</v>
      </c>
      <c r="W369" s="145">
        <f t="shared" si="1"/>
        <v>0.00008163311551</v>
      </c>
      <c r="AC369" s="38"/>
    </row>
    <row r="370" ht="15.75" customHeight="1">
      <c r="A370" s="1" t="s">
        <v>1949</v>
      </c>
      <c r="B370" s="1" t="s">
        <v>2127</v>
      </c>
      <c r="C370" s="63">
        <v>46231.0</v>
      </c>
      <c r="D370" s="63" t="s">
        <v>130</v>
      </c>
      <c r="E370" s="68">
        <v>0.97333334</v>
      </c>
      <c r="F370" s="1"/>
      <c r="G370" s="23">
        <v>2.0E7</v>
      </c>
      <c r="H370" s="23">
        <v>1.946666681E7</v>
      </c>
      <c r="I370" s="23">
        <v>2.0E7</v>
      </c>
      <c r="J370" s="23">
        <v>1.946666681E7</v>
      </c>
      <c r="K370" s="24">
        <v>4121.0</v>
      </c>
      <c r="L370" s="1" t="s">
        <v>1776</v>
      </c>
      <c r="M370" s="1" t="s">
        <v>2128</v>
      </c>
      <c r="N370" s="63" t="s">
        <v>608</v>
      </c>
      <c r="O370" s="63" t="s">
        <v>608</v>
      </c>
      <c r="P370" s="68">
        <v>40.0</v>
      </c>
      <c r="Q370" s="1" t="s">
        <v>2130</v>
      </c>
      <c r="R370" s="1" t="s">
        <v>13</v>
      </c>
      <c r="S370" s="1"/>
      <c r="T370" s="1"/>
      <c r="U370" s="1" t="s">
        <v>622</v>
      </c>
      <c r="V370" s="1" t="s">
        <v>622</v>
      </c>
      <c r="W370" s="145">
        <f t="shared" si="1"/>
        <v>0.0003982103132</v>
      </c>
      <c r="AC370" s="38"/>
    </row>
    <row r="371" ht="15.75" customHeight="1">
      <c r="A371" s="1" t="s">
        <v>1971</v>
      </c>
      <c r="B371" s="1" t="s">
        <v>2127</v>
      </c>
      <c r="C371" s="63">
        <v>46231.0</v>
      </c>
      <c r="D371" s="63" t="s">
        <v>130</v>
      </c>
      <c r="E371" s="68">
        <v>0.97463285</v>
      </c>
      <c r="F371" s="1"/>
      <c r="G371" s="23">
        <v>2.0E7</v>
      </c>
      <c r="H371" s="23">
        <v>1.949265691E7</v>
      </c>
      <c r="I371" s="23">
        <v>2.0E7</v>
      </c>
      <c r="J371" s="23">
        <v>1.949265691E7</v>
      </c>
      <c r="K371" s="24">
        <v>6.5800773E7</v>
      </c>
      <c r="L371" s="1" t="s">
        <v>1776</v>
      </c>
      <c r="M371" s="1" t="s">
        <v>2128</v>
      </c>
      <c r="N371" s="63" t="s">
        <v>198</v>
      </c>
      <c r="O371" s="63" t="s">
        <v>198</v>
      </c>
      <c r="P371" s="68">
        <v>38.0</v>
      </c>
      <c r="Q371" s="1" t="s">
        <v>2130</v>
      </c>
      <c r="R371" s="1" t="s">
        <v>13</v>
      </c>
      <c r="S371" s="1"/>
      <c r="T371" s="1"/>
      <c r="U371" s="1" t="s">
        <v>201</v>
      </c>
      <c r="V371" s="1" t="s">
        <v>201</v>
      </c>
      <c r="W371" s="145">
        <f t="shared" si="1"/>
        <v>0.0003987419669</v>
      </c>
      <c r="AC371" s="38"/>
    </row>
    <row r="372" ht="15.75" customHeight="1">
      <c r="A372" s="1" t="s">
        <v>1903</v>
      </c>
      <c r="B372" s="1" t="s">
        <v>2127</v>
      </c>
      <c r="C372" s="63">
        <v>46231.0</v>
      </c>
      <c r="D372" s="63" t="s">
        <v>130</v>
      </c>
      <c r="E372" s="68">
        <v>0.98184283</v>
      </c>
      <c r="F372" s="1"/>
      <c r="G372" s="23">
        <v>5.0E7</v>
      </c>
      <c r="H372" s="23">
        <v>4.909214125E7</v>
      </c>
      <c r="I372" s="23">
        <v>5.0E7</v>
      </c>
      <c r="J372" s="23">
        <v>4.909214125E7</v>
      </c>
      <c r="K372" s="24">
        <v>1415413.0</v>
      </c>
      <c r="L372" s="1" t="s">
        <v>1776</v>
      </c>
      <c r="M372" s="1" t="s">
        <v>2128</v>
      </c>
      <c r="N372" s="63" t="s">
        <v>1428</v>
      </c>
      <c r="O372" s="63" t="s">
        <v>1428</v>
      </c>
      <c r="P372" s="68">
        <v>27.0</v>
      </c>
      <c r="Q372" s="1" t="s">
        <v>2130</v>
      </c>
      <c r="R372" s="1" t="s">
        <v>13</v>
      </c>
      <c r="S372" s="1"/>
      <c r="T372" s="1"/>
      <c r="U372" s="1" t="s">
        <v>1429</v>
      </c>
      <c r="V372" s="1" t="s">
        <v>1429</v>
      </c>
      <c r="W372" s="145">
        <f t="shared" si="1"/>
        <v>0.001004229288</v>
      </c>
      <c r="AC372" s="38"/>
    </row>
    <row r="373" ht="15.75" customHeight="1">
      <c r="A373" s="1" t="s">
        <v>2007</v>
      </c>
      <c r="B373" s="1" t="s">
        <v>2127</v>
      </c>
      <c r="C373" s="63">
        <v>46231.0</v>
      </c>
      <c r="D373" s="63" t="s">
        <v>130</v>
      </c>
      <c r="E373" s="68">
        <v>0.97986593</v>
      </c>
      <c r="F373" s="1"/>
      <c r="G373" s="23">
        <v>7012899.0</v>
      </c>
      <c r="H373" s="23">
        <v>6871700.82</v>
      </c>
      <c r="I373" s="23">
        <v>7012899.0</v>
      </c>
      <c r="J373" s="23">
        <v>6871700.82</v>
      </c>
      <c r="K373" s="24">
        <v>9.0044338E7</v>
      </c>
      <c r="L373" s="1" t="s">
        <v>1776</v>
      </c>
      <c r="M373" s="1" t="s">
        <v>2128</v>
      </c>
      <c r="N373" s="63" t="s">
        <v>1571</v>
      </c>
      <c r="O373" s="63" t="s">
        <v>1571</v>
      </c>
      <c r="P373" s="68">
        <v>30.0</v>
      </c>
      <c r="Q373" s="1" t="s">
        <v>2130</v>
      </c>
      <c r="R373" s="1" t="s">
        <v>13</v>
      </c>
      <c r="S373" s="1"/>
      <c r="T373" s="1"/>
      <c r="U373" s="1" t="s">
        <v>1574</v>
      </c>
      <c r="V373" s="1" t="s">
        <v>1574</v>
      </c>
      <c r="W373" s="145">
        <f t="shared" si="1"/>
        <v>0.0001405675744</v>
      </c>
      <c r="AC373" s="38"/>
    </row>
    <row r="374" ht="15.75" customHeight="1">
      <c r="A374" s="1" t="s">
        <v>1921</v>
      </c>
      <c r="B374" s="1" t="s">
        <v>2127</v>
      </c>
      <c r="C374" s="63">
        <v>46231.0</v>
      </c>
      <c r="D374" s="63" t="s">
        <v>130</v>
      </c>
      <c r="E374" s="68">
        <v>0.98316505</v>
      </c>
      <c r="F374" s="1"/>
      <c r="G374" s="23">
        <v>2.178985733E7</v>
      </c>
      <c r="H374" s="23">
        <v>2.142302626E7</v>
      </c>
      <c r="I374" s="23">
        <v>2.178985733E7</v>
      </c>
      <c r="J374" s="23">
        <v>2.142302626E7</v>
      </c>
      <c r="K374" s="24">
        <v>65968.0</v>
      </c>
      <c r="L374" s="1" t="s">
        <v>1776</v>
      </c>
      <c r="M374" s="1" t="s">
        <v>2128</v>
      </c>
      <c r="N374" s="63" t="s">
        <v>1488</v>
      </c>
      <c r="O374" s="63" t="s">
        <v>1488</v>
      </c>
      <c r="P374" s="68">
        <v>25.0</v>
      </c>
      <c r="Q374" s="1" t="s">
        <v>2130</v>
      </c>
      <c r="R374" s="1" t="s">
        <v>13</v>
      </c>
      <c r="S374" s="1"/>
      <c r="T374" s="1"/>
      <c r="U374" s="1" t="s">
        <v>1493</v>
      </c>
      <c r="V374" s="1" t="s">
        <v>1493</v>
      </c>
      <c r="W374" s="145">
        <f t="shared" si="1"/>
        <v>0.0004382296199</v>
      </c>
      <c r="AC374" s="38"/>
    </row>
    <row r="375" ht="15.75" customHeight="1">
      <c r="A375" s="1" t="s">
        <v>1903</v>
      </c>
      <c r="B375" s="1" t="s">
        <v>2127</v>
      </c>
      <c r="C375" s="63">
        <v>46231.0</v>
      </c>
      <c r="D375" s="63" t="s">
        <v>130</v>
      </c>
      <c r="E375" s="68">
        <v>0.98052385</v>
      </c>
      <c r="F375" s="1"/>
      <c r="G375" s="23">
        <v>3.0E7</v>
      </c>
      <c r="H375" s="23">
        <v>2.94157154E7</v>
      </c>
      <c r="I375" s="23">
        <v>3.0E7</v>
      </c>
      <c r="J375" s="23">
        <v>2.94157154E7</v>
      </c>
      <c r="K375" s="24">
        <v>5.402641E7</v>
      </c>
      <c r="L375" s="1" t="s">
        <v>1776</v>
      </c>
      <c r="M375" s="1" t="s">
        <v>2128</v>
      </c>
      <c r="N375" s="63" t="s">
        <v>608</v>
      </c>
      <c r="O375" s="63" t="s">
        <v>608</v>
      </c>
      <c r="P375" s="68">
        <v>29.0</v>
      </c>
      <c r="Q375" s="1" t="s">
        <v>2130</v>
      </c>
      <c r="R375" s="1" t="s">
        <v>13</v>
      </c>
      <c r="S375" s="1"/>
      <c r="T375" s="1"/>
      <c r="U375" s="1" t="s">
        <v>613</v>
      </c>
      <c r="V375" s="1" t="s">
        <v>613</v>
      </c>
      <c r="W375" s="145">
        <f t="shared" si="1"/>
        <v>0.0006017281416</v>
      </c>
      <c r="AC375" s="38"/>
    </row>
    <row r="376" ht="15.75" customHeight="1">
      <c r="A376" s="1" t="s">
        <v>1967</v>
      </c>
      <c r="B376" s="1" t="s">
        <v>2127</v>
      </c>
      <c r="C376" s="63">
        <v>46231.0</v>
      </c>
      <c r="D376" s="63" t="s">
        <v>130</v>
      </c>
      <c r="E376" s="68">
        <v>0.97593585</v>
      </c>
      <c r="F376" s="1"/>
      <c r="G376" s="23">
        <v>5000000.0</v>
      </c>
      <c r="H376" s="23">
        <v>4879679.24</v>
      </c>
      <c r="I376" s="23">
        <v>5000000.0</v>
      </c>
      <c r="J376" s="23">
        <v>4879679.24</v>
      </c>
      <c r="K376" s="24">
        <v>4.0742991E7</v>
      </c>
      <c r="L376" s="1" t="s">
        <v>1776</v>
      </c>
      <c r="M376" s="1" t="s">
        <v>2128</v>
      </c>
      <c r="N376" s="63" t="s">
        <v>849</v>
      </c>
      <c r="O376" s="63" t="s">
        <v>849</v>
      </c>
      <c r="P376" s="68">
        <v>36.0</v>
      </c>
      <c r="Q376" s="1" t="s">
        <v>2130</v>
      </c>
      <c r="R376" s="1" t="s">
        <v>13</v>
      </c>
      <c r="S376" s="1"/>
      <c r="T376" s="1"/>
      <c r="U376" s="1" t="s">
        <v>857</v>
      </c>
      <c r="V376" s="1" t="s">
        <v>857</v>
      </c>
      <c r="W376" s="145">
        <f t="shared" si="1"/>
        <v>0.00009981876288</v>
      </c>
      <c r="AC376" s="38"/>
    </row>
    <row r="377" ht="15.75" customHeight="1">
      <c r="A377" s="1" t="s">
        <v>1908</v>
      </c>
      <c r="B377" s="1" t="s">
        <v>2127</v>
      </c>
      <c r="C377" s="63">
        <v>46231.0</v>
      </c>
      <c r="D377" s="63" t="s">
        <v>130</v>
      </c>
      <c r="E377" s="68">
        <v>0.97333337</v>
      </c>
      <c r="F377" s="1"/>
      <c r="G377" s="23">
        <v>1.28E8</v>
      </c>
      <c r="H377" s="23">
        <v>1.2458667132E8</v>
      </c>
      <c r="I377" s="23">
        <v>1.28E8</v>
      </c>
      <c r="J377" s="23">
        <v>1.2458667132E8</v>
      </c>
      <c r="K377" s="24">
        <v>7.0383675E7</v>
      </c>
      <c r="L377" s="1" t="s">
        <v>1776</v>
      </c>
      <c r="M377" s="1" t="s">
        <v>2128</v>
      </c>
      <c r="N377" s="63" t="s">
        <v>1118</v>
      </c>
      <c r="O377" s="63" t="s">
        <v>1118</v>
      </c>
      <c r="P377" s="68">
        <v>40.0</v>
      </c>
      <c r="Q377" s="1" t="s">
        <v>2130</v>
      </c>
      <c r="R377" s="1" t="s">
        <v>13</v>
      </c>
      <c r="S377" s="1"/>
      <c r="T377" s="1"/>
      <c r="U377" s="1" t="s">
        <v>1139</v>
      </c>
      <c r="V377" s="1" t="s">
        <v>1139</v>
      </c>
      <c r="W377" s="145">
        <f t="shared" si="1"/>
        <v>0.002548546081</v>
      </c>
      <c r="AC377" s="38"/>
    </row>
    <row r="378" ht="15.75" customHeight="1">
      <c r="A378" s="1" t="s">
        <v>1950</v>
      </c>
      <c r="B378" s="1" t="s">
        <v>2127</v>
      </c>
      <c r="C378" s="63">
        <v>46231.0</v>
      </c>
      <c r="D378" s="63" t="s">
        <v>130</v>
      </c>
      <c r="E378" s="68">
        <v>0.98316502</v>
      </c>
      <c r="F378" s="1"/>
      <c r="G378" s="23">
        <v>3.095831778E7</v>
      </c>
      <c r="H378" s="23">
        <v>3.043713511E7</v>
      </c>
      <c r="I378" s="23">
        <v>3.095831778E7</v>
      </c>
      <c r="J378" s="23">
        <v>3.043713511E7</v>
      </c>
      <c r="K378" s="24">
        <v>1.3812667E7</v>
      </c>
      <c r="L378" s="1" t="s">
        <v>1776</v>
      </c>
      <c r="M378" s="1" t="s">
        <v>2128</v>
      </c>
      <c r="N378" s="63" t="s">
        <v>130</v>
      </c>
      <c r="O378" s="63" t="s">
        <v>130</v>
      </c>
      <c r="P378" s="68">
        <v>25.0</v>
      </c>
      <c r="Q378" s="1" t="s">
        <v>2130</v>
      </c>
      <c r="R378" s="1" t="s">
        <v>13</v>
      </c>
      <c r="S378" s="1"/>
      <c r="T378" s="1"/>
      <c r="U378" s="1" t="s">
        <v>1627</v>
      </c>
      <c r="V378" s="1" t="s">
        <v>1627</v>
      </c>
      <c r="W378" s="145">
        <f t="shared" si="1"/>
        <v>0.0006226223124</v>
      </c>
      <c r="AC378" s="38"/>
    </row>
    <row r="379" ht="15.75" customHeight="1">
      <c r="A379" s="1" t="s">
        <v>1921</v>
      </c>
      <c r="B379" s="1" t="s">
        <v>2127</v>
      </c>
      <c r="C379" s="63">
        <v>46231.0</v>
      </c>
      <c r="D379" s="63" t="s">
        <v>130</v>
      </c>
      <c r="E379" s="68">
        <v>0.98316506</v>
      </c>
      <c r="F379" s="1"/>
      <c r="G379" s="23">
        <v>456527.78</v>
      </c>
      <c r="H379" s="23">
        <v>448842.16</v>
      </c>
      <c r="I379" s="23">
        <v>456527.78</v>
      </c>
      <c r="J379" s="23">
        <v>448842.16</v>
      </c>
      <c r="K379" s="24">
        <v>1.1341117E7</v>
      </c>
      <c r="L379" s="1" t="s">
        <v>1776</v>
      </c>
      <c r="M379" s="1" t="s">
        <v>2128</v>
      </c>
      <c r="N379" s="63" t="s">
        <v>1488</v>
      </c>
      <c r="O379" s="63" t="s">
        <v>1488</v>
      </c>
      <c r="P379" s="68">
        <v>25.0</v>
      </c>
      <c r="Q379" s="1" t="s">
        <v>2130</v>
      </c>
      <c r="R379" s="1" t="s">
        <v>13</v>
      </c>
      <c r="S379" s="1"/>
      <c r="T379" s="1"/>
      <c r="U379" s="1" t="s">
        <v>1520</v>
      </c>
      <c r="V379" s="1" t="s">
        <v>1520</v>
      </c>
      <c r="W379" s="145">
        <f t="shared" si="1"/>
        <v>0.000009181519304</v>
      </c>
      <c r="AC379" s="38"/>
    </row>
    <row r="380" ht="15.75" customHeight="1">
      <c r="A380" s="1" t="s">
        <v>1921</v>
      </c>
      <c r="B380" s="1" t="s">
        <v>2127</v>
      </c>
      <c r="C380" s="63">
        <v>46231.0</v>
      </c>
      <c r="D380" s="63" t="s">
        <v>130</v>
      </c>
      <c r="E380" s="68">
        <v>0.98052385</v>
      </c>
      <c r="F380" s="1"/>
      <c r="G380" s="23">
        <v>5000000.0</v>
      </c>
      <c r="H380" s="23">
        <v>4902619.26</v>
      </c>
      <c r="I380" s="23">
        <v>5000000.0</v>
      </c>
      <c r="J380" s="23">
        <v>4902619.26</v>
      </c>
      <c r="K380" s="24">
        <v>43314.0</v>
      </c>
      <c r="L380" s="1" t="s">
        <v>1776</v>
      </c>
      <c r="M380" s="1" t="s">
        <v>2128</v>
      </c>
      <c r="N380" s="63" t="s">
        <v>404</v>
      </c>
      <c r="O380" s="63" t="s">
        <v>404</v>
      </c>
      <c r="P380" s="68">
        <v>29.0</v>
      </c>
      <c r="Q380" s="1" t="s">
        <v>2130</v>
      </c>
      <c r="R380" s="1" t="s">
        <v>13</v>
      </c>
      <c r="S380" s="1"/>
      <c r="T380" s="1"/>
      <c r="U380" s="1" t="s">
        <v>403</v>
      </c>
      <c r="V380" s="1" t="s">
        <v>403</v>
      </c>
      <c r="W380" s="145">
        <f t="shared" si="1"/>
        <v>0.0001002880241</v>
      </c>
      <c r="AC380" s="38"/>
    </row>
    <row r="381" ht="15.75" customHeight="1">
      <c r="A381" s="1" t="s">
        <v>1935</v>
      </c>
      <c r="B381" s="1" t="s">
        <v>2127</v>
      </c>
      <c r="C381" s="63">
        <v>46231.0</v>
      </c>
      <c r="D381" s="63" t="s">
        <v>130</v>
      </c>
      <c r="E381" s="68">
        <v>0.97986586</v>
      </c>
      <c r="F381" s="1"/>
      <c r="G381" s="23">
        <v>1.0E8</v>
      </c>
      <c r="H381" s="23">
        <v>9.798658566E7</v>
      </c>
      <c r="I381" s="23">
        <v>1.0E8</v>
      </c>
      <c r="J381" s="23">
        <v>9.798658566E7</v>
      </c>
      <c r="K381" s="24">
        <v>1.6751422E7</v>
      </c>
      <c r="L381" s="1" t="s">
        <v>1776</v>
      </c>
      <c r="M381" s="1" t="s">
        <v>2128</v>
      </c>
      <c r="N381" s="63" t="s">
        <v>1399</v>
      </c>
      <c r="O381" s="63" t="s">
        <v>1399</v>
      </c>
      <c r="P381" s="68">
        <v>30.0</v>
      </c>
      <c r="Q381" s="1" t="s">
        <v>2130</v>
      </c>
      <c r="R381" s="1" t="s">
        <v>13</v>
      </c>
      <c r="S381" s="1"/>
      <c r="T381" s="1"/>
      <c r="U381" s="1" t="s">
        <v>1398</v>
      </c>
      <c r="V381" s="1" t="s">
        <v>1398</v>
      </c>
      <c r="W381" s="145">
        <f t="shared" si="1"/>
        <v>0.002004414487</v>
      </c>
      <c r="AC381" s="38"/>
    </row>
    <row r="382" ht="15.75" customHeight="1">
      <c r="A382" s="1" t="s">
        <v>1926</v>
      </c>
      <c r="B382" s="1" t="s">
        <v>2127</v>
      </c>
      <c r="C382" s="63">
        <v>46231.0</v>
      </c>
      <c r="D382" s="63" t="s">
        <v>130</v>
      </c>
      <c r="E382" s="68">
        <v>0.97986582</v>
      </c>
      <c r="F382" s="1"/>
      <c r="G382" s="23">
        <v>1040000.0</v>
      </c>
      <c r="H382" s="23">
        <v>1019060.45</v>
      </c>
      <c r="I382" s="23">
        <v>1040000.0</v>
      </c>
      <c r="J382" s="23">
        <v>1019060.45</v>
      </c>
      <c r="K382" s="24">
        <v>1.6601551E7</v>
      </c>
      <c r="L382" s="1" t="s">
        <v>1776</v>
      </c>
      <c r="M382" s="1" t="s">
        <v>2128</v>
      </c>
      <c r="N382" s="63" t="s">
        <v>628</v>
      </c>
      <c r="O382" s="63" t="s">
        <v>628</v>
      </c>
      <c r="P382" s="68">
        <v>30.0</v>
      </c>
      <c r="Q382" s="1" t="s">
        <v>2130</v>
      </c>
      <c r="R382" s="1" t="s">
        <v>13</v>
      </c>
      <c r="S382" s="1"/>
      <c r="T382" s="1"/>
      <c r="U382" s="1" t="s">
        <v>635</v>
      </c>
      <c r="V382" s="1" t="s">
        <v>635</v>
      </c>
      <c r="W382" s="145">
        <f t="shared" si="1"/>
        <v>0.00002084590983</v>
      </c>
      <c r="AC382" s="38"/>
    </row>
    <row r="383" ht="15.75" customHeight="1">
      <c r="A383" s="1" t="s">
        <v>1926</v>
      </c>
      <c r="B383" s="1" t="s">
        <v>2127</v>
      </c>
      <c r="C383" s="63">
        <v>46231.0</v>
      </c>
      <c r="D383" s="63" t="s">
        <v>130</v>
      </c>
      <c r="E383" s="68">
        <v>0.9805239</v>
      </c>
      <c r="F383" s="1"/>
      <c r="G383" s="23">
        <v>5000000.0</v>
      </c>
      <c r="H383" s="23">
        <v>4902619.5</v>
      </c>
      <c r="I383" s="23">
        <v>5000000.0</v>
      </c>
      <c r="J383" s="23">
        <v>4902619.5</v>
      </c>
      <c r="K383" s="24">
        <v>1.6779577E7</v>
      </c>
      <c r="L383" s="1" t="s">
        <v>1776</v>
      </c>
      <c r="M383" s="1" t="s">
        <v>2128</v>
      </c>
      <c r="N383" s="63" t="s">
        <v>360</v>
      </c>
      <c r="O383" s="63" t="s">
        <v>360</v>
      </c>
      <c r="P383" s="68">
        <v>29.0</v>
      </c>
      <c r="Q383" s="1" t="s">
        <v>2130</v>
      </c>
      <c r="R383" s="1" t="s">
        <v>13</v>
      </c>
      <c r="S383" s="1"/>
      <c r="T383" s="1"/>
      <c r="U383" s="1" t="s">
        <v>365</v>
      </c>
      <c r="V383" s="1" t="s">
        <v>365</v>
      </c>
      <c r="W383" s="145">
        <f t="shared" si="1"/>
        <v>0.000100288029</v>
      </c>
      <c r="AC383" s="38"/>
    </row>
    <row r="384" ht="15.75" customHeight="1">
      <c r="A384" s="1" t="s">
        <v>1926</v>
      </c>
      <c r="B384" s="1" t="s">
        <v>2127</v>
      </c>
      <c r="C384" s="63">
        <v>46231.0</v>
      </c>
      <c r="D384" s="63" t="s">
        <v>130</v>
      </c>
      <c r="E384" s="68">
        <v>0.9798658</v>
      </c>
      <c r="F384" s="1"/>
      <c r="G384" s="23">
        <v>1.0E7</v>
      </c>
      <c r="H384" s="23">
        <v>9798658.03</v>
      </c>
      <c r="I384" s="23">
        <v>1.0E7</v>
      </c>
      <c r="J384" s="23">
        <v>9798658.03</v>
      </c>
      <c r="K384" s="24">
        <v>9.0019958E7</v>
      </c>
      <c r="L384" s="1" t="s">
        <v>1776</v>
      </c>
      <c r="M384" s="1" t="s">
        <v>2128</v>
      </c>
      <c r="N384" s="63" t="s">
        <v>446</v>
      </c>
      <c r="O384" s="63" t="s">
        <v>446</v>
      </c>
      <c r="P384" s="68">
        <v>30.0</v>
      </c>
      <c r="Q384" s="1" t="s">
        <v>2130</v>
      </c>
      <c r="R384" s="1" t="s">
        <v>13</v>
      </c>
      <c r="S384" s="1"/>
      <c r="T384" s="1"/>
      <c r="U384" s="1" t="s">
        <v>485</v>
      </c>
      <c r="V384" s="1" t="s">
        <v>485</v>
      </c>
      <c r="W384" s="145">
        <f t="shared" si="1"/>
        <v>0.0002004414377</v>
      </c>
      <c r="AC384" s="38"/>
    </row>
    <row r="385" ht="15.75" customHeight="1">
      <c r="A385" s="1" t="s">
        <v>1926</v>
      </c>
      <c r="B385" s="1" t="s">
        <v>2127</v>
      </c>
      <c r="C385" s="63">
        <v>46231.0</v>
      </c>
      <c r="D385" s="63" t="s">
        <v>130</v>
      </c>
      <c r="E385" s="68">
        <v>0.98052388</v>
      </c>
      <c r="F385" s="1"/>
      <c r="G385" s="23">
        <v>5000000.0</v>
      </c>
      <c r="H385" s="23">
        <v>4902619.38</v>
      </c>
      <c r="I385" s="23">
        <v>5000000.0</v>
      </c>
      <c r="J385" s="23">
        <v>4902619.38</v>
      </c>
      <c r="K385" s="24">
        <v>6878.0</v>
      </c>
      <c r="L385" s="1" t="s">
        <v>1776</v>
      </c>
      <c r="M385" s="1" t="s">
        <v>2128</v>
      </c>
      <c r="N385" s="63" t="s">
        <v>446</v>
      </c>
      <c r="O385" s="63" t="s">
        <v>446</v>
      </c>
      <c r="P385" s="68">
        <v>29.0</v>
      </c>
      <c r="Q385" s="1" t="s">
        <v>2130</v>
      </c>
      <c r="R385" s="1" t="s">
        <v>13</v>
      </c>
      <c r="S385" s="1"/>
      <c r="T385" s="1"/>
      <c r="U385" s="1" t="s">
        <v>458</v>
      </c>
      <c r="V385" s="1" t="s">
        <v>458</v>
      </c>
      <c r="W385" s="145">
        <f t="shared" si="1"/>
        <v>0.0001002880266</v>
      </c>
      <c r="AC385" s="38"/>
    </row>
    <row r="386" ht="15.75" customHeight="1">
      <c r="A386" s="1" t="s">
        <v>1907</v>
      </c>
      <c r="B386" s="1" t="s">
        <v>2127</v>
      </c>
      <c r="C386" s="63">
        <v>46231.0</v>
      </c>
      <c r="D386" s="63" t="s">
        <v>130</v>
      </c>
      <c r="E386" s="68">
        <v>0.98052396</v>
      </c>
      <c r="F386" s="1"/>
      <c r="G386" s="23">
        <v>1.0E8</v>
      </c>
      <c r="H386" s="23">
        <v>9.805239594E7</v>
      </c>
      <c r="I386" s="23">
        <v>1.0E8</v>
      </c>
      <c r="J386" s="23">
        <v>9.805239594E7</v>
      </c>
      <c r="K386" s="24">
        <v>9.000381E7</v>
      </c>
      <c r="L386" s="1" t="s">
        <v>1776</v>
      </c>
      <c r="M386" s="1" t="s">
        <v>2128</v>
      </c>
      <c r="N386" s="63" t="s">
        <v>1084</v>
      </c>
      <c r="O386" s="63" t="s">
        <v>1084</v>
      </c>
      <c r="P386" s="68">
        <v>29.0</v>
      </c>
      <c r="Q386" s="1" t="s">
        <v>2130</v>
      </c>
      <c r="R386" s="1" t="s">
        <v>13</v>
      </c>
      <c r="S386" s="1"/>
      <c r="T386" s="1"/>
      <c r="U386" s="1" t="s">
        <v>1093</v>
      </c>
      <c r="V386" s="1" t="s">
        <v>1093</v>
      </c>
      <c r="W386" s="145">
        <f t="shared" si="1"/>
        <v>0.002005760702</v>
      </c>
      <c r="AC386" s="38"/>
    </row>
    <row r="387" ht="15.75" customHeight="1">
      <c r="A387" s="1" t="s">
        <v>1948</v>
      </c>
      <c r="B387" s="1" t="s">
        <v>2127</v>
      </c>
      <c r="C387" s="63">
        <v>46231.0</v>
      </c>
      <c r="D387" s="63" t="s">
        <v>130</v>
      </c>
      <c r="E387" s="68">
        <v>0.98052386</v>
      </c>
      <c r="F387" s="1"/>
      <c r="G387" s="23">
        <v>1.25E7</v>
      </c>
      <c r="H387" s="23">
        <v>1.225654831E7</v>
      </c>
      <c r="I387" s="23">
        <v>1.25E7</v>
      </c>
      <c r="J387" s="23">
        <v>1.225654831E7</v>
      </c>
      <c r="K387" s="24">
        <v>2.8996506E7</v>
      </c>
      <c r="L387" s="1" t="s">
        <v>1776</v>
      </c>
      <c r="M387" s="1" t="s">
        <v>2128</v>
      </c>
      <c r="N387" s="63" t="s">
        <v>207</v>
      </c>
      <c r="O387" s="63" t="s">
        <v>207</v>
      </c>
      <c r="P387" s="68">
        <v>29.0</v>
      </c>
      <c r="Q387" s="1" t="s">
        <v>2130</v>
      </c>
      <c r="R387" s="1" t="s">
        <v>13</v>
      </c>
      <c r="S387" s="1"/>
      <c r="T387" s="1"/>
      <c r="U387" s="1" t="s">
        <v>216</v>
      </c>
      <c r="V387" s="1" t="s">
        <v>216</v>
      </c>
      <c r="W387" s="145">
        <f t="shared" si="1"/>
        <v>0.0002507200636</v>
      </c>
      <c r="AC387" s="38"/>
    </row>
    <row r="388" ht="15.75" customHeight="1">
      <c r="A388" s="1" t="s">
        <v>2066</v>
      </c>
      <c r="B388" s="1" t="s">
        <v>2127</v>
      </c>
      <c r="C388" s="63">
        <v>46231.0</v>
      </c>
      <c r="D388" s="63" t="s">
        <v>130</v>
      </c>
      <c r="E388" s="68">
        <v>0.97855229</v>
      </c>
      <c r="F388" s="1"/>
      <c r="G388" s="23">
        <v>1062257.16</v>
      </c>
      <c r="H388" s="23">
        <v>1039474.18</v>
      </c>
      <c r="I388" s="23">
        <v>1062257.16</v>
      </c>
      <c r="J388" s="23">
        <v>1039474.18</v>
      </c>
      <c r="K388" s="24">
        <v>3467336.0</v>
      </c>
      <c r="L388" s="1" t="s">
        <v>1776</v>
      </c>
      <c r="M388" s="1" t="s">
        <v>2128</v>
      </c>
      <c r="N388" s="63" t="s">
        <v>1118</v>
      </c>
      <c r="O388" s="63" t="s">
        <v>1118</v>
      </c>
      <c r="P388" s="68">
        <v>32.0</v>
      </c>
      <c r="Q388" s="1" t="s">
        <v>2130</v>
      </c>
      <c r="R388" s="1" t="s">
        <v>13</v>
      </c>
      <c r="S388" s="1"/>
      <c r="T388" s="1"/>
      <c r="U388" s="1" t="s">
        <v>1198</v>
      </c>
      <c r="V388" s="1" t="s">
        <v>1198</v>
      </c>
      <c r="W388" s="145">
        <f t="shared" si="1"/>
        <v>0.00002126349327</v>
      </c>
      <c r="AC388" s="38"/>
    </row>
    <row r="389" ht="15.75" customHeight="1">
      <c r="A389" s="1" t="s">
        <v>1953</v>
      </c>
      <c r="B389" s="1" t="s">
        <v>2127</v>
      </c>
      <c r="C389" s="63">
        <v>46232.0</v>
      </c>
      <c r="D389" s="63" t="s">
        <v>130</v>
      </c>
      <c r="E389" s="68">
        <v>0.98595356</v>
      </c>
      <c r="F389" s="1"/>
      <c r="G389" s="23">
        <v>2500000.0</v>
      </c>
      <c r="H389" s="23">
        <v>2464883.9</v>
      </c>
      <c r="I389" s="23">
        <v>2500000.0</v>
      </c>
      <c r="J389" s="23">
        <v>2464883.9</v>
      </c>
      <c r="K389" s="24">
        <v>6127.0</v>
      </c>
      <c r="L389" s="1" t="s">
        <v>1776</v>
      </c>
      <c r="M389" s="1" t="s">
        <v>2128</v>
      </c>
      <c r="N389" s="63" t="s">
        <v>946</v>
      </c>
      <c r="O389" s="63" t="s">
        <v>946</v>
      </c>
      <c r="P389" s="68">
        <v>20.0</v>
      </c>
      <c r="Q389" s="1" t="s">
        <v>2130</v>
      </c>
      <c r="R389" s="1" t="s">
        <v>13</v>
      </c>
      <c r="S389" s="1"/>
      <c r="T389" s="1"/>
      <c r="U389" s="1" t="s">
        <v>959</v>
      </c>
      <c r="V389" s="1" t="s">
        <v>959</v>
      </c>
      <c r="W389" s="145">
        <f t="shared" si="1"/>
        <v>0.00005042168746</v>
      </c>
      <c r="AC389" s="38"/>
    </row>
    <row r="390" ht="15.75" customHeight="1">
      <c r="A390" s="1" t="s">
        <v>1960</v>
      </c>
      <c r="B390" s="1" t="s">
        <v>2127</v>
      </c>
      <c r="C390" s="63">
        <v>46232.0</v>
      </c>
      <c r="D390" s="63" t="s">
        <v>130</v>
      </c>
      <c r="E390" s="68">
        <v>0.98044486</v>
      </c>
      <c r="F390" s="1"/>
      <c r="G390" s="23">
        <v>6500000.0</v>
      </c>
      <c r="H390" s="23">
        <v>6372891.61</v>
      </c>
      <c r="I390" s="23">
        <v>6500000.0</v>
      </c>
      <c r="J390" s="23">
        <v>6372891.61</v>
      </c>
      <c r="K390" s="24">
        <v>2.9175492E7</v>
      </c>
      <c r="L390" s="1" t="s">
        <v>1776</v>
      </c>
      <c r="M390" s="1" t="s">
        <v>2128</v>
      </c>
      <c r="N390" s="63" t="s">
        <v>676</v>
      </c>
      <c r="O390" s="63" t="s">
        <v>676</v>
      </c>
      <c r="P390" s="68">
        <v>28.0</v>
      </c>
      <c r="Q390" s="1" t="s">
        <v>2130</v>
      </c>
      <c r="R390" s="1" t="s">
        <v>13</v>
      </c>
      <c r="S390" s="1"/>
      <c r="T390" s="1"/>
      <c r="U390" s="1" t="s">
        <v>690</v>
      </c>
      <c r="V390" s="1" t="s">
        <v>690</v>
      </c>
      <c r="W390" s="145">
        <f t="shared" si="1"/>
        <v>0.0001303639287</v>
      </c>
      <c r="AC390" s="38"/>
    </row>
    <row r="391" ht="15.75" customHeight="1">
      <c r="A391" s="1" t="s">
        <v>1975</v>
      </c>
      <c r="B391" s="1" t="s">
        <v>2127</v>
      </c>
      <c r="C391" s="63">
        <v>46232.0</v>
      </c>
      <c r="D391" s="63" t="s">
        <v>130</v>
      </c>
      <c r="E391" s="68">
        <v>0.97364491</v>
      </c>
      <c r="F391" s="1"/>
      <c r="G391" s="23">
        <v>4599318.34</v>
      </c>
      <c r="H391" s="23">
        <v>4478102.88</v>
      </c>
      <c r="I391" s="23">
        <v>4599318.34</v>
      </c>
      <c r="J391" s="23">
        <v>4478102.88</v>
      </c>
      <c r="K391" s="24">
        <v>576.0</v>
      </c>
      <c r="L391" s="1" t="s">
        <v>1776</v>
      </c>
      <c r="M391" s="1" t="s">
        <v>2128</v>
      </c>
      <c r="N391" s="63" t="s">
        <v>446</v>
      </c>
      <c r="O391" s="63" t="s">
        <v>446</v>
      </c>
      <c r="P391" s="68">
        <v>38.0</v>
      </c>
      <c r="Q391" s="1" t="s">
        <v>2130</v>
      </c>
      <c r="R391" s="1" t="s">
        <v>13</v>
      </c>
      <c r="S391" s="1"/>
      <c r="T391" s="1"/>
      <c r="U391" s="1" t="s">
        <v>511</v>
      </c>
      <c r="V391" s="1" t="s">
        <v>511</v>
      </c>
      <c r="W391" s="145">
        <f t="shared" si="1"/>
        <v>0.00009160411321</v>
      </c>
      <c r="AC391" s="38"/>
    </row>
    <row r="392" ht="15.75" customHeight="1">
      <c r="A392" s="1" t="s">
        <v>2012</v>
      </c>
      <c r="B392" s="1" t="s">
        <v>2127</v>
      </c>
      <c r="C392" s="63">
        <v>46232.0</v>
      </c>
      <c r="D392" s="63" t="s">
        <v>130</v>
      </c>
      <c r="E392" s="68">
        <v>0.97364497</v>
      </c>
      <c r="F392" s="1"/>
      <c r="G392" s="23">
        <v>3519950.15</v>
      </c>
      <c r="H392" s="23">
        <v>3427181.76</v>
      </c>
      <c r="I392" s="23">
        <v>3519950.15</v>
      </c>
      <c r="J392" s="23">
        <v>3427181.76</v>
      </c>
      <c r="K392" s="24">
        <v>9.0000186E7</v>
      </c>
      <c r="L392" s="1" t="s">
        <v>1776</v>
      </c>
      <c r="M392" s="1" t="s">
        <v>2128</v>
      </c>
      <c r="N392" s="63" t="s">
        <v>307</v>
      </c>
      <c r="O392" s="63" t="s">
        <v>307</v>
      </c>
      <c r="P392" s="68">
        <v>38.0</v>
      </c>
      <c r="Q392" s="1" t="s">
        <v>2130</v>
      </c>
      <c r="R392" s="1" t="s">
        <v>13</v>
      </c>
      <c r="S392" s="1"/>
      <c r="T392" s="1"/>
      <c r="U392" s="1" t="s">
        <v>332</v>
      </c>
      <c r="V392" s="1" t="s">
        <v>332</v>
      </c>
      <c r="W392" s="145">
        <f t="shared" si="1"/>
        <v>0.00007010646123</v>
      </c>
      <c r="AC392" s="38"/>
    </row>
    <row r="393" ht="15.75" customHeight="1">
      <c r="A393" s="1" t="s">
        <v>1945</v>
      </c>
      <c r="B393" s="1" t="s">
        <v>2127</v>
      </c>
      <c r="C393" s="63">
        <v>46232.0</v>
      </c>
      <c r="D393" s="63" t="s">
        <v>130</v>
      </c>
      <c r="E393" s="68">
        <v>0.97907729</v>
      </c>
      <c r="F393" s="1"/>
      <c r="G393" s="23">
        <v>1.0E8</v>
      </c>
      <c r="H393" s="23">
        <v>9.790772887E7</v>
      </c>
      <c r="I393" s="23">
        <v>1.0E8</v>
      </c>
      <c r="J393" s="23">
        <v>9.790772887E7</v>
      </c>
      <c r="K393" s="24">
        <v>5411.0</v>
      </c>
      <c r="L393" s="1" t="s">
        <v>1776</v>
      </c>
      <c r="M393" s="1" t="s">
        <v>2128</v>
      </c>
      <c r="N393" s="63" t="s">
        <v>946</v>
      </c>
      <c r="O393" s="63" t="s">
        <v>946</v>
      </c>
      <c r="P393" s="68">
        <v>30.0</v>
      </c>
      <c r="Q393" s="1" t="s">
        <v>2130</v>
      </c>
      <c r="R393" s="1" t="s">
        <v>13</v>
      </c>
      <c r="S393" s="1"/>
      <c r="T393" s="1"/>
      <c r="U393" s="1" t="s">
        <v>996</v>
      </c>
      <c r="V393" s="1" t="s">
        <v>996</v>
      </c>
      <c r="W393" s="145">
        <f t="shared" si="1"/>
        <v>0.002002801392</v>
      </c>
      <c r="AC393" s="38"/>
    </row>
    <row r="394" ht="15.75" customHeight="1">
      <c r="A394" s="1" t="s">
        <v>2081</v>
      </c>
      <c r="B394" s="1" t="s">
        <v>2127</v>
      </c>
      <c r="C394" s="63">
        <v>46232.0</v>
      </c>
      <c r="D394" s="63" t="s">
        <v>130</v>
      </c>
      <c r="E394" s="68">
        <v>0.97703308</v>
      </c>
      <c r="F394" s="1"/>
      <c r="G394" s="23">
        <v>1573636.95</v>
      </c>
      <c r="H394" s="23">
        <v>1537495.36</v>
      </c>
      <c r="I394" s="23">
        <v>1573636.95</v>
      </c>
      <c r="J394" s="23">
        <v>1537495.36</v>
      </c>
      <c r="K394" s="24">
        <v>1.3761282E7</v>
      </c>
      <c r="L394" s="1" t="s">
        <v>1776</v>
      </c>
      <c r="M394" s="1" t="s">
        <v>2128</v>
      </c>
      <c r="N394" s="63" t="s">
        <v>946</v>
      </c>
      <c r="O394" s="63" t="s">
        <v>946</v>
      </c>
      <c r="P394" s="68">
        <v>33.0</v>
      </c>
      <c r="Q394" s="1" t="s">
        <v>2130</v>
      </c>
      <c r="R394" s="1" t="s">
        <v>13</v>
      </c>
      <c r="S394" s="1"/>
      <c r="T394" s="1"/>
      <c r="U394" s="1" t="s">
        <v>1000</v>
      </c>
      <c r="V394" s="1" t="s">
        <v>1000</v>
      </c>
      <c r="W394" s="145">
        <f t="shared" si="1"/>
        <v>0.00003145101906</v>
      </c>
      <c r="AC394" s="38"/>
    </row>
    <row r="395" ht="15.75" customHeight="1">
      <c r="A395" s="1" t="s">
        <v>2093</v>
      </c>
      <c r="B395" s="1" t="s">
        <v>2127</v>
      </c>
      <c r="C395" s="63">
        <v>46232.0</v>
      </c>
      <c r="D395" s="63" t="s">
        <v>130</v>
      </c>
      <c r="E395" s="68">
        <v>0.97703307</v>
      </c>
      <c r="F395" s="1"/>
      <c r="G395" s="23">
        <v>1103671.38</v>
      </c>
      <c r="H395" s="23">
        <v>1078323.44</v>
      </c>
      <c r="I395" s="23">
        <v>1103671.38</v>
      </c>
      <c r="J395" s="23">
        <v>1078323.44</v>
      </c>
      <c r="K395" s="24">
        <v>6.6956177E7</v>
      </c>
      <c r="L395" s="1" t="s">
        <v>1776</v>
      </c>
      <c r="M395" s="1" t="s">
        <v>2128</v>
      </c>
      <c r="N395" s="63" t="s">
        <v>946</v>
      </c>
      <c r="O395" s="63" t="s">
        <v>946</v>
      </c>
      <c r="P395" s="68">
        <v>33.0</v>
      </c>
      <c r="Q395" s="1" t="s">
        <v>2130</v>
      </c>
      <c r="R395" s="1" t="s">
        <v>13</v>
      </c>
      <c r="S395" s="1"/>
      <c r="T395" s="1"/>
      <c r="U395" s="1" t="s">
        <v>1007</v>
      </c>
      <c r="V395" s="1" t="s">
        <v>1007</v>
      </c>
      <c r="W395" s="145">
        <f t="shared" si="1"/>
        <v>0.00002205819409</v>
      </c>
      <c r="AC395" s="38"/>
    </row>
    <row r="396" ht="15.75" customHeight="1">
      <c r="A396" s="1" t="s">
        <v>1917</v>
      </c>
      <c r="B396" s="1" t="s">
        <v>2127</v>
      </c>
      <c r="C396" s="63">
        <v>46232.0</v>
      </c>
      <c r="D396" s="63" t="s">
        <v>130</v>
      </c>
      <c r="E396" s="68">
        <v>0.97907734</v>
      </c>
      <c r="F396" s="1"/>
      <c r="G396" s="23">
        <v>1.0E7</v>
      </c>
      <c r="H396" s="23">
        <v>9790773.41</v>
      </c>
      <c r="I396" s="23">
        <v>1.0E7</v>
      </c>
      <c r="J396" s="23">
        <v>9790773.41</v>
      </c>
      <c r="K396" s="24">
        <v>524.0</v>
      </c>
      <c r="L396" s="1" t="s">
        <v>1776</v>
      </c>
      <c r="M396" s="1" t="s">
        <v>2128</v>
      </c>
      <c r="N396" s="63" t="s">
        <v>849</v>
      </c>
      <c r="O396" s="63" t="s">
        <v>849</v>
      </c>
      <c r="P396" s="68">
        <v>30.0</v>
      </c>
      <c r="Q396" s="1" t="s">
        <v>2130</v>
      </c>
      <c r="R396" s="1" t="s">
        <v>13</v>
      </c>
      <c r="S396" s="1"/>
      <c r="T396" s="1"/>
      <c r="U396" s="1" t="s">
        <v>851</v>
      </c>
      <c r="V396" s="1" t="s">
        <v>851</v>
      </c>
      <c r="W396" s="145">
        <f t="shared" si="1"/>
        <v>0.0002002801499</v>
      </c>
      <c r="AC396" s="38"/>
    </row>
    <row r="397" ht="15.75" customHeight="1">
      <c r="A397" s="1" t="s">
        <v>1961</v>
      </c>
      <c r="B397" s="1" t="s">
        <v>2127</v>
      </c>
      <c r="C397" s="63">
        <v>46232.0</v>
      </c>
      <c r="D397" s="63" t="s">
        <v>130</v>
      </c>
      <c r="E397" s="68">
        <v>0.97499743</v>
      </c>
      <c r="F397" s="1"/>
      <c r="G397" s="23">
        <v>2502456.9</v>
      </c>
      <c r="H397" s="23">
        <v>2439889.05</v>
      </c>
      <c r="I397" s="23">
        <v>2502456.9</v>
      </c>
      <c r="J397" s="23">
        <v>2439889.05</v>
      </c>
      <c r="K397" s="24">
        <v>2755.0</v>
      </c>
      <c r="L397" s="1" t="s">
        <v>1776</v>
      </c>
      <c r="M397" s="1" t="s">
        <v>2128</v>
      </c>
      <c r="N397" s="63" t="s">
        <v>1332</v>
      </c>
      <c r="O397" s="63" t="s">
        <v>1332</v>
      </c>
      <c r="P397" s="68">
        <v>36.0</v>
      </c>
      <c r="Q397" s="1" t="s">
        <v>2130</v>
      </c>
      <c r="R397" s="1" t="s">
        <v>13</v>
      </c>
      <c r="S397" s="1"/>
      <c r="T397" s="1"/>
      <c r="U397" s="1" t="s">
        <v>1367</v>
      </c>
      <c r="V397" s="1" t="s">
        <v>1367</v>
      </c>
      <c r="W397" s="145">
        <f t="shared" si="1"/>
        <v>0.00004991039258</v>
      </c>
      <c r="AC397" s="38"/>
    </row>
    <row r="398" ht="15.75" customHeight="1">
      <c r="A398" s="1" t="s">
        <v>1917</v>
      </c>
      <c r="B398" s="1" t="s">
        <v>2127</v>
      </c>
      <c r="C398" s="63">
        <v>46232.0</v>
      </c>
      <c r="D398" s="63" t="s">
        <v>130</v>
      </c>
      <c r="E398" s="68">
        <v>0.97907728</v>
      </c>
      <c r="F398" s="1"/>
      <c r="G398" s="23">
        <v>1.0E7</v>
      </c>
      <c r="H398" s="23">
        <v>9790772.81</v>
      </c>
      <c r="I398" s="23">
        <v>1.0E7</v>
      </c>
      <c r="J398" s="23">
        <v>9790772.81</v>
      </c>
      <c r="K398" s="24">
        <v>607.0</v>
      </c>
      <c r="L398" s="1" t="s">
        <v>1776</v>
      </c>
      <c r="M398" s="1" t="s">
        <v>2128</v>
      </c>
      <c r="N398" s="63" t="s">
        <v>1209</v>
      </c>
      <c r="O398" s="63" t="s">
        <v>1209</v>
      </c>
      <c r="P398" s="68">
        <v>30.0</v>
      </c>
      <c r="Q398" s="1" t="s">
        <v>2130</v>
      </c>
      <c r="R398" s="1" t="s">
        <v>13</v>
      </c>
      <c r="S398" s="1"/>
      <c r="T398" s="1"/>
      <c r="U398" s="1" t="s">
        <v>1216</v>
      </c>
      <c r="V398" s="1" t="s">
        <v>1216</v>
      </c>
      <c r="W398" s="145">
        <f t="shared" si="1"/>
        <v>0.0002002801376</v>
      </c>
      <c r="AC398" s="38"/>
    </row>
    <row r="399" ht="15.75" customHeight="1">
      <c r="A399" s="1" t="s">
        <v>1903</v>
      </c>
      <c r="B399" s="1" t="s">
        <v>2127</v>
      </c>
      <c r="C399" s="63">
        <v>46232.0</v>
      </c>
      <c r="D399" s="63" t="s">
        <v>130</v>
      </c>
      <c r="E399" s="68">
        <v>0.97976058</v>
      </c>
      <c r="F399" s="1"/>
      <c r="G399" s="23">
        <v>3500000.0</v>
      </c>
      <c r="H399" s="23">
        <v>3429162.02</v>
      </c>
      <c r="I399" s="23">
        <v>3500000.0</v>
      </c>
      <c r="J399" s="23">
        <v>3429162.02</v>
      </c>
      <c r="K399" s="24">
        <v>406.0</v>
      </c>
      <c r="L399" s="1" t="s">
        <v>1776</v>
      </c>
      <c r="M399" s="1" t="s">
        <v>2128</v>
      </c>
      <c r="N399" s="63" t="s">
        <v>446</v>
      </c>
      <c r="O399" s="63" t="s">
        <v>446</v>
      </c>
      <c r="P399" s="68">
        <v>29.0</v>
      </c>
      <c r="Q399" s="1" t="s">
        <v>2130</v>
      </c>
      <c r="R399" s="1" t="s">
        <v>13</v>
      </c>
      <c r="S399" s="1"/>
      <c r="T399" s="1"/>
      <c r="U399" s="1" t="s">
        <v>529</v>
      </c>
      <c r="V399" s="1" t="s">
        <v>529</v>
      </c>
      <c r="W399" s="145">
        <f t="shared" si="1"/>
        <v>0.00007014696945</v>
      </c>
      <c r="AC399" s="38"/>
    </row>
    <row r="400" ht="15.75" customHeight="1">
      <c r="A400" s="1" t="s">
        <v>1903</v>
      </c>
      <c r="B400" s="1" t="s">
        <v>2127</v>
      </c>
      <c r="C400" s="63">
        <v>46232.0</v>
      </c>
      <c r="D400" s="63" t="s">
        <v>130</v>
      </c>
      <c r="E400" s="68">
        <v>0.97907728</v>
      </c>
      <c r="F400" s="1"/>
      <c r="G400" s="23">
        <v>1.0E7</v>
      </c>
      <c r="H400" s="23">
        <v>9790772.8</v>
      </c>
      <c r="I400" s="23">
        <v>1.0E7</v>
      </c>
      <c r="J400" s="23">
        <v>9790772.8</v>
      </c>
      <c r="K400" s="24">
        <v>6.5931682E7</v>
      </c>
      <c r="L400" s="1" t="s">
        <v>1776</v>
      </c>
      <c r="M400" s="1" t="s">
        <v>2128</v>
      </c>
      <c r="N400" s="63" t="s">
        <v>230</v>
      </c>
      <c r="O400" s="63" t="s">
        <v>230</v>
      </c>
      <c r="P400" s="68">
        <v>30.0</v>
      </c>
      <c r="Q400" s="1" t="s">
        <v>2130</v>
      </c>
      <c r="R400" s="1" t="s">
        <v>13</v>
      </c>
      <c r="S400" s="1"/>
      <c r="T400" s="1"/>
      <c r="U400" s="1" t="s">
        <v>231</v>
      </c>
      <c r="V400" s="1" t="s">
        <v>231</v>
      </c>
      <c r="W400" s="145">
        <f t="shared" si="1"/>
        <v>0.0002002801374</v>
      </c>
      <c r="AC400" s="38"/>
    </row>
    <row r="401" ht="15.75" customHeight="1">
      <c r="A401" s="1" t="s">
        <v>1903</v>
      </c>
      <c r="B401" s="1" t="s">
        <v>2127</v>
      </c>
      <c r="C401" s="63">
        <v>46232.0</v>
      </c>
      <c r="D401" s="63" t="s">
        <v>130</v>
      </c>
      <c r="E401" s="68">
        <v>0.97976063</v>
      </c>
      <c r="F401" s="1"/>
      <c r="G401" s="23">
        <v>1.1E7</v>
      </c>
      <c r="H401" s="23">
        <v>1.077736691E7</v>
      </c>
      <c r="I401" s="23">
        <v>1.1E7</v>
      </c>
      <c r="J401" s="23">
        <v>1.077736691E7</v>
      </c>
      <c r="K401" s="24">
        <v>270.0</v>
      </c>
      <c r="L401" s="1" t="s">
        <v>1776</v>
      </c>
      <c r="M401" s="1" t="s">
        <v>2128</v>
      </c>
      <c r="N401" s="63" t="s">
        <v>256</v>
      </c>
      <c r="O401" s="63" t="s">
        <v>256</v>
      </c>
      <c r="P401" s="68">
        <v>29.0</v>
      </c>
      <c r="Q401" s="1" t="s">
        <v>2130</v>
      </c>
      <c r="R401" s="1" t="s">
        <v>13</v>
      </c>
      <c r="S401" s="1"/>
      <c r="T401" s="1"/>
      <c r="U401" s="1" t="s">
        <v>264</v>
      </c>
      <c r="V401" s="1" t="s">
        <v>264</v>
      </c>
      <c r="W401" s="145">
        <f t="shared" si="1"/>
        <v>0.0002204619155</v>
      </c>
      <c r="AC401" s="38"/>
    </row>
    <row r="402" ht="15.75" customHeight="1">
      <c r="A402" s="1" t="s">
        <v>1911</v>
      </c>
      <c r="B402" s="1" t="s">
        <v>2127</v>
      </c>
      <c r="C402" s="63">
        <v>46232.0</v>
      </c>
      <c r="D402" s="63" t="s">
        <v>130</v>
      </c>
      <c r="E402" s="68">
        <v>0.9756752</v>
      </c>
      <c r="F402" s="1"/>
      <c r="G402" s="23">
        <v>7.0E8</v>
      </c>
      <c r="H402" s="23">
        <v>6.8297264336E8</v>
      </c>
      <c r="I402" s="23">
        <v>7.0E8</v>
      </c>
      <c r="J402" s="23">
        <v>6.8297264336E8</v>
      </c>
      <c r="K402" s="24">
        <v>6.7836511E7</v>
      </c>
      <c r="L402" s="1" t="s">
        <v>1776</v>
      </c>
      <c r="M402" s="1" t="s">
        <v>2128</v>
      </c>
      <c r="N402" s="63" t="s">
        <v>1458</v>
      </c>
      <c r="O402" s="63" t="s">
        <v>1458</v>
      </c>
      <c r="P402" s="68">
        <v>35.0</v>
      </c>
      <c r="Q402" s="1" t="s">
        <v>2130</v>
      </c>
      <c r="R402" s="1" t="s">
        <v>13</v>
      </c>
      <c r="S402" s="1"/>
      <c r="T402" s="1"/>
      <c r="U402" s="1" t="s">
        <v>1465</v>
      </c>
      <c r="V402" s="1" t="s">
        <v>1465</v>
      </c>
      <c r="W402" s="145">
        <f t="shared" si="1"/>
        <v>0.0139708946</v>
      </c>
      <c r="AC402" s="38"/>
    </row>
    <row r="403" ht="15.75" customHeight="1">
      <c r="A403" s="1" t="s">
        <v>1964</v>
      </c>
      <c r="B403" s="1" t="s">
        <v>2127</v>
      </c>
      <c r="C403" s="63">
        <v>46232.0</v>
      </c>
      <c r="D403" s="63" t="s">
        <v>130</v>
      </c>
      <c r="E403" s="68">
        <v>0.97229624</v>
      </c>
      <c r="F403" s="1"/>
      <c r="G403" s="23">
        <v>3500000.0</v>
      </c>
      <c r="H403" s="23">
        <v>3403036.84</v>
      </c>
      <c r="I403" s="23">
        <v>3500000.0</v>
      </c>
      <c r="J403" s="23">
        <v>3403036.84</v>
      </c>
      <c r="K403" s="24">
        <v>6.0524038E7</v>
      </c>
      <c r="L403" s="1" t="s">
        <v>1776</v>
      </c>
      <c r="M403" s="1" t="s">
        <v>2128</v>
      </c>
      <c r="N403" s="63" t="s">
        <v>171</v>
      </c>
      <c r="O403" s="63" t="s">
        <v>171</v>
      </c>
      <c r="P403" s="68">
        <v>40.0</v>
      </c>
      <c r="Q403" s="1" t="s">
        <v>2130</v>
      </c>
      <c r="R403" s="1" t="s">
        <v>13</v>
      </c>
      <c r="S403" s="1"/>
      <c r="T403" s="1"/>
      <c r="U403" s="1" t="s">
        <v>174</v>
      </c>
      <c r="V403" s="1" t="s">
        <v>174</v>
      </c>
      <c r="W403" s="145">
        <f t="shared" si="1"/>
        <v>0.00006961255253</v>
      </c>
      <c r="AC403" s="38"/>
    </row>
    <row r="404" ht="15.75" customHeight="1">
      <c r="A404" s="1" t="s">
        <v>1979</v>
      </c>
      <c r="B404" s="1" t="s">
        <v>2127</v>
      </c>
      <c r="C404" s="63">
        <v>46232.0</v>
      </c>
      <c r="D404" s="63" t="s">
        <v>130</v>
      </c>
      <c r="E404" s="68">
        <v>0.97229622</v>
      </c>
      <c r="F404" s="1"/>
      <c r="G404" s="23">
        <v>4100000.0</v>
      </c>
      <c r="H404" s="23">
        <v>3986414.51</v>
      </c>
      <c r="I404" s="23">
        <v>4100000.0</v>
      </c>
      <c r="J404" s="23">
        <v>3986414.51</v>
      </c>
      <c r="K404" s="24">
        <v>1026.0</v>
      </c>
      <c r="L404" s="1" t="s">
        <v>1776</v>
      </c>
      <c r="M404" s="1" t="s">
        <v>2128</v>
      </c>
      <c r="N404" s="63" t="s">
        <v>177</v>
      </c>
      <c r="O404" s="63" t="s">
        <v>177</v>
      </c>
      <c r="P404" s="68">
        <v>40.0</v>
      </c>
      <c r="Q404" s="1" t="s">
        <v>2130</v>
      </c>
      <c r="R404" s="1" t="s">
        <v>13</v>
      </c>
      <c r="S404" s="1"/>
      <c r="T404" s="1"/>
      <c r="U404" s="1" t="s">
        <v>188</v>
      </c>
      <c r="V404" s="1" t="s">
        <v>188</v>
      </c>
      <c r="W404" s="145">
        <f t="shared" si="1"/>
        <v>0.00008154613145</v>
      </c>
      <c r="AC404" s="38"/>
    </row>
    <row r="405" ht="15.75" customHeight="1">
      <c r="A405" s="1" t="s">
        <v>1921</v>
      </c>
      <c r="B405" s="1" t="s">
        <v>2127</v>
      </c>
      <c r="C405" s="63">
        <v>46232.0</v>
      </c>
      <c r="D405" s="63" t="s">
        <v>130</v>
      </c>
      <c r="E405" s="68">
        <v>0.98250338</v>
      </c>
      <c r="F405" s="1"/>
      <c r="G405" s="23">
        <v>1.029126E7</v>
      </c>
      <c r="H405" s="23">
        <v>1.01111977E7</v>
      </c>
      <c r="I405" s="23">
        <v>1.029126E7</v>
      </c>
      <c r="J405" s="23">
        <v>1.01111977E7</v>
      </c>
      <c r="K405" s="24">
        <v>7.2516195E7</v>
      </c>
      <c r="L405" s="1" t="s">
        <v>1776</v>
      </c>
      <c r="M405" s="1" t="s">
        <v>2128</v>
      </c>
      <c r="N405" s="63" t="s">
        <v>1488</v>
      </c>
      <c r="O405" s="63" t="s">
        <v>1488</v>
      </c>
      <c r="P405" s="68">
        <v>25.0</v>
      </c>
      <c r="Q405" s="1" t="s">
        <v>2130</v>
      </c>
      <c r="R405" s="1" t="s">
        <v>13</v>
      </c>
      <c r="S405" s="1"/>
      <c r="T405" s="1"/>
      <c r="U405" s="1" t="s">
        <v>1491</v>
      </c>
      <c r="V405" s="1" t="s">
        <v>1491</v>
      </c>
      <c r="W405" s="145">
        <f t="shared" si="1"/>
        <v>0.000206834752</v>
      </c>
      <c r="AC405" s="38"/>
    </row>
    <row r="406" ht="15.75" customHeight="1">
      <c r="A406" s="1" t="s">
        <v>1921</v>
      </c>
      <c r="B406" s="1" t="s">
        <v>2127</v>
      </c>
      <c r="C406" s="63">
        <v>46232.0</v>
      </c>
      <c r="D406" s="63" t="s">
        <v>130</v>
      </c>
      <c r="E406" s="68">
        <v>0.98250338</v>
      </c>
      <c r="F406" s="1"/>
      <c r="G406" s="23">
        <v>1.0E7</v>
      </c>
      <c r="H406" s="23">
        <v>9825033.77</v>
      </c>
      <c r="I406" s="23">
        <v>1.0E7</v>
      </c>
      <c r="J406" s="23">
        <v>9825033.77</v>
      </c>
      <c r="K406" s="24">
        <v>7.2516194E7</v>
      </c>
      <c r="L406" s="1" t="s">
        <v>1776</v>
      </c>
      <c r="M406" s="1" t="s">
        <v>2128</v>
      </c>
      <c r="N406" s="63" t="s">
        <v>1488</v>
      </c>
      <c r="O406" s="63" t="s">
        <v>1488</v>
      </c>
      <c r="P406" s="68">
        <v>25.0</v>
      </c>
      <c r="Q406" s="1" t="s">
        <v>2130</v>
      </c>
      <c r="R406" s="1" t="s">
        <v>13</v>
      </c>
      <c r="S406" s="1"/>
      <c r="T406" s="1"/>
      <c r="U406" s="1" t="s">
        <v>1492</v>
      </c>
      <c r="V406" s="1" t="s">
        <v>1492</v>
      </c>
      <c r="W406" s="145">
        <f t="shared" si="1"/>
        <v>0.0002009809801</v>
      </c>
      <c r="AC406" s="38"/>
    </row>
    <row r="407" ht="15.75" customHeight="1">
      <c r="A407" s="1" t="s">
        <v>1903</v>
      </c>
      <c r="B407" s="1" t="s">
        <v>2127</v>
      </c>
      <c r="C407" s="63">
        <v>46232.0</v>
      </c>
      <c r="D407" s="63" t="s">
        <v>130</v>
      </c>
      <c r="E407" s="68">
        <v>0.97976063</v>
      </c>
      <c r="F407" s="1"/>
      <c r="G407" s="23">
        <v>1300000.0</v>
      </c>
      <c r="H407" s="23">
        <v>1273688.82</v>
      </c>
      <c r="I407" s="23">
        <v>1300000.0</v>
      </c>
      <c r="J407" s="23">
        <v>1273688.82</v>
      </c>
      <c r="K407" s="24">
        <v>545.0</v>
      </c>
      <c r="L407" s="1" t="s">
        <v>1776</v>
      </c>
      <c r="M407" s="1" t="s">
        <v>2128</v>
      </c>
      <c r="N407" s="63" t="s">
        <v>608</v>
      </c>
      <c r="O407" s="63" t="s">
        <v>608</v>
      </c>
      <c r="P407" s="68">
        <v>29.0</v>
      </c>
      <c r="Q407" s="1" t="s">
        <v>2130</v>
      </c>
      <c r="R407" s="1" t="s">
        <v>13</v>
      </c>
      <c r="S407" s="1"/>
      <c r="T407" s="1"/>
      <c r="U407" s="1" t="s">
        <v>616</v>
      </c>
      <c r="V407" s="1" t="s">
        <v>616</v>
      </c>
      <c r="W407" s="145">
        <f t="shared" si="1"/>
        <v>0.00002605459008</v>
      </c>
      <c r="AC407" s="38"/>
    </row>
    <row r="408" ht="15.75" customHeight="1">
      <c r="A408" s="1" t="s">
        <v>1903</v>
      </c>
      <c r="B408" s="1" t="s">
        <v>2127</v>
      </c>
      <c r="C408" s="63">
        <v>46232.0</v>
      </c>
      <c r="D408" s="63" t="s">
        <v>130</v>
      </c>
      <c r="E408" s="68">
        <v>0.97976063</v>
      </c>
      <c r="F408" s="1"/>
      <c r="G408" s="23">
        <v>1.25E7</v>
      </c>
      <c r="H408" s="23">
        <v>1.224700783E7</v>
      </c>
      <c r="I408" s="23">
        <v>1.25E7</v>
      </c>
      <c r="J408" s="23">
        <v>1.224700783E7</v>
      </c>
      <c r="K408" s="24">
        <v>9798602.0</v>
      </c>
      <c r="L408" s="1" t="s">
        <v>1776</v>
      </c>
      <c r="M408" s="1" t="s">
        <v>2128</v>
      </c>
      <c r="N408" s="63" t="s">
        <v>608</v>
      </c>
      <c r="O408" s="63" t="s">
        <v>608</v>
      </c>
      <c r="P408" s="68">
        <v>29.0</v>
      </c>
      <c r="Q408" s="1" t="s">
        <v>2130</v>
      </c>
      <c r="R408" s="1" t="s">
        <v>13</v>
      </c>
      <c r="S408" s="1"/>
      <c r="T408" s="1"/>
      <c r="U408" s="1" t="s">
        <v>620</v>
      </c>
      <c r="V408" s="1" t="s">
        <v>620</v>
      </c>
      <c r="W408" s="145">
        <f t="shared" si="1"/>
        <v>0.0002505249035</v>
      </c>
      <c r="AC408" s="38"/>
    </row>
    <row r="409" ht="15.75" customHeight="1">
      <c r="A409" s="1" t="s">
        <v>1946</v>
      </c>
      <c r="B409" s="1" t="s">
        <v>2127</v>
      </c>
      <c r="C409" s="63">
        <v>46232.0</v>
      </c>
      <c r="D409" s="63" t="s">
        <v>130</v>
      </c>
      <c r="E409" s="68">
        <v>0.97703313</v>
      </c>
      <c r="F409" s="1"/>
      <c r="G409" s="23">
        <v>5.0E7</v>
      </c>
      <c r="H409" s="23">
        <v>4.885165638E7</v>
      </c>
      <c r="I409" s="23">
        <v>5.0E7</v>
      </c>
      <c r="J409" s="23">
        <v>4.885165638E7</v>
      </c>
      <c r="K409" s="24">
        <v>135.0</v>
      </c>
      <c r="L409" s="1" t="s">
        <v>1776</v>
      </c>
      <c r="M409" s="1" t="s">
        <v>2128</v>
      </c>
      <c r="N409" s="63" t="s">
        <v>765</v>
      </c>
      <c r="O409" s="63" t="s">
        <v>765</v>
      </c>
      <c r="P409" s="68">
        <v>33.0</v>
      </c>
      <c r="Q409" s="1" t="s">
        <v>2130</v>
      </c>
      <c r="R409" s="1" t="s">
        <v>13</v>
      </c>
      <c r="S409" s="1"/>
      <c r="T409" s="1"/>
      <c r="U409" s="1" t="s">
        <v>785</v>
      </c>
      <c r="V409" s="1" t="s">
        <v>785</v>
      </c>
      <c r="W409" s="145">
        <f t="shared" si="1"/>
        <v>0.0009993099269</v>
      </c>
      <c r="AC409" s="38"/>
    </row>
    <row r="410" ht="15.75" customHeight="1">
      <c r="A410" s="1" t="s">
        <v>1921</v>
      </c>
      <c r="B410" s="1" t="s">
        <v>2127</v>
      </c>
      <c r="C410" s="63">
        <v>46232.0</v>
      </c>
      <c r="D410" s="63" t="s">
        <v>130</v>
      </c>
      <c r="E410" s="68">
        <v>0.98250338</v>
      </c>
      <c r="F410" s="1"/>
      <c r="G410" s="23">
        <v>6666666.67</v>
      </c>
      <c r="H410" s="23">
        <v>6550022.51</v>
      </c>
      <c r="I410" s="23">
        <v>6666666.67</v>
      </c>
      <c r="J410" s="23">
        <v>6550022.51</v>
      </c>
      <c r="K410" s="24">
        <v>3407518.0</v>
      </c>
      <c r="L410" s="1" t="s">
        <v>1776</v>
      </c>
      <c r="M410" s="1" t="s">
        <v>2128</v>
      </c>
      <c r="N410" s="63" t="s">
        <v>1488</v>
      </c>
      <c r="O410" s="63" t="s">
        <v>1488</v>
      </c>
      <c r="P410" s="68">
        <v>25.0</v>
      </c>
      <c r="Q410" s="1" t="s">
        <v>2130</v>
      </c>
      <c r="R410" s="1" t="s">
        <v>13</v>
      </c>
      <c r="S410" s="1"/>
      <c r="T410" s="1"/>
      <c r="U410" s="1" t="s">
        <v>1518</v>
      </c>
      <c r="V410" s="1" t="s">
        <v>1518</v>
      </c>
      <c r="W410" s="145">
        <f t="shared" si="1"/>
        <v>0.00013398732</v>
      </c>
      <c r="AC410" s="38"/>
    </row>
    <row r="411" ht="15.75" customHeight="1">
      <c r="A411" s="1" t="s">
        <v>1921</v>
      </c>
      <c r="B411" s="1" t="s">
        <v>2127</v>
      </c>
      <c r="C411" s="63">
        <v>46232.0</v>
      </c>
      <c r="D411" s="63" t="s">
        <v>130</v>
      </c>
      <c r="E411" s="68">
        <v>0.97976063</v>
      </c>
      <c r="F411" s="1"/>
      <c r="G411" s="23">
        <v>5000000.0</v>
      </c>
      <c r="H411" s="23">
        <v>4898803.13</v>
      </c>
      <c r="I411" s="23">
        <v>5000000.0</v>
      </c>
      <c r="J411" s="23">
        <v>4898803.13</v>
      </c>
      <c r="K411" s="24">
        <v>43315.0</v>
      </c>
      <c r="L411" s="1" t="s">
        <v>1776</v>
      </c>
      <c r="M411" s="1" t="s">
        <v>2128</v>
      </c>
      <c r="N411" s="63" t="s">
        <v>404</v>
      </c>
      <c r="O411" s="63" t="s">
        <v>404</v>
      </c>
      <c r="P411" s="68">
        <v>29.0</v>
      </c>
      <c r="Q411" s="1" t="s">
        <v>2130</v>
      </c>
      <c r="R411" s="1" t="s">
        <v>13</v>
      </c>
      <c r="S411" s="1"/>
      <c r="T411" s="1"/>
      <c r="U411" s="1" t="s">
        <v>405</v>
      </c>
      <c r="V411" s="1" t="s">
        <v>405</v>
      </c>
      <c r="W411" s="145">
        <f t="shared" si="1"/>
        <v>0.0001002099613</v>
      </c>
      <c r="AC411" s="38"/>
    </row>
    <row r="412" ht="15.75" customHeight="1">
      <c r="A412" s="1" t="s">
        <v>2005</v>
      </c>
      <c r="B412" s="1" t="s">
        <v>2127</v>
      </c>
      <c r="C412" s="63">
        <v>46232.0</v>
      </c>
      <c r="D412" s="63" t="s">
        <v>130</v>
      </c>
      <c r="E412" s="68">
        <v>0.97567501</v>
      </c>
      <c r="F412" s="1"/>
      <c r="G412" s="23">
        <v>5450000.0</v>
      </c>
      <c r="H412" s="23">
        <v>5317428.79</v>
      </c>
      <c r="I412" s="23">
        <v>5450000.0</v>
      </c>
      <c r="J412" s="23">
        <v>5317428.79</v>
      </c>
      <c r="K412" s="24">
        <v>6896.0</v>
      </c>
      <c r="L412" s="1" t="s">
        <v>1776</v>
      </c>
      <c r="M412" s="1" t="s">
        <v>2128</v>
      </c>
      <c r="N412" s="63" t="s">
        <v>360</v>
      </c>
      <c r="O412" s="63" t="s">
        <v>360</v>
      </c>
      <c r="P412" s="68">
        <v>35.0</v>
      </c>
      <c r="Q412" s="1" t="s">
        <v>2130</v>
      </c>
      <c r="R412" s="1" t="s">
        <v>13</v>
      </c>
      <c r="S412" s="1"/>
      <c r="T412" s="1"/>
      <c r="U412" s="1" t="s">
        <v>392</v>
      </c>
      <c r="V412" s="1" t="s">
        <v>392</v>
      </c>
      <c r="W412" s="145">
        <f t="shared" si="1"/>
        <v>0.0001087733717</v>
      </c>
      <c r="AC412" s="38"/>
    </row>
    <row r="413" ht="15.75" customHeight="1">
      <c r="A413" s="1" t="s">
        <v>1926</v>
      </c>
      <c r="B413" s="1" t="s">
        <v>2127</v>
      </c>
      <c r="C413" s="63">
        <v>46232.0</v>
      </c>
      <c r="D413" s="63" t="s">
        <v>130</v>
      </c>
      <c r="E413" s="68">
        <v>0.97907728</v>
      </c>
      <c r="F413" s="1"/>
      <c r="G413" s="23">
        <v>1040000.0</v>
      </c>
      <c r="H413" s="23">
        <v>1018240.37</v>
      </c>
      <c r="I413" s="23">
        <v>1040000.0</v>
      </c>
      <c r="J413" s="23">
        <v>1018240.37</v>
      </c>
      <c r="K413" s="24">
        <v>1.5901552E7</v>
      </c>
      <c r="L413" s="1" t="s">
        <v>1776</v>
      </c>
      <c r="M413" s="1" t="s">
        <v>2128</v>
      </c>
      <c r="N413" s="63" t="s">
        <v>628</v>
      </c>
      <c r="O413" s="63" t="s">
        <v>628</v>
      </c>
      <c r="P413" s="68">
        <v>30.0</v>
      </c>
      <c r="Q413" s="1" t="s">
        <v>2130</v>
      </c>
      <c r="R413" s="1" t="s">
        <v>13</v>
      </c>
      <c r="S413" s="1"/>
      <c r="T413" s="1"/>
      <c r="U413" s="1" t="s">
        <v>632</v>
      </c>
      <c r="V413" s="1" t="s">
        <v>632</v>
      </c>
      <c r="W413" s="145">
        <f t="shared" si="1"/>
        <v>0.00002082913426</v>
      </c>
      <c r="AC413" s="38"/>
    </row>
    <row r="414" ht="15.75" customHeight="1">
      <c r="A414" s="1" t="s">
        <v>1926</v>
      </c>
      <c r="B414" s="1" t="s">
        <v>2127</v>
      </c>
      <c r="C414" s="63">
        <v>46232.0</v>
      </c>
      <c r="D414" s="63" t="s">
        <v>130</v>
      </c>
      <c r="E414" s="68">
        <v>0.97976059</v>
      </c>
      <c r="F414" s="1"/>
      <c r="G414" s="23">
        <v>5000000.0</v>
      </c>
      <c r="H414" s="23">
        <v>4898802.93</v>
      </c>
      <c r="I414" s="23">
        <v>5000000.0</v>
      </c>
      <c r="J414" s="23">
        <v>4898802.93</v>
      </c>
      <c r="K414" s="24">
        <v>1.6779604E7</v>
      </c>
      <c r="L414" s="1" t="s">
        <v>1776</v>
      </c>
      <c r="M414" s="1" t="s">
        <v>2128</v>
      </c>
      <c r="N414" s="63" t="s">
        <v>628</v>
      </c>
      <c r="O414" s="63" t="s">
        <v>628</v>
      </c>
      <c r="P414" s="68">
        <v>29.0</v>
      </c>
      <c r="Q414" s="1" t="s">
        <v>2130</v>
      </c>
      <c r="R414" s="1" t="s">
        <v>13</v>
      </c>
      <c r="S414" s="1"/>
      <c r="T414" s="1"/>
      <c r="U414" s="1" t="s">
        <v>640</v>
      </c>
      <c r="V414" s="1" t="s">
        <v>640</v>
      </c>
      <c r="W414" s="145">
        <f t="shared" si="1"/>
        <v>0.0001002099573</v>
      </c>
      <c r="AC414" s="38"/>
    </row>
    <row r="415" ht="15.75" customHeight="1">
      <c r="A415" s="1" t="s">
        <v>1926</v>
      </c>
      <c r="B415" s="1" t="s">
        <v>2127</v>
      </c>
      <c r="C415" s="63">
        <v>46232.0</v>
      </c>
      <c r="D415" s="63" t="s">
        <v>130</v>
      </c>
      <c r="E415" s="68">
        <v>0.97976061</v>
      </c>
      <c r="F415" s="1"/>
      <c r="G415" s="23">
        <v>5000000.0</v>
      </c>
      <c r="H415" s="23">
        <v>4898803.05</v>
      </c>
      <c r="I415" s="23">
        <v>5000000.0</v>
      </c>
      <c r="J415" s="23">
        <v>4898803.05</v>
      </c>
      <c r="K415" s="24">
        <v>1.6779578E7</v>
      </c>
      <c r="L415" s="1" t="s">
        <v>1776</v>
      </c>
      <c r="M415" s="1" t="s">
        <v>2128</v>
      </c>
      <c r="N415" s="63" t="s">
        <v>360</v>
      </c>
      <c r="O415" s="63" t="s">
        <v>360</v>
      </c>
      <c r="P415" s="68">
        <v>29.0</v>
      </c>
      <c r="Q415" s="1" t="s">
        <v>2130</v>
      </c>
      <c r="R415" s="1" t="s">
        <v>13</v>
      </c>
      <c r="S415" s="1"/>
      <c r="T415" s="1"/>
      <c r="U415" s="1" t="s">
        <v>366</v>
      </c>
      <c r="V415" s="1" t="s">
        <v>366</v>
      </c>
      <c r="W415" s="145">
        <f t="shared" si="1"/>
        <v>0.0001002099597</v>
      </c>
      <c r="AC415" s="38"/>
    </row>
    <row r="416" ht="15.75" customHeight="1">
      <c r="A416" s="1" t="s">
        <v>1926</v>
      </c>
      <c r="B416" s="1" t="s">
        <v>2127</v>
      </c>
      <c r="C416" s="63">
        <v>46232.0</v>
      </c>
      <c r="D416" s="63" t="s">
        <v>130</v>
      </c>
      <c r="E416" s="68">
        <v>0.98113008</v>
      </c>
      <c r="F416" s="1"/>
      <c r="G416" s="23">
        <v>2.0E7</v>
      </c>
      <c r="H416" s="23">
        <v>1.962260153E7</v>
      </c>
      <c r="I416" s="23">
        <v>2.0E7</v>
      </c>
      <c r="J416" s="23">
        <v>1.962260153E7</v>
      </c>
      <c r="K416" s="24">
        <v>6.6450549E7</v>
      </c>
      <c r="L416" s="1" t="s">
        <v>1776</v>
      </c>
      <c r="M416" s="1" t="s">
        <v>2128</v>
      </c>
      <c r="N416" s="63" t="s">
        <v>532</v>
      </c>
      <c r="O416" s="63" t="s">
        <v>532</v>
      </c>
      <c r="P416" s="68">
        <v>27.0</v>
      </c>
      <c r="Q416" s="1" t="s">
        <v>2130</v>
      </c>
      <c r="R416" s="1" t="s">
        <v>13</v>
      </c>
      <c r="S416" s="1"/>
      <c r="T416" s="1"/>
      <c r="U416" s="1" t="s">
        <v>539</v>
      </c>
      <c r="V416" s="1" t="s">
        <v>539</v>
      </c>
      <c r="W416" s="145">
        <f t="shared" si="1"/>
        <v>0.0004014001152</v>
      </c>
      <c r="AC416" s="38"/>
    </row>
    <row r="417" ht="15.75" customHeight="1">
      <c r="A417" s="1" t="s">
        <v>1926</v>
      </c>
      <c r="B417" s="1" t="s">
        <v>2127</v>
      </c>
      <c r="C417" s="63">
        <v>46232.0</v>
      </c>
      <c r="D417" s="63" t="s">
        <v>130</v>
      </c>
      <c r="E417" s="68">
        <v>0.97907726</v>
      </c>
      <c r="F417" s="1"/>
      <c r="G417" s="23">
        <v>1.0E7</v>
      </c>
      <c r="H417" s="23">
        <v>9790772.64</v>
      </c>
      <c r="I417" s="23">
        <v>1.0E7</v>
      </c>
      <c r="J417" s="23">
        <v>9790772.64</v>
      </c>
      <c r="K417" s="24">
        <v>9.0019959E7</v>
      </c>
      <c r="L417" s="1" t="s">
        <v>1776</v>
      </c>
      <c r="M417" s="1" t="s">
        <v>2128</v>
      </c>
      <c r="N417" s="63" t="s">
        <v>446</v>
      </c>
      <c r="O417" s="63" t="s">
        <v>446</v>
      </c>
      <c r="P417" s="68">
        <v>30.0</v>
      </c>
      <c r="Q417" s="1" t="s">
        <v>2130</v>
      </c>
      <c r="R417" s="1" t="s">
        <v>13</v>
      </c>
      <c r="S417" s="1"/>
      <c r="T417" s="1"/>
      <c r="U417" s="1" t="s">
        <v>486</v>
      </c>
      <c r="V417" s="1" t="s">
        <v>486</v>
      </c>
      <c r="W417" s="145">
        <f t="shared" si="1"/>
        <v>0.0002002801341</v>
      </c>
      <c r="AC417" s="38"/>
    </row>
    <row r="418" ht="15.75" customHeight="1">
      <c r="A418" s="1" t="s">
        <v>2030</v>
      </c>
      <c r="B418" s="1" t="s">
        <v>2127</v>
      </c>
      <c r="C418" s="63">
        <v>46232.0</v>
      </c>
      <c r="D418" s="63" t="s">
        <v>130</v>
      </c>
      <c r="E418" s="68">
        <v>0.97703308</v>
      </c>
      <c r="F418" s="1"/>
      <c r="G418" s="23">
        <v>1701000.0</v>
      </c>
      <c r="H418" s="23">
        <v>1661933.27</v>
      </c>
      <c r="I418" s="23">
        <v>1701000.0</v>
      </c>
      <c r="J418" s="23">
        <v>1661933.27</v>
      </c>
      <c r="K418" s="24">
        <v>6.724288E7</v>
      </c>
      <c r="L418" s="1" t="s">
        <v>1776</v>
      </c>
      <c r="M418" s="1" t="s">
        <v>2128</v>
      </c>
      <c r="N418" s="63" t="s">
        <v>946</v>
      </c>
      <c r="O418" s="63" t="s">
        <v>946</v>
      </c>
      <c r="P418" s="68">
        <v>33.0</v>
      </c>
      <c r="Q418" s="1" t="s">
        <v>2130</v>
      </c>
      <c r="R418" s="1" t="s">
        <v>13</v>
      </c>
      <c r="S418" s="1"/>
      <c r="T418" s="1"/>
      <c r="U418" s="1" t="s">
        <v>1020</v>
      </c>
      <c r="V418" s="1" t="s">
        <v>1020</v>
      </c>
      <c r="W418" s="145">
        <f t="shared" si="1"/>
        <v>0.00003399652207</v>
      </c>
      <c r="AC418" s="38"/>
    </row>
    <row r="419" ht="15.75" customHeight="1">
      <c r="A419" s="1" t="s">
        <v>2059</v>
      </c>
      <c r="B419" s="1" t="s">
        <v>2127</v>
      </c>
      <c r="C419" s="63">
        <v>46232.0</v>
      </c>
      <c r="D419" s="63" t="s">
        <v>130</v>
      </c>
      <c r="E419" s="68">
        <v>0.97703308</v>
      </c>
      <c r="F419" s="1"/>
      <c r="G419" s="23">
        <v>2300000.0</v>
      </c>
      <c r="H419" s="23">
        <v>2247176.08</v>
      </c>
      <c r="I419" s="23">
        <v>2300000.0</v>
      </c>
      <c r="J419" s="23">
        <v>2247176.08</v>
      </c>
      <c r="K419" s="24">
        <v>1396.0</v>
      </c>
      <c r="L419" s="1" t="s">
        <v>1776</v>
      </c>
      <c r="M419" s="1" t="s">
        <v>2128</v>
      </c>
      <c r="N419" s="63" t="s">
        <v>946</v>
      </c>
      <c r="O419" s="63" t="s">
        <v>946</v>
      </c>
      <c r="P419" s="68">
        <v>33.0</v>
      </c>
      <c r="Q419" s="1" t="s">
        <v>2130</v>
      </c>
      <c r="R419" s="1" t="s">
        <v>13</v>
      </c>
      <c r="S419" s="1"/>
      <c r="T419" s="1"/>
      <c r="U419" s="1" t="s">
        <v>1022</v>
      </c>
      <c r="V419" s="1" t="s">
        <v>1022</v>
      </c>
      <c r="W419" s="145">
        <f t="shared" si="1"/>
        <v>0.00004596825432</v>
      </c>
      <c r="AC419" s="38"/>
    </row>
    <row r="420" ht="15.75" customHeight="1">
      <c r="A420" s="1" t="s">
        <v>2060</v>
      </c>
      <c r="B420" s="1" t="s">
        <v>2127</v>
      </c>
      <c r="C420" s="63">
        <v>46232.0</v>
      </c>
      <c r="D420" s="63" t="s">
        <v>130</v>
      </c>
      <c r="E420" s="68">
        <v>0.97703307</v>
      </c>
      <c r="F420" s="1"/>
      <c r="G420" s="23">
        <v>1318130.0</v>
      </c>
      <c r="H420" s="23">
        <v>1287856.6</v>
      </c>
      <c r="I420" s="23">
        <v>1318130.0</v>
      </c>
      <c r="J420" s="23">
        <v>1287856.6</v>
      </c>
      <c r="K420" s="24">
        <v>6.7204032E7</v>
      </c>
      <c r="L420" s="1" t="s">
        <v>1776</v>
      </c>
      <c r="M420" s="1" t="s">
        <v>2128</v>
      </c>
      <c r="N420" s="63" t="s">
        <v>946</v>
      </c>
      <c r="O420" s="63" t="s">
        <v>946</v>
      </c>
      <c r="P420" s="68">
        <v>33.0</v>
      </c>
      <c r="Q420" s="1" t="s">
        <v>2130</v>
      </c>
      <c r="R420" s="1" t="s">
        <v>13</v>
      </c>
      <c r="S420" s="1"/>
      <c r="T420" s="1"/>
      <c r="U420" s="1" t="s">
        <v>1026</v>
      </c>
      <c r="V420" s="1" t="s">
        <v>1026</v>
      </c>
      <c r="W420" s="145">
        <f t="shared" si="1"/>
        <v>0.00002634440631</v>
      </c>
      <c r="AC420" s="38"/>
    </row>
    <row r="421" ht="15.75" customHeight="1">
      <c r="A421" s="1" t="s">
        <v>2075</v>
      </c>
      <c r="B421" s="1" t="s">
        <v>2127</v>
      </c>
      <c r="C421" s="63">
        <v>46232.0</v>
      </c>
      <c r="D421" s="63" t="s">
        <v>130</v>
      </c>
      <c r="E421" s="68">
        <v>0.97771363</v>
      </c>
      <c r="F421" s="1"/>
      <c r="G421" s="23">
        <v>1177029.06</v>
      </c>
      <c r="H421" s="23">
        <v>1150797.35</v>
      </c>
      <c r="I421" s="23">
        <v>1177029.06</v>
      </c>
      <c r="J421" s="23">
        <v>1150797.35</v>
      </c>
      <c r="K421" s="24">
        <v>1127.0</v>
      </c>
      <c r="L421" s="1" t="s">
        <v>1776</v>
      </c>
      <c r="M421" s="1" t="s">
        <v>2128</v>
      </c>
      <c r="N421" s="63" t="s">
        <v>1118</v>
      </c>
      <c r="O421" s="63" t="s">
        <v>1118</v>
      </c>
      <c r="P421" s="68">
        <v>32.0</v>
      </c>
      <c r="Q421" s="1" t="s">
        <v>2130</v>
      </c>
      <c r="R421" s="1" t="s">
        <v>13</v>
      </c>
      <c r="S421" s="1"/>
      <c r="T421" s="1"/>
      <c r="U421" s="1" t="s">
        <v>1200</v>
      </c>
      <c r="V421" s="1" t="s">
        <v>1200</v>
      </c>
      <c r="W421" s="145">
        <f t="shared" si="1"/>
        <v>0.00002354072105</v>
      </c>
      <c r="AC421" s="38"/>
    </row>
    <row r="422" ht="15.75" customHeight="1">
      <c r="A422" s="1" t="s">
        <v>2084</v>
      </c>
      <c r="B422" s="1" t="s">
        <v>2127</v>
      </c>
      <c r="C422" s="63">
        <v>46232.0</v>
      </c>
      <c r="D422" s="63" t="s">
        <v>130</v>
      </c>
      <c r="E422" s="68">
        <v>0.97703304</v>
      </c>
      <c r="F422" s="1"/>
      <c r="G422" s="23">
        <v>1450000.0</v>
      </c>
      <c r="H422" s="23">
        <v>1416697.91</v>
      </c>
      <c r="I422" s="23">
        <v>1450000.0</v>
      </c>
      <c r="J422" s="23">
        <v>1416697.91</v>
      </c>
      <c r="K422" s="24">
        <v>9.0019731E7</v>
      </c>
      <c r="L422" s="1" t="s">
        <v>1776</v>
      </c>
      <c r="M422" s="1" t="s">
        <v>2128</v>
      </c>
      <c r="N422" s="63" t="s">
        <v>1039</v>
      </c>
      <c r="O422" s="63" t="s">
        <v>1039</v>
      </c>
      <c r="P422" s="68">
        <v>33.0</v>
      </c>
      <c r="Q422" s="1" t="s">
        <v>2130</v>
      </c>
      <c r="R422" s="1" t="s">
        <v>13</v>
      </c>
      <c r="S422" s="1"/>
      <c r="T422" s="1"/>
      <c r="U422" s="1" t="s">
        <v>1038</v>
      </c>
      <c r="V422" s="1" t="s">
        <v>1038</v>
      </c>
      <c r="W422" s="145">
        <f t="shared" si="1"/>
        <v>0.00002897998532</v>
      </c>
      <c r="AC422" s="38"/>
    </row>
    <row r="423" ht="15.75" customHeight="1">
      <c r="A423" s="1" t="s">
        <v>2089</v>
      </c>
      <c r="B423" s="1" t="s">
        <v>2127</v>
      </c>
      <c r="C423" s="63">
        <v>46232.0</v>
      </c>
      <c r="D423" s="63" t="s">
        <v>130</v>
      </c>
      <c r="E423" s="68">
        <v>0.97771363</v>
      </c>
      <c r="F423" s="1"/>
      <c r="G423" s="23">
        <v>1204873.98</v>
      </c>
      <c r="H423" s="23">
        <v>1178021.71</v>
      </c>
      <c r="I423" s="23">
        <v>1204873.98</v>
      </c>
      <c r="J423" s="23">
        <v>1178021.71</v>
      </c>
      <c r="K423" s="24">
        <v>173.0</v>
      </c>
      <c r="L423" s="1" t="s">
        <v>1776</v>
      </c>
      <c r="M423" s="1" t="s">
        <v>2128</v>
      </c>
      <c r="N423" s="63" t="s">
        <v>1118</v>
      </c>
      <c r="O423" s="63" t="s">
        <v>1118</v>
      </c>
      <c r="P423" s="68">
        <v>32.0</v>
      </c>
      <c r="Q423" s="1" t="s">
        <v>2130</v>
      </c>
      <c r="R423" s="1" t="s">
        <v>13</v>
      </c>
      <c r="S423" s="1"/>
      <c r="T423" s="1"/>
      <c r="U423" s="1" t="s">
        <v>1157</v>
      </c>
      <c r="V423" s="1" t="s">
        <v>1157</v>
      </c>
      <c r="W423" s="145">
        <f t="shared" si="1"/>
        <v>0.00002409762281</v>
      </c>
      <c r="AC423" s="38"/>
    </row>
    <row r="424" ht="15.75" customHeight="1">
      <c r="A424" s="1" t="s">
        <v>1981</v>
      </c>
      <c r="B424" s="1" t="s">
        <v>2127</v>
      </c>
      <c r="C424" s="63">
        <v>46232.0</v>
      </c>
      <c r="D424" s="63" t="s">
        <v>130</v>
      </c>
      <c r="E424" s="68">
        <v>0.97771362</v>
      </c>
      <c r="F424" s="1"/>
      <c r="G424" s="23">
        <v>5000000.0</v>
      </c>
      <c r="H424" s="23">
        <v>4888568.11</v>
      </c>
      <c r="I424" s="23">
        <v>5000000.0</v>
      </c>
      <c r="J424" s="23">
        <v>4888568.11</v>
      </c>
      <c r="K424" s="24">
        <v>550.0</v>
      </c>
      <c r="L424" s="1" t="s">
        <v>1776</v>
      </c>
      <c r="M424" s="1" t="s">
        <v>2128</v>
      </c>
      <c r="N424" s="63" t="s">
        <v>1118</v>
      </c>
      <c r="O424" s="63" t="s">
        <v>1118</v>
      </c>
      <c r="P424" s="68">
        <v>32.0</v>
      </c>
      <c r="Q424" s="1" t="s">
        <v>2130</v>
      </c>
      <c r="R424" s="1" t="s">
        <v>13</v>
      </c>
      <c r="S424" s="1"/>
      <c r="T424" s="1"/>
      <c r="U424" s="1" t="s">
        <v>1161</v>
      </c>
      <c r="V424" s="1" t="s">
        <v>1161</v>
      </c>
      <c r="W424" s="145">
        <f t="shared" si="1"/>
        <v>0.0001000005937</v>
      </c>
      <c r="AC424" s="38"/>
    </row>
    <row r="425" ht="15.75" customHeight="1">
      <c r="A425" s="1" t="s">
        <v>2066</v>
      </c>
      <c r="B425" s="1" t="s">
        <v>2127</v>
      </c>
      <c r="C425" s="63">
        <v>46232.0</v>
      </c>
      <c r="D425" s="63" t="s">
        <v>130</v>
      </c>
      <c r="E425" s="68">
        <v>0.97771362</v>
      </c>
      <c r="F425" s="1"/>
      <c r="G425" s="23">
        <v>1050000.0</v>
      </c>
      <c r="H425" s="23">
        <v>1026599.3</v>
      </c>
      <c r="I425" s="23">
        <v>1050000.0</v>
      </c>
      <c r="J425" s="23">
        <v>1026599.3</v>
      </c>
      <c r="K425" s="24">
        <v>3467334.0</v>
      </c>
      <c r="L425" s="1" t="s">
        <v>1776</v>
      </c>
      <c r="M425" s="1" t="s">
        <v>2128</v>
      </c>
      <c r="N425" s="63" t="s">
        <v>1118</v>
      </c>
      <c r="O425" s="63" t="s">
        <v>1118</v>
      </c>
      <c r="P425" s="68">
        <v>32.0</v>
      </c>
      <c r="Q425" s="1" t="s">
        <v>2130</v>
      </c>
      <c r="R425" s="1" t="s">
        <v>13</v>
      </c>
      <c r="S425" s="1"/>
      <c r="T425" s="1"/>
      <c r="U425" s="1" t="s">
        <v>1199</v>
      </c>
      <c r="V425" s="1" t="s">
        <v>1199</v>
      </c>
      <c r="W425" s="145">
        <f t="shared" si="1"/>
        <v>0.00002100012461</v>
      </c>
      <c r="AC425" s="38"/>
    </row>
    <row r="426" ht="15.75" customHeight="1">
      <c r="A426" s="1" t="s">
        <v>1995</v>
      </c>
      <c r="B426" s="1" t="s">
        <v>2127</v>
      </c>
      <c r="C426" s="63">
        <v>46232.0</v>
      </c>
      <c r="D426" s="63" t="s">
        <v>130</v>
      </c>
      <c r="E426" s="68">
        <v>0.97567511</v>
      </c>
      <c r="F426" s="1"/>
      <c r="G426" s="23">
        <v>3.0E7</v>
      </c>
      <c r="H426" s="23">
        <v>2.92702532E7</v>
      </c>
      <c r="I426" s="23">
        <v>3.0E7</v>
      </c>
      <c r="J426" s="23">
        <v>2.92702532E7</v>
      </c>
      <c r="K426" s="24">
        <v>10492.0</v>
      </c>
      <c r="L426" s="1" t="s">
        <v>1776</v>
      </c>
      <c r="M426" s="1" t="s">
        <v>2128</v>
      </c>
      <c r="N426" s="63" t="s">
        <v>1245</v>
      </c>
      <c r="O426" s="63" t="s">
        <v>1245</v>
      </c>
      <c r="P426" s="68">
        <v>35.0</v>
      </c>
      <c r="Q426" s="1" t="s">
        <v>2130</v>
      </c>
      <c r="R426" s="1" t="s">
        <v>13</v>
      </c>
      <c r="S426" s="1"/>
      <c r="T426" s="1"/>
      <c r="U426" s="1" t="s">
        <v>1257</v>
      </c>
      <c r="V426" s="1" t="s">
        <v>1257</v>
      </c>
      <c r="W426" s="145">
        <f t="shared" si="1"/>
        <v>0.0005987525655</v>
      </c>
      <c r="AC426" s="38"/>
    </row>
    <row r="427" ht="15.75" customHeight="1">
      <c r="A427" s="1" t="s">
        <v>2047</v>
      </c>
      <c r="B427" s="1" t="s">
        <v>2127</v>
      </c>
      <c r="C427" s="63">
        <v>46232.0</v>
      </c>
      <c r="D427" s="63" t="s">
        <v>130</v>
      </c>
      <c r="E427" s="68">
        <v>0.97907729</v>
      </c>
      <c r="F427" s="1"/>
      <c r="G427" s="23">
        <v>1770042.5</v>
      </c>
      <c r="H427" s="23">
        <v>1733008.41</v>
      </c>
      <c r="I427" s="23">
        <v>1770042.5</v>
      </c>
      <c r="J427" s="23">
        <v>1733008.41</v>
      </c>
      <c r="K427" s="24">
        <v>248.0</v>
      </c>
      <c r="L427" s="1" t="s">
        <v>1776</v>
      </c>
      <c r="M427" s="1" t="s">
        <v>2128</v>
      </c>
      <c r="N427" s="63" t="s">
        <v>1302</v>
      </c>
      <c r="O427" s="63" t="s">
        <v>1302</v>
      </c>
      <c r="P427" s="68">
        <v>30.0</v>
      </c>
      <c r="Q427" s="1" t="s">
        <v>2130</v>
      </c>
      <c r="R427" s="1" t="s">
        <v>13</v>
      </c>
      <c r="S427" s="1"/>
      <c r="T427" s="1"/>
      <c r="U427" s="1" t="s">
        <v>1308</v>
      </c>
      <c r="V427" s="1" t="s">
        <v>1308</v>
      </c>
      <c r="W427" s="145">
        <f t="shared" si="1"/>
        <v>0.00003545043578</v>
      </c>
      <c r="AC427" s="38"/>
    </row>
    <row r="428" ht="15.75" customHeight="1">
      <c r="A428" s="1" t="s">
        <v>1953</v>
      </c>
      <c r="B428" s="1" t="s">
        <v>2127</v>
      </c>
      <c r="C428" s="63">
        <v>46233.0</v>
      </c>
      <c r="D428" s="63" t="s">
        <v>130</v>
      </c>
      <c r="E428" s="68">
        <v>0.97899847</v>
      </c>
      <c r="F428" s="1"/>
      <c r="G428" s="23">
        <v>6530318.0</v>
      </c>
      <c r="H428" s="23">
        <v>6393171.36</v>
      </c>
      <c r="I428" s="23">
        <v>6530318.0</v>
      </c>
      <c r="J428" s="23">
        <v>6393171.36</v>
      </c>
      <c r="K428" s="24">
        <v>69.0</v>
      </c>
      <c r="L428" s="1" t="s">
        <v>1776</v>
      </c>
      <c r="M428" s="1" t="s">
        <v>2128</v>
      </c>
      <c r="N428" s="63" t="s">
        <v>151</v>
      </c>
      <c r="O428" s="63" t="s">
        <v>151</v>
      </c>
      <c r="P428" s="68">
        <v>29.0</v>
      </c>
      <c r="Q428" s="1" t="s">
        <v>2130</v>
      </c>
      <c r="R428" s="1" t="s">
        <v>13</v>
      </c>
      <c r="S428" s="1"/>
      <c r="T428" s="1"/>
      <c r="U428" s="1" t="s">
        <v>149</v>
      </c>
      <c r="V428" s="1" t="s">
        <v>149</v>
      </c>
      <c r="W428" s="145">
        <f t="shared" si="1"/>
        <v>0.0001307787714</v>
      </c>
      <c r="AC428" s="38"/>
    </row>
    <row r="429" ht="15.75" customHeight="1">
      <c r="A429" s="1" t="s">
        <v>1953</v>
      </c>
      <c r="B429" s="1" t="s">
        <v>2127</v>
      </c>
      <c r="C429" s="63">
        <v>46233.0</v>
      </c>
      <c r="D429" s="63" t="s">
        <v>130</v>
      </c>
      <c r="E429" s="68">
        <v>0.98542117</v>
      </c>
      <c r="F429" s="1"/>
      <c r="G429" s="23">
        <v>2500000.0</v>
      </c>
      <c r="H429" s="23">
        <v>2463552.93</v>
      </c>
      <c r="I429" s="23">
        <v>2500000.0</v>
      </c>
      <c r="J429" s="23">
        <v>2463552.93</v>
      </c>
      <c r="K429" s="24">
        <v>6128.0</v>
      </c>
      <c r="L429" s="1" t="s">
        <v>1776</v>
      </c>
      <c r="M429" s="1" t="s">
        <v>2128</v>
      </c>
      <c r="N429" s="63" t="s">
        <v>946</v>
      </c>
      <c r="O429" s="63" t="s">
        <v>946</v>
      </c>
      <c r="P429" s="68">
        <v>20.0</v>
      </c>
      <c r="Q429" s="1" t="s">
        <v>2130</v>
      </c>
      <c r="R429" s="1" t="s">
        <v>13</v>
      </c>
      <c r="S429" s="1"/>
      <c r="T429" s="1"/>
      <c r="U429" s="1" t="s">
        <v>976</v>
      </c>
      <c r="V429" s="1" t="s">
        <v>976</v>
      </c>
      <c r="W429" s="145">
        <f t="shared" si="1"/>
        <v>0.00005039446113</v>
      </c>
      <c r="AC429" s="38"/>
    </row>
    <row r="430" ht="15.75" customHeight="1">
      <c r="A430" s="1" t="s">
        <v>1960</v>
      </c>
      <c r="B430" s="1" t="s">
        <v>2127</v>
      </c>
      <c r="C430" s="63">
        <v>46233.0</v>
      </c>
      <c r="D430" s="63" t="s">
        <v>130</v>
      </c>
      <c r="E430" s="68">
        <v>0.97970798</v>
      </c>
      <c r="F430" s="1"/>
      <c r="G430" s="23">
        <v>6500000.0</v>
      </c>
      <c r="H430" s="23">
        <v>6368101.87</v>
      </c>
      <c r="I430" s="23">
        <v>6500000.0</v>
      </c>
      <c r="J430" s="23">
        <v>6368101.87</v>
      </c>
      <c r="K430" s="24">
        <v>2.9175493E7</v>
      </c>
      <c r="L430" s="1" t="s">
        <v>1776</v>
      </c>
      <c r="M430" s="1" t="s">
        <v>2128</v>
      </c>
      <c r="N430" s="63" t="s">
        <v>676</v>
      </c>
      <c r="O430" s="63" t="s">
        <v>676</v>
      </c>
      <c r="P430" s="68">
        <v>28.0</v>
      </c>
      <c r="Q430" s="1" t="s">
        <v>2130</v>
      </c>
      <c r="R430" s="1" t="s">
        <v>13</v>
      </c>
      <c r="S430" s="1"/>
      <c r="T430" s="1"/>
      <c r="U430" s="1" t="s">
        <v>691</v>
      </c>
      <c r="V430" s="1" t="s">
        <v>691</v>
      </c>
      <c r="W430" s="145">
        <f t="shared" si="1"/>
        <v>0.0001302659497</v>
      </c>
      <c r="AC430" s="38"/>
    </row>
    <row r="431" ht="15.75" customHeight="1">
      <c r="A431" s="1" t="s">
        <v>1945</v>
      </c>
      <c r="B431" s="1" t="s">
        <v>2127</v>
      </c>
      <c r="C431" s="63">
        <v>46233.0</v>
      </c>
      <c r="D431" s="63" t="s">
        <v>130</v>
      </c>
      <c r="E431" s="68">
        <v>0.97829</v>
      </c>
      <c r="F431" s="1"/>
      <c r="G431" s="23">
        <v>1.0E8</v>
      </c>
      <c r="H431" s="23">
        <v>9.782900041E7</v>
      </c>
      <c r="I431" s="23">
        <v>1.0E8</v>
      </c>
      <c r="J431" s="23">
        <v>9.782900041E7</v>
      </c>
      <c r="K431" s="24">
        <v>5412.0</v>
      </c>
      <c r="L431" s="1" t="s">
        <v>1776</v>
      </c>
      <c r="M431" s="1" t="s">
        <v>2128</v>
      </c>
      <c r="N431" s="63" t="s">
        <v>946</v>
      </c>
      <c r="O431" s="63" t="s">
        <v>946</v>
      </c>
      <c r="P431" s="68">
        <v>30.0</v>
      </c>
      <c r="Q431" s="1" t="s">
        <v>2130</v>
      </c>
      <c r="R431" s="1" t="s">
        <v>13</v>
      </c>
      <c r="S431" s="1"/>
      <c r="T431" s="1"/>
      <c r="U431" s="1" t="s">
        <v>998</v>
      </c>
      <c r="V431" s="1" t="s">
        <v>998</v>
      </c>
      <c r="W431" s="145">
        <f t="shared" si="1"/>
        <v>0.002001190921</v>
      </c>
      <c r="AC431" s="38"/>
    </row>
    <row r="432" ht="15.75" customHeight="1">
      <c r="A432" s="1" t="s">
        <v>1961</v>
      </c>
      <c r="B432" s="1" t="s">
        <v>2127</v>
      </c>
      <c r="C432" s="63">
        <v>46233.0</v>
      </c>
      <c r="D432" s="63" t="s">
        <v>130</v>
      </c>
      <c r="E432" s="68">
        <v>0.97406066</v>
      </c>
      <c r="F432" s="1"/>
      <c r="G432" s="23">
        <v>5882352.93</v>
      </c>
      <c r="H432" s="23">
        <v>5729768.57</v>
      </c>
      <c r="I432" s="23">
        <v>5882352.93</v>
      </c>
      <c r="J432" s="23">
        <v>5729768.57</v>
      </c>
      <c r="K432" s="24">
        <v>2617.0</v>
      </c>
      <c r="L432" s="1" t="s">
        <v>1776</v>
      </c>
      <c r="M432" s="1" t="s">
        <v>2128</v>
      </c>
      <c r="N432" s="63" t="s">
        <v>886</v>
      </c>
      <c r="O432" s="63" t="s">
        <v>886</v>
      </c>
      <c r="P432" s="68">
        <v>36.0</v>
      </c>
      <c r="Q432" s="1" t="s">
        <v>2130</v>
      </c>
      <c r="R432" s="1" t="s">
        <v>13</v>
      </c>
      <c r="S432" s="1"/>
      <c r="T432" s="1"/>
      <c r="U432" s="1" t="s">
        <v>895</v>
      </c>
      <c r="V432" s="1" t="s">
        <v>895</v>
      </c>
      <c r="W432" s="145">
        <f t="shared" si="1"/>
        <v>0.0001172081979</v>
      </c>
      <c r="AC432" s="38"/>
    </row>
    <row r="433" ht="15.75" customHeight="1">
      <c r="A433" s="1" t="s">
        <v>1917</v>
      </c>
      <c r="B433" s="1" t="s">
        <v>2127</v>
      </c>
      <c r="C433" s="63">
        <v>46233.0</v>
      </c>
      <c r="D433" s="63" t="s">
        <v>130</v>
      </c>
      <c r="E433" s="68">
        <v>0.97829009</v>
      </c>
      <c r="F433" s="1"/>
      <c r="G433" s="23">
        <v>1.0E7</v>
      </c>
      <c r="H433" s="23">
        <v>9782900.94</v>
      </c>
      <c r="I433" s="23">
        <v>1.0E7</v>
      </c>
      <c r="J433" s="23">
        <v>9782900.94</v>
      </c>
      <c r="K433" s="24">
        <v>548.0</v>
      </c>
      <c r="L433" s="1" t="s">
        <v>1776</v>
      </c>
      <c r="M433" s="1" t="s">
        <v>2128</v>
      </c>
      <c r="N433" s="63" t="s">
        <v>863</v>
      </c>
      <c r="O433" s="63" t="s">
        <v>863</v>
      </c>
      <c r="P433" s="68">
        <v>30.0</v>
      </c>
      <c r="Q433" s="1" t="s">
        <v>2130</v>
      </c>
      <c r="R433" s="1" t="s">
        <v>13</v>
      </c>
      <c r="S433" s="1"/>
      <c r="T433" s="1"/>
      <c r="U433" s="1" t="s">
        <v>878</v>
      </c>
      <c r="V433" s="1" t="s">
        <v>878</v>
      </c>
      <c r="W433" s="145">
        <f t="shared" si="1"/>
        <v>0.0002001191105</v>
      </c>
      <c r="AC433" s="38"/>
    </row>
    <row r="434" ht="15.75" customHeight="1">
      <c r="A434" s="1" t="s">
        <v>1949</v>
      </c>
      <c r="B434" s="1" t="s">
        <v>2127</v>
      </c>
      <c r="C434" s="63">
        <v>46233.0</v>
      </c>
      <c r="D434" s="63" t="s">
        <v>130</v>
      </c>
      <c r="E434" s="68">
        <v>0.97126137</v>
      </c>
      <c r="F434" s="1"/>
      <c r="G434" s="23">
        <v>2.0E7</v>
      </c>
      <c r="H434" s="23">
        <v>1.942522733E7</v>
      </c>
      <c r="I434" s="23">
        <v>2.0E7</v>
      </c>
      <c r="J434" s="23">
        <v>1.942522733E7</v>
      </c>
      <c r="K434" s="24">
        <v>4122.0</v>
      </c>
      <c r="L434" s="1" t="s">
        <v>1776</v>
      </c>
      <c r="M434" s="1" t="s">
        <v>2128</v>
      </c>
      <c r="N434" s="63" t="s">
        <v>608</v>
      </c>
      <c r="O434" s="63" t="s">
        <v>608</v>
      </c>
      <c r="P434" s="68">
        <v>40.0</v>
      </c>
      <c r="Q434" s="1" t="s">
        <v>2130</v>
      </c>
      <c r="R434" s="1" t="s">
        <v>13</v>
      </c>
      <c r="S434" s="1"/>
      <c r="T434" s="1"/>
      <c r="U434" s="1" t="s">
        <v>621</v>
      </c>
      <c r="V434" s="1" t="s">
        <v>621</v>
      </c>
      <c r="W434" s="145">
        <f t="shared" si="1"/>
        <v>0.0003973626268</v>
      </c>
      <c r="AC434" s="38"/>
    </row>
    <row r="435" ht="15.75" customHeight="1">
      <c r="A435" s="1" t="s">
        <v>1989</v>
      </c>
      <c r="B435" s="1" t="s">
        <v>2127</v>
      </c>
      <c r="C435" s="63">
        <v>46233.0</v>
      </c>
      <c r="D435" s="63" t="s">
        <v>130</v>
      </c>
      <c r="E435" s="68">
        <v>0.97829004</v>
      </c>
      <c r="F435" s="1"/>
      <c r="G435" s="23">
        <v>2700000.0</v>
      </c>
      <c r="H435" s="23">
        <v>2641383.12</v>
      </c>
      <c r="I435" s="23">
        <v>2700000.0</v>
      </c>
      <c r="J435" s="23">
        <v>2641383.12</v>
      </c>
      <c r="K435" s="24">
        <v>6268.0</v>
      </c>
      <c r="L435" s="1" t="s">
        <v>1776</v>
      </c>
      <c r="M435" s="1" t="s">
        <v>2128</v>
      </c>
      <c r="N435" s="63" t="s">
        <v>1332</v>
      </c>
      <c r="O435" s="63" t="s">
        <v>1332</v>
      </c>
      <c r="P435" s="68">
        <v>30.0</v>
      </c>
      <c r="Q435" s="1" t="s">
        <v>2130</v>
      </c>
      <c r="R435" s="1" t="s">
        <v>13</v>
      </c>
      <c r="S435" s="1"/>
      <c r="T435" s="1"/>
      <c r="U435" s="1" t="s">
        <v>1346</v>
      </c>
      <c r="V435" s="1" t="s">
        <v>1346</v>
      </c>
      <c r="W435" s="145">
        <f t="shared" si="1"/>
        <v>0.00005403215711</v>
      </c>
      <c r="AC435" s="38"/>
    </row>
    <row r="436" ht="15.75" customHeight="1">
      <c r="A436" s="1" t="s">
        <v>1924</v>
      </c>
      <c r="B436" s="1" t="s">
        <v>2127</v>
      </c>
      <c r="C436" s="63">
        <v>46233.0</v>
      </c>
      <c r="D436" s="63" t="s">
        <v>130</v>
      </c>
      <c r="E436" s="68">
        <v>0.98041855</v>
      </c>
      <c r="F436" s="1"/>
      <c r="G436" s="23">
        <v>7.5E7</v>
      </c>
      <c r="H436" s="23">
        <v>7.353139146E7</v>
      </c>
      <c r="I436" s="23">
        <v>7.5E7</v>
      </c>
      <c r="J436" s="23">
        <v>7.353139146E7</v>
      </c>
      <c r="K436" s="24">
        <v>16181.0</v>
      </c>
      <c r="L436" s="1" t="s">
        <v>1776</v>
      </c>
      <c r="M436" s="1" t="s">
        <v>2128</v>
      </c>
      <c r="N436" s="63" t="s">
        <v>446</v>
      </c>
      <c r="O436" s="63" t="s">
        <v>446</v>
      </c>
      <c r="P436" s="68">
        <v>27.0</v>
      </c>
      <c r="Q436" s="1" t="s">
        <v>2130</v>
      </c>
      <c r="R436" s="1" t="s">
        <v>13</v>
      </c>
      <c r="S436" s="1"/>
      <c r="T436" s="1"/>
      <c r="U436" s="1" t="s">
        <v>497</v>
      </c>
      <c r="V436" s="1" t="s">
        <v>497</v>
      </c>
      <c r="W436" s="145">
        <f t="shared" si="1"/>
        <v>0.001504158812</v>
      </c>
      <c r="AC436" s="38"/>
    </row>
    <row r="437" ht="15.75" customHeight="1">
      <c r="A437" s="1" t="s">
        <v>1933</v>
      </c>
      <c r="B437" s="1" t="s">
        <v>2127</v>
      </c>
      <c r="C437" s="63">
        <v>46233.0</v>
      </c>
      <c r="D437" s="63" t="s">
        <v>130</v>
      </c>
      <c r="E437" s="68">
        <v>0.97687618</v>
      </c>
      <c r="F437" s="1"/>
      <c r="G437" s="23">
        <v>1.5E7</v>
      </c>
      <c r="H437" s="23">
        <v>1.465314267E7</v>
      </c>
      <c r="I437" s="23">
        <v>1.5E7</v>
      </c>
      <c r="J437" s="23">
        <v>1.465314267E7</v>
      </c>
      <c r="K437" s="24">
        <v>174.0</v>
      </c>
      <c r="L437" s="1" t="s">
        <v>1776</v>
      </c>
      <c r="M437" s="1" t="s">
        <v>2128</v>
      </c>
      <c r="N437" s="63" t="s">
        <v>307</v>
      </c>
      <c r="O437" s="63" t="s">
        <v>307</v>
      </c>
      <c r="P437" s="68">
        <v>32.0</v>
      </c>
      <c r="Q437" s="1" t="s">
        <v>2130</v>
      </c>
      <c r="R437" s="1" t="s">
        <v>13</v>
      </c>
      <c r="S437" s="1"/>
      <c r="T437" s="1"/>
      <c r="U437" s="1" t="s">
        <v>324</v>
      </c>
      <c r="V437" s="1" t="s">
        <v>324</v>
      </c>
      <c r="W437" s="145">
        <f t="shared" si="1"/>
        <v>0.0002997448196</v>
      </c>
      <c r="AC437" s="38"/>
    </row>
    <row r="438" ht="15.75" customHeight="1">
      <c r="A438" s="1" t="s">
        <v>1939</v>
      </c>
      <c r="B438" s="1" t="s">
        <v>2127</v>
      </c>
      <c r="C438" s="63">
        <v>46233.0</v>
      </c>
      <c r="D438" s="63" t="s">
        <v>130</v>
      </c>
      <c r="E438" s="68">
        <v>0.97476302</v>
      </c>
      <c r="F438" s="1"/>
      <c r="G438" s="23">
        <v>2.5E7</v>
      </c>
      <c r="H438" s="23">
        <v>2.436907538E7</v>
      </c>
      <c r="I438" s="23">
        <v>2.5E7</v>
      </c>
      <c r="J438" s="23">
        <v>2.436907538E7</v>
      </c>
      <c r="K438" s="24">
        <v>1310.0</v>
      </c>
      <c r="L438" s="1" t="s">
        <v>1776</v>
      </c>
      <c r="M438" s="1" t="s">
        <v>2128</v>
      </c>
      <c r="N438" s="63" t="s">
        <v>360</v>
      </c>
      <c r="O438" s="63" t="s">
        <v>360</v>
      </c>
      <c r="P438" s="68">
        <v>35.0</v>
      </c>
      <c r="Q438" s="1" t="s">
        <v>2130</v>
      </c>
      <c r="R438" s="1" t="s">
        <v>13</v>
      </c>
      <c r="S438" s="1"/>
      <c r="T438" s="1"/>
      <c r="U438" s="1" t="s">
        <v>402</v>
      </c>
      <c r="V438" s="1" t="s">
        <v>402</v>
      </c>
      <c r="W438" s="145">
        <f t="shared" si="1"/>
        <v>0.0004984940274</v>
      </c>
      <c r="AC438" s="38"/>
    </row>
    <row r="439" ht="15.75" customHeight="1">
      <c r="A439" s="1" t="s">
        <v>1921</v>
      </c>
      <c r="B439" s="1" t="s">
        <v>2127</v>
      </c>
      <c r="C439" s="63">
        <v>46233.0</v>
      </c>
      <c r="D439" s="63" t="s">
        <v>130</v>
      </c>
      <c r="E439" s="68">
        <v>0.9818428</v>
      </c>
      <c r="F439" s="1"/>
      <c r="G439" s="23">
        <v>548019.59</v>
      </c>
      <c r="H439" s="23">
        <v>538069.09</v>
      </c>
      <c r="I439" s="23">
        <v>548019.59</v>
      </c>
      <c r="J439" s="23">
        <v>538069.09</v>
      </c>
      <c r="K439" s="24">
        <v>6.7963011E7</v>
      </c>
      <c r="L439" s="1" t="s">
        <v>1776</v>
      </c>
      <c r="M439" s="1" t="s">
        <v>2128</v>
      </c>
      <c r="N439" s="63" t="s">
        <v>1488</v>
      </c>
      <c r="O439" s="63" t="s">
        <v>1488</v>
      </c>
      <c r="P439" s="68">
        <v>25.0</v>
      </c>
      <c r="Q439" s="1" t="s">
        <v>2130</v>
      </c>
      <c r="R439" s="1" t="s">
        <v>13</v>
      </c>
      <c r="S439" s="1"/>
      <c r="T439" s="1"/>
      <c r="U439" s="1" t="s">
        <v>1517</v>
      </c>
      <c r="V439" s="1" t="s">
        <v>1517</v>
      </c>
      <c r="W439" s="145">
        <f t="shared" si="1"/>
        <v>0.0000110067462</v>
      </c>
      <c r="AC439" s="38"/>
    </row>
    <row r="440" ht="15.75" customHeight="1">
      <c r="A440" s="1" t="s">
        <v>1921</v>
      </c>
      <c r="B440" s="1" t="s">
        <v>2127</v>
      </c>
      <c r="C440" s="63">
        <v>46233.0</v>
      </c>
      <c r="D440" s="63" t="s">
        <v>130</v>
      </c>
      <c r="E440" s="68">
        <v>0.97899852</v>
      </c>
      <c r="F440" s="1"/>
      <c r="G440" s="23">
        <v>5000000.0</v>
      </c>
      <c r="H440" s="23">
        <v>4894992.59</v>
      </c>
      <c r="I440" s="23">
        <v>5000000.0</v>
      </c>
      <c r="J440" s="23">
        <v>4894992.59</v>
      </c>
      <c r="K440" s="24">
        <v>43316.0</v>
      </c>
      <c r="L440" s="1" t="s">
        <v>1776</v>
      </c>
      <c r="M440" s="1" t="s">
        <v>2128</v>
      </c>
      <c r="N440" s="63" t="s">
        <v>404</v>
      </c>
      <c r="O440" s="63" t="s">
        <v>404</v>
      </c>
      <c r="P440" s="68">
        <v>29.0</v>
      </c>
      <c r="Q440" s="1" t="s">
        <v>2130</v>
      </c>
      <c r="R440" s="1" t="s">
        <v>13</v>
      </c>
      <c r="S440" s="1"/>
      <c r="T440" s="1"/>
      <c r="U440" s="1" t="s">
        <v>406</v>
      </c>
      <c r="V440" s="1" t="s">
        <v>406</v>
      </c>
      <c r="W440" s="145">
        <f t="shared" si="1"/>
        <v>0.0001001320129</v>
      </c>
      <c r="AC440" s="38"/>
    </row>
    <row r="441" ht="15.75" customHeight="1">
      <c r="A441" s="1" t="s">
        <v>2005</v>
      </c>
      <c r="B441" s="1" t="s">
        <v>2127</v>
      </c>
      <c r="C441" s="63">
        <v>46233.0</v>
      </c>
      <c r="D441" s="63" t="s">
        <v>130</v>
      </c>
      <c r="E441" s="68">
        <v>0.97476302</v>
      </c>
      <c r="F441" s="1"/>
      <c r="G441" s="23">
        <v>5450000.0</v>
      </c>
      <c r="H441" s="23">
        <v>5312458.44</v>
      </c>
      <c r="I441" s="23">
        <v>5450000.0</v>
      </c>
      <c r="J441" s="23">
        <v>5312458.44</v>
      </c>
      <c r="K441" s="24">
        <v>6900.0</v>
      </c>
      <c r="L441" s="1" t="s">
        <v>1776</v>
      </c>
      <c r="M441" s="1" t="s">
        <v>2128</v>
      </c>
      <c r="N441" s="63" t="s">
        <v>360</v>
      </c>
      <c r="O441" s="63" t="s">
        <v>360</v>
      </c>
      <c r="P441" s="68">
        <v>35.0</v>
      </c>
      <c r="Q441" s="1" t="s">
        <v>2130</v>
      </c>
      <c r="R441" s="1" t="s">
        <v>13</v>
      </c>
      <c r="S441" s="1"/>
      <c r="T441" s="1"/>
      <c r="U441" s="1" t="s">
        <v>396</v>
      </c>
      <c r="V441" s="1" t="s">
        <v>396</v>
      </c>
      <c r="W441" s="145">
        <f t="shared" si="1"/>
        <v>0.0001086716981</v>
      </c>
      <c r="AC441" s="38"/>
    </row>
    <row r="442" ht="15.75" customHeight="1">
      <c r="A442" s="1" t="s">
        <v>1926</v>
      </c>
      <c r="B442" s="1" t="s">
        <v>2127</v>
      </c>
      <c r="C442" s="63">
        <v>46233.0</v>
      </c>
      <c r="D442" s="63" t="s">
        <v>130</v>
      </c>
      <c r="E442" s="68">
        <v>0.97899848</v>
      </c>
      <c r="F442" s="1"/>
      <c r="G442" s="23">
        <v>5000000.0</v>
      </c>
      <c r="H442" s="23">
        <v>4894992.39</v>
      </c>
      <c r="I442" s="23">
        <v>5000000.0</v>
      </c>
      <c r="J442" s="23">
        <v>4894992.39</v>
      </c>
      <c r="K442" s="24">
        <v>1.6779605E7</v>
      </c>
      <c r="L442" s="1" t="s">
        <v>1776</v>
      </c>
      <c r="M442" s="1" t="s">
        <v>2128</v>
      </c>
      <c r="N442" s="63" t="s">
        <v>628</v>
      </c>
      <c r="O442" s="63" t="s">
        <v>628</v>
      </c>
      <c r="P442" s="68">
        <v>29.0</v>
      </c>
      <c r="Q442" s="1" t="s">
        <v>2130</v>
      </c>
      <c r="R442" s="1" t="s">
        <v>13</v>
      </c>
      <c r="S442" s="1"/>
      <c r="T442" s="1"/>
      <c r="U442" s="1" t="s">
        <v>639</v>
      </c>
      <c r="V442" s="1" t="s">
        <v>639</v>
      </c>
      <c r="W442" s="145">
        <f t="shared" si="1"/>
        <v>0.0001001320088</v>
      </c>
      <c r="AC442" s="38"/>
    </row>
    <row r="443" ht="15.75" customHeight="1">
      <c r="A443" s="1" t="s">
        <v>1926</v>
      </c>
      <c r="B443" s="1" t="s">
        <v>2127</v>
      </c>
      <c r="C443" s="63">
        <v>46233.0</v>
      </c>
      <c r="D443" s="63" t="s">
        <v>130</v>
      </c>
      <c r="E443" s="68">
        <v>0.9789985</v>
      </c>
      <c r="F443" s="1"/>
      <c r="G443" s="23">
        <v>5000000.0</v>
      </c>
      <c r="H443" s="23">
        <v>4894992.48</v>
      </c>
      <c r="I443" s="23">
        <v>5000000.0</v>
      </c>
      <c r="J443" s="23">
        <v>4894992.48</v>
      </c>
      <c r="K443" s="24">
        <v>1.6779579E7</v>
      </c>
      <c r="L443" s="1" t="s">
        <v>1776</v>
      </c>
      <c r="M443" s="1" t="s">
        <v>2128</v>
      </c>
      <c r="N443" s="63" t="s">
        <v>360</v>
      </c>
      <c r="O443" s="63" t="s">
        <v>360</v>
      </c>
      <c r="P443" s="68">
        <v>29.0</v>
      </c>
      <c r="Q443" s="1" t="s">
        <v>2130</v>
      </c>
      <c r="R443" s="1" t="s">
        <v>13</v>
      </c>
      <c r="S443" s="1"/>
      <c r="T443" s="1"/>
      <c r="U443" s="1" t="s">
        <v>367</v>
      </c>
      <c r="V443" s="1" t="s">
        <v>367</v>
      </c>
      <c r="W443" s="145">
        <f t="shared" si="1"/>
        <v>0.0001001320107</v>
      </c>
      <c r="AC443" s="38"/>
    </row>
    <row r="444" ht="15.75" customHeight="1">
      <c r="A444" s="1" t="s">
        <v>1907</v>
      </c>
      <c r="B444" s="1" t="s">
        <v>2127</v>
      </c>
      <c r="C444" s="63">
        <v>46233.0</v>
      </c>
      <c r="D444" s="63" t="s">
        <v>130</v>
      </c>
      <c r="E444" s="68">
        <v>0.97899852</v>
      </c>
      <c r="F444" s="1"/>
      <c r="G444" s="23">
        <v>1.0E8</v>
      </c>
      <c r="H444" s="23">
        <v>9.789985215E7</v>
      </c>
      <c r="I444" s="23">
        <v>1.0E8</v>
      </c>
      <c r="J444" s="23">
        <v>9.789985215E7</v>
      </c>
      <c r="K444" s="24">
        <v>9.0003811E7</v>
      </c>
      <c r="L444" s="1" t="s">
        <v>1776</v>
      </c>
      <c r="M444" s="1" t="s">
        <v>2128</v>
      </c>
      <c r="N444" s="63" t="s">
        <v>1084</v>
      </c>
      <c r="O444" s="63" t="s">
        <v>1084</v>
      </c>
      <c r="P444" s="68">
        <v>29.0</v>
      </c>
      <c r="Q444" s="1" t="s">
        <v>2130</v>
      </c>
      <c r="R444" s="1" t="s">
        <v>13</v>
      </c>
      <c r="S444" s="1"/>
      <c r="T444" s="1"/>
      <c r="U444" s="1" t="s">
        <v>1094</v>
      </c>
      <c r="V444" s="1" t="s">
        <v>1094</v>
      </c>
      <c r="W444" s="145">
        <f t="shared" si="1"/>
        <v>0.002002640265</v>
      </c>
      <c r="AC444" s="38"/>
    </row>
    <row r="445" ht="15.75" customHeight="1">
      <c r="A445" s="1" t="s">
        <v>1948</v>
      </c>
      <c r="B445" s="1" t="s">
        <v>2127</v>
      </c>
      <c r="C445" s="63">
        <v>46233.0</v>
      </c>
      <c r="D445" s="63" t="s">
        <v>130</v>
      </c>
      <c r="E445" s="68">
        <v>0.97899852</v>
      </c>
      <c r="F445" s="1"/>
      <c r="G445" s="23">
        <v>1.25E7</v>
      </c>
      <c r="H445" s="23">
        <v>1.223748154E7</v>
      </c>
      <c r="I445" s="23">
        <v>1.25E7</v>
      </c>
      <c r="J445" s="23">
        <v>1.223748154E7</v>
      </c>
      <c r="K445" s="24">
        <v>2.8996512E7</v>
      </c>
      <c r="L445" s="1" t="s">
        <v>1776</v>
      </c>
      <c r="M445" s="1" t="s">
        <v>2128</v>
      </c>
      <c r="N445" s="63" t="s">
        <v>207</v>
      </c>
      <c r="O445" s="63" t="s">
        <v>207</v>
      </c>
      <c r="P445" s="68">
        <v>29.0</v>
      </c>
      <c r="Q445" s="1" t="s">
        <v>2130</v>
      </c>
      <c r="R445" s="1" t="s">
        <v>13</v>
      </c>
      <c r="S445" s="1"/>
      <c r="T445" s="1"/>
      <c r="U445" s="1" t="s">
        <v>217</v>
      </c>
      <c r="V445" s="1" t="s">
        <v>217</v>
      </c>
      <c r="W445" s="145">
        <f t="shared" si="1"/>
        <v>0.0002503300336</v>
      </c>
      <c r="AC445" s="38"/>
    </row>
    <row r="446" ht="15.75" customHeight="1">
      <c r="A446" s="1" t="s">
        <v>2002</v>
      </c>
      <c r="B446" s="1" t="s">
        <v>2127</v>
      </c>
      <c r="C446" s="63">
        <v>46233.0</v>
      </c>
      <c r="D446" s="63" t="s">
        <v>130</v>
      </c>
      <c r="E446" s="68">
        <v>0.97687623</v>
      </c>
      <c r="F446" s="1"/>
      <c r="G446" s="23">
        <v>2.706396E7</v>
      </c>
      <c r="H446" s="23">
        <v>2.643813933E7</v>
      </c>
      <c r="I446" s="23">
        <v>2.706396E7</v>
      </c>
      <c r="J446" s="23">
        <v>2.643813933E7</v>
      </c>
      <c r="K446" s="24">
        <v>1.0115827E7</v>
      </c>
      <c r="L446" s="1" t="s">
        <v>1776</v>
      </c>
      <c r="M446" s="1" t="s">
        <v>2128</v>
      </c>
      <c r="N446" s="63" t="s">
        <v>1118</v>
      </c>
      <c r="O446" s="63" t="s">
        <v>1118</v>
      </c>
      <c r="P446" s="68">
        <v>32.0</v>
      </c>
      <c r="Q446" s="1" t="s">
        <v>2130</v>
      </c>
      <c r="R446" s="1" t="s">
        <v>13</v>
      </c>
      <c r="S446" s="1"/>
      <c r="T446" s="1"/>
      <c r="U446" s="1" t="s">
        <v>1176</v>
      </c>
      <c r="V446" s="1" t="s">
        <v>1176</v>
      </c>
      <c r="W446" s="145">
        <f t="shared" si="1"/>
        <v>0.0005408188184</v>
      </c>
      <c r="AC446" s="38"/>
    </row>
    <row r="447" ht="15.75" customHeight="1">
      <c r="A447" s="1" t="s">
        <v>2095</v>
      </c>
      <c r="B447" s="1" t="s">
        <v>2127</v>
      </c>
      <c r="C447" s="63">
        <v>46233.0</v>
      </c>
      <c r="D447" s="63" t="s">
        <v>130</v>
      </c>
      <c r="E447" s="68">
        <v>0.97687624</v>
      </c>
      <c r="F447" s="1"/>
      <c r="G447" s="23">
        <v>1084567.12</v>
      </c>
      <c r="H447" s="23">
        <v>1059487.85</v>
      </c>
      <c r="I447" s="23">
        <v>1084567.12</v>
      </c>
      <c r="J447" s="23">
        <v>1059487.85</v>
      </c>
      <c r="K447" s="24">
        <v>7.1912904E7</v>
      </c>
      <c r="L447" s="1" t="s">
        <v>1776</v>
      </c>
      <c r="M447" s="1" t="s">
        <v>2128</v>
      </c>
      <c r="N447" s="63" t="s">
        <v>1118</v>
      </c>
      <c r="O447" s="63" t="s">
        <v>1118</v>
      </c>
      <c r="P447" s="68">
        <v>32.0</v>
      </c>
      <c r="Q447" s="1" t="s">
        <v>2130</v>
      </c>
      <c r="R447" s="1" t="s">
        <v>13</v>
      </c>
      <c r="S447" s="1"/>
      <c r="T447" s="1"/>
      <c r="U447" s="1" t="s">
        <v>1177</v>
      </c>
      <c r="V447" s="1" t="s">
        <v>1177</v>
      </c>
      <c r="W447" s="145">
        <f t="shared" si="1"/>
        <v>0.00002167289309</v>
      </c>
      <c r="AC447" s="38"/>
    </row>
    <row r="448" ht="15.75" customHeight="1">
      <c r="A448" s="1" t="s">
        <v>1973</v>
      </c>
      <c r="B448" s="1" t="s">
        <v>2127</v>
      </c>
      <c r="C448" s="63">
        <v>46233.0</v>
      </c>
      <c r="D448" s="63" t="s">
        <v>130</v>
      </c>
      <c r="E448" s="68">
        <v>0.97829009</v>
      </c>
      <c r="F448" s="1"/>
      <c r="G448" s="23">
        <v>6.0E7</v>
      </c>
      <c r="H448" s="23">
        <v>5.869740564E7</v>
      </c>
      <c r="I448" s="23">
        <v>6.0E7</v>
      </c>
      <c r="J448" s="23">
        <v>5.869740564E7</v>
      </c>
      <c r="K448" s="24">
        <v>6.7620312E7</v>
      </c>
      <c r="L448" s="1" t="s">
        <v>1776</v>
      </c>
      <c r="M448" s="1" t="s">
        <v>2128</v>
      </c>
      <c r="N448" s="63" t="s">
        <v>1245</v>
      </c>
      <c r="O448" s="63" t="s">
        <v>1245</v>
      </c>
      <c r="P448" s="68">
        <v>30.0</v>
      </c>
      <c r="Q448" s="1" t="s">
        <v>2130</v>
      </c>
      <c r="R448" s="1" t="s">
        <v>13</v>
      </c>
      <c r="S448" s="1"/>
      <c r="T448" s="1"/>
      <c r="U448" s="1" t="s">
        <v>1256</v>
      </c>
      <c r="V448" s="1" t="s">
        <v>1256</v>
      </c>
      <c r="W448" s="145">
        <f t="shared" si="1"/>
        <v>0.001200714663</v>
      </c>
      <c r="AC448" s="38"/>
    </row>
    <row r="449" ht="15.75" customHeight="1">
      <c r="A449" s="1" t="s">
        <v>2052</v>
      </c>
      <c r="B449" s="1" t="s">
        <v>2127</v>
      </c>
      <c r="C449" s="63">
        <v>46233.0</v>
      </c>
      <c r="D449" s="63" t="s">
        <v>130</v>
      </c>
      <c r="E449" s="68">
        <v>0.97829021</v>
      </c>
      <c r="F449" s="1"/>
      <c r="G449" s="23">
        <v>330000.0</v>
      </c>
      <c r="H449" s="23">
        <v>322835.77</v>
      </c>
      <c r="I449" s="23">
        <v>330000.0</v>
      </c>
      <c r="J449" s="23">
        <v>322835.77</v>
      </c>
      <c r="K449" s="24">
        <v>9918442.0</v>
      </c>
      <c r="L449" s="1" t="s">
        <v>1776</v>
      </c>
      <c r="M449" s="1" t="s">
        <v>2128</v>
      </c>
      <c r="N449" s="63" t="s">
        <v>1488</v>
      </c>
      <c r="O449" s="63" t="s">
        <v>1488</v>
      </c>
      <c r="P449" s="68">
        <v>30.0</v>
      </c>
      <c r="Q449" s="1" t="s">
        <v>2130</v>
      </c>
      <c r="R449" s="1" t="s">
        <v>13</v>
      </c>
      <c r="S449" s="1"/>
      <c r="T449" s="1"/>
      <c r="U449" s="1" t="s">
        <v>1543</v>
      </c>
      <c r="V449" s="1" t="s">
        <v>1543</v>
      </c>
      <c r="W449" s="145">
        <f t="shared" si="1"/>
        <v>0.000006603931445</v>
      </c>
      <c r="AC449" s="38"/>
    </row>
    <row r="450" ht="15.75" customHeight="1">
      <c r="A450" s="1" t="s">
        <v>2052</v>
      </c>
      <c r="B450" s="1" t="s">
        <v>2127</v>
      </c>
      <c r="C450" s="63">
        <v>46233.0</v>
      </c>
      <c r="D450" s="63" t="s">
        <v>130</v>
      </c>
      <c r="E450" s="68">
        <v>0.97829019</v>
      </c>
      <c r="F450" s="1"/>
      <c r="G450" s="23">
        <v>415000.0</v>
      </c>
      <c r="H450" s="23">
        <v>405990.43</v>
      </c>
      <c r="I450" s="23">
        <v>415000.0</v>
      </c>
      <c r="J450" s="23">
        <v>405990.43</v>
      </c>
      <c r="K450" s="24">
        <v>9918436.0</v>
      </c>
      <c r="L450" s="1" t="s">
        <v>1776</v>
      </c>
      <c r="M450" s="1" t="s">
        <v>2128</v>
      </c>
      <c r="N450" s="63" t="s">
        <v>1488</v>
      </c>
      <c r="O450" s="63" t="s">
        <v>1488</v>
      </c>
      <c r="P450" s="68">
        <v>30.0</v>
      </c>
      <c r="Q450" s="1" t="s">
        <v>2130</v>
      </c>
      <c r="R450" s="1" t="s">
        <v>13</v>
      </c>
      <c r="S450" s="1"/>
      <c r="T450" s="1"/>
      <c r="U450" s="1" t="s">
        <v>1544</v>
      </c>
      <c r="V450" s="1" t="s">
        <v>1544</v>
      </c>
      <c r="W450" s="145">
        <f t="shared" si="1"/>
        <v>0.000008304943926</v>
      </c>
      <c r="AC450" s="38"/>
    </row>
    <row r="451" ht="15.75" customHeight="1">
      <c r="A451" s="1" t="s">
        <v>1916</v>
      </c>
      <c r="B451" s="1" t="s">
        <v>2127</v>
      </c>
      <c r="C451" s="63">
        <v>46234.0</v>
      </c>
      <c r="D451" s="63" t="s">
        <v>130</v>
      </c>
      <c r="E451" s="68">
        <v>0.97897224</v>
      </c>
      <c r="F451" s="1"/>
      <c r="G451" s="23">
        <v>1.5E7</v>
      </c>
      <c r="H451" s="23">
        <v>1.468458356E7</v>
      </c>
      <c r="I451" s="23">
        <v>1.5E7</v>
      </c>
      <c r="J451" s="23">
        <v>1.468458356E7</v>
      </c>
      <c r="K451" s="24">
        <v>2.9131905E7</v>
      </c>
      <c r="L451" s="1" t="s">
        <v>1776</v>
      </c>
      <c r="M451" s="1" t="s">
        <v>2128</v>
      </c>
      <c r="N451" s="63" t="s">
        <v>404</v>
      </c>
      <c r="O451" s="63" t="s">
        <v>404</v>
      </c>
      <c r="P451" s="68">
        <v>28.0</v>
      </c>
      <c r="Q451" s="1" t="s">
        <v>2130</v>
      </c>
      <c r="R451" s="1" t="s">
        <v>13</v>
      </c>
      <c r="S451" s="1"/>
      <c r="T451" s="1"/>
      <c r="U451" s="1" t="s">
        <v>440</v>
      </c>
      <c r="V451" s="1" t="s">
        <v>440</v>
      </c>
      <c r="W451" s="145">
        <f t="shared" si="1"/>
        <v>0.0003003879748</v>
      </c>
      <c r="AC451" s="38"/>
    </row>
    <row r="452" ht="15.75" customHeight="1">
      <c r="A452" s="1" t="s">
        <v>1945</v>
      </c>
      <c r="B452" s="1" t="s">
        <v>2127</v>
      </c>
      <c r="C452" s="63">
        <v>46234.0</v>
      </c>
      <c r="D452" s="63" t="s">
        <v>130</v>
      </c>
      <c r="E452" s="68">
        <v>0.97750411</v>
      </c>
      <c r="F452" s="1"/>
      <c r="G452" s="23">
        <v>1.0E8</v>
      </c>
      <c r="H452" s="23">
        <v>9.775041117E7</v>
      </c>
      <c r="I452" s="23">
        <v>1.0E8</v>
      </c>
      <c r="J452" s="23">
        <v>9.775041117E7</v>
      </c>
      <c r="K452" s="24">
        <v>5413.0</v>
      </c>
      <c r="L452" s="1" t="s">
        <v>1776</v>
      </c>
      <c r="M452" s="1" t="s">
        <v>2128</v>
      </c>
      <c r="N452" s="63" t="s">
        <v>946</v>
      </c>
      <c r="O452" s="63" t="s">
        <v>946</v>
      </c>
      <c r="P452" s="68">
        <v>30.0</v>
      </c>
      <c r="Q452" s="1" t="s">
        <v>2130</v>
      </c>
      <c r="R452" s="1" t="s">
        <v>13</v>
      </c>
      <c r="S452" s="1"/>
      <c r="T452" s="1"/>
      <c r="U452" s="1" t="s">
        <v>997</v>
      </c>
      <c r="V452" s="1" t="s">
        <v>997</v>
      </c>
      <c r="W452" s="145">
        <f t="shared" si="1"/>
        <v>0.001999583299</v>
      </c>
      <c r="AC452" s="38"/>
    </row>
    <row r="453" ht="15.75" customHeight="1">
      <c r="A453" s="1" t="s">
        <v>1917</v>
      </c>
      <c r="B453" s="1" t="s">
        <v>2127</v>
      </c>
      <c r="C453" s="63">
        <v>46234.0</v>
      </c>
      <c r="D453" s="63" t="s">
        <v>130</v>
      </c>
      <c r="E453" s="68">
        <v>0.97750408</v>
      </c>
      <c r="F453" s="1"/>
      <c r="G453" s="23">
        <v>1.0E7</v>
      </c>
      <c r="H453" s="23">
        <v>9775040.82</v>
      </c>
      <c r="I453" s="23">
        <v>1.0E7</v>
      </c>
      <c r="J453" s="23">
        <v>9775040.82</v>
      </c>
      <c r="K453" s="24">
        <v>499.0</v>
      </c>
      <c r="L453" s="1" t="s">
        <v>1776</v>
      </c>
      <c r="M453" s="1" t="s">
        <v>2128</v>
      </c>
      <c r="N453" s="63" t="s">
        <v>798</v>
      </c>
      <c r="O453" s="63" t="s">
        <v>798</v>
      </c>
      <c r="P453" s="68">
        <v>30.0</v>
      </c>
      <c r="Q453" s="1" t="s">
        <v>2130</v>
      </c>
      <c r="R453" s="1" t="s">
        <v>13</v>
      </c>
      <c r="S453" s="1"/>
      <c r="T453" s="1"/>
      <c r="U453" s="1" t="s">
        <v>803</v>
      </c>
      <c r="V453" s="1" t="s">
        <v>803</v>
      </c>
      <c r="W453" s="145">
        <f t="shared" si="1"/>
        <v>0.0001999583239</v>
      </c>
      <c r="AC453" s="38"/>
    </row>
    <row r="454" ht="15.75" customHeight="1">
      <c r="A454" s="1" t="s">
        <v>1961</v>
      </c>
      <c r="B454" s="1" t="s">
        <v>2127</v>
      </c>
      <c r="C454" s="63">
        <v>46234.0</v>
      </c>
      <c r="D454" s="63" t="s">
        <v>130</v>
      </c>
      <c r="E454" s="68">
        <v>0.97312586</v>
      </c>
      <c r="F454" s="1"/>
      <c r="G454" s="23">
        <v>5882352.93</v>
      </c>
      <c r="H454" s="23">
        <v>5724269.78</v>
      </c>
      <c r="I454" s="23">
        <v>5882352.93</v>
      </c>
      <c r="J454" s="23">
        <v>5724269.78</v>
      </c>
      <c r="K454" s="24">
        <v>2618.0</v>
      </c>
      <c r="L454" s="1" t="s">
        <v>1776</v>
      </c>
      <c r="M454" s="1" t="s">
        <v>2128</v>
      </c>
      <c r="N454" s="63" t="s">
        <v>886</v>
      </c>
      <c r="O454" s="63" t="s">
        <v>886</v>
      </c>
      <c r="P454" s="68">
        <v>36.0</v>
      </c>
      <c r="Q454" s="1" t="s">
        <v>2130</v>
      </c>
      <c r="R454" s="1" t="s">
        <v>13</v>
      </c>
      <c r="S454" s="1"/>
      <c r="T454" s="1"/>
      <c r="U454" s="1" t="s">
        <v>896</v>
      </c>
      <c r="V454" s="1" t="s">
        <v>896</v>
      </c>
      <c r="W454" s="145">
        <f t="shared" si="1"/>
        <v>0.0001170957146</v>
      </c>
      <c r="AC454" s="38"/>
    </row>
    <row r="455" ht="15.75" customHeight="1">
      <c r="A455" s="1" t="s">
        <v>2046</v>
      </c>
      <c r="B455" s="1" t="s">
        <v>2127</v>
      </c>
      <c r="C455" s="63">
        <v>46234.0</v>
      </c>
      <c r="D455" s="63" t="s">
        <v>130</v>
      </c>
      <c r="E455" s="68">
        <v>0.97604028</v>
      </c>
      <c r="F455" s="1"/>
      <c r="G455" s="23">
        <v>2700000.0</v>
      </c>
      <c r="H455" s="23">
        <v>2635308.75</v>
      </c>
      <c r="I455" s="23">
        <v>2700000.0</v>
      </c>
      <c r="J455" s="23">
        <v>2635308.75</v>
      </c>
      <c r="K455" s="24">
        <v>2425.0</v>
      </c>
      <c r="L455" s="1" t="s">
        <v>1776</v>
      </c>
      <c r="M455" s="1" t="s">
        <v>2128</v>
      </c>
      <c r="N455" s="63" t="s">
        <v>1118</v>
      </c>
      <c r="O455" s="63" t="s">
        <v>1118</v>
      </c>
      <c r="P455" s="68">
        <v>32.0</v>
      </c>
      <c r="Q455" s="1" t="s">
        <v>2130</v>
      </c>
      <c r="R455" s="1" t="s">
        <v>13</v>
      </c>
      <c r="S455" s="1"/>
      <c r="T455" s="1"/>
      <c r="U455" s="1" t="s">
        <v>1178</v>
      </c>
      <c r="V455" s="1" t="s">
        <v>1178</v>
      </c>
      <c r="W455" s="145">
        <f t="shared" si="1"/>
        <v>0.00005390789974</v>
      </c>
      <c r="AC455" s="38"/>
    </row>
    <row r="456" ht="15.75" customHeight="1">
      <c r="A456" s="1" t="s">
        <v>1903</v>
      </c>
      <c r="B456" s="1" t="s">
        <v>2127</v>
      </c>
      <c r="C456" s="63">
        <v>46234.0</v>
      </c>
      <c r="D456" s="63" t="s">
        <v>130</v>
      </c>
      <c r="E456" s="68">
        <v>0.97823759</v>
      </c>
      <c r="F456" s="1"/>
      <c r="G456" s="23">
        <v>2.0E7</v>
      </c>
      <c r="H456" s="23">
        <v>1.956475187E7</v>
      </c>
      <c r="I456" s="23">
        <v>2.0E7</v>
      </c>
      <c r="J456" s="23">
        <v>1.956475187E7</v>
      </c>
      <c r="K456" s="24">
        <v>6.6179118E7</v>
      </c>
      <c r="L456" s="1" t="s">
        <v>1776</v>
      </c>
      <c r="M456" s="1" t="s">
        <v>2128</v>
      </c>
      <c r="N456" s="63" t="s">
        <v>256</v>
      </c>
      <c r="O456" s="63" t="s">
        <v>256</v>
      </c>
      <c r="P456" s="68">
        <v>29.0</v>
      </c>
      <c r="Q456" s="1" t="s">
        <v>2130</v>
      </c>
      <c r="R456" s="1" t="s">
        <v>13</v>
      </c>
      <c r="S456" s="1"/>
      <c r="T456" s="1"/>
      <c r="U456" s="1" t="s">
        <v>267</v>
      </c>
      <c r="V456" s="1" t="s">
        <v>267</v>
      </c>
      <c r="W456" s="145">
        <f t="shared" si="1"/>
        <v>0.0004002167421</v>
      </c>
      <c r="AC456" s="38"/>
    </row>
    <row r="457" ht="15.75" customHeight="1">
      <c r="A457" s="1" t="s">
        <v>1903</v>
      </c>
      <c r="B457" s="1" t="s">
        <v>2127</v>
      </c>
      <c r="C457" s="63">
        <v>46234.0</v>
      </c>
      <c r="D457" s="63" t="s">
        <v>130</v>
      </c>
      <c r="E457" s="68">
        <v>0.9782376</v>
      </c>
      <c r="F457" s="1"/>
      <c r="G457" s="23">
        <v>1.0E7</v>
      </c>
      <c r="H457" s="23">
        <v>9782375.96</v>
      </c>
      <c r="I457" s="23">
        <v>1.0E7</v>
      </c>
      <c r="J457" s="23">
        <v>9782375.96</v>
      </c>
      <c r="K457" s="24">
        <v>491334.0</v>
      </c>
      <c r="L457" s="1" t="s">
        <v>1776</v>
      </c>
      <c r="M457" s="1" t="s">
        <v>2128</v>
      </c>
      <c r="N457" s="63" t="s">
        <v>256</v>
      </c>
      <c r="O457" s="63" t="s">
        <v>256</v>
      </c>
      <c r="P457" s="68">
        <v>29.0</v>
      </c>
      <c r="Q457" s="1" t="s">
        <v>2130</v>
      </c>
      <c r="R457" s="1" t="s">
        <v>13</v>
      </c>
      <c r="S457" s="1"/>
      <c r="T457" s="1"/>
      <c r="U457" s="1" t="s">
        <v>268</v>
      </c>
      <c r="V457" s="1" t="s">
        <v>268</v>
      </c>
      <c r="W457" s="145">
        <f t="shared" si="1"/>
        <v>0.0002001083715</v>
      </c>
      <c r="AC457" s="38"/>
    </row>
    <row r="458" ht="15.75" customHeight="1">
      <c r="A458" s="1" t="s">
        <v>1979</v>
      </c>
      <c r="B458" s="1" t="s">
        <v>2127</v>
      </c>
      <c r="C458" s="63">
        <v>46234.0</v>
      </c>
      <c r="D458" s="63" t="s">
        <v>130</v>
      </c>
      <c r="E458" s="68">
        <v>0.97022864</v>
      </c>
      <c r="F458" s="1"/>
      <c r="G458" s="23">
        <v>4600000.0</v>
      </c>
      <c r="H458" s="23">
        <v>4463051.75</v>
      </c>
      <c r="I458" s="23">
        <v>4600000.0</v>
      </c>
      <c r="J458" s="23">
        <v>4463051.75</v>
      </c>
      <c r="K458" s="24">
        <v>1027.0</v>
      </c>
      <c r="L458" s="1" t="s">
        <v>1776</v>
      </c>
      <c r="M458" s="1" t="s">
        <v>2128</v>
      </c>
      <c r="N458" s="63" t="s">
        <v>177</v>
      </c>
      <c r="O458" s="63" t="s">
        <v>177</v>
      </c>
      <c r="P458" s="68">
        <v>40.0</v>
      </c>
      <c r="Q458" s="1" t="s">
        <v>2130</v>
      </c>
      <c r="R458" s="1" t="s">
        <v>13</v>
      </c>
      <c r="S458" s="1"/>
      <c r="T458" s="1"/>
      <c r="U458" s="1" t="s">
        <v>183</v>
      </c>
      <c r="V458" s="1" t="s">
        <v>183</v>
      </c>
      <c r="W458" s="145">
        <f t="shared" si="1"/>
        <v>0.00009129622716</v>
      </c>
      <c r="AC458" s="38"/>
    </row>
    <row r="459" ht="15.75" customHeight="1">
      <c r="A459" s="1" t="s">
        <v>1826</v>
      </c>
      <c r="B459" s="1" t="s">
        <v>2127</v>
      </c>
      <c r="C459" s="63">
        <v>46234.0</v>
      </c>
      <c r="D459" s="63" t="s">
        <v>130</v>
      </c>
      <c r="E459" s="68">
        <v>0.97167508</v>
      </c>
      <c r="F459" s="1"/>
      <c r="G459" s="23">
        <v>5450000.0</v>
      </c>
      <c r="H459" s="23">
        <v>5295629.18</v>
      </c>
      <c r="I459" s="23">
        <v>5450000.0</v>
      </c>
      <c r="J459" s="23">
        <v>5295629.18</v>
      </c>
      <c r="K459" s="24">
        <v>28516.0</v>
      </c>
      <c r="L459" s="1" t="s">
        <v>1776</v>
      </c>
      <c r="M459" s="1" t="s">
        <v>2128</v>
      </c>
      <c r="N459" s="63" t="s">
        <v>241</v>
      </c>
      <c r="O459" s="63" t="s">
        <v>241</v>
      </c>
      <c r="P459" s="68">
        <v>38.0</v>
      </c>
      <c r="Q459" s="1" t="s">
        <v>2130</v>
      </c>
      <c r="R459" s="1" t="s">
        <v>13</v>
      </c>
      <c r="S459" s="1"/>
      <c r="T459" s="1"/>
      <c r="U459" s="1" t="s">
        <v>245</v>
      </c>
      <c r="V459" s="1" t="s">
        <v>245</v>
      </c>
      <c r="W459" s="145">
        <f t="shared" si="1"/>
        <v>0.0001083274386</v>
      </c>
      <c r="AC459" s="38"/>
    </row>
    <row r="460" ht="15.75" customHeight="1">
      <c r="A460" s="1" t="s">
        <v>1967</v>
      </c>
      <c r="B460" s="1" t="s">
        <v>2127</v>
      </c>
      <c r="C460" s="63">
        <v>46234.0</v>
      </c>
      <c r="D460" s="63" t="s">
        <v>130</v>
      </c>
      <c r="E460" s="68">
        <v>0.97239983</v>
      </c>
      <c r="F460" s="1"/>
      <c r="G460" s="23">
        <v>3000000.0</v>
      </c>
      <c r="H460" s="23">
        <v>2917199.48</v>
      </c>
      <c r="I460" s="23">
        <v>3000000.0</v>
      </c>
      <c r="J460" s="23">
        <v>2917199.48</v>
      </c>
      <c r="K460" s="24">
        <v>4.0743006E7</v>
      </c>
      <c r="L460" s="1" t="s">
        <v>1776</v>
      </c>
      <c r="M460" s="1" t="s">
        <v>2128</v>
      </c>
      <c r="N460" s="63" t="s">
        <v>827</v>
      </c>
      <c r="O460" s="63" t="s">
        <v>827</v>
      </c>
      <c r="P460" s="68">
        <v>37.0</v>
      </c>
      <c r="Q460" s="1" t="s">
        <v>2130</v>
      </c>
      <c r="R460" s="1" t="s">
        <v>13</v>
      </c>
      <c r="S460" s="1"/>
      <c r="T460" s="1"/>
      <c r="U460" s="1" t="s">
        <v>828</v>
      </c>
      <c r="V460" s="1" t="s">
        <v>828</v>
      </c>
      <c r="W460" s="145">
        <f t="shared" si="1"/>
        <v>0.00005967425907</v>
      </c>
      <c r="AC460" s="38"/>
    </row>
    <row r="461" ht="15.75" customHeight="1">
      <c r="A461" s="1" t="s">
        <v>1938</v>
      </c>
      <c r="B461" s="1" t="s">
        <v>2127</v>
      </c>
      <c r="C461" s="63">
        <v>46234.0</v>
      </c>
      <c r="D461" s="63" t="s">
        <v>130</v>
      </c>
      <c r="E461" s="68">
        <v>0.96950708</v>
      </c>
      <c r="F461" s="1"/>
      <c r="G461" s="23">
        <v>4.0E7</v>
      </c>
      <c r="H461" s="23">
        <v>3.8780283E7</v>
      </c>
      <c r="I461" s="23">
        <v>4.0E7</v>
      </c>
      <c r="J461" s="23">
        <v>3.8780283E7</v>
      </c>
      <c r="K461" s="24">
        <v>6.4885127E7</v>
      </c>
      <c r="L461" s="1" t="s">
        <v>1776</v>
      </c>
      <c r="M461" s="1" t="s">
        <v>2128</v>
      </c>
      <c r="N461" s="63" t="s">
        <v>154</v>
      </c>
      <c r="O461" s="63" t="s">
        <v>154</v>
      </c>
      <c r="P461" s="68">
        <v>41.0</v>
      </c>
      <c r="Q461" s="1" t="s">
        <v>2130</v>
      </c>
      <c r="R461" s="1" t="s">
        <v>13</v>
      </c>
      <c r="S461" s="1"/>
      <c r="T461" s="1"/>
      <c r="U461" s="1" t="s">
        <v>155</v>
      </c>
      <c r="V461" s="1" t="s">
        <v>155</v>
      </c>
      <c r="W461" s="145">
        <f t="shared" si="1"/>
        <v>0.0007932898215</v>
      </c>
      <c r="AC461" s="38"/>
    </row>
    <row r="462" ht="15.75" customHeight="1">
      <c r="A462" s="1" t="s">
        <v>1939</v>
      </c>
      <c r="B462" s="1" t="s">
        <v>2127</v>
      </c>
      <c r="C462" s="63">
        <v>46234.0</v>
      </c>
      <c r="D462" s="63" t="s">
        <v>130</v>
      </c>
      <c r="E462" s="68">
        <v>0.97385276</v>
      </c>
      <c r="F462" s="1"/>
      <c r="G462" s="23">
        <v>1.66E7</v>
      </c>
      <c r="H462" s="23">
        <v>1.616595577E7</v>
      </c>
      <c r="I462" s="23">
        <v>1.66E7</v>
      </c>
      <c r="J462" s="23">
        <v>1.616595577E7</v>
      </c>
      <c r="K462" s="24">
        <v>2.9088024E7</v>
      </c>
      <c r="L462" s="1" t="s">
        <v>1776</v>
      </c>
      <c r="M462" s="1" t="s">
        <v>2128</v>
      </c>
      <c r="N462" s="63" t="s">
        <v>256</v>
      </c>
      <c r="O462" s="63" t="s">
        <v>256</v>
      </c>
      <c r="P462" s="68">
        <v>35.0</v>
      </c>
      <c r="Q462" s="1" t="s">
        <v>2130</v>
      </c>
      <c r="R462" s="1" t="s">
        <v>13</v>
      </c>
      <c r="S462" s="1"/>
      <c r="T462" s="1"/>
      <c r="U462" s="1" t="s">
        <v>277</v>
      </c>
      <c r="V462" s="1" t="s">
        <v>277</v>
      </c>
      <c r="W462" s="145">
        <f t="shared" si="1"/>
        <v>0.0003306909381</v>
      </c>
      <c r="AC462" s="38"/>
    </row>
    <row r="463" ht="15.75" customHeight="1">
      <c r="A463" s="1" t="s">
        <v>1921</v>
      </c>
      <c r="B463" s="1" t="s">
        <v>2127</v>
      </c>
      <c r="C463" s="63">
        <v>46234.0</v>
      </c>
      <c r="D463" s="63" t="s">
        <v>130</v>
      </c>
      <c r="E463" s="68">
        <v>0.97823759</v>
      </c>
      <c r="F463" s="1"/>
      <c r="G463" s="23">
        <v>5000000.0</v>
      </c>
      <c r="H463" s="23">
        <v>4891187.95</v>
      </c>
      <c r="I463" s="23">
        <v>5000000.0</v>
      </c>
      <c r="J463" s="23">
        <v>4891187.95</v>
      </c>
      <c r="K463" s="24">
        <v>43317.0</v>
      </c>
      <c r="L463" s="1" t="s">
        <v>1776</v>
      </c>
      <c r="M463" s="1" t="s">
        <v>2128</v>
      </c>
      <c r="N463" s="63" t="s">
        <v>404</v>
      </c>
      <c r="O463" s="63" t="s">
        <v>404</v>
      </c>
      <c r="P463" s="68">
        <v>29.0</v>
      </c>
      <c r="Q463" s="1" t="s">
        <v>2130</v>
      </c>
      <c r="R463" s="1" t="s">
        <v>13</v>
      </c>
      <c r="S463" s="1"/>
      <c r="T463" s="1"/>
      <c r="U463" s="1" t="s">
        <v>407</v>
      </c>
      <c r="V463" s="1" t="s">
        <v>407</v>
      </c>
      <c r="W463" s="145">
        <f t="shared" si="1"/>
        <v>0.0001000541852</v>
      </c>
      <c r="AC463" s="38"/>
    </row>
    <row r="464" ht="15.75" customHeight="1">
      <c r="A464" s="1" t="s">
        <v>2008</v>
      </c>
      <c r="B464" s="1" t="s">
        <v>2127</v>
      </c>
      <c r="C464" s="63">
        <v>46234.0</v>
      </c>
      <c r="D464" s="63" t="s">
        <v>130</v>
      </c>
      <c r="E464" s="68">
        <v>0.97458085</v>
      </c>
      <c r="F464" s="1"/>
      <c r="G464" s="23">
        <v>5000000.0</v>
      </c>
      <c r="H464" s="23">
        <v>4872904.23</v>
      </c>
      <c r="I464" s="23">
        <v>5000000.0</v>
      </c>
      <c r="J464" s="23">
        <v>4872904.23</v>
      </c>
      <c r="K464" s="24">
        <v>16815.0</v>
      </c>
      <c r="L464" s="1" t="s">
        <v>1776</v>
      </c>
      <c r="M464" s="1" t="s">
        <v>2128</v>
      </c>
      <c r="N464" s="63" t="s">
        <v>624</v>
      </c>
      <c r="O464" s="63" t="s">
        <v>624</v>
      </c>
      <c r="P464" s="68">
        <v>34.0</v>
      </c>
      <c r="Q464" s="1" t="s">
        <v>2130</v>
      </c>
      <c r="R464" s="1" t="s">
        <v>13</v>
      </c>
      <c r="S464" s="1"/>
      <c r="T464" s="1"/>
      <c r="U464" s="1" t="s">
        <v>625</v>
      </c>
      <c r="V464" s="1" t="s">
        <v>625</v>
      </c>
      <c r="W464" s="145">
        <f t="shared" si="1"/>
        <v>0.00009968017321</v>
      </c>
      <c r="AC464" s="38"/>
    </row>
    <row r="465" ht="15.75" customHeight="1">
      <c r="A465" s="1" t="s">
        <v>1926</v>
      </c>
      <c r="B465" s="1" t="s">
        <v>2127</v>
      </c>
      <c r="C465" s="63">
        <v>46234.0</v>
      </c>
      <c r="D465" s="63" t="s">
        <v>130</v>
      </c>
      <c r="E465" s="68">
        <v>0.97750408</v>
      </c>
      <c r="F465" s="1"/>
      <c r="G465" s="23">
        <v>1040000.0</v>
      </c>
      <c r="H465" s="23">
        <v>1016604.24</v>
      </c>
      <c r="I465" s="23">
        <v>1040000.0</v>
      </c>
      <c r="J465" s="23">
        <v>1016604.24</v>
      </c>
      <c r="K465" s="24">
        <v>1.1001553E7</v>
      </c>
      <c r="L465" s="1" t="s">
        <v>1776</v>
      </c>
      <c r="M465" s="1" t="s">
        <v>2128</v>
      </c>
      <c r="N465" s="63" t="s">
        <v>628</v>
      </c>
      <c r="O465" s="63" t="s">
        <v>628</v>
      </c>
      <c r="P465" s="68">
        <v>30.0</v>
      </c>
      <c r="Q465" s="1" t="s">
        <v>2130</v>
      </c>
      <c r="R465" s="1" t="s">
        <v>13</v>
      </c>
      <c r="S465" s="1"/>
      <c r="T465" s="1"/>
      <c r="U465" s="1" t="s">
        <v>636</v>
      </c>
      <c r="V465" s="1" t="s">
        <v>636</v>
      </c>
      <c r="W465" s="145">
        <f t="shared" si="1"/>
        <v>0.00002079566557</v>
      </c>
      <c r="AC465" s="38"/>
    </row>
    <row r="466" ht="15.75" customHeight="1">
      <c r="A466" s="1" t="s">
        <v>1926</v>
      </c>
      <c r="B466" s="1" t="s">
        <v>2127</v>
      </c>
      <c r="C466" s="63">
        <v>46234.0</v>
      </c>
      <c r="D466" s="63" t="s">
        <v>130</v>
      </c>
      <c r="E466" s="68">
        <v>0.97823763</v>
      </c>
      <c r="F466" s="1"/>
      <c r="G466" s="23">
        <v>5000000.0</v>
      </c>
      <c r="H466" s="23">
        <v>4891188.14</v>
      </c>
      <c r="I466" s="23">
        <v>5000000.0</v>
      </c>
      <c r="J466" s="23">
        <v>4891188.14</v>
      </c>
      <c r="K466" s="24">
        <v>1.6779606E7</v>
      </c>
      <c r="L466" s="1" t="s">
        <v>1776</v>
      </c>
      <c r="M466" s="1" t="s">
        <v>2128</v>
      </c>
      <c r="N466" s="63" t="s">
        <v>628</v>
      </c>
      <c r="O466" s="63" t="s">
        <v>628</v>
      </c>
      <c r="P466" s="68">
        <v>29.0</v>
      </c>
      <c r="Q466" s="1" t="s">
        <v>2130</v>
      </c>
      <c r="R466" s="1" t="s">
        <v>13</v>
      </c>
      <c r="S466" s="1"/>
      <c r="T466" s="1"/>
      <c r="U466" s="1" t="s">
        <v>638</v>
      </c>
      <c r="V466" s="1" t="s">
        <v>638</v>
      </c>
      <c r="W466" s="145">
        <f t="shared" si="1"/>
        <v>0.000100054189</v>
      </c>
      <c r="AC466" s="38"/>
    </row>
    <row r="467" ht="15.75" customHeight="1">
      <c r="A467" s="1" t="s">
        <v>1926</v>
      </c>
      <c r="B467" s="1" t="s">
        <v>2127</v>
      </c>
      <c r="C467" s="63">
        <v>46234.0</v>
      </c>
      <c r="D467" s="63" t="s">
        <v>130</v>
      </c>
      <c r="E467" s="68">
        <v>0.97823757</v>
      </c>
      <c r="F467" s="1"/>
      <c r="G467" s="23">
        <v>5000000.0</v>
      </c>
      <c r="H467" s="23">
        <v>4891187.84</v>
      </c>
      <c r="I467" s="23">
        <v>5000000.0</v>
      </c>
      <c r="J467" s="23">
        <v>4891187.84</v>
      </c>
      <c r="K467" s="24">
        <v>1.677958E7</v>
      </c>
      <c r="L467" s="1" t="s">
        <v>1776</v>
      </c>
      <c r="M467" s="1" t="s">
        <v>2128</v>
      </c>
      <c r="N467" s="63" t="s">
        <v>360</v>
      </c>
      <c r="O467" s="63" t="s">
        <v>360</v>
      </c>
      <c r="P467" s="68">
        <v>29.0</v>
      </c>
      <c r="Q467" s="1" t="s">
        <v>2130</v>
      </c>
      <c r="R467" s="1" t="s">
        <v>13</v>
      </c>
      <c r="S467" s="1"/>
      <c r="T467" s="1"/>
      <c r="U467" s="1" t="s">
        <v>368</v>
      </c>
      <c r="V467" s="1" t="s">
        <v>368</v>
      </c>
      <c r="W467" s="145">
        <f t="shared" si="1"/>
        <v>0.0001000541829</v>
      </c>
      <c r="AC467" s="38"/>
    </row>
    <row r="468" ht="15.75" customHeight="1">
      <c r="A468" s="1" t="s">
        <v>1926</v>
      </c>
      <c r="B468" s="1" t="s">
        <v>2127</v>
      </c>
      <c r="C468" s="63">
        <v>46234.0</v>
      </c>
      <c r="D468" s="63" t="s">
        <v>130</v>
      </c>
      <c r="E468" s="68">
        <v>0.97750407</v>
      </c>
      <c r="F468" s="1"/>
      <c r="G468" s="23">
        <v>1.0E7</v>
      </c>
      <c r="H468" s="23">
        <v>9775040.66</v>
      </c>
      <c r="I468" s="23">
        <v>1.0E7</v>
      </c>
      <c r="J468" s="23">
        <v>9775040.66</v>
      </c>
      <c r="K468" s="24">
        <v>9.001996E7</v>
      </c>
      <c r="L468" s="1" t="s">
        <v>1776</v>
      </c>
      <c r="M468" s="1" t="s">
        <v>2128</v>
      </c>
      <c r="N468" s="63" t="s">
        <v>446</v>
      </c>
      <c r="O468" s="63" t="s">
        <v>446</v>
      </c>
      <c r="P468" s="68">
        <v>30.0</v>
      </c>
      <c r="Q468" s="1" t="s">
        <v>2130</v>
      </c>
      <c r="R468" s="1" t="s">
        <v>13</v>
      </c>
      <c r="S468" s="1"/>
      <c r="T468" s="1"/>
      <c r="U468" s="1" t="s">
        <v>487</v>
      </c>
      <c r="V468" s="1" t="s">
        <v>487</v>
      </c>
      <c r="W468" s="145">
        <f t="shared" si="1"/>
        <v>0.0001999583206</v>
      </c>
      <c r="AC468" s="38"/>
    </row>
    <row r="469" ht="15.75" customHeight="1">
      <c r="A469" s="1" t="s">
        <v>2042</v>
      </c>
      <c r="B469" s="1" t="s">
        <v>2127</v>
      </c>
      <c r="C469" s="63">
        <v>46234.0</v>
      </c>
      <c r="D469" s="63" t="s">
        <v>130</v>
      </c>
      <c r="E469" s="68">
        <v>0.97604027</v>
      </c>
      <c r="F469" s="1"/>
      <c r="G469" s="23">
        <v>2662911.02</v>
      </c>
      <c r="H469" s="23">
        <v>2599108.4</v>
      </c>
      <c r="I469" s="23">
        <v>2662911.02</v>
      </c>
      <c r="J469" s="23">
        <v>2599108.4</v>
      </c>
      <c r="K469" s="24">
        <v>2.9386199E7</v>
      </c>
      <c r="L469" s="1" t="s">
        <v>1776</v>
      </c>
      <c r="M469" s="1" t="s">
        <v>2128</v>
      </c>
      <c r="N469" s="63" t="s">
        <v>1118</v>
      </c>
      <c r="O469" s="63" t="s">
        <v>1118</v>
      </c>
      <c r="P469" s="68">
        <v>32.0</v>
      </c>
      <c r="Q469" s="1" t="s">
        <v>2130</v>
      </c>
      <c r="R469" s="1" t="s">
        <v>13</v>
      </c>
      <c r="S469" s="1"/>
      <c r="T469" s="1"/>
      <c r="U469" s="1" t="s">
        <v>1146</v>
      </c>
      <c r="V469" s="1" t="s">
        <v>1146</v>
      </c>
      <c r="W469" s="145">
        <f t="shared" si="1"/>
        <v>0.00005316738505</v>
      </c>
      <c r="AC469" s="38"/>
    </row>
    <row r="470" ht="15.75" customHeight="1">
      <c r="A470" s="1" t="s">
        <v>1975</v>
      </c>
      <c r="B470" s="1" t="s">
        <v>2127</v>
      </c>
      <c r="C470" s="63">
        <v>46237.0</v>
      </c>
      <c r="D470" s="63" t="s">
        <v>130</v>
      </c>
      <c r="E470" s="68">
        <v>0.96873515</v>
      </c>
      <c r="F470" s="1"/>
      <c r="G470" s="23">
        <v>4599318.34</v>
      </c>
      <c r="H470" s="23">
        <v>4455521.35</v>
      </c>
      <c r="I470" s="23">
        <v>4599318.34</v>
      </c>
      <c r="J470" s="23">
        <v>4455521.35</v>
      </c>
      <c r="K470" s="24">
        <v>577.0</v>
      </c>
      <c r="L470" s="1" t="s">
        <v>1776</v>
      </c>
      <c r="M470" s="1" t="s">
        <v>2128</v>
      </c>
      <c r="N470" s="63" t="s">
        <v>446</v>
      </c>
      <c r="O470" s="63" t="s">
        <v>446</v>
      </c>
      <c r="P470" s="68">
        <v>38.0</v>
      </c>
      <c r="Q470" s="1" t="s">
        <v>2130</v>
      </c>
      <c r="R470" s="1" t="s">
        <v>13</v>
      </c>
      <c r="S470" s="1"/>
      <c r="T470" s="1"/>
      <c r="U470" s="1" t="s">
        <v>513</v>
      </c>
      <c r="V470" s="1" t="s">
        <v>513</v>
      </c>
      <c r="W470" s="145">
        <f t="shared" si="1"/>
        <v>0.00009114218523</v>
      </c>
      <c r="AC470" s="38"/>
    </row>
    <row r="471" ht="15.75" customHeight="1">
      <c r="A471" s="1" t="s">
        <v>2036</v>
      </c>
      <c r="B471" s="1" t="s">
        <v>2127</v>
      </c>
      <c r="C471" s="63">
        <v>46237.0</v>
      </c>
      <c r="D471" s="63" t="s">
        <v>130</v>
      </c>
      <c r="E471" s="68">
        <v>0.96873511</v>
      </c>
      <c r="F471" s="1"/>
      <c r="G471" s="23">
        <v>9978017.32</v>
      </c>
      <c r="H471" s="23">
        <v>9666055.74</v>
      </c>
      <c r="I471" s="23">
        <v>9978017.32</v>
      </c>
      <c r="J471" s="23">
        <v>9666055.74</v>
      </c>
      <c r="K471" s="24">
        <v>3.0001645E7</v>
      </c>
      <c r="L471" s="1" t="s">
        <v>1776</v>
      </c>
      <c r="M471" s="1" t="s">
        <v>2128</v>
      </c>
      <c r="N471" s="63" t="s">
        <v>307</v>
      </c>
      <c r="O471" s="63" t="s">
        <v>307</v>
      </c>
      <c r="P471" s="68">
        <v>38.0</v>
      </c>
      <c r="Q471" s="1" t="s">
        <v>2130</v>
      </c>
      <c r="R471" s="1" t="s">
        <v>13</v>
      </c>
      <c r="S471" s="1"/>
      <c r="T471" s="1"/>
      <c r="U471" s="1" t="s">
        <v>331</v>
      </c>
      <c r="V471" s="1" t="s">
        <v>331</v>
      </c>
      <c r="W471" s="145">
        <f t="shared" si="1"/>
        <v>0.0001977289241</v>
      </c>
      <c r="AC471" s="38"/>
    </row>
    <row r="472" ht="15.75" customHeight="1">
      <c r="A472" s="1" t="s">
        <v>1954</v>
      </c>
      <c r="B472" s="1" t="s">
        <v>2127</v>
      </c>
      <c r="C472" s="63">
        <v>46237.0</v>
      </c>
      <c r="D472" s="63" t="s">
        <v>130</v>
      </c>
      <c r="E472" s="68">
        <v>0.97033188</v>
      </c>
      <c r="F472" s="1"/>
      <c r="G472" s="23">
        <v>2.0E7</v>
      </c>
      <c r="H472" s="23">
        <v>1.940663754E7</v>
      </c>
      <c r="I472" s="23">
        <v>2.0E7</v>
      </c>
      <c r="J472" s="23">
        <v>1.940663754E7</v>
      </c>
      <c r="K472" s="24">
        <v>423.0</v>
      </c>
      <c r="L472" s="1" t="s">
        <v>1776</v>
      </c>
      <c r="M472" s="1" t="s">
        <v>2128</v>
      </c>
      <c r="N472" s="63" t="s">
        <v>863</v>
      </c>
      <c r="O472" s="63" t="s">
        <v>863</v>
      </c>
      <c r="P472" s="68">
        <v>36.0</v>
      </c>
      <c r="Q472" s="1" t="s">
        <v>2130</v>
      </c>
      <c r="R472" s="1" t="s">
        <v>13</v>
      </c>
      <c r="S472" s="1"/>
      <c r="T472" s="1"/>
      <c r="U472" s="1" t="s">
        <v>874</v>
      </c>
      <c r="V472" s="1" t="s">
        <v>874</v>
      </c>
      <c r="W472" s="145">
        <f t="shared" si="1"/>
        <v>0.0003969823539</v>
      </c>
      <c r="AC472" s="38"/>
    </row>
    <row r="473" ht="15.75" customHeight="1">
      <c r="A473" s="1" t="s">
        <v>2017</v>
      </c>
      <c r="B473" s="1" t="s">
        <v>2127</v>
      </c>
      <c r="C473" s="63">
        <v>46237.0</v>
      </c>
      <c r="D473" s="63" t="s">
        <v>130</v>
      </c>
      <c r="E473" s="68">
        <v>0.97515365</v>
      </c>
      <c r="F473" s="1"/>
      <c r="G473" s="23">
        <v>1.0E7</v>
      </c>
      <c r="H473" s="23">
        <v>9751536.54</v>
      </c>
      <c r="I473" s="23">
        <v>1.0E7</v>
      </c>
      <c r="J473" s="23">
        <v>9751536.54</v>
      </c>
      <c r="K473" s="24">
        <v>3463102.0</v>
      </c>
      <c r="L473" s="1" t="s">
        <v>1776</v>
      </c>
      <c r="M473" s="1" t="s">
        <v>2128</v>
      </c>
      <c r="N473" s="63" t="s">
        <v>307</v>
      </c>
      <c r="O473" s="63" t="s">
        <v>307</v>
      </c>
      <c r="P473" s="68">
        <v>30.0</v>
      </c>
      <c r="Q473" s="1" t="s">
        <v>2130</v>
      </c>
      <c r="R473" s="1" t="s">
        <v>13</v>
      </c>
      <c r="S473" s="1"/>
      <c r="T473" s="1"/>
      <c r="U473" s="1" t="s">
        <v>345</v>
      </c>
      <c r="V473" s="1" t="s">
        <v>345</v>
      </c>
      <c r="W473" s="145">
        <f t="shared" si="1"/>
        <v>0.0001994775201</v>
      </c>
      <c r="AC473" s="38"/>
    </row>
    <row r="474" ht="15.75" customHeight="1">
      <c r="A474" s="1" t="s">
        <v>1961</v>
      </c>
      <c r="B474" s="1" t="s">
        <v>2127</v>
      </c>
      <c r="C474" s="63">
        <v>46237.0</v>
      </c>
      <c r="D474" s="63" t="s">
        <v>130</v>
      </c>
      <c r="E474" s="68">
        <v>0.97033179</v>
      </c>
      <c r="F474" s="1"/>
      <c r="G474" s="23">
        <v>5882352.93</v>
      </c>
      <c r="H474" s="23">
        <v>5707834.03</v>
      </c>
      <c r="I474" s="23">
        <v>5882352.93</v>
      </c>
      <c r="J474" s="23">
        <v>5707834.03</v>
      </c>
      <c r="K474" s="24">
        <v>2619.0</v>
      </c>
      <c r="L474" s="1" t="s">
        <v>1776</v>
      </c>
      <c r="M474" s="1" t="s">
        <v>2128</v>
      </c>
      <c r="N474" s="63" t="s">
        <v>886</v>
      </c>
      <c r="O474" s="63" t="s">
        <v>886</v>
      </c>
      <c r="P474" s="68">
        <v>36.0</v>
      </c>
      <c r="Q474" s="1" t="s">
        <v>2130</v>
      </c>
      <c r="R474" s="1" t="s">
        <v>13</v>
      </c>
      <c r="S474" s="1"/>
      <c r="T474" s="1"/>
      <c r="U474" s="1" t="s">
        <v>897</v>
      </c>
      <c r="V474" s="1" t="s">
        <v>897</v>
      </c>
      <c r="W474" s="145">
        <f t="shared" si="1"/>
        <v>0.0001167595048</v>
      </c>
      <c r="AC474" s="38"/>
    </row>
    <row r="475" ht="15.75" customHeight="1">
      <c r="A475" s="1" t="s">
        <v>2046</v>
      </c>
      <c r="B475" s="1" t="s">
        <v>2127</v>
      </c>
      <c r="C475" s="63">
        <v>46237.0</v>
      </c>
      <c r="D475" s="63" t="s">
        <v>130</v>
      </c>
      <c r="E475" s="68">
        <v>0.97354111</v>
      </c>
      <c r="F475" s="1"/>
      <c r="G475" s="23">
        <v>2885565.11</v>
      </c>
      <c r="H475" s="23">
        <v>2809216.27</v>
      </c>
      <c r="I475" s="23">
        <v>2885565.11</v>
      </c>
      <c r="J475" s="23">
        <v>2809216.27</v>
      </c>
      <c r="K475" s="24">
        <v>2426.0</v>
      </c>
      <c r="L475" s="1" t="s">
        <v>1776</v>
      </c>
      <c r="M475" s="1" t="s">
        <v>2128</v>
      </c>
      <c r="N475" s="63" t="s">
        <v>1118</v>
      </c>
      <c r="O475" s="63" t="s">
        <v>1118</v>
      </c>
      <c r="P475" s="68">
        <v>32.0</v>
      </c>
      <c r="Q475" s="1" t="s">
        <v>2130</v>
      </c>
      <c r="R475" s="1" t="s">
        <v>13</v>
      </c>
      <c r="S475" s="1"/>
      <c r="T475" s="1"/>
      <c r="U475" s="1" t="s">
        <v>1179</v>
      </c>
      <c r="V475" s="1" t="s">
        <v>1179</v>
      </c>
      <c r="W475" s="145">
        <f t="shared" si="1"/>
        <v>0.00005746535355</v>
      </c>
      <c r="AC475" s="38"/>
    </row>
    <row r="476" ht="15.75" customHeight="1">
      <c r="A476" s="1" t="s">
        <v>1917</v>
      </c>
      <c r="B476" s="1" t="s">
        <v>2127</v>
      </c>
      <c r="C476" s="63">
        <v>46237.0</v>
      </c>
      <c r="D476" s="63" t="s">
        <v>130</v>
      </c>
      <c r="E476" s="68">
        <v>0.97515362</v>
      </c>
      <c r="F476" s="1"/>
      <c r="G476" s="23">
        <v>1.0E7</v>
      </c>
      <c r="H476" s="23">
        <v>9751536.22</v>
      </c>
      <c r="I476" s="23">
        <v>1.0E7</v>
      </c>
      <c r="J476" s="23">
        <v>9751536.22</v>
      </c>
      <c r="K476" s="24">
        <v>574.0</v>
      </c>
      <c r="L476" s="1" t="s">
        <v>1776</v>
      </c>
      <c r="M476" s="1" t="s">
        <v>2128</v>
      </c>
      <c r="N476" s="63" t="s">
        <v>1048</v>
      </c>
      <c r="O476" s="63" t="s">
        <v>1048</v>
      </c>
      <c r="P476" s="68">
        <v>30.0</v>
      </c>
      <c r="Q476" s="1" t="s">
        <v>2130</v>
      </c>
      <c r="R476" s="1" t="s">
        <v>13</v>
      </c>
      <c r="S476" s="1"/>
      <c r="T476" s="1"/>
      <c r="U476" s="1" t="s">
        <v>1057</v>
      </c>
      <c r="V476" s="1" t="s">
        <v>1057</v>
      </c>
      <c r="W476" s="145">
        <f t="shared" si="1"/>
        <v>0.0001994775135</v>
      </c>
      <c r="AC476" s="38"/>
    </row>
    <row r="477" ht="15.75" customHeight="1">
      <c r="A477" s="1" t="s">
        <v>1903</v>
      </c>
      <c r="B477" s="1" t="s">
        <v>2127</v>
      </c>
      <c r="C477" s="63">
        <v>46237.0</v>
      </c>
      <c r="D477" s="63" t="s">
        <v>130</v>
      </c>
      <c r="E477" s="68">
        <v>0.97596199</v>
      </c>
      <c r="F477" s="1"/>
      <c r="G477" s="23">
        <v>3500000.0</v>
      </c>
      <c r="H477" s="23">
        <v>3415866.97</v>
      </c>
      <c r="I477" s="23">
        <v>3500000.0</v>
      </c>
      <c r="J477" s="23">
        <v>3415866.97</v>
      </c>
      <c r="K477" s="24">
        <v>407.0</v>
      </c>
      <c r="L477" s="1" t="s">
        <v>1776</v>
      </c>
      <c r="M477" s="1" t="s">
        <v>2128</v>
      </c>
      <c r="N477" s="63" t="s">
        <v>446</v>
      </c>
      <c r="O477" s="63" t="s">
        <v>446</v>
      </c>
      <c r="P477" s="68">
        <v>29.0</v>
      </c>
      <c r="Q477" s="1" t="s">
        <v>2130</v>
      </c>
      <c r="R477" s="1" t="s">
        <v>13</v>
      </c>
      <c r="S477" s="1"/>
      <c r="T477" s="1"/>
      <c r="U477" s="1" t="s">
        <v>530</v>
      </c>
      <c r="V477" s="1" t="s">
        <v>530</v>
      </c>
      <c r="W477" s="145">
        <f t="shared" si="1"/>
        <v>0.00006987500578</v>
      </c>
      <c r="AC477" s="38"/>
    </row>
    <row r="478" ht="15.75" customHeight="1">
      <c r="A478" s="1" t="s">
        <v>1924</v>
      </c>
      <c r="B478" s="1" t="s">
        <v>2127</v>
      </c>
      <c r="C478" s="63">
        <v>46237.0</v>
      </c>
      <c r="D478" s="63" t="s">
        <v>130</v>
      </c>
      <c r="E478" s="68">
        <v>0.97596194</v>
      </c>
      <c r="F478" s="1"/>
      <c r="G478" s="23">
        <v>8.0E7</v>
      </c>
      <c r="H478" s="23">
        <v>7.807695542E7</v>
      </c>
      <c r="I478" s="23">
        <v>8.0E7</v>
      </c>
      <c r="J478" s="23">
        <v>7.807695542E7</v>
      </c>
      <c r="K478" s="24">
        <v>9.0041869E7</v>
      </c>
      <c r="L478" s="1" t="s">
        <v>1776</v>
      </c>
      <c r="M478" s="1" t="s">
        <v>2128</v>
      </c>
      <c r="N478" s="63" t="s">
        <v>360</v>
      </c>
      <c r="O478" s="63" t="s">
        <v>360</v>
      </c>
      <c r="P478" s="68">
        <v>29.0</v>
      </c>
      <c r="Q478" s="1" t="s">
        <v>2130</v>
      </c>
      <c r="R478" s="1" t="s">
        <v>13</v>
      </c>
      <c r="S478" s="1"/>
      <c r="T478" s="1"/>
      <c r="U478" s="1" t="s">
        <v>375</v>
      </c>
      <c r="V478" s="1" t="s">
        <v>375</v>
      </c>
      <c r="W478" s="145">
        <f t="shared" si="1"/>
        <v>0.00159714291</v>
      </c>
      <c r="AC478" s="38"/>
    </row>
    <row r="479" ht="15.75" customHeight="1">
      <c r="A479" s="1" t="s">
        <v>1967</v>
      </c>
      <c r="B479" s="1" t="s">
        <v>2127</v>
      </c>
      <c r="C479" s="63">
        <v>46237.0</v>
      </c>
      <c r="D479" s="63" t="s">
        <v>130</v>
      </c>
      <c r="E479" s="68">
        <v>0.96953279</v>
      </c>
      <c r="F479" s="1"/>
      <c r="G479" s="23">
        <v>3000000.0</v>
      </c>
      <c r="H479" s="23">
        <v>2908598.37</v>
      </c>
      <c r="I479" s="23">
        <v>3000000.0</v>
      </c>
      <c r="J479" s="23">
        <v>2908598.37</v>
      </c>
      <c r="K479" s="24">
        <v>4.0743007E7</v>
      </c>
      <c r="L479" s="1" t="s">
        <v>1776</v>
      </c>
      <c r="M479" s="1" t="s">
        <v>2128</v>
      </c>
      <c r="N479" s="63" t="s">
        <v>827</v>
      </c>
      <c r="O479" s="63" t="s">
        <v>827</v>
      </c>
      <c r="P479" s="68">
        <v>37.0</v>
      </c>
      <c r="Q479" s="1" t="s">
        <v>2130</v>
      </c>
      <c r="R479" s="1" t="s">
        <v>13</v>
      </c>
      <c r="S479" s="1"/>
      <c r="T479" s="1"/>
      <c r="U479" s="1" t="s">
        <v>829</v>
      </c>
      <c r="V479" s="1" t="s">
        <v>829</v>
      </c>
      <c r="W479" s="145">
        <f t="shared" si="1"/>
        <v>0.00005949831469</v>
      </c>
      <c r="AC479" s="38"/>
    </row>
    <row r="480" ht="15.75" customHeight="1">
      <c r="A480" s="1" t="s">
        <v>1938</v>
      </c>
      <c r="B480" s="1" t="s">
        <v>2127</v>
      </c>
      <c r="C480" s="63">
        <v>46237.0</v>
      </c>
      <c r="D480" s="63" t="s">
        <v>130</v>
      </c>
      <c r="E480" s="68">
        <v>0.97033181</v>
      </c>
      <c r="F480" s="1"/>
      <c r="G480" s="23">
        <v>2.5E7</v>
      </c>
      <c r="H480" s="23">
        <v>2.425829522E7</v>
      </c>
      <c r="I480" s="23">
        <v>2.5E7</v>
      </c>
      <c r="J480" s="23">
        <v>2.425829522E7</v>
      </c>
      <c r="K480" s="24">
        <v>1165497.0</v>
      </c>
      <c r="L480" s="1" t="s">
        <v>1776</v>
      </c>
      <c r="M480" s="1" t="s">
        <v>2128</v>
      </c>
      <c r="N480" s="63" t="s">
        <v>234</v>
      </c>
      <c r="O480" s="63" t="s">
        <v>234</v>
      </c>
      <c r="P480" s="68">
        <v>36.0</v>
      </c>
      <c r="Q480" s="1" t="s">
        <v>2130</v>
      </c>
      <c r="R480" s="1" t="s">
        <v>13</v>
      </c>
      <c r="S480" s="1"/>
      <c r="T480" s="1"/>
      <c r="U480" s="1" t="s">
        <v>233</v>
      </c>
      <c r="V480" s="1" t="s">
        <v>233</v>
      </c>
      <c r="W480" s="145">
        <f t="shared" si="1"/>
        <v>0.0004962279075</v>
      </c>
      <c r="AC480" s="38"/>
    </row>
    <row r="481" ht="15.75" customHeight="1">
      <c r="A481" s="1" t="s">
        <v>1933</v>
      </c>
      <c r="B481" s="1" t="s">
        <v>2127</v>
      </c>
      <c r="C481" s="63">
        <v>46237.0</v>
      </c>
      <c r="D481" s="63" t="s">
        <v>130</v>
      </c>
      <c r="E481" s="68">
        <v>0.97354106</v>
      </c>
      <c r="F481" s="1"/>
      <c r="G481" s="23">
        <v>1.5E7</v>
      </c>
      <c r="H481" s="23">
        <v>1.460311587E7</v>
      </c>
      <c r="I481" s="23">
        <v>1.5E7</v>
      </c>
      <c r="J481" s="23">
        <v>1.460311587E7</v>
      </c>
      <c r="K481" s="24">
        <v>175.0</v>
      </c>
      <c r="L481" s="1" t="s">
        <v>1776</v>
      </c>
      <c r="M481" s="1" t="s">
        <v>2128</v>
      </c>
      <c r="N481" s="63" t="s">
        <v>307</v>
      </c>
      <c r="O481" s="63" t="s">
        <v>307</v>
      </c>
      <c r="P481" s="68">
        <v>32.0</v>
      </c>
      <c r="Q481" s="1" t="s">
        <v>2130</v>
      </c>
      <c r="R481" s="1" t="s">
        <v>13</v>
      </c>
      <c r="S481" s="1"/>
      <c r="T481" s="1"/>
      <c r="U481" s="1" t="s">
        <v>322</v>
      </c>
      <c r="V481" s="1" t="s">
        <v>322</v>
      </c>
      <c r="W481" s="145">
        <f t="shared" si="1"/>
        <v>0.000298721471</v>
      </c>
      <c r="AC481" s="38"/>
    </row>
    <row r="482" ht="15.75" customHeight="1">
      <c r="A482" s="1" t="s">
        <v>1933</v>
      </c>
      <c r="B482" s="1" t="s">
        <v>2127</v>
      </c>
      <c r="C482" s="63">
        <v>46237.0</v>
      </c>
      <c r="D482" s="63" t="s">
        <v>130</v>
      </c>
      <c r="E482" s="68">
        <v>0.97273674</v>
      </c>
      <c r="F482" s="1"/>
      <c r="G482" s="23">
        <v>2.139575E7</v>
      </c>
      <c r="H482" s="23">
        <v>2.081243217E7</v>
      </c>
      <c r="I482" s="23">
        <v>2.139575E7</v>
      </c>
      <c r="J482" s="23">
        <v>2.081243217E7</v>
      </c>
      <c r="K482" s="24">
        <v>3233100.0</v>
      </c>
      <c r="L482" s="1" t="s">
        <v>1776</v>
      </c>
      <c r="M482" s="1" t="s">
        <v>2128</v>
      </c>
      <c r="N482" s="63" t="s">
        <v>360</v>
      </c>
      <c r="O482" s="63" t="s">
        <v>360</v>
      </c>
      <c r="P482" s="68">
        <v>33.0</v>
      </c>
      <c r="Q482" s="1" t="s">
        <v>2130</v>
      </c>
      <c r="R482" s="1" t="s">
        <v>13</v>
      </c>
      <c r="S482" s="1"/>
      <c r="T482" s="1"/>
      <c r="U482" s="1" t="s">
        <v>383</v>
      </c>
      <c r="V482" s="1" t="s">
        <v>383</v>
      </c>
      <c r="W482" s="145">
        <f t="shared" si="1"/>
        <v>0.0004257393016</v>
      </c>
      <c r="AC482" s="38"/>
    </row>
    <row r="483" ht="15.75" customHeight="1">
      <c r="A483" s="1" t="s">
        <v>1933</v>
      </c>
      <c r="B483" s="1" t="s">
        <v>2127</v>
      </c>
      <c r="C483" s="63">
        <v>46237.0</v>
      </c>
      <c r="D483" s="63" t="s">
        <v>130</v>
      </c>
      <c r="E483" s="68">
        <v>0.97273674</v>
      </c>
      <c r="F483" s="1"/>
      <c r="G483" s="23">
        <v>2.139575E7</v>
      </c>
      <c r="H483" s="23">
        <v>2.081243217E7</v>
      </c>
      <c r="I483" s="23">
        <v>2.139575E7</v>
      </c>
      <c r="J483" s="23">
        <v>2.081243217E7</v>
      </c>
      <c r="K483" s="24">
        <v>3233101.0</v>
      </c>
      <c r="L483" s="1" t="s">
        <v>1776</v>
      </c>
      <c r="M483" s="1" t="s">
        <v>2128</v>
      </c>
      <c r="N483" s="63" t="s">
        <v>360</v>
      </c>
      <c r="O483" s="63" t="s">
        <v>360</v>
      </c>
      <c r="P483" s="68">
        <v>33.0</v>
      </c>
      <c r="Q483" s="1" t="s">
        <v>2130</v>
      </c>
      <c r="R483" s="1" t="s">
        <v>13</v>
      </c>
      <c r="S483" s="1"/>
      <c r="T483" s="1"/>
      <c r="U483" s="1" t="s">
        <v>384</v>
      </c>
      <c r="V483" s="1" t="s">
        <v>384</v>
      </c>
      <c r="W483" s="145">
        <f t="shared" si="1"/>
        <v>0.0004257393016</v>
      </c>
      <c r="AC483" s="38"/>
    </row>
    <row r="484" ht="15.75" customHeight="1">
      <c r="A484" s="1" t="s">
        <v>1921</v>
      </c>
      <c r="B484" s="1" t="s">
        <v>2127</v>
      </c>
      <c r="C484" s="63">
        <v>46237.0</v>
      </c>
      <c r="D484" s="63" t="s">
        <v>130</v>
      </c>
      <c r="E484" s="68">
        <v>0.97596196</v>
      </c>
      <c r="F484" s="1"/>
      <c r="G484" s="23">
        <v>2500000.0</v>
      </c>
      <c r="H484" s="23">
        <v>2439904.9</v>
      </c>
      <c r="I484" s="23">
        <v>2500000.0</v>
      </c>
      <c r="J484" s="23">
        <v>2439904.9</v>
      </c>
      <c r="K484" s="24">
        <v>365.0</v>
      </c>
      <c r="L484" s="1" t="s">
        <v>1776</v>
      </c>
      <c r="M484" s="1" t="s">
        <v>2128</v>
      </c>
      <c r="N484" s="63" t="s">
        <v>307</v>
      </c>
      <c r="O484" s="63" t="s">
        <v>307</v>
      </c>
      <c r="P484" s="68">
        <v>29.0</v>
      </c>
      <c r="Q484" s="1" t="s">
        <v>2130</v>
      </c>
      <c r="R484" s="1" t="s">
        <v>13</v>
      </c>
      <c r="S484" s="1"/>
      <c r="T484" s="1"/>
      <c r="U484" s="1" t="s">
        <v>312</v>
      </c>
      <c r="V484" s="1" t="s">
        <v>312</v>
      </c>
      <c r="W484" s="145">
        <f t="shared" si="1"/>
        <v>0.00004991071681</v>
      </c>
      <c r="AC484" s="38"/>
    </row>
    <row r="485" ht="15.75" customHeight="1">
      <c r="A485" s="1" t="s">
        <v>1921</v>
      </c>
      <c r="B485" s="1" t="s">
        <v>2127</v>
      </c>
      <c r="C485" s="63">
        <v>46237.0</v>
      </c>
      <c r="D485" s="63" t="s">
        <v>130</v>
      </c>
      <c r="E485" s="68">
        <v>0.97596197</v>
      </c>
      <c r="F485" s="1"/>
      <c r="G485" s="23">
        <v>5000000.0</v>
      </c>
      <c r="H485" s="23">
        <v>4879809.85</v>
      </c>
      <c r="I485" s="23">
        <v>5000000.0</v>
      </c>
      <c r="J485" s="23">
        <v>4879809.85</v>
      </c>
      <c r="K485" s="24">
        <v>43318.0</v>
      </c>
      <c r="L485" s="1" t="s">
        <v>1776</v>
      </c>
      <c r="M485" s="1" t="s">
        <v>2128</v>
      </c>
      <c r="N485" s="63" t="s">
        <v>404</v>
      </c>
      <c r="O485" s="63" t="s">
        <v>404</v>
      </c>
      <c r="P485" s="68">
        <v>29.0</v>
      </c>
      <c r="Q485" s="1" t="s">
        <v>2130</v>
      </c>
      <c r="R485" s="1" t="s">
        <v>13</v>
      </c>
      <c r="S485" s="1"/>
      <c r="T485" s="1"/>
      <c r="U485" s="1" t="s">
        <v>408</v>
      </c>
      <c r="V485" s="1" t="s">
        <v>408</v>
      </c>
      <c r="W485" s="145">
        <f t="shared" si="1"/>
        <v>0.00009982143464</v>
      </c>
      <c r="AC485" s="38"/>
    </row>
    <row r="486" ht="15.75" customHeight="1">
      <c r="A486" s="1" t="s">
        <v>1926</v>
      </c>
      <c r="B486" s="1" t="s">
        <v>2127</v>
      </c>
      <c r="C486" s="63">
        <v>46237.0</v>
      </c>
      <c r="D486" s="63" t="s">
        <v>130</v>
      </c>
      <c r="E486" s="68">
        <v>0.97596194</v>
      </c>
      <c r="F486" s="1"/>
      <c r="G486" s="23">
        <v>5000000.0</v>
      </c>
      <c r="H486" s="23">
        <v>4879809.72</v>
      </c>
      <c r="I486" s="23">
        <v>5000000.0</v>
      </c>
      <c r="J486" s="23">
        <v>4879809.72</v>
      </c>
      <c r="K486" s="24">
        <v>1.6779581E7</v>
      </c>
      <c r="L486" s="1" t="s">
        <v>1776</v>
      </c>
      <c r="M486" s="1" t="s">
        <v>2128</v>
      </c>
      <c r="N486" s="63" t="s">
        <v>360</v>
      </c>
      <c r="O486" s="63" t="s">
        <v>360</v>
      </c>
      <c r="P486" s="68">
        <v>29.0</v>
      </c>
      <c r="Q486" s="1" t="s">
        <v>2130</v>
      </c>
      <c r="R486" s="1" t="s">
        <v>13</v>
      </c>
      <c r="S486" s="1"/>
      <c r="T486" s="1"/>
      <c r="U486" s="1" t="s">
        <v>369</v>
      </c>
      <c r="V486" s="1" t="s">
        <v>369</v>
      </c>
      <c r="W486" s="145">
        <f t="shared" si="1"/>
        <v>0.00009982143198</v>
      </c>
      <c r="AC486" s="38"/>
    </row>
    <row r="487" ht="15.75" customHeight="1">
      <c r="A487" s="1" t="s">
        <v>1926</v>
      </c>
      <c r="B487" s="1" t="s">
        <v>2127</v>
      </c>
      <c r="C487" s="63">
        <v>46237.0</v>
      </c>
      <c r="D487" s="63" t="s">
        <v>130</v>
      </c>
      <c r="E487" s="68">
        <v>0.97515369</v>
      </c>
      <c r="F487" s="1"/>
      <c r="G487" s="23">
        <v>1.0E7</v>
      </c>
      <c r="H487" s="23">
        <v>9751536.88</v>
      </c>
      <c r="I487" s="23">
        <v>1.0E7</v>
      </c>
      <c r="J487" s="23">
        <v>9751536.88</v>
      </c>
      <c r="K487" s="24">
        <v>9.0019961E7</v>
      </c>
      <c r="L487" s="1" t="s">
        <v>1776</v>
      </c>
      <c r="M487" s="1" t="s">
        <v>2128</v>
      </c>
      <c r="N487" s="63" t="s">
        <v>446</v>
      </c>
      <c r="O487" s="63" t="s">
        <v>446</v>
      </c>
      <c r="P487" s="68">
        <v>30.0</v>
      </c>
      <c r="Q487" s="1" t="s">
        <v>2130</v>
      </c>
      <c r="R487" s="1" t="s">
        <v>13</v>
      </c>
      <c r="S487" s="1"/>
      <c r="T487" s="1"/>
      <c r="U487" s="1" t="s">
        <v>488</v>
      </c>
      <c r="V487" s="1" t="s">
        <v>488</v>
      </c>
      <c r="W487" s="145">
        <f t="shared" si="1"/>
        <v>0.000199477527</v>
      </c>
      <c r="AC487" s="38"/>
    </row>
    <row r="488" ht="15.75" customHeight="1">
      <c r="A488" s="1" t="s">
        <v>1907</v>
      </c>
      <c r="B488" s="1" t="s">
        <v>2127</v>
      </c>
      <c r="C488" s="63">
        <v>46237.0</v>
      </c>
      <c r="D488" s="63" t="s">
        <v>130</v>
      </c>
      <c r="E488" s="68">
        <v>0.97596196</v>
      </c>
      <c r="F488" s="1"/>
      <c r="G488" s="23">
        <v>1.0E8</v>
      </c>
      <c r="H488" s="23">
        <v>9.759619646E7</v>
      </c>
      <c r="I488" s="23">
        <v>1.0E8</v>
      </c>
      <c r="J488" s="23">
        <v>9.759619646E7</v>
      </c>
      <c r="K488" s="24">
        <v>9.0003812E7</v>
      </c>
      <c r="L488" s="1" t="s">
        <v>1776</v>
      </c>
      <c r="M488" s="1" t="s">
        <v>2128</v>
      </c>
      <c r="N488" s="63" t="s">
        <v>1084</v>
      </c>
      <c r="O488" s="63" t="s">
        <v>1084</v>
      </c>
      <c r="P488" s="68">
        <v>29.0</v>
      </c>
      <c r="Q488" s="1" t="s">
        <v>2130</v>
      </c>
      <c r="R488" s="1" t="s">
        <v>13</v>
      </c>
      <c r="S488" s="1"/>
      <c r="T488" s="1"/>
      <c r="U488" s="1" t="s">
        <v>1095</v>
      </c>
      <c r="V488" s="1" t="s">
        <v>1095</v>
      </c>
      <c r="W488" s="145">
        <f t="shared" si="1"/>
        <v>0.001996428682</v>
      </c>
      <c r="AC488" s="38"/>
    </row>
    <row r="489" ht="15.75" customHeight="1">
      <c r="A489" s="1" t="s">
        <v>2042</v>
      </c>
      <c r="B489" s="1" t="s">
        <v>2127</v>
      </c>
      <c r="C489" s="63">
        <v>46237.0</v>
      </c>
      <c r="D489" s="63" t="s">
        <v>130</v>
      </c>
      <c r="E489" s="68">
        <v>0.97354111</v>
      </c>
      <c r="F489" s="1"/>
      <c r="G489" s="23">
        <v>5606107.59</v>
      </c>
      <c r="H489" s="23">
        <v>5457776.22</v>
      </c>
      <c r="I489" s="23">
        <v>5606107.59</v>
      </c>
      <c r="J489" s="23">
        <v>5457776.22</v>
      </c>
      <c r="K489" s="24">
        <v>2.9386345E7</v>
      </c>
      <c r="L489" s="1" t="s">
        <v>1776</v>
      </c>
      <c r="M489" s="1" t="s">
        <v>2128</v>
      </c>
      <c r="N489" s="63" t="s">
        <v>1118</v>
      </c>
      <c r="O489" s="63" t="s">
        <v>1118</v>
      </c>
      <c r="P489" s="68">
        <v>32.0</v>
      </c>
      <c r="Q489" s="1" t="s">
        <v>2130</v>
      </c>
      <c r="R489" s="1" t="s">
        <v>13</v>
      </c>
      <c r="S489" s="1"/>
      <c r="T489" s="1"/>
      <c r="U489" s="1" t="s">
        <v>1147</v>
      </c>
      <c r="V489" s="1" t="s">
        <v>1147</v>
      </c>
      <c r="W489" s="145">
        <f t="shared" si="1"/>
        <v>0.00011164432</v>
      </c>
      <c r="AC489" s="38"/>
    </row>
    <row r="490" ht="15.75" customHeight="1">
      <c r="A490" s="1" t="s">
        <v>1986</v>
      </c>
      <c r="B490" s="1" t="s">
        <v>2127</v>
      </c>
      <c r="C490" s="63">
        <v>46237.0</v>
      </c>
      <c r="D490" s="63" t="s">
        <v>130</v>
      </c>
      <c r="E490" s="68">
        <v>0.97193389</v>
      </c>
      <c r="F490" s="1"/>
      <c r="G490" s="23">
        <v>1.0E7</v>
      </c>
      <c r="H490" s="23">
        <v>9719338.95</v>
      </c>
      <c r="I490" s="23">
        <v>1.0E7</v>
      </c>
      <c r="J490" s="23">
        <v>9719338.95</v>
      </c>
      <c r="K490" s="24">
        <v>211.0</v>
      </c>
      <c r="L490" s="1" t="s">
        <v>1776</v>
      </c>
      <c r="M490" s="1" t="s">
        <v>2128</v>
      </c>
      <c r="N490" s="63" t="s">
        <v>1272</v>
      </c>
      <c r="O490" s="63" t="s">
        <v>1272</v>
      </c>
      <c r="P490" s="68">
        <v>34.0</v>
      </c>
      <c r="Q490" s="1" t="s">
        <v>2130</v>
      </c>
      <c r="R490" s="1" t="s">
        <v>13</v>
      </c>
      <c r="S490" s="1"/>
      <c r="T490" s="1"/>
      <c r="U490" s="1" t="s">
        <v>1293</v>
      </c>
      <c r="V490" s="1" t="s">
        <v>1293</v>
      </c>
      <c r="W490" s="145">
        <f t="shared" si="1"/>
        <v>0.0001988188859</v>
      </c>
      <c r="AC490" s="38"/>
    </row>
    <row r="491" ht="15.75" customHeight="1">
      <c r="A491" s="1" t="s">
        <v>2052</v>
      </c>
      <c r="B491" s="1" t="s">
        <v>2127</v>
      </c>
      <c r="C491" s="63">
        <v>46237.0</v>
      </c>
      <c r="D491" s="63" t="s">
        <v>130</v>
      </c>
      <c r="E491" s="68">
        <v>0.97515379</v>
      </c>
      <c r="F491" s="1"/>
      <c r="G491" s="23">
        <v>330000.0</v>
      </c>
      <c r="H491" s="23">
        <v>321800.75</v>
      </c>
      <c r="I491" s="23">
        <v>330000.0</v>
      </c>
      <c r="J491" s="23">
        <v>321800.75</v>
      </c>
      <c r="K491" s="24">
        <v>9918443.0</v>
      </c>
      <c r="L491" s="1" t="s">
        <v>1776</v>
      </c>
      <c r="M491" s="1" t="s">
        <v>2128</v>
      </c>
      <c r="N491" s="63" t="s">
        <v>1488</v>
      </c>
      <c r="O491" s="63" t="s">
        <v>1488</v>
      </c>
      <c r="P491" s="68">
        <v>30.0</v>
      </c>
      <c r="Q491" s="1" t="s">
        <v>2130</v>
      </c>
      <c r="R491" s="1" t="s">
        <v>13</v>
      </c>
      <c r="S491" s="1"/>
      <c r="T491" s="1"/>
      <c r="U491" s="1" t="s">
        <v>1545</v>
      </c>
      <c r="V491" s="1" t="s">
        <v>1545</v>
      </c>
      <c r="W491" s="145">
        <f t="shared" si="1"/>
        <v>0.000006582759067</v>
      </c>
      <c r="AC491" s="38"/>
    </row>
    <row r="492" ht="15.75" customHeight="1">
      <c r="A492" s="1" t="s">
        <v>2052</v>
      </c>
      <c r="B492" s="1" t="s">
        <v>2127</v>
      </c>
      <c r="C492" s="63">
        <v>46237.0</v>
      </c>
      <c r="D492" s="63" t="s">
        <v>130</v>
      </c>
      <c r="E492" s="68">
        <v>0.97515381</v>
      </c>
      <c r="F492" s="1"/>
      <c r="G492" s="23">
        <v>415000.0</v>
      </c>
      <c r="H492" s="23">
        <v>404688.83</v>
      </c>
      <c r="I492" s="23">
        <v>415000.0</v>
      </c>
      <c r="J492" s="23">
        <v>404688.83</v>
      </c>
      <c r="K492" s="24">
        <v>9918437.0</v>
      </c>
      <c r="L492" s="1" t="s">
        <v>1776</v>
      </c>
      <c r="M492" s="1" t="s">
        <v>2128</v>
      </c>
      <c r="N492" s="63" t="s">
        <v>1488</v>
      </c>
      <c r="O492" s="63" t="s">
        <v>1488</v>
      </c>
      <c r="P492" s="68">
        <v>30.0</v>
      </c>
      <c r="Q492" s="1" t="s">
        <v>2130</v>
      </c>
      <c r="R492" s="1" t="s">
        <v>13</v>
      </c>
      <c r="S492" s="1"/>
      <c r="T492" s="1"/>
      <c r="U492" s="1" t="s">
        <v>1546</v>
      </c>
      <c r="V492" s="1" t="s">
        <v>1546</v>
      </c>
      <c r="W492" s="145">
        <f t="shared" si="1"/>
        <v>0.000008278318384</v>
      </c>
      <c r="AC492" s="38"/>
    </row>
    <row r="493" ht="15.75" customHeight="1">
      <c r="A493" s="1" t="s">
        <v>2069</v>
      </c>
      <c r="B493" s="1" t="s">
        <v>2127</v>
      </c>
      <c r="C493" s="63">
        <v>46237.0</v>
      </c>
      <c r="D493" s="63" t="s">
        <v>130</v>
      </c>
      <c r="E493" s="68">
        <v>0.9751538</v>
      </c>
      <c r="F493" s="1"/>
      <c r="G493" s="23">
        <v>1278434.36</v>
      </c>
      <c r="H493" s="23">
        <v>1246670.12</v>
      </c>
      <c r="I493" s="23">
        <v>1278434.36</v>
      </c>
      <c r="J493" s="23">
        <v>1246670.12</v>
      </c>
      <c r="K493" s="24">
        <v>2.0325324E7</v>
      </c>
      <c r="L493" s="1" t="s">
        <v>1776</v>
      </c>
      <c r="M493" s="1" t="s">
        <v>2128</v>
      </c>
      <c r="N493" s="63" t="s">
        <v>1488</v>
      </c>
      <c r="O493" s="63" t="s">
        <v>1488</v>
      </c>
      <c r="P493" s="68">
        <v>30.0</v>
      </c>
      <c r="Q493" s="1" t="s">
        <v>2130</v>
      </c>
      <c r="R493" s="1" t="s">
        <v>13</v>
      </c>
      <c r="S493" s="1"/>
      <c r="T493" s="1"/>
      <c r="U493" s="1" t="s">
        <v>1556</v>
      </c>
      <c r="V493" s="1" t="s">
        <v>1556</v>
      </c>
      <c r="W493" s="145">
        <f t="shared" si="1"/>
        <v>0.0000255018953</v>
      </c>
      <c r="AC493" s="38"/>
    </row>
    <row r="494" ht="15.75" customHeight="1">
      <c r="A494" s="1" t="s">
        <v>1953</v>
      </c>
      <c r="B494" s="1" t="s">
        <v>2127</v>
      </c>
      <c r="C494" s="63">
        <v>46238.0</v>
      </c>
      <c r="D494" s="63" t="s">
        <v>130</v>
      </c>
      <c r="E494" s="68">
        <v>0.98276796</v>
      </c>
      <c r="F494" s="1"/>
      <c r="G494" s="23">
        <v>2500000.0</v>
      </c>
      <c r="H494" s="23">
        <v>2456919.9</v>
      </c>
      <c r="I494" s="23">
        <v>2500000.0</v>
      </c>
      <c r="J494" s="23">
        <v>2456919.9</v>
      </c>
      <c r="K494" s="24">
        <v>6129.0</v>
      </c>
      <c r="L494" s="1" t="s">
        <v>1776</v>
      </c>
      <c r="M494" s="1" t="s">
        <v>2128</v>
      </c>
      <c r="N494" s="63" t="s">
        <v>946</v>
      </c>
      <c r="O494" s="63" t="s">
        <v>946</v>
      </c>
      <c r="P494" s="68">
        <v>20.0</v>
      </c>
      <c r="Q494" s="1" t="s">
        <v>2130</v>
      </c>
      <c r="R494" s="1" t="s">
        <v>13</v>
      </c>
      <c r="S494" s="1"/>
      <c r="T494" s="1"/>
      <c r="U494" s="1" t="s">
        <v>977</v>
      </c>
      <c r="V494" s="1" t="s">
        <v>977</v>
      </c>
      <c r="W494" s="145">
        <f t="shared" si="1"/>
        <v>0.0000502587758</v>
      </c>
      <c r="AC494" s="38"/>
    </row>
    <row r="495" ht="15.75" customHeight="1">
      <c r="A495" s="1" t="s">
        <v>2001</v>
      </c>
      <c r="B495" s="1" t="s">
        <v>2127</v>
      </c>
      <c r="C495" s="63">
        <v>46238.0</v>
      </c>
      <c r="D495" s="63" t="s">
        <v>130</v>
      </c>
      <c r="E495" s="68">
        <v>0.97687621</v>
      </c>
      <c r="F495" s="1"/>
      <c r="G495" s="23">
        <v>2.77890802E7</v>
      </c>
      <c r="H495" s="23">
        <v>2.714649131E7</v>
      </c>
      <c r="I495" s="23">
        <v>2.77890802E7</v>
      </c>
      <c r="J495" s="23">
        <v>2.714649131E7</v>
      </c>
      <c r="K495" s="24">
        <v>540.0</v>
      </c>
      <c r="L495" s="1" t="s">
        <v>1776</v>
      </c>
      <c r="M495" s="1" t="s">
        <v>2128</v>
      </c>
      <c r="N495" s="63" t="s">
        <v>676</v>
      </c>
      <c r="O495" s="63" t="s">
        <v>676</v>
      </c>
      <c r="P495" s="68">
        <v>27.0</v>
      </c>
      <c r="Q495" s="1" t="s">
        <v>2130</v>
      </c>
      <c r="R495" s="1" t="s">
        <v>13</v>
      </c>
      <c r="S495" s="1"/>
      <c r="T495" s="1"/>
      <c r="U495" s="1" t="s">
        <v>696</v>
      </c>
      <c r="V495" s="1" t="s">
        <v>696</v>
      </c>
      <c r="W495" s="145">
        <f t="shared" si="1"/>
        <v>0.0005553088729</v>
      </c>
      <c r="AC495" s="38"/>
    </row>
    <row r="496" ht="15.75" customHeight="1">
      <c r="A496" s="1" t="s">
        <v>1974</v>
      </c>
      <c r="B496" s="1" t="s">
        <v>2127</v>
      </c>
      <c r="C496" s="63">
        <v>46238.0</v>
      </c>
      <c r="D496" s="63" t="s">
        <v>130</v>
      </c>
      <c r="E496" s="68">
        <v>0.9661197</v>
      </c>
      <c r="F496" s="1"/>
      <c r="G496" s="23">
        <v>6.0E7</v>
      </c>
      <c r="H496" s="23">
        <v>5.796718179E7</v>
      </c>
      <c r="I496" s="23">
        <v>6.0E7</v>
      </c>
      <c r="J496" s="23">
        <v>5.796718179E7</v>
      </c>
      <c r="K496" s="24">
        <v>152491.0</v>
      </c>
      <c r="L496" s="1" t="s">
        <v>1776</v>
      </c>
      <c r="M496" s="1" t="s">
        <v>2128</v>
      </c>
      <c r="N496" s="63" t="s">
        <v>1118</v>
      </c>
      <c r="O496" s="63" t="s">
        <v>1118</v>
      </c>
      <c r="P496" s="68">
        <v>40.0</v>
      </c>
      <c r="Q496" s="1" t="s">
        <v>2130</v>
      </c>
      <c r="R496" s="1" t="s">
        <v>13</v>
      </c>
      <c r="S496" s="1"/>
      <c r="T496" s="1"/>
      <c r="U496" s="1" t="s">
        <v>1145</v>
      </c>
      <c r="V496" s="1" t="s">
        <v>1145</v>
      </c>
      <c r="W496" s="145">
        <f t="shared" si="1"/>
        <v>0.001185777198</v>
      </c>
      <c r="AC496" s="38"/>
    </row>
    <row r="497" ht="15.75" customHeight="1">
      <c r="A497" s="1" t="s">
        <v>2048</v>
      </c>
      <c r="B497" s="1" t="s">
        <v>2127</v>
      </c>
      <c r="C497" s="63">
        <v>46238.0</v>
      </c>
      <c r="D497" s="63" t="s">
        <v>130</v>
      </c>
      <c r="E497" s="68">
        <v>0.96858087</v>
      </c>
      <c r="F497" s="1"/>
      <c r="G497" s="23">
        <v>6598885.38</v>
      </c>
      <c r="H497" s="23">
        <v>6391554.12</v>
      </c>
      <c r="I497" s="23">
        <v>6598885.38</v>
      </c>
      <c r="J497" s="23">
        <v>6391554.12</v>
      </c>
      <c r="K497" s="24">
        <v>1.0902567E7</v>
      </c>
      <c r="L497" s="1" t="s">
        <v>1776</v>
      </c>
      <c r="M497" s="1" t="s">
        <v>2128</v>
      </c>
      <c r="N497" s="63" t="s">
        <v>765</v>
      </c>
      <c r="O497" s="63" t="s">
        <v>765</v>
      </c>
      <c r="P497" s="68">
        <v>37.0</v>
      </c>
      <c r="Q497" s="1" t="s">
        <v>2130</v>
      </c>
      <c r="R497" s="1" t="s">
        <v>13</v>
      </c>
      <c r="S497" s="1"/>
      <c r="T497" s="1"/>
      <c r="U497" s="1" t="s">
        <v>796</v>
      </c>
      <c r="V497" s="1" t="s">
        <v>796</v>
      </c>
      <c r="W497" s="145">
        <f t="shared" si="1"/>
        <v>0.0001307456892</v>
      </c>
      <c r="AC497" s="38"/>
    </row>
    <row r="498" ht="15.75" customHeight="1">
      <c r="A498" s="1" t="s">
        <v>1985</v>
      </c>
      <c r="B498" s="1" t="s">
        <v>2127</v>
      </c>
      <c r="C498" s="63">
        <v>46238.0</v>
      </c>
      <c r="D498" s="63" t="s">
        <v>130</v>
      </c>
      <c r="E498" s="68">
        <v>0.971882</v>
      </c>
      <c r="F498" s="1"/>
      <c r="G498" s="23">
        <v>1.3E7</v>
      </c>
      <c r="H498" s="23">
        <v>1.263446605E7</v>
      </c>
      <c r="I498" s="23">
        <v>1.3E7</v>
      </c>
      <c r="J498" s="23">
        <v>1.263446605E7</v>
      </c>
      <c r="K498" s="24">
        <v>207.0</v>
      </c>
      <c r="L498" s="1" t="s">
        <v>1776</v>
      </c>
      <c r="M498" s="1" t="s">
        <v>2128</v>
      </c>
      <c r="N498" s="63" t="s">
        <v>902</v>
      </c>
      <c r="O498" s="63" t="s">
        <v>902</v>
      </c>
      <c r="P498" s="68">
        <v>33.0</v>
      </c>
      <c r="Q498" s="1" t="s">
        <v>2130</v>
      </c>
      <c r="R498" s="1" t="s">
        <v>13</v>
      </c>
      <c r="S498" s="1"/>
      <c r="T498" s="1"/>
      <c r="U498" s="1" t="s">
        <v>936</v>
      </c>
      <c r="V498" s="1" t="s">
        <v>936</v>
      </c>
      <c r="W498" s="145">
        <f t="shared" si="1"/>
        <v>0.0002584507523</v>
      </c>
      <c r="AC498" s="38"/>
    </row>
    <row r="499" ht="15.75" customHeight="1">
      <c r="A499" s="1" t="s">
        <v>1985</v>
      </c>
      <c r="B499" s="1" t="s">
        <v>2127</v>
      </c>
      <c r="C499" s="63">
        <v>46238.0</v>
      </c>
      <c r="D499" s="63" t="s">
        <v>130</v>
      </c>
      <c r="E499" s="68">
        <v>0.971882</v>
      </c>
      <c r="F499" s="1"/>
      <c r="G499" s="23">
        <v>1.3E7</v>
      </c>
      <c r="H499" s="23">
        <v>1.263446605E7</v>
      </c>
      <c r="I499" s="23">
        <v>1.3E7</v>
      </c>
      <c r="J499" s="23">
        <v>1.263446605E7</v>
      </c>
      <c r="K499" s="24">
        <v>203.0</v>
      </c>
      <c r="L499" s="1" t="s">
        <v>1776</v>
      </c>
      <c r="M499" s="1" t="s">
        <v>2128</v>
      </c>
      <c r="N499" s="63" t="s">
        <v>902</v>
      </c>
      <c r="O499" s="63" t="s">
        <v>902</v>
      </c>
      <c r="P499" s="68">
        <v>33.0</v>
      </c>
      <c r="Q499" s="1" t="s">
        <v>2130</v>
      </c>
      <c r="R499" s="1" t="s">
        <v>13</v>
      </c>
      <c r="S499" s="1"/>
      <c r="T499" s="1"/>
      <c r="U499" s="1" t="s">
        <v>937</v>
      </c>
      <c r="V499" s="1" t="s">
        <v>937</v>
      </c>
      <c r="W499" s="145">
        <f t="shared" si="1"/>
        <v>0.0002584507523</v>
      </c>
      <c r="AC499" s="38"/>
    </row>
    <row r="500" ht="15.75" customHeight="1">
      <c r="A500" s="1" t="s">
        <v>1985</v>
      </c>
      <c r="B500" s="1" t="s">
        <v>2127</v>
      </c>
      <c r="C500" s="63">
        <v>46238.0</v>
      </c>
      <c r="D500" s="63" t="s">
        <v>130</v>
      </c>
      <c r="E500" s="68">
        <v>0.971882</v>
      </c>
      <c r="F500" s="1"/>
      <c r="G500" s="23">
        <v>1.3E7</v>
      </c>
      <c r="H500" s="23">
        <v>1.263446605E7</v>
      </c>
      <c r="I500" s="23">
        <v>1.3E7</v>
      </c>
      <c r="J500" s="23">
        <v>1.263446605E7</v>
      </c>
      <c r="K500" s="24">
        <v>206.0</v>
      </c>
      <c r="L500" s="1" t="s">
        <v>1776</v>
      </c>
      <c r="M500" s="1" t="s">
        <v>2128</v>
      </c>
      <c r="N500" s="63" t="s">
        <v>902</v>
      </c>
      <c r="O500" s="63" t="s">
        <v>902</v>
      </c>
      <c r="P500" s="68">
        <v>33.0</v>
      </c>
      <c r="Q500" s="1" t="s">
        <v>2130</v>
      </c>
      <c r="R500" s="1" t="s">
        <v>13</v>
      </c>
      <c r="S500" s="1"/>
      <c r="T500" s="1"/>
      <c r="U500" s="1" t="s">
        <v>938</v>
      </c>
      <c r="V500" s="1" t="s">
        <v>938</v>
      </c>
      <c r="W500" s="145">
        <f t="shared" si="1"/>
        <v>0.0002584507523</v>
      </c>
      <c r="AC500" s="38"/>
    </row>
    <row r="501" ht="15.75" customHeight="1">
      <c r="A501" s="1" t="s">
        <v>2019</v>
      </c>
      <c r="B501" s="1" t="s">
        <v>2127</v>
      </c>
      <c r="C501" s="63">
        <v>46238.0</v>
      </c>
      <c r="D501" s="63" t="s">
        <v>130</v>
      </c>
      <c r="E501" s="68">
        <v>0.97188208</v>
      </c>
      <c r="F501" s="1"/>
      <c r="G501" s="23">
        <v>3000000.0</v>
      </c>
      <c r="H501" s="23">
        <v>2915646.24</v>
      </c>
      <c r="I501" s="23">
        <v>3000000.0</v>
      </c>
      <c r="J501" s="23">
        <v>2915646.24</v>
      </c>
      <c r="K501" s="24">
        <v>9.0015793E7</v>
      </c>
      <c r="L501" s="1" t="s">
        <v>1776</v>
      </c>
      <c r="M501" s="1" t="s">
        <v>2128</v>
      </c>
      <c r="N501" s="63" t="s">
        <v>946</v>
      </c>
      <c r="O501" s="63" t="s">
        <v>946</v>
      </c>
      <c r="P501" s="68">
        <v>33.0</v>
      </c>
      <c r="Q501" s="1" t="s">
        <v>2130</v>
      </c>
      <c r="R501" s="1" t="s">
        <v>13</v>
      </c>
      <c r="S501" s="1"/>
      <c r="T501" s="1"/>
      <c r="U501" s="1" t="s">
        <v>1012</v>
      </c>
      <c r="V501" s="1" t="s">
        <v>1012</v>
      </c>
      <c r="W501" s="145">
        <f t="shared" si="1"/>
        <v>0.00005964248598</v>
      </c>
      <c r="AC501" s="38"/>
    </row>
    <row r="502" ht="15.75" customHeight="1">
      <c r="A502" s="1" t="s">
        <v>1917</v>
      </c>
      <c r="B502" s="1" t="s">
        <v>2127</v>
      </c>
      <c r="C502" s="63">
        <v>46238.0</v>
      </c>
      <c r="D502" s="63" t="s">
        <v>130</v>
      </c>
      <c r="E502" s="68">
        <v>0.97437269</v>
      </c>
      <c r="F502" s="1"/>
      <c r="G502" s="23">
        <v>1.0E7</v>
      </c>
      <c r="H502" s="23">
        <v>9743726.93</v>
      </c>
      <c r="I502" s="23">
        <v>1.0E7</v>
      </c>
      <c r="J502" s="23">
        <v>9743726.93</v>
      </c>
      <c r="K502" s="24">
        <v>492.0</v>
      </c>
      <c r="L502" s="1" t="s">
        <v>1776</v>
      </c>
      <c r="M502" s="1" t="s">
        <v>2128</v>
      </c>
      <c r="N502" s="63" t="s">
        <v>765</v>
      </c>
      <c r="O502" s="63" t="s">
        <v>765</v>
      </c>
      <c r="P502" s="68">
        <v>30.0</v>
      </c>
      <c r="Q502" s="1" t="s">
        <v>2130</v>
      </c>
      <c r="R502" s="1" t="s">
        <v>13</v>
      </c>
      <c r="S502" s="1"/>
      <c r="T502" s="1"/>
      <c r="U502" s="1" t="s">
        <v>764</v>
      </c>
      <c r="V502" s="1" t="s">
        <v>764</v>
      </c>
      <c r="W502" s="145">
        <f t="shared" si="1"/>
        <v>0.0001993177666</v>
      </c>
      <c r="AC502" s="38"/>
    </row>
    <row r="503" ht="15.75" customHeight="1">
      <c r="A503" s="1" t="s">
        <v>1906</v>
      </c>
      <c r="B503" s="1" t="s">
        <v>2127</v>
      </c>
      <c r="C503" s="63">
        <v>46238.0</v>
      </c>
      <c r="D503" s="63" t="s">
        <v>130</v>
      </c>
      <c r="E503" s="68">
        <v>0.96775918</v>
      </c>
      <c r="F503" s="1"/>
      <c r="G503" s="23">
        <v>1.0E8</v>
      </c>
      <c r="H503" s="23">
        <v>9.677591751E7</v>
      </c>
      <c r="I503" s="23">
        <v>1.0E8</v>
      </c>
      <c r="J503" s="23">
        <v>9.677591751E7</v>
      </c>
      <c r="K503" s="24">
        <v>7.0219538E7</v>
      </c>
      <c r="L503" s="1" t="s">
        <v>1776</v>
      </c>
      <c r="M503" s="1" t="s">
        <v>2128</v>
      </c>
      <c r="N503" s="63" t="s">
        <v>886</v>
      </c>
      <c r="O503" s="63" t="s">
        <v>886</v>
      </c>
      <c r="P503" s="68">
        <v>38.0</v>
      </c>
      <c r="Q503" s="1" t="s">
        <v>2130</v>
      </c>
      <c r="R503" s="1" t="s">
        <v>13</v>
      </c>
      <c r="S503" s="1"/>
      <c r="T503" s="1"/>
      <c r="U503" s="1" t="s">
        <v>891</v>
      </c>
      <c r="V503" s="1" t="s">
        <v>891</v>
      </c>
      <c r="W503" s="145">
        <f t="shared" si="1"/>
        <v>0.001979649048</v>
      </c>
      <c r="AC503" s="38"/>
    </row>
    <row r="504" ht="15.75" customHeight="1">
      <c r="A504" s="1" t="s">
        <v>1906</v>
      </c>
      <c r="B504" s="1" t="s">
        <v>2127</v>
      </c>
      <c r="C504" s="63">
        <v>46238.0</v>
      </c>
      <c r="D504" s="63" t="s">
        <v>130</v>
      </c>
      <c r="E504" s="68">
        <v>0.96775918</v>
      </c>
      <c r="F504" s="1"/>
      <c r="G504" s="23">
        <v>1.082E9</v>
      </c>
      <c r="H504" s="23">
        <v>1.04711542746E9</v>
      </c>
      <c r="I504" s="23">
        <v>1.082E9</v>
      </c>
      <c r="J504" s="23">
        <v>1.04711542746E9</v>
      </c>
      <c r="K504" s="24">
        <v>7.0219527E7</v>
      </c>
      <c r="L504" s="1" t="s">
        <v>1776</v>
      </c>
      <c r="M504" s="1" t="s">
        <v>2128</v>
      </c>
      <c r="N504" s="63" t="s">
        <v>886</v>
      </c>
      <c r="O504" s="63" t="s">
        <v>886</v>
      </c>
      <c r="P504" s="68">
        <v>38.0</v>
      </c>
      <c r="Q504" s="1" t="s">
        <v>2130</v>
      </c>
      <c r="R504" s="1" t="s">
        <v>13</v>
      </c>
      <c r="S504" s="1"/>
      <c r="T504" s="1"/>
      <c r="U504" s="1" t="s">
        <v>892</v>
      </c>
      <c r="V504" s="1" t="s">
        <v>892</v>
      </c>
      <c r="W504" s="145">
        <f t="shared" si="1"/>
        <v>0.0214198027</v>
      </c>
      <c r="AC504" s="38"/>
    </row>
    <row r="505" ht="15.75" customHeight="1">
      <c r="A505" s="1" t="s">
        <v>1972</v>
      </c>
      <c r="B505" s="1" t="s">
        <v>2127</v>
      </c>
      <c r="C505" s="63">
        <v>46238.0</v>
      </c>
      <c r="D505" s="63" t="s">
        <v>130</v>
      </c>
      <c r="E505" s="68">
        <v>0.97188211</v>
      </c>
      <c r="F505" s="1"/>
      <c r="G505" s="23">
        <v>1.0E7</v>
      </c>
      <c r="H505" s="23">
        <v>9718821.09</v>
      </c>
      <c r="I505" s="23">
        <v>1.0E7</v>
      </c>
      <c r="J505" s="23">
        <v>9718821.09</v>
      </c>
      <c r="K505" s="24">
        <v>1.3633527E7</v>
      </c>
      <c r="L505" s="1" t="s">
        <v>1776</v>
      </c>
      <c r="M505" s="1" t="s">
        <v>2128</v>
      </c>
      <c r="N505" s="63" t="s">
        <v>827</v>
      </c>
      <c r="O505" s="63" t="s">
        <v>827</v>
      </c>
      <c r="P505" s="68">
        <v>33.0</v>
      </c>
      <c r="Q505" s="1" t="s">
        <v>2130</v>
      </c>
      <c r="R505" s="1" t="s">
        <v>13</v>
      </c>
      <c r="S505" s="1"/>
      <c r="T505" s="1"/>
      <c r="U505" s="1" t="s">
        <v>838</v>
      </c>
      <c r="V505" s="1" t="s">
        <v>838</v>
      </c>
      <c r="W505" s="145">
        <f t="shared" si="1"/>
        <v>0.0001988082925</v>
      </c>
      <c r="AC505" s="38"/>
    </row>
    <row r="506" ht="15.75" customHeight="1">
      <c r="A506" s="1" t="s">
        <v>1936</v>
      </c>
      <c r="B506" s="1" t="s">
        <v>2127</v>
      </c>
      <c r="C506" s="63">
        <v>46238.0</v>
      </c>
      <c r="D506" s="63" t="s">
        <v>130</v>
      </c>
      <c r="E506" s="68">
        <v>0.971882</v>
      </c>
      <c r="F506" s="1"/>
      <c r="G506" s="23">
        <v>5.0E7</v>
      </c>
      <c r="H506" s="23">
        <v>4.859409998E7</v>
      </c>
      <c r="I506" s="23">
        <v>5.0E7</v>
      </c>
      <c r="J506" s="23">
        <v>4.859409998E7</v>
      </c>
      <c r="K506" s="24">
        <v>2.9030848E7</v>
      </c>
      <c r="L506" s="1" t="s">
        <v>1776</v>
      </c>
      <c r="M506" s="1" t="s">
        <v>2128</v>
      </c>
      <c r="N506" s="63" t="s">
        <v>234</v>
      </c>
      <c r="O506" s="63" t="s">
        <v>234</v>
      </c>
      <c r="P506" s="68">
        <v>33.0</v>
      </c>
      <c r="Q506" s="1" t="s">
        <v>2130</v>
      </c>
      <c r="R506" s="1" t="s">
        <v>13</v>
      </c>
      <c r="S506" s="1"/>
      <c r="T506" s="1"/>
      <c r="U506" s="1" t="s">
        <v>237</v>
      </c>
      <c r="V506" s="1" t="s">
        <v>237</v>
      </c>
      <c r="W506" s="145">
        <f t="shared" si="1"/>
        <v>0.0009940413508</v>
      </c>
      <c r="AC506" s="38"/>
    </row>
    <row r="507" ht="15.75" customHeight="1">
      <c r="A507" s="1" t="s">
        <v>1936</v>
      </c>
      <c r="B507" s="1" t="s">
        <v>2127</v>
      </c>
      <c r="C507" s="63">
        <v>46238.0</v>
      </c>
      <c r="D507" s="63" t="s">
        <v>130</v>
      </c>
      <c r="E507" s="68">
        <v>0.97188203</v>
      </c>
      <c r="F507" s="1"/>
      <c r="G507" s="23">
        <v>5.0E7</v>
      </c>
      <c r="H507" s="23">
        <v>4.859410139E7</v>
      </c>
      <c r="I507" s="23">
        <v>5.0E7</v>
      </c>
      <c r="J507" s="23">
        <v>4.859410139E7</v>
      </c>
      <c r="K507" s="24">
        <v>2.9007569E7</v>
      </c>
      <c r="L507" s="1" t="s">
        <v>1776</v>
      </c>
      <c r="M507" s="1" t="s">
        <v>2128</v>
      </c>
      <c r="N507" s="63" t="s">
        <v>207</v>
      </c>
      <c r="O507" s="63" t="s">
        <v>207</v>
      </c>
      <c r="P507" s="68">
        <v>33.0</v>
      </c>
      <c r="Q507" s="1" t="s">
        <v>2130</v>
      </c>
      <c r="R507" s="1" t="s">
        <v>13</v>
      </c>
      <c r="S507" s="1"/>
      <c r="T507" s="1"/>
      <c r="U507" s="1" t="s">
        <v>225</v>
      </c>
      <c r="V507" s="1" t="s">
        <v>225</v>
      </c>
      <c r="W507" s="145">
        <f t="shared" si="1"/>
        <v>0.0009940413797</v>
      </c>
      <c r="AC507" s="38"/>
    </row>
    <row r="508" ht="15.75" customHeight="1">
      <c r="A508" s="1" t="s">
        <v>1961</v>
      </c>
      <c r="B508" s="1" t="s">
        <v>2127</v>
      </c>
      <c r="C508" s="63">
        <v>46238.0</v>
      </c>
      <c r="D508" s="63" t="s">
        <v>130</v>
      </c>
      <c r="E508" s="68">
        <v>0.96940414</v>
      </c>
      <c r="F508" s="1"/>
      <c r="G508" s="23">
        <v>5882352.93</v>
      </c>
      <c r="H508" s="23">
        <v>5702377.3</v>
      </c>
      <c r="I508" s="23">
        <v>5882352.93</v>
      </c>
      <c r="J508" s="23">
        <v>5702377.3</v>
      </c>
      <c r="K508" s="24">
        <v>2620.0</v>
      </c>
      <c r="L508" s="1" t="s">
        <v>1776</v>
      </c>
      <c r="M508" s="1" t="s">
        <v>2128</v>
      </c>
      <c r="N508" s="63" t="s">
        <v>886</v>
      </c>
      <c r="O508" s="63" t="s">
        <v>886</v>
      </c>
      <c r="P508" s="68">
        <v>36.0</v>
      </c>
      <c r="Q508" s="1" t="s">
        <v>2130</v>
      </c>
      <c r="R508" s="1" t="s">
        <v>13</v>
      </c>
      <c r="S508" s="1"/>
      <c r="T508" s="1"/>
      <c r="U508" s="1" t="s">
        <v>899</v>
      </c>
      <c r="V508" s="1" t="s">
        <v>899</v>
      </c>
      <c r="W508" s="145">
        <f t="shared" si="1"/>
        <v>0.0001166478819</v>
      </c>
      <c r="AC508" s="38"/>
    </row>
    <row r="509" ht="15.75" customHeight="1">
      <c r="A509" s="1" t="s">
        <v>1961</v>
      </c>
      <c r="B509" s="1" t="s">
        <v>2127</v>
      </c>
      <c r="C509" s="63">
        <v>46238.0</v>
      </c>
      <c r="D509" s="63" t="s">
        <v>130</v>
      </c>
      <c r="E509" s="68">
        <v>0.9694042</v>
      </c>
      <c r="F509" s="1"/>
      <c r="G509" s="23">
        <v>2273100.5</v>
      </c>
      <c r="H509" s="23">
        <v>2203553.18</v>
      </c>
      <c r="I509" s="23">
        <v>2273100.5</v>
      </c>
      <c r="J509" s="23">
        <v>2203553.18</v>
      </c>
      <c r="K509" s="24">
        <v>2757.0</v>
      </c>
      <c r="L509" s="1" t="s">
        <v>1776</v>
      </c>
      <c r="M509" s="1" t="s">
        <v>2128</v>
      </c>
      <c r="N509" s="63" t="s">
        <v>1332</v>
      </c>
      <c r="O509" s="63" t="s">
        <v>1332</v>
      </c>
      <c r="P509" s="68">
        <v>36.0</v>
      </c>
      <c r="Q509" s="1" t="s">
        <v>2130</v>
      </c>
      <c r="R509" s="1" t="s">
        <v>13</v>
      </c>
      <c r="S509" s="1"/>
      <c r="T509" s="1"/>
      <c r="U509" s="1" t="s">
        <v>1368</v>
      </c>
      <c r="V509" s="1" t="s">
        <v>1368</v>
      </c>
      <c r="W509" s="145">
        <f t="shared" si="1"/>
        <v>0.00004507590388</v>
      </c>
    </row>
    <row r="510" ht="15.75" customHeight="1">
      <c r="A510" s="1" t="s">
        <v>2004</v>
      </c>
      <c r="B510" s="1" t="s">
        <v>2127</v>
      </c>
      <c r="C510" s="63">
        <v>46238.0</v>
      </c>
      <c r="D510" s="63" t="s">
        <v>130</v>
      </c>
      <c r="E510" s="68">
        <v>0.97188201</v>
      </c>
      <c r="F510" s="1"/>
      <c r="G510" s="23">
        <v>6747533.79</v>
      </c>
      <c r="H510" s="23">
        <v>6557806.67</v>
      </c>
      <c r="I510" s="23">
        <v>6747533.79</v>
      </c>
      <c r="J510" s="23">
        <v>6557806.67</v>
      </c>
      <c r="K510" s="24">
        <v>1.0949784E7</v>
      </c>
      <c r="L510" s="1" t="s">
        <v>1776</v>
      </c>
      <c r="M510" s="1" t="s">
        <v>2128</v>
      </c>
      <c r="N510" s="63" t="s">
        <v>902</v>
      </c>
      <c r="O510" s="63" t="s">
        <v>902</v>
      </c>
      <c r="P510" s="68">
        <v>33.0</v>
      </c>
      <c r="Q510" s="1" t="s">
        <v>2130</v>
      </c>
      <c r="R510" s="1" t="s">
        <v>13</v>
      </c>
      <c r="S510" s="1"/>
      <c r="T510" s="1"/>
      <c r="U510" s="1" t="s">
        <v>921</v>
      </c>
      <c r="V510" s="1" t="s">
        <v>921</v>
      </c>
      <c r="W510" s="145">
        <f t="shared" si="1"/>
        <v>0.0001341465528</v>
      </c>
      <c r="AC510" s="38"/>
    </row>
    <row r="511" ht="15.75" customHeight="1">
      <c r="A511" s="1" t="s">
        <v>1909</v>
      </c>
      <c r="B511" s="1" t="s">
        <v>2127</v>
      </c>
      <c r="C511" s="63">
        <v>46238.0</v>
      </c>
      <c r="D511" s="63" t="s">
        <v>130</v>
      </c>
      <c r="E511" s="68">
        <v>0.98446438</v>
      </c>
      <c r="F511" s="1"/>
      <c r="G511" s="23">
        <v>7.76145E8</v>
      </c>
      <c r="H511" s="23">
        <v>7.6408710955E8</v>
      </c>
      <c r="I511" s="23">
        <v>7.76145E8</v>
      </c>
      <c r="J511" s="23">
        <v>7.6408710955E8</v>
      </c>
      <c r="K511" s="24">
        <v>152009.0</v>
      </c>
      <c r="L511" s="1" t="s">
        <v>1776</v>
      </c>
      <c r="M511" s="1" t="s">
        <v>2128</v>
      </c>
      <c r="N511" s="63" t="s">
        <v>1039</v>
      </c>
      <c r="O511" s="63" t="s">
        <v>1039</v>
      </c>
      <c r="P511" s="68">
        <v>18.0</v>
      </c>
      <c r="Q511" s="1" t="s">
        <v>2130</v>
      </c>
      <c r="R511" s="1" t="s">
        <v>13</v>
      </c>
      <c r="S511" s="1"/>
      <c r="T511" s="1"/>
      <c r="U511" s="1" t="s">
        <v>1046</v>
      </c>
      <c r="V511" s="1" t="s">
        <v>1046</v>
      </c>
      <c r="W511" s="145">
        <f t="shared" si="1"/>
        <v>0.01563017286</v>
      </c>
      <c r="AC511" s="38"/>
    </row>
    <row r="512" ht="15.75" customHeight="1">
      <c r="A512" s="1" t="s">
        <v>1909</v>
      </c>
      <c r="B512" s="1" t="s">
        <v>2127</v>
      </c>
      <c r="C512" s="63">
        <v>46238.0</v>
      </c>
      <c r="D512" s="63" t="s">
        <v>130</v>
      </c>
      <c r="E512" s="68">
        <v>0.97022867</v>
      </c>
      <c r="F512" s="1"/>
      <c r="G512" s="23">
        <v>2.434134953E7</v>
      </c>
      <c r="H512" s="23">
        <v>2.361667525E7</v>
      </c>
      <c r="I512" s="23">
        <v>2.434134953E7</v>
      </c>
      <c r="J512" s="23">
        <v>2.361667525E7</v>
      </c>
      <c r="K512" s="24">
        <v>1.3784401E7</v>
      </c>
      <c r="L512" s="1" t="s">
        <v>1776</v>
      </c>
      <c r="M512" s="1" t="s">
        <v>2128</v>
      </c>
      <c r="N512" s="63" t="s">
        <v>1222</v>
      </c>
      <c r="O512" s="63" t="s">
        <v>1222</v>
      </c>
      <c r="P512" s="68">
        <v>35.0</v>
      </c>
      <c r="Q512" s="1" t="s">
        <v>2130</v>
      </c>
      <c r="R512" s="1" t="s">
        <v>13</v>
      </c>
      <c r="S512" s="1"/>
      <c r="T512" s="1"/>
      <c r="U512" s="1" t="s">
        <v>1226</v>
      </c>
      <c r="V512" s="1" t="s">
        <v>1226</v>
      </c>
      <c r="W512" s="145">
        <f t="shared" si="1"/>
        <v>0.0004831029235</v>
      </c>
      <c r="AC512" s="38"/>
    </row>
    <row r="513" ht="15.75" customHeight="1">
      <c r="A513" s="1" t="s">
        <v>1903</v>
      </c>
      <c r="B513" s="1" t="s">
        <v>2127</v>
      </c>
      <c r="C513" s="63">
        <v>46238.0</v>
      </c>
      <c r="D513" s="63" t="s">
        <v>130</v>
      </c>
      <c r="E513" s="68">
        <v>0.97437272</v>
      </c>
      <c r="F513" s="1"/>
      <c r="G513" s="23">
        <v>1.0E7</v>
      </c>
      <c r="H513" s="23">
        <v>9743727.19</v>
      </c>
      <c r="I513" s="23">
        <v>1.0E7</v>
      </c>
      <c r="J513" s="23">
        <v>9743727.19</v>
      </c>
      <c r="K513" s="24">
        <v>6.5931757E7</v>
      </c>
      <c r="L513" s="1" t="s">
        <v>1776</v>
      </c>
      <c r="M513" s="1" t="s">
        <v>2128</v>
      </c>
      <c r="N513" s="63" t="s">
        <v>230</v>
      </c>
      <c r="O513" s="63" t="s">
        <v>230</v>
      </c>
      <c r="P513" s="68">
        <v>30.0</v>
      </c>
      <c r="Q513" s="1" t="s">
        <v>2130</v>
      </c>
      <c r="R513" s="1" t="s">
        <v>13</v>
      </c>
      <c r="S513" s="1"/>
      <c r="T513" s="1"/>
      <c r="U513" s="1" t="s">
        <v>232</v>
      </c>
      <c r="V513" s="1" t="s">
        <v>232</v>
      </c>
      <c r="W513" s="145">
        <f t="shared" si="1"/>
        <v>0.000199317772</v>
      </c>
      <c r="AC513" s="38"/>
    </row>
    <row r="514" ht="15.75" customHeight="1">
      <c r="A514" s="1" t="s">
        <v>1828</v>
      </c>
      <c r="B514" s="1" t="s">
        <v>2127</v>
      </c>
      <c r="C514" s="63">
        <v>46238.0</v>
      </c>
      <c r="D514" s="63" t="s">
        <v>130</v>
      </c>
      <c r="E514" s="68">
        <v>0.93599345</v>
      </c>
      <c r="F514" s="1"/>
      <c r="G514" s="23">
        <v>1.0E7</v>
      </c>
      <c r="H514" s="23">
        <v>9359934.49</v>
      </c>
      <c r="I514" s="23">
        <v>1.0E7</v>
      </c>
      <c r="J514" s="23">
        <v>9359934.49</v>
      </c>
      <c r="K514" s="24">
        <v>3935.0</v>
      </c>
      <c r="L514" s="1" t="s">
        <v>1776</v>
      </c>
      <c r="M514" s="1" t="s">
        <v>2128</v>
      </c>
      <c r="N514" s="63" t="s">
        <v>144</v>
      </c>
      <c r="O514" s="63" t="s">
        <v>144</v>
      </c>
      <c r="P514" s="68">
        <v>78.0</v>
      </c>
      <c r="Q514" s="1" t="s">
        <v>2130</v>
      </c>
      <c r="R514" s="1" t="s">
        <v>13</v>
      </c>
      <c r="S514" s="1"/>
      <c r="T514" s="1"/>
      <c r="U514" s="1" t="s">
        <v>147</v>
      </c>
      <c r="V514" s="1" t="s">
        <v>147</v>
      </c>
      <c r="W514" s="145">
        <f t="shared" si="1"/>
        <v>0.000191466905</v>
      </c>
      <c r="AC514" s="38"/>
    </row>
    <row r="515" ht="15.75" customHeight="1">
      <c r="A515" s="1" t="s">
        <v>1946</v>
      </c>
      <c r="B515" s="1" t="s">
        <v>2127</v>
      </c>
      <c r="C515" s="63">
        <v>46238.0</v>
      </c>
      <c r="D515" s="63" t="s">
        <v>130</v>
      </c>
      <c r="E515" s="68">
        <v>0.97188209</v>
      </c>
      <c r="F515" s="1"/>
      <c r="G515" s="23">
        <v>5.0E7</v>
      </c>
      <c r="H515" s="23">
        <v>4.859410437E7</v>
      </c>
      <c r="I515" s="23">
        <v>5.0E7</v>
      </c>
      <c r="J515" s="23">
        <v>4.859410437E7</v>
      </c>
      <c r="K515" s="24">
        <v>140.0</v>
      </c>
      <c r="L515" s="1" t="s">
        <v>1776</v>
      </c>
      <c r="M515" s="1" t="s">
        <v>2128</v>
      </c>
      <c r="N515" s="63" t="s">
        <v>882</v>
      </c>
      <c r="O515" s="63" t="s">
        <v>882</v>
      </c>
      <c r="P515" s="68">
        <v>33.0</v>
      </c>
      <c r="Q515" s="1" t="s">
        <v>2130</v>
      </c>
      <c r="R515" s="1" t="s">
        <v>13</v>
      </c>
      <c r="S515" s="1"/>
      <c r="T515" s="1"/>
      <c r="U515" s="1" t="s">
        <v>883</v>
      </c>
      <c r="V515" s="1" t="s">
        <v>883</v>
      </c>
      <c r="W515" s="145">
        <f t="shared" si="1"/>
        <v>0.0009940414406</v>
      </c>
      <c r="AC515" s="38"/>
    </row>
    <row r="516" ht="15.75" customHeight="1">
      <c r="A516" s="1" t="s">
        <v>1910</v>
      </c>
      <c r="B516" s="1" t="s">
        <v>2127</v>
      </c>
      <c r="C516" s="63">
        <v>46238.0</v>
      </c>
      <c r="D516" s="63" t="s">
        <v>130</v>
      </c>
      <c r="E516" s="68">
        <v>0.97604022</v>
      </c>
      <c r="F516" s="1"/>
      <c r="G516" s="23">
        <v>5.0E7</v>
      </c>
      <c r="H516" s="23">
        <v>4.880201125E7</v>
      </c>
      <c r="I516" s="23">
        <v>5.0E7</v>
      </c>
      <c r="J516" s="23">
        <v>4.880201125E7</v>
      </c>
      <c r="K516" s="24">
        <v>4577.0</v>
      </c>
      <c r="L516" s="1" t="s">
        <v>1776</v>
      </c>
      <c r="M516" s="1" t="s">
        <v>2128</v>
      </c>
      <c r="N516" s="63" t="s">
        <v>704</v>
      </c>
      <c r="O516" s="63" t="s">
        <v>704</v>
      </c>
      <c r="P516" s="68">
        <v>28.0</v>
      </c>
      <c r="Q516" s="1" t="s">
        <v>2130</v>
      </c>
      <c r="R516" s="1" t="s">
        <v>13</v>
      </c>
      <c r="S516" s="1"/>
      <c r="T516" s="1"/>
      <c r="U516" s="1" t="s">
        <v>719</v>
      </c>
      <c r="V516" s="1" t="s">
        <v>719</v>
      </c>
      <c r="W516" s="145">
        <f t="shared" si="1"/>
        <v>0.0009982943856</v>
      </c>
      <c r="AC516" s="38"/>
    </row>
    <row r="517" ht="15.75" customHeight="1">
      <c r="A517" s="1" t="s">
        <v>1967</v>
      </c>
      <c r="B517" s="1" t="s">
        <v>2127</v>
      </c>
      <c r="C517" s="63">
        <v>46238.0</v>
      </c>
      <c r="D517" s="63" t="s">
        <v>130</v>
      </c>
      <c r="E517" s="68">
        <v>0.96858096</v>
      </c>
      <c r="F517" s="1"/>
      <c r="G517" s="23">
        <v>3000000.0</v>
      </c>
      <c r="H517" s="23">
        <v>2905742.87</v>
      </c>
      <c r="I517" s="23">
        <v>3000000.0</v>
      </c>
      <c r="J517" s="23">
        <v>2905742.87</v>
      </c>
      <c r="K517" s="24">
        <v>4.0743008E7</v>
      </c>
      <c r="L517" s="1" t="s">
        <v>1776</v>
      </c>
      <c r="M517" s="1" t="s">
        <v>2128</v>
      </c>
      <c r="N517" s="63" t="s">
        <v>827</v>
      </c>
      <c r="O517" s="63" t="s">
        <v>827</v>
      </c>
      <c r="P517" s="68">
        <v>37.0</v>
      </c>
      <c r="Q517" s="1" t="s">
        <v>2130</v>
      </c>
      <c r="R517" s="1" t="s">
        <v>13</v>
      </c>
      <c r="S517" s="1"/>
      <c r="T517" s="1"/>
      <c r="U517" s="1" t="s">
        <v>830</v>
      </c>
      <c r="V517" s="1" t="s">
        <v>830</v>
      </c>
      <c r="W517" s="145">
        <f t="shared" si="1"/>
        <v>0.00005943990256</v>
      </c>
      <c r="AC517" s="38"/>
    </row>
    <row r="518" ht="15.75" customHeight="1">
      <c r="A518" s="1" t="s">
        <v>1967</v>
      </c>
      <c r="B518" s="1" t="s">
        <v>2127</v>
      </c>
      <c r="C518" s="63">
        <v>46238.0</v>
      </c>
      <c r="D518" s="63" t="s">
        <v>130</v>
      </c>
      <c r="E518" s="68">
        <v>0.96858096</v>
      </c>
      <c r="F518" s="1"/>
      <c r="G518" s="23">
        <v>6000000.0</v>
      </c>
      <c r="H518" s="23">
        <v>5811485.78</v>
      </c>
      <c r="I518" s="23">
        <v>6000000.0</v>
      </c>
      <c r="J518" s="23">
        <v>5811485.78</v>
      </c>
      <c r="K518" s="24">
        <v>4.074301E7</v>
      </c>
      <c r="L518" s="1" t="s">
        <v>1776</v>
      </c>
      <c r="M518" s="1" t="s">
        <v>2128</v>
      </c>
      <c r="N518" s="63" t="s">
        <v>827</v>
      </c>
      <c r="O518" s="63" t="s">
        <v>827</v>
      </c>
      <c r="P518" s="68">
        <v>37.0</v>
      </c>
      <c r="Q518" s="1" t="s">
        <v>2130</v>
      </c>
      <c r="R518" s="1" t="s">
        <v>13</v>
      </c>
      <c r="S518" s="1"/>
      <c r="T518" s="1"/>
      <c r="U518" s="1" t="s">
        <v>831</v>
      </c>
      <c r="V518" s="1" t="s">
        <v>831</v>
      </c>
      <c r="W518" s="145">
        <f t="shared" si="1"/>
        <v>0.0001188798059</v>
      </c>
      <c r="AC518" s="38"/>
    </row>
    <row r="519" ht="15.75" customHeight="1">
      <c r="A519" s="1" t="s">
        <v>1967</v>
      </c>
      <c r="B519" s="1" t="s">
        <v>2127</v>
      </c>
      <c r="C519" s="63">
        <v>46238.0</v>
      </c>
      <c r="D519" s="63" t="s">
        <v>130</v>
      </c>
      <c r="E519" s="68">
        <v>0.96858096</v>
      </c>
      <c r="F519" s="1"/>
      <c r="G519" s="23">
        <v>3000000.0</v>
      </c>
      <c r="H519" s="23">
        <v>2905742.87</v>
      </c>
      <c r="I519" s="23">
        <v>3000000.0</v>
      </c>
      <c r="J519" s="23">
        <v>2905742.87</v>
      </c>
      <c r="K519" s="24">
        <v>4.0743009E7</v>
      </c>
      <c r="L519" s="1" t="s">
        <v>1776</v>
      </c>
      <c r="M519" s="1" t="s">
        <v>2128</v>
      </c>
      <c r="N519" s="63" t="s">
        <v>827</v>
      </c>
      <c r="O519" s="63" t="s">
        <v>827</v>
      </c>
      <c r="P519" s="68">
        <v>37.0</v>
      </c>
      <c r="Q519" s="1" t="s">
        <v>2130</v>
      </c>
      <c r="R519" s="1" t="s">
        <v>13</v>
      </c>
      <c r="S519" s="1"/>
      <c r="T519" s="1"/>
      <c r="U519" s="1" t="s">
        <v>832</v>
      </c>
      <c r="V519" s="1" t="s">
        <v>832</v>
      </c>
      <c r="W519" s="145">
        <f t="shared" si="1"/>
        <v>0.00005943990256</v>
      </c>
      <c r="AC519" s="38"/>
    </row>
    <row r="520" ht="15.75" customHeight="1">
      <c r="A520" s="1" t="s">
        <v>2063</v>
      </c>
      <c r="B520" s="1" t="s">
        <v>2127</v>
      </c>
      <c r="C520" s="63">
        <v>46238.0</v>
      </c>
      <c r="D520" s="63" t="s">
        <v>130</v>
      </c>
      <c r="E520" s="68">
        <v>0.97437277</v>
      </c>
      <c r="F520" s="1"/>
      <c r="G520" s="23">
        <v>3666380.87</v>
      </c>
      <c r="H520" s="23">
        <v>3572421.7</v>
      </c>
      <c r="I520" s="23">
        <v>3666380.87</v>
      </c>
      <c r="J520" s="23">
        <v>3572421.7</v>
      </c>
      <c r="K520" s="24">
        <v>9687.0</v>
      </c>
      <c r="L520" s="1" t="s">
        <v>1776</v>
      </c>
      <c r="M520" s="1" t="s">
        <v>2128</v>
      </c>
      <c r="N520" s="63" t="s">
        <v>1488</v>
      </c>
      <c r="O520" s="63" t="s">
        <v>1488</v>
      </c>
      <c r="P520" s="68">
        <v>30.0</v>
      </c>
      <c r="Q520" s="1" t="s">
        <v>2130</v>
      </c>
      <c r="R520" s="1" t="s">
        <v>13</v>
      </c>
      <c r="S520" s="1"/>
      <c r="T520" s="1"/>
      <c r="U520" s="1" t="s">
        <v>1554</v>
      </c>
      <c r="V520" s="1" t="s">
        <v>1554</v>
      </c>
      <c r="W520" s="145">
        <f t="shared" si="1"/>
        <v>0.00007307749076</v>
      </c>
      <c r="AC520" s="38"/>
    </row>
    <row r="521" ht="15.75" customHeight="1">
      <c r="A521" s="1" t="s">
        <v>1969</v>
      </c>
      <c r="B521" s="1" t="s">
        <v>2127</v>
      </c>
      <c r="C521" s="63">
        <v>46238.0</v>
      </c>
      <c r="D521" s="63" t="s">
        <v>130</v>
      </c>
      <c r="E521" s="68">
        <v>0.97354109</v>
      </c>
      <c r="F521" s="1"/>
      <c r="G521" s="23">
        <v>1.195712E7</v>
      </c>
      <c r="H521" s="23">
        <v>1.164074764E7</v>
      </c>
      <c r="I521" s="23">
        <v>1.195712E7</v>
      </c>
      <c r="J521" s="23">
        <v>1.164074764E7</v>
      </c>
      <c r="K521" s="24">
        <v>9.9486214E7</v>
      </c>
      <c r="L521" s="1" t="s">
        <v>1776</v>
      </c>
      <c r="M521" s="1" t="s">
        <v>2128</v>
      </c>
      <c r="N521" s="63" t="s">
        <v>130</v>
      </c>
      <c r="O521" s="63" t="s">
        <v>130</v>
      </c>
      <c r="P521" s="68">
        <v>31.0</v>
      </c>
      <c r="Q521" s="1" t="s">
        <v>2130</v>
      </c>
      <c r="R521" s="1" t="s">
        <v>13</v>
      </c>
      <c r="S521" s="1"/>
      <c r="T521" s="1"/>
      <c r="U521" s="1" t="s">
        <v>1655</v>
      </c>
      <c r="V521" s="1" t="s">
        <v>1655</v>
      </c>
      <c r="W521" s="145">
        <f t="shared" si="1"/>
        <v>0.0002381232395</v>
      </c>
    </row>
    <row r="522" ht="15.75" customHeight="1">
      <c r="A522" s="1" t="s">
        <v>1947</v>
      </c>
      <c r="B522" s="1" t="s">
        <v>2127</v>
      </c>
      <c r="C522" s="63">
        <v>46238.0</v>
      </c>
      <c r="D522" s="63" t="s">
        <v>130</v>
      </c>
      <c r="E522" s="68">
        <v>0.96611969</v>
      </c>
      <c r="F522" s="1"/>
      <c r="G522" s="23">
        <v>5.0E7</v>
      </c>
      <c r="H522" s="23">
        <v>4.830598474E7</v>
      </c>
      <c r="I522" s="23">
        <v>5.0E7</v>
      </c>
      <c r="J522" s="23">
        <v>4.830598474E7</v>
      </c>
      <c r="K522" s="24">
        <v>6540.0</v>
      </c>
      <c r="L522" s="1" t="s">
        <v>1776</v>
      </c>
      <c r="M522" s="1" t="s">
        <v>2128</v>
      </c>
      <c r="N522" s="63" t="s">
        <v>190</v>
      </c>
      <c r="O522" s="63" t="s">
        <v>190</v>
      </c>
      <c r="P522" s="68">
        <v>40.0</v>
      </c>
      <c r="Q522" s="1" t="s">
        <v>2130</v>
      </c>
      <c r="R522" s="1" t="s">
        <v>13</v>
      </c>
      <c r="S522" s="1"/>
      <c r="T522" s="1"/>
      <c r="U522" s="1" t="s">
        <v>189</v>
      </c>
      <c r="V522" s="1" t="s">
        <v>189</v>
      </c>
      <c r="W522" s="145">
        <f t="shared" si="1"/>
        <v>0.0009881476629</v>
      </c>
      <c r="AC522" s="38"/>
    </row>
    <row r="523" ht="15.75" customHeight="1">
      <c r="A523" s="1" t="s">
        <v>1908</v>
      </c>
      <c r="B523" s="1" t="s">
        <v>2127</v>
      </c>
      <c r="C523" s="63">
        <v>46238.0</v>
      </c>
      <c r="D523" s="63" t="s">
        <v>130</v>
      </c>
      <c r="E523" s="68">
        <v>0.96611978</v>
      </c>
      <c r="F523" s="1"/>
      <c r="G523" s="23">
        <v>1.49E8</v>
      </c>
      <c r="H523" s="23">
        <v>1.4395184722E8</v>
      </c>
      <c r="I523" s="23">
        <v>1.49E8</v>
      </c>
      <c r="J523" s="23">
        <v>1.4395184722E8</v>
      </c>
      <c r="K523" s="24">
        <v>7.0388002E7</v>
      </c>
      <c r="L523" s="1" t="s">
        <v>1776</v>
      </c>
      <c r="M523" s="1" t="s">
        <v>2128</v>
      </c>
      <c r="N523" s="63" t="s">
        <v>1230</v>
      </c>
      <c r="O523" s="63" t="s">
        <v>1230</v>
      </c>
      <c r="P523" s="68">
        <v>40.0</v>
      </c>
      <c r="Q523" s="1" t="s">
        <v>2130</v>
      </c>
      <c r="R523" s="1" t="s">
        <v>13</v>
      </c>
      <c r="S523" s="1"/>
      <c r="T523" s="1"/>
      <c r="U523" s="1" t="s">
        <v>1236</v>
      </c>
      <c r="V523" s="1" t="s">
        <v>1236</v>
      </c>
      <c r="W523" s="145">
        <f t="shared" si="1"/>
        <v>0.002944680295</v>
      </c>
      <c r="AC523" s="38"/>
    </row>
    <row r="524" ht="15.75" customHeight="1">
      <c r="A524" s="1" t="s">
        <v>1950</v>
      </c>
      <c r="B524" s="1" t="s">
        <v>2127</v>
      </c>
      <c r="C524" s="63">
        <v>46238.0</v>
      </c>
      <c r="D524" s="63" t="s">
        <v>130</v>
      </c>
      <c r="E524" s="68">
        <v>0.97271083</v>
      </c>
      <c r="F524" s="1"/>
      <c r="G524" s="23">
        <v>5.0E7</v>
      </c>
      <c r="H524" s="23">
        <v>4.863554154E7</v>
      </c>
      <c r="I524" s="23">
        <v>5.0E7</v>
      </c>
      <c r="J524" s="23">
        <v>4.863554154E7</v>
      </c>
      <c r="K524" s="24">
        <v>1.1915482E7</v>
      </c>
      <c r="L524" s="1" t="s">
        <v>1776</v>
      </c>
      <c r="M524" s="1" t="s">
        <v>2128</v>
      </c>
      <c r="N524" s="63" t="s">
        <v>239</v>
      </c>
      <c r="O524" s="63" t="s">
        <v>239</v>
      </c>
      <c r="P524" s="68">
        <v>32.0</v>
      </c>
      <c r="Q524" s="1" t="s">
        <v>2130</v>
      </c>
      <c r="R524" s="1" t="s">
        <v>13</v>
      </c>
      <c r="S524" s="1"/>
      <c r="T524" s="1"/>
      <c r="U524" s="1" t="s">
        <v>238</v>
      </c>
      <c r="V524" s="1" t="s">
        <v>238</v>
      </c>
      <c r="W524" s="145">
        <f t="shared" si="1"/>
        <v>0.0009948890797</v>
      </c>
      <c r="AC524" s="38"/>
    </row>
    <row r="525" ht="15.75" customHeight="1">
      <c r="A525" s="1" t="s">
        <v>1921</v>
      </c>
      <c r="B525" s="1" t="s">
        <v>2127</v>
      </c>
      <c r="C525" s="63">
        <v>46238.0</v>
      </c>
      <c r="D525" s="63" t="s">
        <v>130</v>
      </c>
      <c r="E525" s="68">
        <v>0.97855237</v>
      </c>
      <c r="F525" s="1"/>
      <c r="G525" s="23">
        <v>9000000.0</v>
      </c>
      <c r="H525" s="23">
        <v>8806971.32</v>
      </c>
      <c r="I525" s="23">
        <v>9000000.0</v>
      </c>
      <c r="J525" s="23">
        <v>8806971.32</v>
      </c>
      <c r="K525" s="24">
        <v>9.000007E7</v>
      </c>
      <c r="L525" s="1" t="s">
        <v>1776</v>
      </c>
      <c r="M525" s="1" t="s">
        <v>2128</v>
      </c>
      <c r="N525" s="63" t="s">
        <v>1488</v>
      </c>
      <c r="O525" s="63" t="s">
        <v>1488</v>
      </c>
      <c r="P525" s="68">
        <v>25.0</v>
      </c>
      <c r="Q525" s="1" t="s">
        <v>2130</v>
      </c>
      <c r="R525" s="1" t="s">
        <v>13</v>
      </c>
      <c r="S525" s="1"/>
      <c r="T525" s="1"/>
      <c r="U525" s="1" t="s">
        <v>1516</v>
      </c>
      <c r="V525" s="1" t="s">
        <v>1516</v>
      </c>
      <c r="W525" s="145">
        <f t="shared" si="1"/>
        <v>0.0001801554854</v>
      </c>
      <c r="AC525" s="38"/>
    </row>
    <row r="526" ht="15.75" customHeight="1">
      <c r="A526" s="1" t="s">
        <v>1921</v>
      </c>
      <c r="B526" s="1" t="s">
        <v>2127</v>
      </c>
      <c r="C526" s="63">
        <v>46238.0</v>
      </c>
      <c r="D526" s="63" t="s">
        <v>130</v>
      </c>
      <c r="E526" s="68">
        <v>0.97520575</v>
      </c>
      <c r="F526" s="1"/>
      <c r="G526" s="23">
        <v>5000000.0</v>
      </c>
      <c r="H526" s="23">
        <v>4876028.74</v>
      </c>
      <c r="I526" s="23">
        <v>5000000.0</v>
      </c>
      <c r="J526" s="23">
        <v>4876028.74</v>
      </c>
      <c r="K526" s="24">
        <v>43319.0</v>
      </c>
      <c r="L526" s="1" t="s">
        <v>1776</v>
      </c>
      <c r="M526" s="1" t="s">
        <v>2128</v>
      </c>
      <c r="N526" s="63" t="s">
        <v>404</v>
      </c>
      <c r="O526" s="63" t="s">
        <v>404</v>
      </c>
      <c r="P526" s="68">
        <v>29.0</v>
      </c>
      <c r="Q526" s="1" t="s">
        <v>2130</v>
      </c>
      <c r="R526" s="1" t="s">
        <v>13</v>
      </c>
      <c r="S526" s="1"/>
      <c r="T526" s="1"/>
      <c r="U526" s="1" t="s">
        <v>409</v>
      </c>
      <c r="V526" s="1" t="s">
        <v>409</v>
      </c>
      <c r="W526" s="145">
        <f t="shared" si="1"/>
        <v>0.00009974408822</v>
      </c>
      <c r="AC526" s="38"/>
    </row>
    <row r="527" ht="15.75" customHeight="1">
      <c r="A527" s="1" t="s">
        <v>1926</v>
      </c>
      <c r="B527" s="1" t="s">
        <v>2127</v>
      </c>
      <c r="C527" s="63">
        <v>46238.0</v>
      </c>
      <c r="D527" s="63" t="s">
        <v>130</v>
      </c>
      <c r="E527" s="68">
        <v>0.97520581</v>
      </c>
      <c r="F527" s="1"/>
      <c r="G527" s="23">
        <v>5000000.0</v>
      </c>
      <c r="H527" s="23">
        <v>4876029.05</v>
      </c>
      <c r="I527" s="23">
        <v>5000000.0</v>
      </c>
      <c r="J527" s="23">
        <v>4876029.05</v>
      </c>
      <c r="K527" s="24">
        <v>1.6779582E7</v>
      </c>
      <c r="L527" s="1" t="s">
        <v>1776</v>
      </c>
      <c r="M527" s="1" t="s">
        <v>2128</v>
      </c>
      <c r="N527" s="63" t="s">
        <v>360</v>
      </c>
      <c r="O527" s="63" t="s">
        <v>360</v>
      </c>
      <c r="P527" s="68">
        <v>29.0</v>
      </c>
      <c r="Q527" s="1" t="s">
        <v>2130</v>
      </c>
      <c r="R527" s="1" t="s">
        <v>13</v>
      </c>
      <c r="S527" s="1"/>
      <c r="T527" s="1"/>
      <c r="U527" s="1" t="s">
        <v>370</v>
      </c>
      <c r="V527" s="1" t="s">
        <v>370</v>
      </c>
      <c r="W527" s="145">
        <f t="shared" si="1"/>
        <v>0.00009974409456</v>
      </c>
      <c r="AC527" s="38"/>
    </row>
    <row r="528" ht="15.75" customHeight="1">
      <c r="A528" s="1" t="s">
        <v>1926</v>
      </c>
      <c r="B528" s="1" t="s">
        <v>2127</v>
      </c>
      <c r="C528" s="63">
        <v>46238.0</v>
      </c>
      <c r="D528" s="63" t="s">
        <v>130</v>
      </c>
      <c r="E528" s="68">
        <v>0.97437273</v>
      </c>
      <c r="F528" s="1"/>
      <c r="G528" s="23">
        <v>4.0E7</v>
      </c>
      <c r="H528" s="23">
        <v>3.897490933E7</v>
      </c>
      <c r="I528" s="23">
        <v>4.0E7</v>
      </c>
      <c r="J528" s="23">
        <v>3.897490933E7</v>
      </c>
      <c r="K528" s="24">
        <v>9631288.0</v>
      </c>
      <c r="L528" s="1" t="s">
        <v>1776</v>
      </c>
      <c r="M528" s="1" t="s">
        <v>2128</v>
      </c>
      <c r="N528" s="63" t="s">
        <v>532</v>
      </c>
      <c r="O528" s="63" t="s">
        <v>532</v>
      </c>
      <c r="P528" s="68">
        <v>30.0</v>
      </c>
      <c r="Q528" s="1" t="s">
        <v>2130</v>
      </c>
      <c r="R528" s="1" t="s">
        <v>13</v>
      </c>
      <c r="S528" s="1"/>
      <c r="T528" s="1"/>
      <c r="U528" s="1" t="s">
        <v>531</v>
      </c>
      <c r="V528" s="1" t="s">
        <v>531</v>
      </c>
      <c r="W528" s="145">
        <f t="shared" si="1"/>
        <v>0.0007972710995</v>
      </c>
      <c r="AC528" s="38"/>
    </row>
    <row r="529" ht="15.75" customHeight="1">
      <c r="A529" s="1" t="s">
        <v>2086</v>
      </c>
      <c r="B529" s="1" t="s">
        <v>2127</v>
      </c>
      <c r="C529" s="63">
        <v>46238.0</v>
      </c>
      <c r="D529" s="63" t="s">
        <v>130</v>
      </c>
      <c r="E529" s="68">
        <v>0.97271084</v>
      </c>
      <c r="F529" s="1"/>
      <c r="G529" s="23">
        <v>1341865.8</v>
      </c>
      <c r="H529" s="23">
        <v>1305247.41</v>
      </c>
      <c r="I529" s="23">
        <v>1341865.8</v>
      </c>
      <c r="J529" s="23">
        <v>1305247.41</v>
      </c>
      <c r="K529" s="24">
        <v>1.0</v>
      </c>
      <c r="L529" s="1" t="s">
        <v>1776</v>
      </c>
      <c r="M529" s="1" t="s">
        <v>2128</v>
      </c>
      <c r="N529" s="63" t="s">
        <v>1118</v>
      </c>
      <c r="O529" s="63" t="s">
        <v>1118</v>
      </c>
      <c r="P529" s="68">
        <v>32.0</v>
      </c>
      <c r="Q529" s="1" t="s">
        <v>2130</v>
      </c>
      <c r="R529" s="1" t="s">
        <v>13</v>
      </c>
      <c r="S529" s="1"/>
      <c r="T529" s="1"/>
      <c r="U529" s="1" t="s">
        <v>1156</v>
      </c>
      <c r="V529" s="1" t="s">
        <v>1156</v>
      </c>
      <c r="W529" s="145">
        <f t="shared" si="1"/>
        <v>0.00002670015288</v>
      </c>
      <c r="AC529" s="38"/>
    </row>
    <row r="530" ht="15.75" customHeight="1">
      <c r="A530" s="1" t="s">
        <v>2078</v>
      </c>
      <c r="B530" s="1" t="s">
        <v>2127</v>
      </c>
      <c r="C530" s="63">
        <v>46238.0</v>
      </c>
      <c r="D530" s="63" t="s">
        <v>130</v>
      </c>
      <c r="E530" s="68">
        <v>0.97271084</v>
      </c>
      <c r="F530" s="1"/>
      <c r="G530" s="23">
        <v>2000000.0</v>
      </c>
      <c r="H530" s="23">
        <v>1945421.69</v>
      </c>
      <c r="I530" s="23">
        <v>2000000.0</v>
      </c>
      <c r="J530" s="23">
        <v>1945421.69</v>
      </c>
      <c r="K530" s="24">
        <v>1227536.0</v>
      </c>
      <c r="L530" s="1" t="s">
        <v>1776</v>
      </c>
      <c r="M530" s="1" t="s">
        <v>2128</v>
      </c>
      <c r="N530" s="63" t="s">
        <v>1118</v>
      </c>
      <c r="O530" s="63" t="s">
        <v>1118</v>
      </c>
      <c r="P530" s="68">
        <v>32.0</v>
      </c>
      <c r="Q530" s="1" t="s">
        <v>2130</v>
      </c>
      <c r="R530" s="1" t="s">
        <v>13</v>
      </c>
      <c r="S530" s="1"/>
      <c r="T530" s="1"/>
      <c r="U530" s="1" t="s">
        <v>1201</v>
      </c>
      <c r="V530" s="1" t="s">
        <v>1201</v>
      </c>
      <c r="W530" s="145">
        <f t="shared" si="1"/>
        <v>0.00003979556377</v>
      </c>
      <c r="AC530" s="38"/>
    </row>
    <row r="531" ht="15.75" customHeight="1">
      <c r="A531" s="1" t="s">
        <v>1953</v>
      </c>
      <c r="B531" s="1" t="s">
        <v>2127</v>
      </c>
      <c r="C531" s="63">
        <v>46239.0</v>
      </c>
      <c r="D531" s="63" t="s">
        <v>130</v>
      </c>
      <c r="E531" s="68">
        <v>0.982239</v>
      </c>
      <c r="F531" s="1"/>
      <c r="G531" s="23">
        <v>2500000.0</v>
      </c>
      <c r="H531" s="23">
        <v>2455597.5</v>
      </c>
      <c r="I531" s="23">
        <v>2500000.0</v>
      </c>
      <c r="J531" s="23">
        <v>2455597.5</v>
      </c>
      <c r="K531" s="24">
        <v>6130.0</v>
      </c>
      <c r="L531" s="1" t="s">
        <v>1776</v>
      </c>
      <c r="M531" s="1" t="s">
        <v>2128</v>
      </c>
      <c r="N531" s="63" t="s">
        <v>946</v>
      </c>
      <c r="O531" s="63" t="s">
        <v>946</v>
      </c>
      <c r="P531" s="68">
        <v>20.0</v>
      </c>
      <c r="Q531" s="1" t="s">
        <v>2130</v>
      </c>
      <c r="R531" s="1" t="s">
        <v>13</v>
      </c>
      <c r="S531" s="1"/>
      <c r="T531" s="1"/>
      <c r="U531" s="1" t="s">
        <v>970</v>
      </c>
      <c r="V531" s="1" t="s">
        <v>970</v>
      </c>
      <c r="W531" s="145">
        <f t="shared" si="1"/>
        <v>0.00005023172478</v>
      </c>
      <c r="AC531" s="38"/>
    </row>
    <row r="532" ht="15.75" customHeight="1">
      <c r="A532" s="1" t="s">
        <v>1916</v>
      </c>
      <c r="B532" s="1" t="s">
        <v>2127</v>
      </c>
      <c r="C532" s="63">
        <v>46239.0</v>
      </c>
      <c r="D532" s="63" t="s">
        <v>130</v>
      </c>
      <c r="E532" s="68">
        <v>0.97617074</v>
      </c>
      <c r="F532" s="1"/>
      <c r="G532" s="23">
        <v>6060681.79</v>
      </c>
      <c r="H532" s="23">
        <v>5916260.24</v>
      </c>
      <c r="I532" s="23">
        <v>6060681.79</v>
      </c>
      <c r="J532" s="23">
        <v>5916260.24</v>
      </c>
      <c r="K532" s="24">
        <v>6.6717853E7</v>
      </c>
      <c r="L532" s="1" t="s">
        <v>1776</v>
      </c>
      <c r="M532" s="1" t="s">
        <v>2128</v>
      </c>
      <c r="N532" s="63" t="s">
        <v>724</v>
      </c>
      <c r="O532" s="63" t="s">
        <v>724</v>
      </c>
      <c r="P532" s="68">
        <v>27.0</v>
      </c>
      <c r="Q532" s="1" t="s">
        <v>2130</v>
      </c>
      <c r="R532" s="1" t="s">
        <v>13</v>
      </c>
      <c r="S532" s="1"/>
      <c r="T532" s="1"/>
      <c r="U532" s="1" t="s">
        <v>725</v>
      </c>
      <c r="V532" s="1" t="s">
        <v>725</v>
      </c>
      <c r="W532" s="145">
        <f t="shared" si="1"/>
        <v>0.0001210230732</v>
      </c>
      <c r="AC532" s="38"/>
    </row>
    <row r="533" ht="15.75" customHeight="1">
      <c r="A533" s="1" t="s">
        <v>1960</v>
      </c>
      <c r="B533" s="1" t="s">
        <v>2127</v>
      </c>
      <c r="C533" s="63">
        <v>46239.0</v>
      </c>
      <c r="D533" s="63" t="s">
        <v>130</v>
      </c>
      <c r="E533" s="68">
        <v>0.97531001</v>
      </c>
      <c r="F533" s="1"/>
      <c r="G533" s="23">
        <v>6500000.0</v>
      </c>
      <c r="H533" s="23">
        <v>6339515.07</v>
      </c>
      <c r="I533" s="23">
        <v>6500000.0</v>
      </c>
      <c r="J533" s="23">
        <v>6339515.07</v>
      </c>
      <c r="K533" s="24">
        <v>2.9175491E7</v>
      </c>
      <c r="L533" s="1" t="s">
        <v>1776</v>
      </c>
      <c r="M533" s="1" t="s">
        <v>2128</v>
      </c>
      <c r="N533" s="63" t="s">
        <v>676</v>
      </c>
      <c r="O533" s="63" t="s">
        <v>676</v>
      </c>
      <c r="P533" s="68">
        <v>28.0</v>
      </c>
      <c r="Q533" s="1" t="s">
        <v>2130</v>
      </c>
      <c r="R533" s="1" t="s">
        <v>13</v>
      </c>
      <c r="S533" s="1"/>
      <c r="T533" s="1"/>
      <c r="U533" s="1" t="s">
        <v>685</v>
      </c>
      <c r="V533" s="1" t="s">
        <v>685</v>
      </c>
      <c r="W533" s="145">
        <f t="shared" si="1"/>
        <v>0.0001296811779</v>
      </c>
      <c r="AC533" s="38"/>
    </row>
    <row r="534" ht="15.75" customHeight="1">
      <c r="A534" s="1" t="s">
        <v>1975</v>
      </c>
      <c r="B534" s="1" t="s">
        <v>2127</v>
      </c>
      <c r="C534" s="63">
        <v>46239.0</v>
      </c>
      <c r="D534" s="63" t="s">
        <v>130</v>
      </c>
      <c r="E534" s="68">
        <v>0.966785</v>
      </c>
      <c r="F534" s="1"/>
      <c r="G534" s="23">
        <v>4500000.0</v>
      </c>
      <c r="H534" s="23">
        <v>4350532.5</v>
      </c>
      <c r="I534" s="23">
        <v>4500000.0</v>
      </c>
      <c r="J534" s="23">
        <v>4350532.5</v>
      </c>
      <c r="K534" s="24">
        <v>551.0</v>
      </c>
      <c r="L534" s="1" t="s">
        <v>1776</v>
      </c>
      <c r="M534" s="1" t="s">
        <v>2128</v>
      </c>
      <c r="N534" s="63" t="s">
        <v>446</v>
      </c>
      <c r="O534" s="63" t="s">
        <v>446</v>
      </c>
      <c r="P534" s="68">
        <v>38.0</v>
      </c>
      <c r="Q534" s="1" t="s">
        <v>2130</v>
      </c>
      <c r="R534" s="1" t="s">
        <v>13</v>
      </c>
      <c r="S534" s="1"/>
      <c r="T534" s="1"/>
      <c r="U534" s="1" t="s">
        <v>514</v>
      </c>
      <c r="V534" s="1" t="s">
        <v>514</v>
      </c>
      <c r="W534" s="145">
        <f t="shared" si="1"/>
        <v>0.00008899453236</v>
      </c>
    </row>
    <row r="535" ht="15.75" customHeight="1">
      <c r="A535" s="1" t="s">
        <v>2051</v>
      </c>
      <c r="B535" s="1" t="s">
        <v>2127</v>
      </c>
      <c r="C535" s="63">
        <v>46239.0</v>
      </c>
      <c r="D535" s="63" t="s">
        <v>130</v>
      </c>
      <c r="E535" s="68">
        <v>0.96678506</v>
      </c>
      <c r="F535" s="1"/>
      <c r="G535" s="23">
        <v>3116595.02</v>
      </c>
      <c r="H535" s="23">
        <v>3013077.5</v>
      </c>
      <c r="I535" s="23">
        <v>3116595.02</v>
      </c>
      <c r="J535" s="23">
        <v>3013077.5</v>
      </c>
      <c r="K535" s="24">
        <v>104.0</v>
      </c>
      <c r="L535" s="1" t="s">
        <v>1776</v>
      </c>
      <c r="M535" s="1" t="s">
        <v>2128</v>
      </c>
      <c r="N535" s="63" t="s">
        <v>307</v>
      </c>
      <c r="O535" s="63" t="s">
        <v>307</v>
      </c>
      <c r="P535" s="68">
        <v>38.0</v>
      </c>
      <c r="Q535" s="1" t="s">
        <v>2130</v>
      </c>
      <c r="R535" s="1" t="s">
        <v>13</v>
      </c>
      <c r="S535" s="1"/>
      <c r="T535" s="1"/>
      <c r="U535" s="1" t="s">
        <v>334</v>
      </c>
      <c r="V535" s="1" t="s">
        <v>334</v>
      </c>
      <c r="W535" s="145">
        <f t="shared" si="1"/>
        <v>0.00006163554072</v>
      </c>
      <c r="AC535" s="38"/>
    </row>
    <row r="536" ht="15.75" customHeight="1">
      <c r="A536" s="1" t="s">
        <v>2045</v>
      </c>
      <c r="B536" s="1" t="s">
        <v>2127</v>
      </c>
      <c r="C536" s="63">
        <v>46239.0</v>
      </c>
      <c r="D536" s="63" t="s">
        <v>130</v>
      </c>
      <c r="E536" s="68">
        <v>0.96678506</v>
      </c>
      <c r="F536" s="1"/>
      <c r="G536" s="23">
        <v>2398145.2</v>
      </c>
      <c r="H536" s="23">
        <v>2318490.96</v>
      </c>
      <c r="I536" s="23">
        <v>2398145.2</v>
      </c>
      <c r="J536" s="23">
        <v>2318490.96</v>
      </c>
      <c r="K536" s="24">
        <v>1.3270644E7</v>
      </c>
      <c r="L536" s="1" t="s">
        <v>1776</v>
      </c>
      <c r="M536" s="1" t="s">
        <v>2128</v>
      </c>
      <c r="N536" s="63" t="s">
        <v>543</v>
      </c>
      <c r="O536" s="63" t="s">
        <v>543</v>
      </c>
      <c r="P536" s="68">
        <v>38.0</v>
      </c>
      <c r="Q536" s="1" t="s">
        <v>2130</v>
      </c>
      <c r="R536" s="1" t="s">
        <v>13</v>
      </c>
      <c r="S536" s="1"/>
      <c r="T536" s="1"/>
      <c r="U536" s="1" t="s">
        <v>557</v>
      </c>
      <c r="V536" s="1" t="s">
        <v>557</v>
      </c>
      <c r="W536" s="145">
        <f t="shared" si="1"/>
        <v>0.00004742707215</v>
      </c>
      <c r="AC536" s="38"/>
    </row>
    <row r="537" ht="15.75" customHeight="1">
      <c r="A537" s="1" t="s">
        <v>2092</v>
      </c>
      <c r="B537" s="1" t="s">
        <v>2127</v>
      </c>
      <c r="C537" s="63">
        <v>46239.0</v>
      </c>
      <c r="D537" s="63" t="s">
        <v>130</v>
      </c>
      <c r="E537" s="68">
        <v>0.97188198</v>
      </c>
      <c r="F537" s="1"/>
      <c r="G537" s="23">
        <v>1110641.67</v>
      </c>
      <c r="H537" s="23">
        <v>1079412.62</v>
      </c>
      <c r="I537" s="23">
        <v>1110641.67</v>
      </c>
      <c r="J537" s="23">
        <v>1079412.62</v>
      </c>
      <c r="K537" s="24">
        <v>925.0</v>
      </c>
      <c r="L537" s="1" t="s">
        <v>1776</v>
      </c>
      <c r="M537" s="1" t="s">
        <v>2128</v>
      </c>
      <c r="N537" s="63" t="s">
        <v>1118</v>
      </c>
      <c r="O537" s="63" t="s">
        <v>1118</v>
      </c>
      <c r="P537" s="68">
        <v>32.0</v>
      </c>
      <c r="Q537" s="1" t="s">
        <v>2130</v>
      </c>
      <c r="R537" s="1" t="s">
        <v>13</v>
      </c>
      <c r="S537" s="1"/>
      <c r="T537" s="1"/>
      <c r="U537" s="1" t="s">
        <v>1205</v>
      </c>
      <c r="V537" s="1" t="s">
        <v>1205</v>
      </c>
      <c r="W537" s="145">
        <f t="shared" si="1"/>
        <v>0.00002208047436</v>
      </c>
      <c r="AC537" s="38"/>
    </row>
    <row r="538" ht="15.75" customHeight="1">
      <c r="A538" s="1" t="s">
        <v>1961</v>
      </c>
      <c r="B538" s="1" t="s">
        <v>2127</v>
      </c>
      <c r="C538" s="63">
        <v>46239.0</v>
      </c>
      <c r="D538" s="63" t="s">
        <v>130</v>
      </c>
      <c r="E538" s="68">
        <v>0.96847812</v>
      </c>
      <c r="F538" s="1"/>
      <c r="G538" s="23">
        <v>5882352.93</v>
      </c>
      <c r="H538" s="23">
        <v>5696930.08</v>
      </c>
      <c r="I538" s="23">
        <v>5882352.93</v>
      </c>
      <c r="J538" s="23">
        <v>5696930.08</v>
      </c>
      <c r="K538" s="24">
        <v>2621.0</v>
      </c>
      <c r="L538" s="1" t="s">
        <v>1776</v>
      </c>
      <c r="M538" s="1" t="s">
        <v>2128</v>
      </c>
      <c r="N538" s="63" t="s">
        <v>886</v>
      </c>
      <c r="O538" s="63" t="s">
        <v>886</v>
      </c>
      <c r="P538" s="68">
        <v>36.0</v>
      </c>
      <c r="Q538" s="1" t="s">
        <v>2130</v>
      </c>
      <c r="R538" s="1" t="s">
        <v>13</v>
      </c>
      <c r="S538" s="1"/>
      <c r="T538" s="1"/>
      <c r="U538" s="1" t="s">
        <v>893</v>
      </c>
      <c r="V538" s="1" t="s">
        <v>893</v>
      </c>
      <c r="W538" s="145">
        <f t="shared" si="1"/>
        <v>0.0001165364535</v>
      </c>
      <c r="AC538" s="38"/>
    </row>
    <row r="539" ht="15.75" customHeight="1">
      <c r="A539" s="1" t="s">
        <v>1961</v>
      </c>
      <c r="B539" s="1" t="s">
        <v>2127</v>
      </c>
      <c r="C539" s="63">
        <v>46239.0</v>
      </c>
      <c r="D539" s="63" t="s">
        <v>130</v>
      </c>
      <c r="E539" s="68">
        <v>0.96847817</v>
      </c>
      <c r="F539" s="1"/>
      <c r="G539" s="23">
        <v>2273100.5</v>
      </c>
      <c r="H539" s="23">
        <v>2201448.2</v>
      </c>
      <c r="I539" s="23">
        <v>2273100.5</v>
      </c>
      <c r="J539" s="23">
        <v>2201448.2</v>
      </c>
      <c r="K539" s="24">
        <v>2758.0</v>
      </c>
      <c r="L539" s="1" t="s">
        <v>1776</v>
      </c>
      <c r="M539" s="1" t="s">
        <v>2128</v>
      </c>
      <c r="N539" s="63" t="s">
        <v>1332</v>
      </c>
      <c r="O539" s="63" t="s">
        <v>1332</v>
      </c>
      <c r="P539" s="68">
        <v>36.0</v>
      </c>
      <c r="Q539" s="1" t="s">
        <v>2130</v>
      </c>
      <c r="R539" s="1" t="s">
        <v>13</v>
      </c>
      <c r="S539" s="1"/>
      <c r="T539" s="1"/>
      <c r="U539" s="1" t="s">
        <v>1360</v>
      </c>
      <c r="V539" s="1" t="s">
        <v>1360</v>
      </c>
      <c r="W539" s="145">
        <f t="shared" si="1"/>
        <v>0.00004503284439</v>
      </c>
      <c r="AC539" s="38"/>
    </row>
    <row r="540" ht="15.75" customHeight="1">
      <c r="A540" s="1" t="s">
        <v>2097</v>
      </c>
      <c r="B540" s="1" t="s">
        <v>2127</v>
      </c>
      <c r="C540" s="63">
        <v>46239.0</v>
      </c>
      <c r="D540" s="63" t="s">
        <v>130</v>
      </c>
      <c r="E540" s="68">
        <v>0.97188199</v>
      </c>
      <c r="F540" s="1"/>
      <c r="G540" s="23">
        <v>1017218.53</v>
      </c>
      <c r="H540" s="23">
        <v>988616.37</v>
      </c>
      <c r="I540" s="23">
        <v>1017218.53</v>
      </c>
      <c r="J540" s="23">
        <v>988616.37</v>
      </c>
      <c r="K540" s="24">
        <v>6.739191E7</v>
      </c>
      <c r="L540" s="1" t="s">
        <v>1776</v>
      </c>
      <c r="M540" s="1" t="s">
        <v>2128</v>
      </c>
      <c r="N540" s="63" t="s">
        <v>1118</v>
      </c>
      <c r="O540" s="63" t="s">
        <v>1118</v>
      </c>
      <c r="P540" s="68">
        <v>32.0</v>
      </c>
      <c r="Q540" s="1" t="s">
        <v>2130</v>
      </c>
      <c r="R540" s="1" t="s">
        <v>13</v>
      </c>
      <c r="S540" s="1"/>
      <c r="T540" s="1"/>
      <c r="U540" s="1" t="s">
        <v>1202</v>
      </c>
      <c r="V540" s="1" t="s">
        <v>1202</v>
      </c>
      <c r="W540" s="145">
        <f t="shared" si="1"/>
        <v>0.00002022314545</v>
      </c>
      <c r="AC540" s="38"/>
    </row>
    <row r="541" ht="15.75" customHeight="1">
      <c r="A541" s="1" t="s">
        <v>1903</v>
      </c>
      <c r="B541" s="1" t="s">
        <v>2127</v>
      </c>
      <c r="C541" s="63">
        <v>46239.0</v>
      </c>
      <c r="D541" s="63" t="s">
        <v>130</v>
      </c>
      <c r="E541" s="68">
        <v>0.97445077</v>
      </c>
      <c r="F541" s="1"/>
      <c r="G541" s="23">
        <v>1.25E7</v>
      </c>
      <c r="H541" s="23">
        <v>1.218063465E7</v>
      </c>
      <c r="I541" s="23">
        <v>1.25E7</v>
      </c>
      <c r="J541" s="23">
        <v>1.218063465E7</v>
      </c>
      <c r="K541" s="24">
        <v>4955.0</v>
      </c>
      <c r="L541" s="1" t="s">
        <v>1776</v>
      </c>
      <c r="M541" s="1" t="s">
        <v>2128</v>
      </c>
      <c r="N541" s="63" t="s">
        <v>543</v>
      </c>
      <c r="O541" s="63" t="s">
        <v>543</v>
      </c>
      <c r="P541" s="68">
        <v>29.0</v>
      </c>
      <c r="Q541" s="1" t="s">
        <v>2130</v>
      </c>
      <c r="R541" s="1" t="s">
        <v>13</v>
      </c>
      <c r="S541" s="1"/>
      <c r="T541" s="1"/>
      <c r="U541" s="1" t="s">
        <v>544</v>
      </c>
      <c r="V541" s="1" t="s">
        <v>544</v>
      </c>
      <c r="W541" s="145">
        <f t="shared" si="1"/>
        <v>0.0002491671731</v>
      </c>
      <c r="AC541" s="38"/>
    </row>
    <row r="542" ht="15.75" customHeight="1">
      <c r="A542" s="1" t="s">
        <v>1989</v>
      </c>
      <c r="B542" s="1" t="s">
        <v>2127</v>
      </c>
      <c r="C542" s="63">
        <v>46239.0</v>
      </c>
      <c r="D542" s="63" t="s">
        <v>130</v>
      </c>
      <c r="E542" s="68">
        <v>0.97359307</v>
      </c>
      <c r="F542" s="1"/>
      <c r="G542" s="23">
        <v>2700000.0</v>
      </c>
      <c r="H542" s="23">
        <v>2628701.28</v>
      </c>
      <c r="I542" s="23">
        <v>2700000.0</v>
      </c>
      <c r="J542" s="23">
        <v>2628701.28</v>
      </c>
      <c r="K542" s="24">
        <v>6269.0</v>
      </c>
      <c r="L542" s="1" t="s">
        <v>1776</v>
      </c>
      <c r="M542" s="1" t="s">
        <v>2128</v>
      </c>
      <c r="N542" s="63" t="s">
        <v>1332</v>
      </c>
      <c r="O542" s="63" t="s">
        <v>1332</v>
      </c>
      <c r="P542" s="68">
        <v>30.0</v>
      </c>
      <c r="Q542" s="1" t="s">
        <v>2130</v>
      </c>
      <c r="R542" s="1" t="s">
        <v>13</v>
      </c>
      <c r="S542" s="1"/>
      <c r="T542" s="1"/>
      <c r="U542" s="1" t="s">
        <v>1335</v>
      </c>
      <c r="V542" s="1" t="s">
        <v>1335</v>
      </c>
      <c r="W542" s="145">
        <f t="shared" si="1"/>
        <v>0.00005377273727</v>
      </c>
      <c r="AC542" s="38"/>
    </row>
    <row r="543" ht="15.75" customHeight="1">
      <c r="A543" s="1" t="s">
        <v>1924</v>
      </c>
      <c r="B543" s="1" t="s">
        <v>2127</v>
      </c>
      <c r="C543" s="63">
        <v>46239.0</v>
      </c>
      <c r="D543" s="63" t="s">
        <v>130</v>
      </c>
      <c r="E543" s="68">
        <v>0.97359303</v>
      </c>
      <c r="F543" s="1"/>
      <c r="G543" s="23">
        <v>8500000.0</v>
      </c>
      <c r="H543" s="23">
        <v>8275540.78</v>
      </c>
      <c r="I543" s="23">
        <v>8500000.0</v>
      </c>
      <c r="J543" s="23">
        <v>8275540.78</v>
      </c>
      <c r="K543" s="24">
        <v>1070.0</v>
      </c>
      <c r="L543" s="1" t="s">
        <v>1776</v>
      </c>
      <c r="M543" s="1" t="s">
        <v>2128</v>
      </c>
      <c r="N543" s="63" t="s">
        <v>307</v>
      </c>
      <c r="O543" s="63" t="s">
        <v>307</v>
      </c>
      <c r="P543" s="68">
        <v>30.0</v>
      </c>
      <c r="Q543" s="1" t="s">
        <v>2130</v>
      </c>
      <c r="R543" s="1" t="s">
        <v>13</v>
      </c>
      <c r="S543" s="1"/>
      <c r="T543" s="1"/>
      <c r="U543" s="1" t="s">
        <v>338</v>
      </c>
      <c r="V543" s="1" t="s">
        <v>338</v>
      </c>
      <c r="W543" s="145">
        <f t="shared" si="1"/>
        <v>0.0001692845374</v>
      </c>
      <c r="AC543" s="38"/>
    </row>
    <row r="544" ht="15.75" customHeight="1">
      <c r="A544" s="1" t="s">
        <v>1924</v>
      </c>
      <c r="B544" s="1" t="s">
        <v>2127</v>
      </c>
      <c r="C544" s="63">
        <v>46239.0</v>
      </c>
      <c r="D544" s="63" t="s">
        <v>130</v>
      </c>
      <c r="E544" s="68">
        <v>0.97359303</v>
      </c>
      <c r="F544" s="1"/>
      <c r="G544" s="23">
        <v>1.0E7</v>
      </c>
      <c r="H544" s="23">
        <v>9735930.33</v>
      </c>
      <c r="I544" s="23">
        <v>1.0E7</v>
      </c>
      <c r="J544" s="23">
        <v>9735930.33</v>
      </c>
      <c r="K544" s="24">
        <v>4.0621855E7</v>
      </c>
      <c r="L544" s="1" t="s">
        <v>1776</v>
      </c>
      <c r="M544" s="1" t="s">
        <v>2128</v>
      </c>
      <c r="N544" s="63" t="s">
        <v>307</v>
      </c>
      <c r="O544" s="63" t="s">
        <v>307</v>
      </c>
      <c r="P544" s="68">
        <v>30.0</v>
      </c>
      <c r="Q544" s="1" t="s">
        <v>2130</v>
      </c>
      <c r="R544" s="1" t="s">
        <v>13</v>
      </c>
      <c r="S544" s="1"/>
      <c r="T544" s="1"/>
      <c r="U544" s="1" t="s">
        <v>339</v>
      </c>
      <c r="V544" s="1" t="s">
        <v>339</v>
      </c>
      <c r="W544" s="145">
        <f t="shared" si="1"/>
        <v>0.0001991582793</v>
      </c>
      <c r="AC544" s="38"/>
    </row>
    <row r="545" ht="15.75" customHeight="1">
      <c r="A545" s="1" t="s">
        <v>1903</v>
      </c>
      <c r="B545" s="1" t="s">
        <v>2127</v>
      </c>
      <c r="C545" s="63">
        <v>46239.0</v>
      </c>
      <c r="D545" s="63" t="s">
        <v>130</v>
      </c>
      <c r="E545" s="68">
        <v>0.97617089</v>
      </c>
      <c r="F545" s="1"/>
      <c r="G545" s="23">
        <v>5800000.0</v>
      </c>
      <c r="H545" s="23">
        <v>5661791.18</v>
      </c>
      <c r="I545" s="23">
        <v>5800000.0</v>
      </c>
      <c r="J545" s="23">
        <v>5661791.18</v>
      </c>
      <c r="K545" s="24">
        <v>121.0</v>
      </c>
      <c r="L545" s="1" t="s">
        <v>1776</v>
      </c>
      <c r="M545" s="1" t="s">
        <v>2128</v>
      </c>
      <c r="N545" s="63" t="s">
        <v>1428</v>
      </c>
      <c r="O545" s="63" t="s">
        <v>1428</v>
      </c>
      <c r="P545" s="68">
        <v>27.0</v>
      </c>
      <c r="Q545" s="1" t="s">
        <v>2130</v>
      </c>
      <c r="R545" s="1" t="s">
        <v>13</v>
      </c>
      <c r="S545" s="1"/>
      <c r="T545" s="1"/>
      <c r="U545" s="1" t="s">
        <v>1433</v>
      </c>
      <c r="V545" s="1" t="s">
        <v>1433</v>
      </c>
      <c r="W545" s="145">
        <f t="shared" si="1"/>
        <v>0.0001158176518</v>
      </c>
      <c r="AC545" s="38"/>
    </row>
    <row r="546" ht="15.75" customHeight="1">
      <c r="A546" s="1" t="s">
        <v>2104</v>
      </c>
      <c r="B546" s="1"/>
      <c r="C546" s="63"/>
      <c r="D546" s="63"/>
      <c r="E546" s="68"/>
      <c r="F546" s="1"/>
      <c r="G546" s="23"/>
      <c r="H546" s="23"/>
      <c r="I546" s="23"/>
      <c r="J546" s="23"/>
      <c r="K546" s="24"/>
      <c r="L546" s="1"/>
      <c r="M546" s="1"/>
      <c r="N546" s="63"/>
      <c r="O546" s="63"/>
      <c r="P546" s="68"/>
      <c r="Q546" s="1" t="s">
        <v>2130</v>
      </c>
      <c r="R546" s="1" t="s">
        <v>13</v>
      </c>
      <c r="S546" s="1"/>
      <c r="T546" s="1"/>
      <c r="U546" s="1" t="s">
        <v>1672</v>
      </c>
      <c r="V546" s="1" t="s">
        <v>1672</v>
      </c>
      <c r="W546" s="145">
        <f t="shared" si="1"/>
        <v>0</v>
      </c>
      <c r="AC546" s="38"/>
    </row>
    <row r="547" ht="15.75" customHeight="1">
      <c r="A547" s="1" t="s">
        <v>2104</v>
      </c>
      <c r="B547" s="1"/>
      <c r="C547" s="63"/>
      <c r="D547" s="63"/>
      <c r="E547" s="68"/>
      <c r="F547" s="1"/>
      <c r="G547" s="23"/>
      <c r="H547" s="23"/>
      <c r="I547" s="23"/>
      <c r="J547" s="23"/>
      <c r="K547" s="24"/>
      <c r="L547" s="1"/>
      <c r="M547" s="1"/>
      <c r="N547" s="63"/>
      <c r="O547" s="63"/>
      <c r="P547" s="68"/>
      <c r="Q547" s="1" t="s">
        <v>2130</v>
      </c>
      <c r="R547" s="1" t="s">
        <v>13</v>
      </c>
      <c r="S547" s="1"/>
      <c r="T547" s="1"/>
      <c r="U547" s="1" t="s">
        <v>1671</v>
      </c>
      <c r="V547" s="1" t="s">
        <v>1671</v>
      </c>
      <c r="W547" s="145">
        <f t="shared" si="1"/>
        <v>0</v>
      </c>
      <c r="AC547" s="38"/>
    </row>
    <row r="548" ht="15.75" customHeight="1">
      <c r="A548" s="1" t="s">
        <v>2103</v>
      </c>
      <c r="B548" s="1"/>
      <c r="C548" s="63"/>
      <c r="D548" s="63"/>
      <c r="E548" s="68"/>
      <c r="F548" s="1"/>
      <c r="G548" s="23"/>
      <c r="H548" s="23"/>
      <c r="I548" s="23"/>
      <c r="J548" s="23"/>
      <c r="K548" s="24"/>
      <c r="L548" s="1"/>
      <c r="M548" s="1"/>
      <c r="N548" s="63"/>
      <c r="O548" s="63"/>
      <c r="P548" s="68"/>
      <c r="Q548" s="1" t="s">
        <v>2130</v>
      </c>
      <c r="R548" s="1" t="s">
        <v>13</v>
      </c>
      <c r="S548" s="1"/>
      <c r="T548" s="1"/>
      <c r="U548" s="1" t="s">
        <v>1688</v>
      </c>
      <c r="V548" s="1" t="s">
        <v>1688</v>
      </c>
      <c r="W548" s="145">
        <f t="shared" si="1"/>
        <v>0</v>
      </c>
      <c r="AC548" s="38"/>
    </row>
    <row r="549" ht="15.75" customHeight="1">
      <c r="A549" s="1" t="s">
        <v>2103</v>
      </c>
      <c r="B549" s="1"/>
      <c r="C549" s="63"/>
      <c r="D549" s="63"/>
      <c r="E549" s="68"/>
      <c r="F549" s="1"/>
      <c r="G549" s="23"/>
      <c r="H549" s="23"/>
      <c r="I549" s="23"/>
      <c r="J549" s="23"/>
      <c r="K549" s="24"/>
      <c r="L549" s="1"/>
      <c r="M549" s="1"/>
      <c r="N549" s="63"/>
      <c r="O549" s="63"/>
      <c r="P549" s="68"/>
      <c r="Q549" s="1" t="s">
        <v>2130</v>
      </c>
      <c r="R549" s="1" t="s">
        <v>13</v>
      </c>
      <c r="S549" s="1"/>
      <c r="T549" s="1"/>
      <c r="U549" s="1" t="s">
        <v>1691</v>
      </c>
      <c r="V549" s="1" t="s">
        <v>1691</v>
      </c>
      <c r="W549" s="145">
        <f t="shared" si="1"/>
        <v>0</v>
      </c>
      <c r="AC549" s="38"/>
    </row>
    <row r="550" ht="15.75" customHeight="1">
      <c r="A550" s="1" t="s">
        <v>1903</v>
      </c>
      <c r="B550" s="1" t="s">
        <v>2127</v>
      </c>
      <c r="C550" s="63">
        <v>46239.0</v>
      </c>
      <c r="D550" s="63" t="s">
        <v>130</v>
      </c>
      <c r="E550" s="68">
        <v>0.97445074</v>
      </c>
      <c r="F550" s="1"/>
      <c r="G550" s="23">
        <v>4166666.66</v>
      </c>
      <c r="H550" s="23">
        <v>4060211.4</v>
      </c>
      <c r="I550" s="23">
        <v>4166666.66</v>
      </c>
      <c r="J550" s="23">
        <v>4060211.4</v>
      </c>
      <c r="K550" s="24">
        <v>1.356771E7</v>
      </c>
      <c r="L550" s="1" t="s">
        <v>1776</v>
      </c>
      <c r="M550" s="1" t="s">
        <v>2128</v>
      </c>
      <c r="N550" s="63" t="s">
        <v>628</v>
      </c>
      <c r="O550" s="63" t="s">
        <v>628</v>
      </c>
      <c r="P550" s="68">
        <v>29.0</v>
      </c>
      <c r="Q550" s="1" t="s">
        <v>2130</v>
      </c>
      <c r="R550" s="1" t="s">
        <v>13</v>
      </c>
      <c r="S550" s="1"/>
      <c r="T550" s="1"/>
      <c r="U550" s="1" t="s">
        <v>664</v>
      </c>
      <c r="V550" s="1" t="s">
        <v>664</v>
      </c>
      <c r="W550" s="145">
        <f t="shared" si="1"/>
        <v>0.0000830557213</v>
      </c>
      <c r="AC550" s="38"/>
    </row>
    <row r="551" ht="15.75" customHeight="1">
      <c r="A551" s="1" t="s">
        <v>1967</v>
      </c>
      <c r="B551" s="1" t="s">
        <v>2127</v>
      </c>
      <c r="C551" s="63">
        <v>46239.0</v>
      </c>
      <c r="D551" s="63" t="s">
        <v>130</v>
      </c>
      <c r="E551" s="68">
        <v>0.96932685</v>
      </c>
      <c r="F551" s="1"/>
      <c r="G551" s="23">
        <v>2000000.0</v>
      </c>
      <c r="H551" s="23">
        <v>1938653.71</v>
      </c>
      <c r="I551" s="23">
        <v>2000000.0</v>
      </c>
      <c r="J551" s="23">
        <v>1938653.71</v>
      </c>
      <c r="K551" s="24">
        <v>4.0751276E7</v>
      </c>
      <c r="L551" s="1" t="s">
        <v>1776</v>
      </c>
      <c r="M551" s="1" t="s">
        <v>2128</v>
      </c>
      <c r="N551" s="63" t="s">
        <v>1048</v>
      </c>
      <c r="O551" s="63" t="s">
        <v>1048</v>
      </c>
      <c r="P551" s="68">
        <v>35.0</v>
      </c>
      <c r="Q551" s="1" t="s">
        <v>2130</v>
      </c>
      <c r="R551" s="1" t="s">
        <v>13</v>
      </c>
      <c r="S551" s="1"/>
      <c r="T551" s="1"/>
      <c r="U551" s="1" t="s">
        <v>1060</v>
      </c>
      <c r="V551" s="1" t="s">
        <v>1060</v>
      </c>
      <c r="W551" s="145">
        <f t="shared" si="1"/>
        <v>0.00003965711791</v>
      </c>
      <c r="AC551" s="38"/>
    </row>
    <row r="552" ht="15.75" customHeight="1">
      <c r="A552" s="1" t="s">
        <v>1946</v>
      </c>
      <c r="B552" s="1" t="s">
        <v>2127</v>
      </c>
      <c r="C552" s="63">
        <v>46239.0</v>
      </c>
      <c r="D552" s="63" t="s">
        <v>130</v>
      </c>
      <c r="E552" s="68">
        <v>0.97102888</v>
      </c>
      <c r="F552" s="1"/>
      <c r="G552" s="23">
        <v>5.0E7</v>
      </c>
      <c r="H552" s="23">
        <v>4.855144393E7</v>
      </c>
      <c r="I552" s="23">
        <v>5.0E7</v>
      </c>
      <c r="J552" s="23">
        <v>4.855144393E7</v>
      </c>
      <c r="K552" s="24">
        <v>136.0</v>
      </c>
      <c r="L552" s="1" t="s">
        <v>1776</v>
      </c>
      <c r="M552" s="1" t="s">
        <v>2128</v>
      </c>
      <c r="N552" s="63" t="s">
        <v>765</v>
      </c>
      <c r="O552" s="63" t="s">
        <v>765</v>
      </c>
      <c r="P552" s="68">
        <v>33.0</v>
      </c>
      <c r="Q552" s="1" t="s">
        <v>2130</v>
      </c>
      <c r="R552" s="1" t="s">
        <v>13</v>
      </c>
      <c r="S552" s="1"/>
      <c r="T552" s="1"/>
      <c r="U552" s="1" t="s">
        <v>786</v>
      </c>
      <c r="V552" s="1" t="s">
        <v>786</v>
      </c>
      <c r="W552" s="145">
        <f t="shared" si="1"/>
        <v>0.0009931687783</v>
      </c>
      <c r="AC552" s="38"/>
    </row>
    <row r="553" ht="15.75" customHeight="1">
      <c r="A553" s="1" t="s">
        <v>1951</v>
      </c>
      <c r="B553" s="1" t="s">
        <v>2127</v>
      </c>
      <c r="C553" s="63">
        <v>46239.0</v>
      </c>
      <c r="D553" s="63" t="s">
        <v>130</v>
      </c>
      <c r="E553" s="68">
        <v>0.96847805</v>
      </c>
      <c r="F553" s="1"/>
      <c r="G553" s="23">
        <v>1.68E7</v>
      </c>
      <c r="H553" s="23">
        <v>1.627043119E7</v>
      </c>
      <c r="I553" s="23">
        <v>1.68E7</v>
      </c>
      <c r="J553" s="23">
        <v>1.627043119E7</v>
      </c>
      <c r="K553" s="24">
        <v>32600.0</v>
      </c>
      <c r="L553" s="1" t="s">
        <v>1776</v>
      </c>
      <c r="M553" s="1" t="s">
        <v>2128</v>
      </c>
      <c r="N553" s="63" t="s">
        <v>624</v>
      </c>
      <c r="O553" s="63" t="s">
        <v>624</v>
      </c>
      <c r="P553" s="68">
        <v>36.0</v>
      </c>
      <c r="Q553" s="1" t="s">
        <v>2130</v>
      </c>
      <c r="R553" s="1" t="s">
        <v>13</v>
      </c>
      <c r="S553" s="1"/>
      <c r="T553" s="1"/>
      <c r="U553" s="1" t="s">
        <v>626</v>
      </c>
      <c r="V553" s="1" t="s">
        <v>626</v>
      </c>
      <c r="W553" s="145">
        <f t="shared" si="1"/>
        <v>0.0003328280883</v>
      </c>
      <c r="AC553" s="38"/>
    </row>
    <row r="554" ht="15.75" customHeight="1">
      <c r="A554" s="1" t="s">
        <v>2015</v>
      </c>
      <c r="B554" s="1" t="s">
        <v>2127</v>
      </c>
      <c r="C554" s="63">
        <v>46239.0</v>
      </c>
      <c r="D554" s="63" t="s">
        <v>130</v>
      </c>
      <c r="E554" s="68">
        <v>0.9813675</v>
      </c>
      <c r="F554" s="1"/>
      <c r="G554" s="23">
        <v>8756336.99</v>
      </c>
      <c r="H554" s="23">
        <v>8593184.54</v>
      </c>
      <c r="I554" s="23">
        <v>8756336.99</v>
      </c>
      <c r="J554" s="23">
        <v>8593184.54</v>
      </c>
      <c r="K554" s="24">
        <v>4.0012226E7</v>
      </c>
      <c r="L554" s="1" t="s">
        <v>1776</v>
      </c>
      <c r="M554" s="1" t="s">
        <v>2128</v>
      </c>
      <c r="N554" s="63" t="s">
        <v>882</v>
      </c>
      <c r="O554" s="63" t="s">
        <v>882</v>
      </c>
      <c r="P554" s="68">
        <v>21.0</v>
      </c>
      <c r="Q554" s="1" t="s">
        <v>2130</v>
      </c>
      <c r="R554" s="1" t="s">
        <v>13</v>
      </c>
      <c r="S554" s="1"/>
      <c r="T554" s="1"/>
      <c r="U554" s="1" t="s">
        <v>884</v>
      </c>
      <c r="V554" s="1" t="s">
        <v>884</v>
      </c>
      <c r="W554" s="145">
        <f t="shared" si="1"/>
        <v>0.000175782261</v>
      </c>
      <c r="AC554" s="38"/>
    </row>
    <row r="555" ht="15.75" customHeight="1">
      <c r="A555" s="1" t="s">
        <v>2015</v>
      </c>
      <c r="B555" s="1" t="s">
        <v>2127</v>
      </c>
      <c r="C555" s="63">
        <v>46239.0</v>
      </c>
      <c r="D555" s="63" t="s">
        <v>130</v>
      </c>
      <c r="E555" s="68">
        <v>0.97876223</v>
      </c>
      <c r="F555" s="1"/>
      <c r="G555" s="23">
        <v>1484637.46</v>
      </c>
      <c r="H555" s="23">
        <v>1453107.07</v>
      </c>
      <c r="I555" s="23">
        <v>1484637.46</v>
      </c>
      <c r="J555" s="23">
        <v>1453107.07</v>
      </c>
      <c r="K555" s="24">
        <v>4.0012463E7</v>
      </c>
      <c r="L555" s="1" t="s">
        <v>1776</v>
      </c>
      <c r="M555" s="1" t="s">
        <v>2128</v>
      </c>
      <c r="N555" s="63" t="s">
        <v>946</v>
      </c>
      <c r="O555" s="63" t="s">
        <v>946</v>
      </c>
      <c r="P555" s="68">
        <v>24.0</v>
      </c>
      <c r="Q555" s="1" t="s">
        <v>2130</v>
      </c>
      <c r="R555" s="1" t="s">
        <v>13</v>
      </c>
      <c r="S555" s="1"/>
      <c r="T555" s="1"/>
      <c r="U555" s="1" t="s">
        <v>995</v>
      </c>
      <c r="V555" s="1" t="s">
        <v>995</v>
      </c>
      <c r="W555" s="145">
        <f t="shared" si="1"/>
        <v>0.00002972477143</v>
      </c>
      <c r="AC555" s="38"/>
    </row>
    <row r="556" ht="15.75" customHeight="1">
      <c r="A556" s="1" t="s">
        <v>1926</v>
      </c>
      <c r="B556" s="1" t="s">
        <v>2127</v>
      </c>
      <c r="C556" s="63">
        <v>46239.0</v>
      </c>
      <c r="D556" s="63" t="s">
        <v>130</v>
      </c>
      <c r="E556" s="68">
        <v>0.97359304</v>
      </c>
      <c r="F556" s="1"/>
      <c r="G556" s="23">
        <v>1.5E7</v>
      </c>
      <c r="H556" s="23">
        <v>1.460389558E7</v>
      </c>
      <c r="I556" s="23">
        <v>1.5E7</v>
      </c>
      <c r="J556" s="23">
        <v>1.460389558E7</v>
      </c>
      <c r="K556" s="24">
        <v>9.0000127E7</v>
      </c>
      <c r="L556" s="1" t="s">
        <v>1776</v>
      </c>
      <c r="M556" s="1" t="s">
        <v>2128</v>
      </c>
      <c r="N556" s="63" t="s">
        <v>704</v>
      </c>
      <c r="O556" s="63" t="s">
        <v>704</v>
      </c>
      <c r="P556" s="68">
        <v>30.0</v>
      </c>
      <c r="Q556" s="1" t="s">
        <v>2130</v>
      </c>
      <c r="R556" s="1" t="s">
        <v>13</v>
      </c>
      <c r="S556" s="1"/>
      <c r="T556" s="1"/>
      <c r="U556" s="1" t="s">
        <v>712</v>
      </c>
      <c r="V556" s="1" t="s">
        <v>712</v>
      </c>
      <c r="W556" s="145">
        <f t="shared" si="1"/>
        <v>0.0002987374207</v>
      </c>
      <c r="AC556" s="38"/>
    </row>
    <row r="557" ht="15.75" customHeight="1">
      <c r="A557" s="1" t="s">
        <v>1907</v>
      </c>
      <c r="B557" s="1" t="s">
        <v>2127</v>
      </c>
      <c r="C557" s="63">
        <v>46239.0</v>
      </c>
      <c r="D557" s="63" t="s">
        <v>130</v>
      </c>
      <c r="E557" s="68">
        <v>0.97445081</v>
      </c>
      <c r="F557" s="1"/>
      <c r="G557" s="23">
        <v>1.0E8</v>
      </c>
      <c r="H557" s="23">
        <v>9.744508099E7</v>
      </c>
      <c r="I557" s="23">
        <v>1.0E8</v>
      </c>
      <c r="J557" s="23">
        <v>9.744508099E7</v>
      </c>
      <c r="K557" s="24">
        <v>9.0003818E7</v>
      </c>
      <c r="L557" s="1" t="s">
        <v>1776</v>
      </c>
      <c r="M557" s="1" t="s">
        <v>2128</v>
      </c>
      <c r="N557" s="63" t="s">
        <v>1084</v>
      </c>
      <c r="O557" s="63" t="s">
        <v>1084</v>
      </c>
      <c r="P557" s="68">
        <v>29.0</v>
      </c>
      <c r="Q557" s="1" t="s">
        <v>2130</v>
      </c>
      <c r="R557" s="1" t="s">
        <v>13</v>
      </c>
      <c r="S557" s="1"/>
      <c r="T557" s="1"/>
      <c r="U557" s="1" t="s">
        <v>1087</v>
      </c>
      <c r="V557" s="1" t="s">
        <v>1087</v>
      </c>
      <c r="W557" s="145">
        <f t="shared" si="1"/>
        <v>0.001993337462</v>
      </c>
      <c r="AC557" s="38"/>
    </row>
    <row r="558" ht="15.75" customHeight="1">
      <c r="A558" s="1" t="s">
        <v>1914</v>
      </c>
      <c r="B558" s="1" t="s">
        <v>2127</v>
      </c>
      <c r="C558" s="63">
        <v>46239.0</v>
      </c>
      <c r="D558" s="63" t="s">
        <v>130</v>
      </c>
      <c r="E558" s="68">
        <v>0.98398667</v>
      </c>
      <c r="F558" s="1"/>
      <c r="G558" s="23">
        <v>3.46128566E8</v>
      </c>
      <c r="H558" s="23">
        <v>3.4058589526E8</v>
      </c>
      <c r="I558" s="23">
        <v>3.46128566E8</v>
      </c>
      <c r="J558" s="23">
        <v>3.4058589526E8</v>
      </c>
      <c r="K558" s="24">
        <v>152123.0</v>
      </c>
      <c r="L558" s="1" t="s">
        <v>1776</v>
      </c>
      <c r="M558" s="1" t="s">
        <v>2128</v>
      </c>
      <c r="N558" s="63" t="s">
        <v>1048</v>
      </c>
      <c r="O558" s="63" t="s">
        <v>1048</v>
      </c>
      <c r="P558" s="68">
        <v>18.0</v>
      </c>
      <c r="Q558" s="1" t="s">
        <v>2130</v>
      </c>
      <c r="R558" s="1" t="s">
        <v>13</v>
      </c>
      <c r="S558" s="1"/>
      <c r="T558" s="1"/>
      <c r="U558" s="1" t="s">
        <v>1062</v>
      </c>
      <c r="V558" s="1" t="s">
        <v>1062</v>
      </c>
      <c r="W558" s="145">
        <f t="shared" si="1"/>
        <v>0.006967028169</v>
      </c>
      <c r="AC558" s="38"/>
    </row>
    <row r="559" ht="15.75" customHeight="1">
      <c r="A559" s="1" t="s">
        <v>2099</v>
      </c>
      <c r="B559" s="1" t="s">
        <v>2127</v>
      </c>
      <c r="C559" s="63">
        <v>46239.0</v>
      </c>
      <c r="D559" s="63" t="s">
        <v>130</v>
      </c>
      <c r="E559" s="68">
        <v>0.971882</v>
      </c>
      <c r="F559" s="1"/>
      <c r="G559" s="23">
        <v>1000000.0</v>
      </c>
      <c r="H559" s="23">
        <v>971882.0</v>
      </c>
      <c r="I559" s="23">
        <v>1000000.0</v>
      </c>
      <c r="J559" s="23">
        <v>971882.0</v>
      </c>
      <c r="K559" s="24">
        <v>6.648755E7</v>
      </c>
      <c r="L559" s="1" t="s">
        <v>1776</v>
      </c>
      <c r="M559" s="1" t="s">
        <v>2128</v>
      </c>
      <c r="N559" s="63" t="s">
        <v>1118</v>
      </c>
      <c r="O559" s="63" t="s">
        <v>1118</v>
      </c>
      <c r="P559" s="68">
        <v>32.0</v>
      </c>
      <c r="Q559" s="1" t="s">
        <v>2130</v>
      </c>
      <c r="R559" s="1" t="s">
        <v>13</v>
      </c>
      <c r="S559" s="1"/>
      <c r="T559" s="1"/>
      <c r="U559" s="1" t="s">
        <v>1148</v>
      </c>
      <c r="V559" s="1" t="s">
        <v>1148</v>
      </c>
      <c r="W559" s="145">
        <f t="shared" si="1"/>
        <v>0.00001988082702</v>
      </c>
      <c r="AC559" s="38"/>
    </row>
    <row r="560" ht="15.75" customHeight="1">
      <c r="A560" s="1" t="s">
        <v>1981</v>
      </c>
      <c r="B560" s="1" t="s">
        <v>2127</v>
      </c>
      <c r="C560" s="63">
        <v>46239.0</v>
      </c>
      <c r="D560" s="63" t="s">
        <v>130</v>
      </c>
      <c r="E560" s="68">
        <v>0.971882</v>
      </c>
      <c r="F560" s="1"/>
      <c r="G560" s="23">
        <v>5000000.0</v>
      </c>
      <c r="H560" s="23">
        <v>4859409.98</v>
      </c>
      <c r="I560" s="23">
        <v>5000000.0</v>
      </c>
      <c r="J560" s="23">
        <v>4859409.98</v>
      </c>
      <c r="K560" s="24">
        <v>551.0</v>
      </c>
      <c r="L560" s="1" t="s">
        <v>1776</v>
      </c>
      <c r="M560" s="1" t="s">
        <v>2128</v>
      </c>
      <c r="N560" s="63" t="s">
        <v>1118</v>
      </c>
      <c r="O560" s="63" t="s">
        <v>1118</v>
      </c>
      <c r="P560" s="68">
        <v>32.0</v>
      </c>
      <c r="Q560" s="1" t="s">
        <v>2130</v>
      </c>
      <c r="R560" s="1" t="s">
        <v>13</v>
      </c>
      <c r="S560" s="1"/>
      <c r="T560" s="1"/>
      <c r="U560" s="1" t="s">
        <v>1158</v>
      </c>
      <c r="V560" s="1" t="s">
        <v>1158</v>
      </c>
      <c r="W560" s="145">
        <f t="shared" si="1"/>
        <v>0.00009940413471</v>
      </c>
      <c r="AC560" s="38"/>
    </row>
    <row r="561" ht="15.75" customHeight="1">
      <c r="A561" s="1" t="s">
        <v>2076</v>
      </c>
      <c r="B561" s="1" t="s">
        <v>2127</v>
      </c>
      <c r="C561" s="63">
        <v>46239.0</v>
      </c>
      <c r="D561" s="63" t="s">
        <v>130</v>
      </c>
      <c r="E561" s="68">
        <v>0.97188198</v>
      </c>
      <c r="F561" s="1"/>
      <c r="G561" s="23">
        <v>2046492.39</v>
      </c>
      <c r="H561" s="23">
        <v>1988949.08</v>
      </c>
      <c r="I561" s="23">
        <v>2046492.39</v>
      </c>
      <c r="J561" s="23">
        <v>1988949.08</v>
      </c>
      <c r="K561" s="24">
        <v>1.2864393E7</v>
      </c>
      <c r="L561" s="1" t="s">
        <v>1776</v>
      </c>
      <c r="M561" s="1" t="s">
        <v>2128</v>
      </c>
      <c r="N561" s="63" t="s">
        <v>1118</v>
      </c>
      <c r="O561" s="63" t="s">
        <v>1118</v>
      </c>
      <c r="P561" s="68">
        <v>32.0</v>
      </c>
      <c r="Q561" s="1" t="s">
        <v>2130</v>
      </c>
      <c r="R561" s="1" t="s">
        <v>13</v>
      </c>
      <c r="S561" s="1"/>
      <c r="T561" s="1"/>
      <c r="U561" s="1" t="s">
        <v>1203</v>
      </c>
      <c r="V561" s="1" t="s">
        <v>1203</v>
      </c>
      <c r="W561" s="145">
        <f t="shared" si="1"/>
        <v>0.00004068596046</v>
      </c>
      <c r="AC561" s="38"/>
    </row>
    <row r="562" ht="15.75" customHeight="1">
      <c r="A562" s="1" t="s">
        <v>2032</v>
      </c>
      <c r="B562" s="1" t="s">
        <v>2127</v>
      </c>
      <c r="C562" s="63">
        <v>46239.0</v>
      </c>
      <c r="D562" s="63" t="s">
        <v>130</v>
      </c>
      <c r="E562" s="68">
        <v>0.96932696</v>
      </c>
      <c r="F562" s="1"/>
      <c r="G562" s="23">
        <v>5511345.05</v>
      </c>
      <c r="H562" s="23">
        <v>5342295.36</v>
      </c>
      <c r="I562" s="23">
        <v>5511345.05</v>
      </c>
      <c r="J562" s="23">
        <v>5342295.36</v>
      </c>
      <c r="K562" s="24">
        <v>8220.0</v>
      </c>
      <c r="L562" s="1" t="s">
        <v>1776</v>
      </c>
      <c r="M562" s="1" t="s">
        <v>2128</v>
      </c>
      <c r="N562" s="63" t="s">
        <v>1245</v>
      </c>
      <c r="O562" s="63" t="s">
        <v>1245</v>
      </c>
      <c r="P562" s="68">
        <v>35.0</v>
      </c>
      <c r="Q562" s="1" t="s">
        <v>2130</v>
      </c>
      <c r="R562" s="1" t="s">
        <v>13</v>
      </c>
      <c r="S562" s="1"/>
      <c r="T562" s="1"/>
      <c r="U562" s="1" t="s">
        <v>1250</v>
      </c>
      <c r="V562" s="1" t="s">
        <v>1250</v>
      </c>
      <c r="W562" s="145">
        <f t="shared" si="1"/>
        <v>0.0001092820424</v>
      </c>
      <c r="AC562" s="38"/>
    </row>
    <row r="563" ht="15.75" customHeight="1">
      <c r="A563" s="1" t="s">
        <v>1960</v>
      </c>
      <c r="B563" s="1" t="s">
        <v>2127</v>
      </c>
      <c r="C563" s="63">
        <v>46240.0</v>
      </c>
      <c r="D563" s="63" t="s">
        <v>130</v>
      </c>
      <c r="E563" s="68">
        <v>0.97458082</v>
      </c>
      <c r="F563" s="1"/>
      <c r="G563" s="23">
        <v>6500000.0</v>
      </c>
      <c r="H563" s="23">
        <v>6334775.35</v>
      </c>
      <c r="I563" s="23">
        <v>6500000.0</v>
      </c>
      <c r="J563" s="23">
        <v>6334775.35</v>
      </c>
      <c r="K563" s="24">
        <v>2.9175497E7</v>
      </c>
      <c r="L563" s="1" t="s">
        <v>1776</v>
      </c>
      <c r="M563" s="1" t="s">
        <v>2128</v>
      </c>
      <c r="N563" s="63" t="s">
        <v>676</v>
      </c>
      <c r="O563" s="63" t="s">
        <v>676</v>
      </c>
      <c r="P563" s="68">
        <v>28.0</v>
      </c>
      <c r="Q563" s="1" t="s">
        <v>2130</v>
      </c>
      <c r="R563" s="1" t="s">
        <v>13</v>
      </c>
      <c r="S563" s="1"/>
      <c r="T563" s="1"/>
      <c r="U563" s="1" t="s">
        <v>677</v>
      </c>
      <c r="V563" s="1" t="s">
        <v>677</v>
      </c>
      <c r="W563" s="145">
        <f t="shared" si="1"/>
        <v>0.0001295842221</v>
      </c>
      <c r="AC563" s="38"/>
    </row>
    <row r="564" ht="15.75" customHeight="1">
      <c r="A564" s="1" t="s">
        <v>1906</v>
      </c>
      <c r="B564" s="1" t="s">
        <v>2127</v>
      </c>
      <c r="C564" s="63">
        <v>46240.0</v>
      </c>
      <c r="D564" s="63" t="s">
        <v>130</v>
      </c>
      <c r="E564" s="68">
        <v>0.96581301</v>
      </c>
      <c r="F564" s="1"/>
      <c r="G564" s="23">
        <v>2.0E7</v>
      </c>
      <c r="H564" s="23">
        <v>1.931626024E7</v>
      </c>
      <c r="I564" s="23">
        <v>2.0E7</v>
      </c>
      <c r="J564" s="23">
        <v>1.931626024E7</v>
      </c>
      <c r="K564" s="24">
        <v>7.0219539E7</v>
      </c>
      <c r="L564" s="1" t="s">
        <v>1776</v>
      </c>
      <c r="M564" s="1" t="s">
        <v>2128</v>
      </c>
      <c r="N564" s="63" t="s">
        <v>1118</v>
      </c>
      <c r="O564" s="63" t="s">
        <v>1118</v>
      </c>
      <c r="P564" s="68">
        <v>38.0</v>
      </c>
      <c r="Q564" s="1" t="s">
        <v>2130</v>
      </c>
      <c r="R564" s="1" t="s">
        <v>13</v>
      </c>
      <c r="S564" s="1"/>
      <c r="T564" s="1"/>
      <c r="U564" s="1" t="s">
        <v>1141</v>
      </c>
      <c r="V564" s="1" t="s">
        <v>1141</v>
      </c>
      <c r="W564" s="145">
        <f t="shared" si="1"/>
        <v>0.000395133595</v>
      </c>
      <c r="AC564" s="38"/>
    </row>
    <row r="565" ht="15.75" customHeight="1">
      <c r="A565" s="1" t="s">
        <v>1906</v>
      </c>
      <c r="B565" s="1" t="s">
        <v>2127</v>
      </c>
      <c r="C565" s="63">
        <v>46240.0</v>
      </c>
      <c r="D565" s="63" t="s">
        <v>130</v>
      </c>
      <c r="E565" s="68">
        <v>0.96581296</v>
      </c>
      <c r="F565" s="1"/>
      <c r="G565" s="23">
        <v>2.0E7</v>
      </c>
      <c r="H565" s="23">
        <v>1.931625916E7</v>
      </c>
      <c r="I565" s="23">
        <v>2.0E7</v>
      </c>
      <c r="J565" s="23">
        <v>1.931625916E7</v>
      </c>
      <c r="K565" s="24">
        <v>7.021954E7</v>
      </c>
      <c r="L565" s="1" t="s">
        <v>1776</v>
      </c>
      <c r="M565" s="1" t="s">
        <v>2128</v>
      </c>
      <c r="N565" s="63" t="s">
        <v>1084</v>
      </c>
      <c r="O565" s="63" t="s">
        <v>1084</v>
      </c>
      <c r="P565" s="68">
        <v>38.0</v>
      </c>
      <c r="Q565" s="1" t="s">
        <v>2130</v>
      </c>
      <c r="R565" s="1" t="s">
        <v>13</v>
      </c>
      <c r="S565" s="1"/>
      <c r="T565" s="1"/>
      <c r="U565" s="1" t="s">
        <v>1083</v>
      </c>
      <c r="V565" s="1" t="s">
        <v>1083</v>
      </c>
      <c r="W565" s="145">
        <f t="shared" si="1"/>
        <v>0.0003951335729</v>
      </c>
      <c r="AC565" s="38"/>
    </row>
    <row r="566" ht="15.75" customHeight="1">
      <c r="A566" s="1" t="s">
        <v>1961</v>
      </c>
      <c r="B566" s="1" t="s">
        <v>2127</v>
      </c>
      <c r="C566" s="63">
        <v>46240.0</v>
      </c>
      <c r="D566" s="63" t="s">
        <v>130</v>
      </c>
      <c r="E566" s="68">
        <v>0.96755386</v>
      </c>
      <c r="F566" s="1"/>
      <c r="G566" s="23">
        <v>5882352.93</v>
      </c>
      <c r="H566" s="23">
        <v>5691493.26</v>
      </c>
      <c r="I566" s="23">
        <v>5882352.93</v>
      </c>
      <c r="J566" s="23">
        <v>5691493.26</v>
      </c>
      <c r="K566" s="24">
        <v>2622.0</v>
      </c>
      <c r="L566" s="1" t="s">
        <v>1776</v>
      </c>
      <c r="M566" s="1" t="s">
        <v>2128</v>
      </c>
      <c r="N566" s="63" t="s">
        <v>886</v>
      </c>
      <c r="O566" s="63" t="s">
        <v>886</v>
      </c>
      <c r="P566" s="68">
        <v>36.0</v>
      </c>
      <c r="Q566" s="1" t="s">
        <v>2130</v>
      </c>
      <c r="R566" s="1" t="s">
        <v>13</v>
      </c>
      <c r="S566" s="1"/>
      <c r="T566" s="1"/>
      <c r="U566" s="1" t="s">
        <v>894</v>
      </c>
      <c r="V566" s="1" t="s">
        <v>894</v>
      </c>
      <c r="W566" s="145">
        <f t="shared" si="1"/>
        <v>0.0001164252379</v>
      </c>
      <c r="AC566" s="38"/>
    </row>
    <row r="567" ht="15.75" customHeight="1">
      <c r="A567" s="1" t="s">
        <v>1961</v>
      </c>
      <c r="B567" s="1" t="s">
        <v>2127</v>
      </c>
      <c r="C567" s="63">
        <v>46240.0</v>
      </c>
      <c r="D567" s="63" t="s">
        <v>130</v>
      </c>
      <c r="E567" s="68">
        <v>0.96755388</v>
      </c>
      <c r="F567" s="1"/>
      <c r="G567" s="23">
        <v>2273100.5</v>
      </c>
      <c r="H567" s="23">
        <v>2199347.2</v>
      </c>
      <c r="I567" s="23">
        <v>2273100.5</v>
      </c>
      <c r="J567" s="23">
        <v>2199347.2</v>
      </c>
      <c r="K567" s="24">
        <v>2759.0</v>
      </c>
      <c r="L567" s="1" t="s">
        <v>1776</v>
      </c>
      <c r="M567" s="1" t="s">
        <v>2128</v>
      </c>
      <c r="N567" s="63" t="s">
        <v>1332</v>
      </c>
      <c r="O567" s="63" t="s">
        <v>1332</v>
      </c>
      <c r="P567" s="68">
        <v>36.0</v>
      </c>
      <c r="Q567" s="1" t="s">
        <v>2130</v>
      </c>
      <c r="R567" s="1" t="s">
        <v>13</v>
      </c>
      <c r="S567" s="1"/>
      <c r="T567" s="1"/>
      <c r="U567" s="1" t="s">
        <v>1361</v>
      </c>
      <c r="V567" s="1" t="s">
        <v>1361</v>
      </c>
      <c r="W567" s="145">
        <f t="shared" si="1"/>
        <v>0.00004498986631</v>
      </c>
      <c r="AC567" s="38"/>
    </row>
    <row r="568" ht="15.75" customHeight="1">
      <c r="A568" s="1" t="s">
        <v>1924</v>
      </c>
      <c r="B568" s="1" t="s">
        <v>2127</v>
      </c>
      <c r="C568" s="63">
        <v>46240.0</v>
      </c>
      <c r="D568" s="63" t="s">
        <v>130</v>
      </c>
      <c r="E568" s="68">
        <v>0.97281455</v>
      </c>
      <c r="F568" s="1"/>
      <c r="G568" s="23">
        <v>8500000.0</v>
      </c>
      <c r="H568" s="23">
        <v>8268923.68</v>
      </c>
      <c r="I568" s="23">
        <v>8500000.0</v>
      </c>
      <c r="J568" s="23">
        <v>8268923.68</v>
      </c>
      <c r="K568" s="24">
        <v>1075.0</v>
      </c>
      <c r="L568" s="1" t="s">
        <v>1776</v>
      </c>
      <c r="M568" s="1" t="s">
        <v>2128</v>
      </c>
      <c r="N568" s="63" t="s">
        <v>307</v>
      </c>
      <c r="O568" s="63" t="s">
        <v>307</v>
      </c>
      <c r="P568" s="68">
        <v>30.0</v>
      </c>
      <c r="Q568" s="1" t="s">
        <v>2130</v>
      </c>
      <c r="R568" s="1" t="s">
        <v>13</v>
      </c>
      <c r="S568" s="1"/>
      <c r="T568" s="1"/>
      <c r="U568" s="1" t="s">
        <v>340</v>
      </c>
      <c r="V568" s="1" t="s">
        <v>340</v>
      </c>
      <c r="W568" s="145">
        <f t="shared" si="1"/>
        <v>0.0001691491779</v>
      </c>
      <c r="AC568" s="38"/>
    </row>
    <row r="569" ht="15.75" customHeight="1">
      <c r="A569" s="1" t="s">
        <v>1924</v>
      </c>
      <c r="B569" s="1" t="s">
        <v>2127</v>
      </c>
      <c r="C569" s="63">
        <v>46240.0</v>
      </c>
      <c r="D569" s="63" t="s">
        <v>130</v>
      </c>
      <c r="E569" s="68">
        <v>0.97281455</v>
      </c>
      <c r="F569" s="1"/>
      <c r="G569" s="23">
        <v>1.0E7</v>
      </c>
      <c r="H569" s="23">
        <v>9728145.5</v>
      </c>
      <c r="I569" s="23">
        <v>1.0E7</v>
      </c>
      <c r="J569" s="23">
        <v>9728145.5</v>
      </c>
      <c r="K569" s="24">
        <v>4.0621856E7</v>
      </c>
      <c r="L569" s="1" t="s">
        <v>1776</v>
      </c>
      <c r="M569" s="1" t="s">
        <v>2128</v>
      </c>
      <c r="N569" s="63" t="s">
        <v>307</v>
      </c>
      <c r="O569" s="63" t="s">
        <v>307</v>
      </c>
      <c r="P569" s="68">
        <v>30.0</v>
      </c>
      <c r="Q569" s="1" t="s">
        <v>2130</v>
      </c>
      <c r="R569" s="1" t="s">
        <v>13</v>
      </c>
      <c r="S569" s="1"/>
      <c r="T569" s="1"/>
      <c r="U569" s="1" t="s">
        <v>342</v>
      </c>
      <c r="V569" s="1" t="s">
        <v>342</v>
      </c>
      <c r="W569" s="145">
        <f t="shared" si="1"/>
        <v>0.0001989990328</v>
      </c>
      <c r="AC569" s="38"/>
    </row>
    <row r="570" ht="15.75" customHeight="1">
      <c r="A570" s="1" t="s">
        <v>1903</v>
      </c>
      <c r="B570" s="1" t="s">
        <v>2127</v>
      </c>
      <c r="C570" s="63">
        <v>46240.0</v>
      </c>
      <c r="D570" s="63" t="s">
        <v>130</v>
      </c>
      <c r="E570" s="68">
        <v>0.97546646</v>
      </c>
      <c r="F570" s="1"/>
      <c r="G570" s="23">
        <v>5800000.0</v>
      </c>
      <c r="H570" s="23">
        <v>5657705.45</v>
      </c>
      <c r="I570" s="23">
        <v>5800000.0</v>
      </c>
      <c r="J570" s="23">
        <v>5657705.45</v>
      </c>
      <c r="K570" s="24">
        <v>122.0</v>
      </c>
      <c r="L570" s="1" t="s">
        <v>1776</v>
      </c>
      <c r="M570" s="1" t="s">
        <v>2128</v>
      </c>
      <c r="N570" s="63" t="s">
        <v>1428</v>
      </c>
      <c r="O570" s="63" t="s">
        <v>1428</v>
      </c>
      <c r="P570" s="68">
        <v>27.0</v>
      </c>
      <c r="Q570" s="1" t="s">
        <v>2130</v>
      </c>
      <c r="R570" s="1" t="s">
        <v>13</v>
      </c>
      <c r="S570" s="1"/>
      <c r="T570" s="1"/>
      <c r="U570" s="1" t="s">
        <v>1434</v>
      </c>
      <c r="V570" s="1" t="s">
        <v>1434</v>
      </c>
      <c r="W570" s="145">
        <f t="shared" si="1"/>
        <v>0.0001157340741</v>
      </c>
      <c r="AC570" s="38"/>
    </row>
    <row r="571" ht="15.75" customHeight="1">
      <c r="A571" s="1" t="s">
        <v>1967</v>
      </c>
      <c r="B571" s="1" t="s">
        <v>2127</v>
      </c>
      <c r="C571" s="63">
        <v>46240.0</v>
      </c>
      <c r="D571" s="63" t="s">
        <v>130</v>
      </c>
      <c r="E571" s="68">
        <v>0.96842668</v>
      </c>
      <c r="F571" s="1"/>
      <c r="G571" s="23">
        <v>1718406.99</v>
      </c>
      <c r="H571" s="23">
        <v>1664151.17</v>
      </c>
      <c r="I571" s="23">
        <v>1718406.99</v>
      </c>
      <c r="J571" s="23">
        <v>1664151.17</v>
      </c>
      <c r="K571" s="24">
        <v>4.0751277E7</v>
      </c>
      <c r="L571" s="1" t="s">
        <v>1776</v>
      </c>
      <c r="M571" s="1" t="s">
        <v>2128</v>
      </c>
      <c r="N571" s="63" t="s">
        <v>1048</v>
      </c>
      <c r="O571" s="63" t="s">
        <v>1048</v>
      </c>
      <c r="P571" s="68">
        <v>35.0</v>
      </c>
      <c r="Q571" s="1" t="s">
        <v>2130</v>
      </c>
      <c r="R571" s="1" t="s">
        <v>13</v>
      </c>
      <c r="S571" s="1"/>
      <c r="T571" s="1"/>
      <c r="U571" s="1" t="s">
        <v>1058</v>
      </c>
      <c r="V571" s="1" t="s">
        <v>1058</v>
      </c>
      <c r="W571" s="145">
        <f t="shared" si="1"/>
        <v>0.00003404189146</v>
      </c>
      <c r="AC571" s="38"/>
    </row>
    <row r="572" ht="15.75" customHeight="1">
      <c r="A572" s="1" t="s">
        <v>1980</v>
      </c>
      <c r="B572" s="1" t="s">
        <v>2127</v>
      </c>
      <c r="C572" s="63">
        <v>46240.0</v>
      </c>
      <c r="D572" s="63" t="s">
        <v>130</v>
      </c>
      <c r="E572" s="68">
        <v>0.97458088</v>
      </c>
      <c r="F572" s="1"/>
      <c r="G572" s="23">
        <v>2.5E7</v>
      </c>
      <c r="H572" s="23">
        <v>2.436452196E7</v>
      </c>
      <c r="I572" s="23">
        <v>2.5E7</v>
      </c>
      <c r="J572" s="23">
        <v>2.436452196E7</v>
      </c>
      <c r="K572" s="24">
        <v>896.0</v>
      </c>
      <c r="L572" s="1" t="s">
        <v>1776</v>
      </c>
      <c r="M572" s="1" t="s">
        <v>2128</v>
      </c>
      <c r="N572" s="63" t="s">
        <v>446</v>
      </c>
      <c r="O572" s="63" t="s">
        <v>446</v>
      </c>
      <c r="P572" s="68">
        <v>28.0</v>
      </c>
      <c r="Q572" s="1" t="s">
        <v>2130</v>
      </c>
      <c r="R572" s="1" t="s">
        <v>13</v>
      </c>
      <c r="S572" s="1"/>
      <c r="T572" s="1"/>
      <c r="U572" s="1" t="s">
        <v>502</v>
      </c>
      <c r="V572" s="1" t="s">
        <v>502</v>
      </c>
      <c r="W572" s="145">
        <f t="shared" si="1"/>
        <v>0.0004984008826</v>
      </c>
      <c r="AC572" s="38"/>
    </row>
    <row r="573" ht="15.75" customHeight="1">
      <c r="A573" s="1" t="s">
        <v>1939</v>
      </c>
      <c r="B573" s="1" t="s">
        <v>2127</v>
      </c>
      <c r="C573" s="63">
        <v>46240.0</v>
      </c>
      <c r="D573" s="63" t="s">
        <v>130</v>
      </c>
      <c r="E573" s="68">
        <v>0.96842668</v>
      </c>
      <c r="F573" s="1"/>
      <c r="G573" s="23">
        <v>2.5E7</v>
      </c>
      <c r="H573" s="23">
        <v>2.421066703E7</v>
      </c>
      <c r="I573" s="23">
        <v>2.5E7</v>
      </c>
      <c r="J573" s="23">
        <v>2.421066703E7</v>
      </c>
      <c r="K573" s="24">
        <v>1308.0</v>
      </c>
      <c r="L573" s="1" t="s">
        <v>1776</v>
      </c>
      <c r="M573" s="1" t="s">
        <v>2128</v>
      </c>
      <c r="N573" s="63" t="s">
        <v>360</v>
      </c>
      <c r="O573" s="63" t="s">
        <v>360</v>
      </c>
      <c r="P573" s="68">
        <v>35.0</v>
      </c>
      <c r="Q573" s="1" t="s">
        <v>2130</v>
      </c>
      <c r="R573" s="1" t="s">
        <v>13</v>
      </c>
      <c r="S573" s="1"/>
      <c r="T573" s="1"/>
      <c r="U573" s="1" t="s">
        <v>398</v>
      </c>
      <c r="V573" s="1" t="s">
        <v>398</v>
      </c>
      <c r="W573" s="145">
        <f t="shared" si="1"/>
        <v>0.0004952536248</v>
      </c>
      <c r="AC573" s="38"/>
    </row>
    <row r="574" ht="15.75" customHeight="1">
      <c r="A574" s="1" t="s">
        <v>1943</v>
      </c>
      <c r="B574" s="1" t="s">
        <v>2127</v>
      </c>
      <c r="C574" s="63">
        <v>46240.0</v>
      </c>
      <c r="D574" s="63" t="s">
        <v>130</v>
      </c>
      <c r="E574" s="68">
        <v>0.96407836</v>
      </c>
      <c r="F574" s="1"/>
      <c r="G574" s="23">
        <v>2.5E7</v>
      </c>
      <c r="H574" s="23">
        <v>2.410195905E7</v>
      </c>
      <c r="I574" s="23">
        <v>2.5E7</v>
      </c>
      <c r="J574" s="23">
        <v>2.410195905E7</v>
      </c>
      <c r="K574" s="24">
        <v>7.0379055E7</v>
      </c>
      <c r="L574" s="1" t="s">
        <v>1776</v>
      </c>
      <c r="M574" s="1" t="s">
        <v>2128</v>
      </c>
      <c r="N574" s="63" t="s">
        <v>1222</v>
      </c>
      <c r="O574" s="63" t="s">
        <v>1222</v>
      </c>
      <c r="P574" s="68">
        <v>40.0</v>
      </c>
      <c r="Q574" s="1" t="s">
        <v>2130</v>
      </c>
      <c r="R574" s="1" t="s">
        <v>13</v>
      </c>
      <c r="S574" s="1"/>
      <c r="T574" s="1"/>
      <c r="U574" s="1" t="s">
        <v>1227</v>
      </c>
      <c r="V574" s="1" t="s">
        <v>1227</v>
      </c>
      <c r="W574" s="145">
        <f t="shared" si="1"/>
        <v>0.0004930298934</v>
      </c>
      <c r="AC574" s="38"/>
    </row>
    <row r="575" ht="15.75" customHeight="1">
      <c r="A575" s="1" t="s">
        <v>1921</v>
      </c>
      <c r="B575" s="1" t="s">
        <v>2127</v>
      </c>
      <c r="C575" s="63">
        <v>46240.0</v>
      </c>
      <c r="D575" s="63" t="s">
        <v>130</v>
      </c>
      <c r="E575" s="68">
        <v>0.9772425</v>
      </c>
      <c r="F575" s="1"/>
      <c r="G575" s="23">
        <v>2125000.0</v>
      </c>
      <c r="H575" s="23">
        <v>2076640.31</v>
      </c>
      <c r="I575" s="23">
        <v>2125000.0</v>
      </c>
      <c r="J575" s="23">
        <v>2076640.31</v>
      </c>
      <c r="K575" s="24">
        <v>4501.0</v>
      </c>
      <c r="L575" s="1" t="s">
        <v>1776</v>
      </c>
      <c r="M575" s="1" t="s">
        <v>2128</v>
      </c>
      <c r="N575" s="63" t="s">
        <v>1488</v>
      </c>
      <c r="O575" s="63" t="s">
        <v>1488</v>
      </c>
      <c r="P575" s="68">
        <v>25.0</v>
      </c>
      <c r="Q575" s="1" t="s">
        <v>2130</v>
      </c>
      <c r="R575" s="1" t="s">
        <v>13</v>
      </c>
      <c r="S575" s="1"/>
      <c r="T575" s="1"/>
      <c r="U575" s="1" t="s">
        <v>1524</v>
      </c>
      <c r="V575" s="1" t="s">
        <v>1524</v>
      </c>
      <c r="W575" s="145">
        <f t="shared" si="1"/>
        <v>0.00004247977305</v>
      </c>
      <c r="AC575" s="38"/>
    </row>
    <row r="576" ht="15.75" customHeight="1">
      <c r="A576" s="1" t="s">
        <v>1907</v>
      </c>
      <c r="B576" s="1" t="s">
        <v>2127</v>
      </c>
      <c r="C576" s="63">
        <v>46240.0</v>
      </c>
      <c r="D576" s="63" t="s">
        <v>130</v>
      </c>
      <c r="E576" s="68">
        <v>0.97369691</v>
      </c>
      <c r="F576" s="1"/>
      <c r="G576" s="23">
        <v>1.0E8</v>
      </c>
      <c r="H576" s="23">
        <v>9.736969148E7</v>
      </c>
      <c r="I576" s="23">
        <v>1.0E8</v>
      </c>
      <c r="J576" s="23">
        <v>9.736969148E7</v>
      </c>
      <c r="K576" s="24">
        <v>9.0003813E7</v>
      </c>
      <c r="L576" s="1" t="s">
        <v>1776</v>
      </c>
      <c r="M576" s="1" t="s">
        <v>2128</v>
      </c>
      <c r="N576" s="63" t="s">
        <v>1084</v>
      </c>
      <c r="O576" s="63" t="s">
        <v>1084</v>
      </c>
      <c r="P576" s="68">
        <v>29.0</v>
      </c>
      <c r="Q576" s="1" t="s">
        <v>2130</v>
      </c>
      <c r="R576" s="1" t="s">
        <v>13</v>
      </c>
      <c r="S576" s="1"/>
      <c r="T576" s="1"/>
      <c r="U576" s="1" t="s">
        <v>1088</v>
      </c>
      <c r="V576" s="1" t="s">
        <v>1088</v>
      </c>
      <c r="W576" s="145">
        <f t="shared" si="1"/>
        <v>0.001991795294</v>
      </c>
      <c r="AC576" s="38"/>
    </row>
    <row r="577" ht="15.75" customHeight="1">
      <c r="A577" s="1" t="s">
        <v>2060</v>
      </c>
      <c r="B577" s="1" t="s">
        <v>2127</v>
      </c>
      <c r="C577" s="63">
        <v>46240.0</v>
      </c>
      <c r="D577" s="63" t="s">
        <v>130</v>
      </c>
      <c r="E577" s="68">
        <v>0.97017704</v>
      </c>
      <c r="F577" s="1"/>
      <c r="G577" s="23">
        <v>1319000.0</v>
      </c>
      <c r="H577" s="23">
        <v>1279663.51</v>
      </c>
      <c r="I577" s="23">
        <v>1319000.0</v>
      </c>
      <c r="J577" s="23">
        <v>1279663.51</v>
      </c>
      <c r="K577" s="24">
        <v>6.7204033E7</v>
      </c>
      <c r="L577" s="1" t="s">
        <v>1776</v>
      </c>
      <c r="M577" s="1" t="s">
        <v>2128</v>
      </c>
      <c r="N577" s="63" t="s">
        <v>946</v>
      </c>
      <c r="O577" s="63" t="s">
        <v>946</v>
      </c>
      <c r="P577" s="68">
        <v>33.0</v>
      </c>
      <c r="Q577" s="1" t="s">
        <v>2130</v>
      </c>
      <c r="R577" s="1" t="s">
        <v>13</v>
      </c>
      <c r="S577" s="1"/>
      <c r="T577" s="1"/>
      <c r="U577" s="1" t="s">
        <v>1024</v>
      </c>
      <c r="V577" s="1" t="s">
        <v>1024</v>
      </c>
      <c r="W577" s="145">
        <f t="shared" si="1"/>
        <v>0.00002617680839</v>
      </c>
      <c r="AC577" s="38"/>
    </row>
    <row r="578" ht="15.75" customHeight="1">
      <c r="A578" s="1" t="s">
        <v>2052</v>
      </c>
      <c r="B578" s="1" t="s">
        <v>2127</v>
      </c>
      <c r="C578" s="63">
        <v>46240.0</v>
      </c>
      <c r="D578" s="63" t="s">
        <v>130</v>
      </c>
      <c r="E578" s="68">
        <v>0.97281472</v>
      </c>
      <c r="F578" s="1"/>
      <c r="G578" s="23">
        <v>415000.0</v>
      </c>
      <c r="H578" s="23">
        <v>403718.11</v>
      </c>
      <c r="I578" s="23">
        <v>415000.0</v>
      </c>
      <c r="J578" s="23">
        <v>403718.11</v>
      </c>
      <c r="K578" s="24">
        <v>9918438.0</v>
      </c>
      <c r="L578" s="1" t="s">
        <v>1776</v>
      </c>
      <c r="M578" s="1" t="s">
        <v>2128</v>
      </c>
      <c r="N578" s="63" t="s">
        <v>1488</v>
      </c>
      <c r="O578" s="63" t="s">
        <v>1488</v>
      </c>
      <c r="P578" s="68">
        <v>30.0</v>
      </c>
      <c r="Q578" s="1" t="s">
        <v>2130</v>
      </c>
      <c r="R578" s="1" t="s">
        <v>13</v>
      </c>
      <c r="S578" s="1"/>
      <c r="T578" s="1"/>
      <c r="U578" s="1" t="s">
        <v>1538</v>
      </c>
      <c r="V578" s="1" t="s">
        <v>1538</v>
      </c>
      <c r="W578" s="145">
        <f t="shared" si="1"/>
        <v>0.000008258461327</v>
      </c>
      <c r="AC578" s="38"/>
    </row>
    <row r="579" ht="15.75" customHeight="1">
      <c r="A579" s="1" t="s">
        <v>2052</v>
      </c>
      <c r="B579" s="1" t="s">
        <v>2127</v>
      </c>
      <c r="C579" s="63">
        <v>46240.0</v>
      </c>
      <c r="D579" s="63" t="s">
        <v>130</v>
      </c>
      <c r="E579" s="68">
        <v>0.97281473</v>
      </c>
      <c r="F579" s="1"/>
      <c r="G579" s="23">
        <v>330000.0</v>
      </c>
      <c r="H579" s="23">
        <v>321028.86</v>
      </c>
      <c r="I579" s="23">
        <v>330000.0</v>
      </c>
      <c r="J579" s="23">
        <v>321028.86</v>
      </c>
      <c r="K579" s="24">
        <v>9918444.0</v>
      </c>
      <c r="L579" s="1" t="s">
        <v>1776</v>
      </c>
      <c r="M579" s="1" t="s">
        <v>2128</v>
      </c>
      <c r="N579" s="63" t="s">
        <v>1488</v>
      </c>
      <c r="O579" s="63" t="s">
        <v>1488</v>
      </c>
      <c r="P579" s="68">
        <v>30.0</v>
      </c>
      <c r="Q579" s="1" t="s">
        <v>2130</v>
      </c>
      <c r="R579" s="1" t="s">
        <v>13</v>
      </c>
      <c r="S579" s="1"/>
      <c r="T579" s="1"/>
      <c r="U579" s="1" t="s">
        <v>1547</v>
      </c>
      <c r="V579" s="1" t="s">
        <v>1547</v>
      </c>
      <c r="W579" s="145">
        <f t="shared" si="1"/>
        <v>0.000006566969278</v>
      </c>
      <c r="AC579" s="38"/>
    </row>
    <row r="580" ht="15.75" customHeight="1">
      <c r="A580" s="1" t="s">
        <v>1918</v>
      </c>
      <c r="B580" s="1" t="s">
        <v>2127</v>
      </c>
      <c r="C580" s="63">
        <v>46241.0</v>
      </c>
      <c r="D580" s="63" t="s">
        <v>130</v>
      </c>
      <c r="E580" s="68">
        <v>0.9648429</v>
      </c>
      <c r="F580" s="1"/>
      <c r="G580" s="23">
        <v>3.205E8</v>
      </c>
      <c r="H580" s="23">
        <v>3.0923214842E8</v>
      </c>
      <c r="I580" s="23">
        <v>3.205E8</v>
      </c>
      <c r="J580" s="23">
        <v>3.0923214842E8</v>
      </c>
      <c r="K580" s="24">
        <v>7.0389104E7</v>
      </c>
      <c r="L580" s="1" t="s">
        <v>1776</v>
      </c>
      <c r="M580" s="1" t="s">
        <v>2128</v>
      </c>
      <c r="N580" s="63" t="s">
        <v>1302</v>
      </c>
      <c r="O580" s="63" t="s">
        <v>1302</v>
      </c>
      <c r="P580" s="68">
        <v>38.0</v>
      </c>
      <c r="Q580" s="1" t="s">
        <v>2130</v>
      </c>
      <c r="R580" s="1" t="s">
        <v>13</v>
      </c>
      <c r="S580" s="1"/>
      <c r="T580" s="1"/>
      <c r="U580" s="1" t="s">
        <v>1327</v>
      </c>
      <c r="V580" s="1" t="s">
        <v>1327</v>
      </c>
      <c r="W580" s="145">
        <f t="shared" si="1"/>
        <v>0.006325655638</v>
      </c>
      <c r="AC580" s="38"/>
    </row>
    <row r="581" ht="15.75" customHeight="1">
      <c r="A581" s="1" t="s">
        <v>1906</v>
      </c>
      <c r="B581" s="1" t="s">
        <v>2127</v>
      </c>
      <c r="C581" s="63">
        <v>46241.0</v>
      </c>
      <c r="D581" s="63" t="s">
        <v>130</v>
      </c>
      <c r="E581" s="68">
        <v>0.96484281</v>
      </c>
      <c r="F581" s="1"/>
      <c r="G581" s="23">
        <v>2.0E7</v>
      </c>
      <c r="H581" s="23">
        <v>1.929685615E7</v>
      </c>
      <c r="I581" s="23">
        <v>2.0E7</v>
      </c>
      <c r="J581" s="23">
        <v>1.929685615E7</v>
      </c>
      <c r="K581" s="24">
        <v>7.0219541E7</v>
      </c>
      <c r="L581" s="1" t="s">
        <v>1776</v>
      </c>
      <c r="M581" s="1" t="s">
        <v>2128</v>
      </c>
      <c r="N581" s="63" t="s">
        <v>1118</v>
      </c>
      <c r="O581" s="63" t="s">
        <v>1118</v>
      </c>
      <c r="P581" s="68">
        <v>38.0</v>
      </c>
      <c r="Q581" s="1" t="s">
        <v>2130</v>
      </c>
      <c r="R581" s="1" t="s">
        <v>13</v>
      </c>
      <c r="S581" s="1"/>
      <c r="T581" s="1"/>
      <c r="U581" s="1" t="s">
        <v>1142</v>
      </c>
      <c r="V581" s="1" t="s">
        <v>1142</v>
      </c>
      <c r="W581" s="145">
        <f t="shared" si="1"/>
        <v>0.0003947366648</v>
      </c>
      <c r="AC581" s="38"/>
    </row>
    <row r="582" ht="15.75" customHeight="1">
      <c r="A582" s="1" t="s">
        <v>1906</v>
      </c>
      <c r="B582" s="1" t="s">
        <v>2127</v>
      </c>
      <c r="C582" s="63">
        <v>46241.0</v>
      </c>
      <c r="D582" s="63" t="s">
        <v>130</v>
      </c>
      <c r="E582" s="68">
        <v>0.96484281</v>
      </c>
      <c r="F582" s="1"/>
      <c r="G582" s="23">
        <v>2.0E7</v>
      </c>
      <c r="H582" s="23">
        <v>1.929685615E7</v>
      </c>
      <c r="I582" s="23">
        <v>2.0E7</v>
      </c>
      <c r="J582" s="23">
        <v>1.929685615E7</v>
      </c>
      <c r="K582" s="24">
        <v>7.0219542E7</v>
      </c>
      <c r="L582" s="1" t="s">
        <v>1776</v>
      </c>
      <c r="M582" s="1" t="s">
        <v>2128</v>
      </c>
      <c r="N582" s="63" t="s">
        <v>1118</v>
      </c>
      <c r="O582" s="63" t="s">
        <v>1118</v>
      </c>
      <c r="P582" s="68">
        <v>38.0</v>
      </c>
      <c r="Q582" s="1" t="s">
        <v>2130</v>
      </c>
      <c r="R582" s="1" t="s">
        <v>13</v>
      </c>
      <c r="S582" s="1"/>
      <c r="T582" s="1"/>
      <c r="U582" s="1" t="s">
        <v>1143</v>
      </c>
      <c r="V582" s="1" t="s">
        <v>1143</v>
      </c>
      <c r="W582" s="145">
        <f t="shared" si="1"/>
        <v>0.0003947366648</v>
      </c>
      <c r="AC582" s="38"/>
    </row>
    <row r="583" ht="15.75" customHeight="1">
      <c r="A583" s="1" t="s">
        <v>1961</v>
      </c>
      <c r="B583" s="1" t="s">
        <v>2127</v>
      </c>
      <c r="C583" s="63">
        <v>46241.0</v>
      </c>
      <c r="D583" s="63" t="s">
        <v>130</v>
      </c>
      <c r="E583" s="68">
        <v>0.96663137</v>
      </c>
      <c r="F583" s="1"/>
      <c r="G583" s="23">
        <v>2273100.5</v>
      </c>
      <c r="H583" s="23">
        <v>2197250.25</v>
      </c>
      <c r="I583" s="23">
        <v>2273100.5</v>
      </c>
      <c r="J583" s="23">
        <v>2197250.25</v>
      </c>
      <c r="K583" s="24">
        <v>2760.0</v>
      </c>
      <c r="L583" s="1" t="s">
        <v>1776</v>
      </c>
      <c r="M583" s="1" t="s">
        <v>2128</v>
      </c>
      <c r="N583" s="63" t="s">
        <v>1332</v>
      </c>
      <c r="O583" s="63" t="s">
        <v>1332</v>
      </c>
      <c r="P583" s="68">
        <v>36.0</v>
      </c>
      <c r="Q583" s="1" t="s">
        <v>2130</v>
      </c>
      <c r="R583" s="1" t="s">
        <v>13</v>
      </c>
      <c r="S583" s="1"/>
      <c r="T583" s="1"/>
      <c r="U583" s="1" t="s">
        <v>1362</v>
      </c>
      <c r="V583" s="1" t="s">
        <v>1362</v>
      </c>
      <c r="W583" s="145">
        <f t="shared" si="1"/>
        <v>0.00004494697108</v>
      </c>
      <c r="AC583" s="38"/>
    </row>
    <row r="584" ht="15.75" customHeight="1">
      <c r="A584" s="1" t="s">
        <v>1929</v>
      </c>
      <c r="B584" s="1" t="s">
        <v>2127</v>
      </c>
      <c r="C584" s="63">
        <v>46241.0</v>
      </c>
      <c r="D584" s="63" t="s">
        <v>130</v>
      </c>
      <c r="E584" s="68">
        <v>0.96484274</v>
      </c>
      <c r="F584" s="1"/>
      <c r="G584" s="23">
        <v>1.0E8</v>
      </c>
      <c r="H584" s="23">
        <v>9.648427406E7</v>
      </c>
      <c r="I584" s="23">
        <v>1.0E8</v>
      </c>
      <c r="J584" s="23">
        <v>9.648427406E7</v>
      </c>
      <c r="K584" s="24">
        <v>2598.0</v>
      </c>
      <c r="L584" s="1" t="s">
        <v>1776</v>
      </c>
      <c r="M584" s="1" t="s">
        <v>2128</v>
      </c>
      <c r="N584" s="63" t="s">
        <v>251</v>
      </c>
      <c r="O584" s="63" t="s">
        <v>251</v>
      </c>
      <c r="P584" s="68">
        <v>38.0</v>
      </c>
      <c r="Q584" s="1" t="s">
        <v>2130</v>
      </c>
      <c r="R584" s="1" t="s">
        <v>13</v>
      </c>
      <c r="S584" s="1"/>
      <c r="T584" s="1"/>
      <c r="U584" s="1" t="s">
        <v>253</v>
      </c>
      <c r="V584" s="1" t="s">
        <v>253</v>
      </c>
      <c r="W584" s="145">
        <f t="shared" si="1"/>
        <v>0.001973683187</v>
      </c>
      <c r="AC584" s="38"/>
    </row>
    <row r="585" ht="15.75" customHeight="1">
      <c r="A585" s="1" t="s">
        <v>1964</v>
      </c>
      <c r="B585" s="1" t="s">
        <v>2127</v>
      </c>
      <c r="C585" s="63">
        <v>46241.0</v>
      </c>
      <c r="D585" s="63" t="s">
        <v>130</v>
      </c>
      <c r="E585" s="68">
        <v>0.96484278</v>
      </c>
      <c r="F585" s="1"/>
      <c r="G585" s="23">
        <v>1.0E7</v>
      </c>
      <c r="H585" s="23">
        <v>9648427.8</v>
      </c>
      <c r="I585" s="23">
        <v>1.0E7</v>
      </c>
      <c r="J585" s="23">
        <v>9648427.8</v>
      </c>
      <c r="K585" s="24">
        <v>6.0524152E7</v>
      </c>
      <c r="L585" s="1" t="s">
        <v>1776</v>
      </c>
      <c r="M585" s="1" t="s">
        <v>2128</v>
      </c>
      <c r="N585" s="63" t="s">
        <v>207</v>
      </c>
      <c r="O585" s="63" t="s">
        <v>207</v>
      </c>
      <c r="P585" s="68">
        <v>38.0</v>
      </c>
      <c r="Q585" s="1" t="s">
        <v>2130</v>
      </c>
      <c r="R585" s="1" t="s">
        <v>13</v>
      </c>
      <c r="S585" s="1"/>
      <c r="T585" s="1"/>
      <c r="U585" s="1" t="s">
        <v>226</v>
      </c>
      <c r="V585" s="1" t="s">
        <v>226</v>
      </c>
      <c r="W585" s="145">
        <f t="shared" si="1"/>
        <v>0.0001973683268</v>
      </c>
      <c r="AC585" s="38"/>
    </row>
    <row r="586" ht="15.75" customHeight="1">
      <c r="A586" s="1" t="s">
        <v>1946</v>
      </c>
      <c r="B586" s="1" t="s">
        <v>2127</v>
      </c>
      <c r="C586" s="63">
        <v>46241.0</v>
      </c>
      <c r="D586" s="63" t="s">
        <v>130</v>
      </c>
      <c r="E586" s="68">
        <v>0.96932691</v>
      </c>
      <c r="F586" s="1"/>
      <c r="G586" s="23">
        <v>5.0E7</v>
      </c>
      <c r="H586" s="23">
        <v>4.846634549E7</v>
      </c>
      <c r="I586" s="23">
        <v>5.0E7</v>
      </c>
      <c r="J586" s="23">
        <v>4.846634549E7</v>
      </c>
      <c r="K586" s="24">
        <v>141.0</v>
      </c>
      <c r="L586" s="1" t="s">
        <v>1776</v>
      </c>
      <c r="M586" s="1" t="s">
        <v>2128</v>
      </c>
      <c r="N586" s="63" t="s">
        <v>882</v>
      </c>
      <c r="O586" s="63" t="s">
        <v>882</v>
      </c>
      <c r="P586" s="68">
        <v>33.0</v>
      </c>
      <c r="Q586" s="1" t="s">
        <v>2130</v>
      </c>
      <c r="R586" s="1" t="s">
        <v>13</v>
      </c>
      <c r="S586" s="1"/>
      <c r="T586" s="1"/>
      <c r="U586" s="1" t="s">
        <v>881</v>
      </c>
      <c r="V586" s="1" t="s">
        <v>881</v>
      </c>
      <c r="W586" s="145">
        <f t="shared" si="1"/>
        <v>0.0009914280038</v>
      </c>
      <c r="AC586" s="38"/>
    </row>
    <row r="587" ht="15.75" customHeight="1">
      <c r="A587" s="1" t="s">
        <v>1924</v>
      </c>
      <c r="B587" s="1" t="s">
        <v>2127</v>
      </c>
      <c r="C587" s="63">
        <v>46241.0</v>
      </c>
      <c r="D587" s="63" t="s">
        <v>130</v>
      </c>
      <c r="E587" s="68">
        <v>0.97203731</v>
      </c>
      <c r="F587" s="1"/>
      <c r="G587" s="23">
        <v>1.0E7</v>
      </c>
      <c r="H587" s="23">
        <v>9720373.12</v>
      </c>
      <c r="I587" s="23">
        <v>1.0E7</v>
      </c>
      <c r="J587" s="23">
        <v>9720373.12</v>
      </c>
      <c r="K587" s="24">
        <v>4.0621854E7</v>
      </c>
      <c r="L587" s="1" t="s">
        <v>1776</v>
      </c>
      <c r="M587" s="1" t="s">
        <v>2128</v>
      </c>
      <c r="N587" s="63" t="s">
        <v>307</v>
      </c>
      <c r="O587" s="63" t="s">
        <v>307</v>
      </c>
      <c r="P587" s="68">
        <v>30.0</v>
      </c>
      <c r="Q587" s="1" t="s">
        <v>2130</v>
      </c>
      <c r="R587" s="1" t="s">
        <v>13</v>
      </c>
      <c r="S587" s="1"/>
      <c r="T587" s="1"/>
      <c r="U587" s="1" t="s">
        <v>343</v>
      </c>
      <c r="V587" s="1" t="s">
        <v>343</v>
      </c>
      <c r="W587" s="145">
        <f t="shared" si="1"/>
        <v>0.0001988400409</v>
      </c>
      <c r="AC587" s="38"/>
    </row>
    <row r="588" ht="15.75" customHeight="1">
      <c r="A588" s="1" t="s">
        <v>1903</v>
      </c>
      <c r="B588" s="1" t="s">
        <v>2127</v>
      </c>
      <c r="C588" s="63">
        <v>46241.0</v>
      </c>
      <c r="D588" s="63" t="s">
        <v>130</v>
      </c>
      <c r="E588" s="68">
        <v>0.97203731</v>
      </c>
      <c r="F588" s="1"/>
      <c r="G588" s="23">
        <v>1.0E7</v>
      </c>
      <c r="H588" s="23">
        <v>9720373.1</v>
      </c>
      <c r="I588" s="23">
        <v>1.0E7</v>
      </c>
      <c r="J588" s="23">
        <v>9720373.1</v>
      </c>
      <c r="K588" s="24">
        <v>991.0</v>
      </c>
      <c r="L588" s="1" t="s">
        <v>1776</v>
      </c>
      <c r="M588" s="1" t="s">
        <v>2128</v>
      </c>
      <c r="N588" s="63" t="s">
        <v>704</v>
      </c>
      <c r="O588" s="63" t="s">
        <v>704</v>
      </c>
      <c r="P588" s="68">
        <v>30.0</v>
      </c>
      <c r="Q588" s="1" t="s">
        <v>2130</v>
      </c>
      <c r="R588" s="1" t="s">
        <v>13</v>
      </c>
      <c r="S588" s="1"/>
      <c r="T588" s="1"/>
      <c r="U588" s="1" t="s">
        <v>717</v>
      </c>
      <c r="V588" s="1" t="s">
        <v>717</v>
      </c>
      <c r="W588" s="145">
        <f t="shared" si="1"/>
        <v>0.0001988400405</v>
      </c>
      <c r="AC588" s="38"/>
    </row>
    <row r="589" ht="15.75" customHeight="1">
      <c r="A589" s="1" t="s">
        <v>2007</v>
      </c>
      <c r="B589" s="1" t="s">
        <v>2127</v>
      </c>
      <c r="C589" s="63">
        <v>46241.0</v>
      </c>
      <c r="D589" s="63" t="s">
        <v>130</v>
      </c>
      <c r="E589" s="68">
        <v>0.97203751</v>
      </c>
      <c r="F589" s="1"/>
      <c r="G589" s="23">
        <v>7938273.0</v>
      </c>
      <c r="H589" s="23">
        <v>7716299.16</v>
      </c>
      <c r="I589" s="23">
        <v>7938273.0</v>
      </c>
      <c r="J589" s="23">
        <v>7716299.16</v>
      </c>
      <c r="K589" s="24">
        <v>9.0044419E7</v>
      </c>
      <c r="L589" s="1" t="s">
        <v>1776</v>
      </c>
      <c r="M589" s="1" t="s">
        <v>2128</v>
      </c>
      <c r="N589" s="63" t="s">
        <v>1571</v>
      </c>
      <c r="O589" s="63" t="s">
        <v>1571</v>
      </c>
      <c r="P589" s="68">
        <v>30.0</v>
      </c>
      <c r="Q589" s="1" t="s">
        <v>2130</v>
      </c>
      <c r="R589" s="1" t="s">
        <v>13</v>
      </c>
      <c r="S589" s="1"/>
      <c r="T589" s="1"/>
      <c r="U589" s="1" t="s">
        <v>1575</v>
      </c>
      <c r="V589" s="1" t="s">
        <v>1575</v>
      </c>
      <c r="W589" s="145">
        <f t="shared" si="1"/>
        <v>0.0001578446857</v>
      </c>
      <c r="AC589" s="38"/>
    </row>
    <row r="590" ht="15.75" customHeight="1">
      <c r="A590" s="1" t="s">
        <v>1967</v>
      </c>
      <c r="B590" s="1" t="s">
        <v>2127</v>
      </c>
      <c r="C590" s="63">
        <v>46241.0</v>
      </c>
      <c r="D590" s="63" t="s">
        <v>130</v>
      </c>
      <c r="E590" s="68">
        <v>0.96752832</v>
      </c>
      <c r="F590" s="1"/>
      <c r="G590" s="23">
        <v>4104000.0</v>
      </c>
      <c r="H590" s="23">
        <v>3970736.22</v>
      </c>
      <c r="I590" s="23">
        <v>4104000.0</v>
      </c>
      <c r="J590" s="23">
        <v>3970736.22</v>
      </c>
      <c r="K590" s="24">
        <v>4.0751278E7</v>
      </c>
      <c r="L590" s="1" t="s">
        <v>1776</v>
      </c>
      <c r="M590" s="1" t="s">
        <v>2128</v>
      </c>
      <c r="N590" s="63" t="s">
        <v>1048</v>
      </c>
      <c r="O590" s="63" t="s">
        <v>1048</v>
      </c>
      <c r="P590" s="68">
        <v>35.0</v>
      </c>
      <c r="Q590" s="1" t="s">
        <v>2130</v>
      </c>
      <c r="R590" s="1" t="s">
        <v>13</v>
      </c>
      <c r="S590" s="1"/>
      <c r="T590" s="1"/>
      <c r="U590" s="1" t="s">
        <v>1059</v>
      </c>
      <c r="V590" s="1" t="s">
        <v>1059</v>
      </c>
      <c r="W590" s="145">
        <f t="shared" si="1"/>
        <v>0.0000812254162</v>
      </c>
      <c r="AC590" s="38"/>
    </row>
    <row r="591" ht="15.75" customHeight="1">
      <c r="A591" s="1" t="s">
        <v>1967</v>
      </c>
      <c r="B591" s="1" t="s">
        <v>2127</v>
      </c>
      <c r="C591" s="63">
        <v>46241.0</v>
      </c>
      <c r="D591" s="63" t="s">
        <v>130</v>
      </c>
      <c r="E591" s="68">
        <v>0.96752832</v>
      </c>
      <c r="F591" s="1"/>
      <c r="G591" s="23">
        <v>5500000.0</v>
      </c>
      <c r="H591" s="23">
        <v>5321405.77</v>
      </c>
      <c r="I591" s="23">
        <v>5500000.0</v>
      </c>
      <c r="J591" s="23">
        <v>5321405.77</v>
      </c>
      <c r="K591" s="24">
        <v>4.0751262E7</v>
      </c>
      <c r="L591" s="1" t="s">
        <v>1776</v>
      </c>
      <c r="M591" s="1" t="s">
        <v>2128</v>
      </c>
      <c r="N591" s="63" t="s">
        <v>1048</v>
      </c>
      <c r="O591" s="63" t="s">
        <v>1048</v>
      </c>
      <c r="P591" s="68">
        <v>35.0</v>
      </c>
      <c r="Q591" s="1" t="s">
        <v>2130</v>
      </c>
      <c r="R591" s="1" t="s">
        <v>13</v>
      </c>
      <c r="S591" s="1"/>
      <c r="T591" s="1"/>
      <c r="U591" s="1" t="s">
        <v>1061</v>
      </c>
      <c r="V591" s="1" t="s">
        <v>1061</v>
      </c>
      <c r="W591" s="145">
        <f t="shared" si="1"/>
        <v>0.0001088547248</v>
      </c>
      <c r="AC591" s="38"/>
    </row>
    <row r="592" ht="15.75" customHeight="1">
      <c r="A592" s="1" t="s">
        <v>1938</v>
      </c>
      <c r="B592" s="1" t="s">
        <v>2127</v>
      </c>
      <c r="C592" s="63">
        <v>46241.0</v>
      </c>
      <c r="D592" s="63" t="s">
        <v>130</v>
      </c>
      <c r="E592" s="68">
        <v>0.96217222</v>
      </c>
      <c r="F592" s="1"/>
      <c r="G592" s="23">
        <v>5.0E7</v>
      </c>
      <c r="H592" s="23">
        <v>4.8108611E7</v>
      </c>
      <c r="I592" s="23">
        <v>5.0E7</v>
      </c>
      <c r="J592" s="23">
        <v>4.8108611E7</v>
      </c>
      <c r="K592" s="24">
        <v>1127975.0</v>
      </c>
      <c r="L592" s="1" t="s">
        <v>1776</v>
      </c>
      <c r="M592" s="1" t="s">
        <v>2128</v>
      </c>
      <c r="N592" s="63" t="s">
        <v>168</v>
      </c>
      <c r="O592" s="63" t="s">
        <v>168</v>
      </c>
      <c r="P592" s="68">
        <v>41.0</v>
      </c>
      <c r="Q592" s="1" t="s">
        <v>2130</v>
      </c>
      <c r="R592" s="1" t="s">
        <v>13</v>
      </c>
      <c r="S592" s="1"/>
      <c r="T592" s="1"/>
      <c r="U592" s="1" t="s">
        <v>166</v>
      </c>
      <c r="V592" s="1" t="s">
        <v>166</v>
      </c>
      <c r="W592" s="145">
        <f t="shared" si="1"/>
        <v>0.0009841101838</v>
      </c>
      <c r="AC592" s="38"/>
    </row>
    <row r="593" ht="15.75" customHeight="1">
      <c r="A593" s="1" t="s">
        <v>1939</v>
      </c>
      <c r="B593" s="1" t="s">
        <v>2127</v>
      </c>
      <c r="C593" s="63">
        <v>46241.0</v>
      </c>
      <c r="D593" s="63" t="s">
        <v>130</v>
      </c>
      <c r="E593" s="68">
        <v>0.96752821</v>
      </c>
      <c r="F593" s="1"/>
      <c r="G593" s="23">
        <v>1.7E7</v>
      </c>
      <c r="H593" s="23">
        <v>1.644797963E7</v>
      </c>
      <c r="I593" s="23">
        <v>1.7E7</v>
      </c>
      <c r="J593" s="23">
        <v>1.644797963E7</v>
      </c>
      <c r="K593" s="24">
        <v>2.9088028E7</v>
      </c>
      <c r="L593" s="1" t="s">
        <v>1776</v>
      </c>
      <c r="M593" s="1" t="s">
        <v>2128</v>
      </c>
      <c r="N593" s="63" t="s">
        <v>256</v>
      </c>
      <c r="O593" s="63" t="s">
        <v>256</v>
      </c>
      <c r="P593" s="68">
        <v>35.0</v>
      </c>
      <c r="Q593" s="1" t="s">
        <v>2130</v>
      </c>
      <c r="R593" s="1" t="s">
        <v>13</v>
      </c>
      <c r="S593" s="1"/>
      <c r="T593" s="1"/>
      <c r="U593" s="1" t="s">
        <v>272</v>
      </c>
      <c r="V593" s="1" t="s">
        <v>272</v>
      </c>
      <c r="W593" s="145">
        <f t="shared" si="1"/>
        <v>0.0003364600208</v>
      </c>
      <c r="AC593" s="38"/>
    </row>
    <row r="594" ht="15.75" customHeight="1">
      <c r="A594" s="1" t="s">
        <v>1908</v>
      </c>
      <c r="B594" s="1" t="s">
        <v>2127</v>
      </c>
      <c r="C594" s="63">
        <v>46241.0</v>
      </c>
      <c r="D594" s="63" t="s">
        <v>130</v>
      </c>
      <c r="E594" s="68">
        <v>0.9648429</v>
      </c>
      <c r="F594" s="1"/>
      <c r="G594" s="23">
        <v>1.365E8</v>
      </c>
      <c r="H594" s="23">
        <v>1.3170105541E8</v>
      </c>
      <c r="I594" s="23">
        <v>1.365E8</v>
      </c>
      <c r="J594" s="23">
        <v>1.3170105541E8</v>
      </c>
      <c r="K594" s="24">
        <v>7.0388044E7</v>
      </c>
      <c r="L594" s="1" t="s">
        <v>1776</v>
      </c>
      <c r="M594" s="1" t="s">
        <v>2128</v>
      </c>
      <c r="N594" s="63" t="s">
        <v>1302</v>
      </c>
      <c r="O594" s="63" t="s">
        <v>1302</v>
      </c>
      <c r="P594" s="68">
        <v>38.0</v>
      </c>
      <c r="Q594" s="1" t="s">
        <v>2130</v>
      </c>
      <c r="R594" s="1" t="s">
        <v>13</v>
      </c>
      <c r="S594" s="1"/>
      <c r="T594" s="1"/>
      <c r="U594" s="1" t="s">
        <v>1328</v>
      </c>
      <c r="V594" s="1" t="s">
        <v>1328</v>
      </c>
      <c r="W594" s="145">
        <f t="shared" si="1"/>
        <v>0.002694077986</v>
      </c>
      <c r="AC594" s="38"/>
    </row>
    <row r="595" ht="15.75" customHeight="1">
      <c r="A595" s="1" t="s">
        <v>1908</v>
      </c>
      <c r="B595" s="1" t="s">
        <v>2127</v>
      </c>
      <c r="C595" s="63">
        <v>46241.0</v>
      </c>
      <c r="D595" s="63" t="s">
        <v>130</v>
      </c>
      <c r="E595" s="68">
        <v>0.96484286</v>
      </c>
      <c r="F595" s="1"/>
      <c r="G595" s="23">
        <v>2.68E8</v>
      </c>
      <c r="H595" s="23">
        <v>2.5857788726E8</v>
      </c>
      <c r="I595" s="23">
        <v>2.68E8</v>
      </c>
      <c r="J595" s="23">
        <v>2.5857788726E8</v>
      </c>
      <c r="K595" s="24">
        <v>7.0388041E7</v>
      </c>
      <c r="L595" s="1" t="s">
        <v>1776</v>
      </c>
      <c r="M595" s="1" t="s">
        <v>2128</v>
      </c>
      <c r="N595" s="63" t="s">
        <v>1272</v>
      </c>
      <c r="O595" s="63" t="s">
        <v>1272</v>
      </c>
      <c r="P595" s="68">
        <v>38.0</v>
      </c>
      <c r="Q595" s="1" t="s">
        <v>2130</v>
      </c>
      <c r="R595" s="1" t="s">
        <v>13</v>
      </c>
      <c r="S595" s="1"/>
      <c r="T595" s="1"/>
      <c r="U595" s="1" t="s">
        <v>1287</v>
      </c>
      <c r="V595" s="1" t="s">
        <v>1287</v>
      </c>
      <c r="W595" s="145">
        <f t="shared" si="1"/>
        <v>0.005289471612</v>
      </c>
      <c r="AC595" s="38"/>
    </row>
    <row r="596" ht="15.75" customHeight="1">
      <c r="A596" s="1" t="s">
        <v>1926</v>
      </c>
      <c r="B596" s="1" t="s">
        <v>2127</v>
      </c>
      <c r="C596" s="63">
        <v>46241.0</v>
      </c>
      <c r="D596" s="63" t="s">
        <v>130</v>
      </c>
      <c r="E596" s="68">
        <v>0.97203738</v>
      </c>
      <c r="F596" s="1"/>
      <c r="G596" s="23">
        <v>8000000.0</v>
      </c>
      <c r="H596" s="23">
        <v>7776299.07</v>
      </c>
      <c r="I596" s="23">
        <v>8000000.0</v>
      </c>
      <c r="J596" s="23">
        <v>7776299.07</v>
      </c>
      <c r="K596" s="24">
        <v>9.000062E7</v>
      </c>
      <c r="L596" s="1" t="s">
        <v>1776</v>
      </c>
      <c r="M596" s="1" t="s">
        <v>2128</v>
      </c>
      <c r="N596" s="63" t="s">
        <v>676</v>
      </c>
      <c r="O596" s="63" t="s">
        <v>676</v>
      </c>
      <c r="P596" s="68">
        <v>30.0</v>
      </c>
      <c r="Q596" s="1" t="s">
        <v>2130</v>
      </c>
      <c r="R596" s="1" t="s">
        <v>13</v>
      </c>
      <c r="S596" s="1"/>
      <c r="T596" s="1"/>
      <c r="U596" s="1" t="s">
        <v>693</v>
      </c>
      <c r="V596" s="1" t="s">
        <v>693</v>
      </c>
      <c r="W596" s="145">
        <f t="shared" si="1"/>
        <v>0.0001590720444</v>
      </c>
      <c r="AC596" s="38"/>
    </row>
    <row r="597" ht="15.75" customHeight="1">
      <c r="A597" s="1" t="s">
        <v>2030</v>
      </c>
      <c r="B597" s="1" t="s">
        <v>2127</v>
      </c>
      <c r="C597" s="63">
        <v>46241.0</v>
      </c>
      <c r="D597" s="63" t="s">
        <v>130</v>
      </c>
      <c r="E597" s="68">
        <v>0.96932691</v>
      </c>
      <c r="F597" s="1"/>
      <c r="G597" s="23">
        <v>1701000.0</v>
      </c>
      <c r="H597" s="23">
        <v>1648825.08</v>
      </c>
      <c r="I597" s="23">
        <v>1701000.0</v>
      </c>
      <c r="J597" s="23">
        <v>1648825.08</v>
      </c>
      <c r="K597" s="24">
        <v>6.7242928E7</v>
      </c>
      <c r="L597" s="1" t="s">
        <v>1776</v>
      </c>
      <c r="M597" s="1" t="s">
        <v>2128</v>
      </c>
      <c r="N597" s="63" t="s">
        <v>946</v>
      </c>
      <c r="O597" s="63" t="s">
        <v>946</v>
      </c>
      <c r="P597" s="68">
        <v>33.0</v>
      </c>
      <c r="Q597" s="1" t="s">
        <v>2130</v>
      </c>
      <c r="R597" s="1" t="s">
        <v>13</v>
      </c>
      <c r="S597" s="1"/>
      <c r="T597" s="1"/>
      <c r="U597" s="1" t="s">
        <v>1015</v>
      </c>
      <c r="V597" s="1" t="s">
        <v>1015</v>
      </c>
      <c r="W597" s="145">
        <f t="shared" si="1"/>
        <v>0.00003372838082</v>
      </c>
      <c r="AC597" s="38"/>
    </row>
    <row r="598" ht="15.75" customHeight="1">
      <c r="A598" s="1" t="s">
        <v>2061</v>
      </c>
      <c r="B598" s="1" t="s">
        <v>2127</v>
      </c>
      <c r="C598" s="63">
        <v>46241.0</v>
      </c>
      <c r="D598" s="63" t="s">
        <v>130</v>
      </c>
      <c r="E598" s="68">
        <v>0.97022868</v>
      </c>
      <c r="F598" s="1"/>
      <c r="G598" s="23">
        <v>3847875.41</v>
      </c>
      <c r="H598" s="23">
        <v>3733319.07</v>
      </c>
      <c r="I598" s="23">
        <v>3847875.41</v>
      </c>
      <c r="J598" s="23">
        <v>3733319.07</v>
      </c>
      <c r="K598" s="24">
        <v>844.0</v>
      </c>
      <c r="L598" s="1" t="s">
        <v>1776</v>
      </c>
      <c r="M598" s="1" t="s">
        <v>2128</v>
      </c>
      <c r="N598" s="63" t="s">
        <v>1118</v>
      </c>
      <c r="O598" s="63" t="s">
        <v>1118</v>
      </c>
      <c r="P598" s="68">
        <v>32.0</v>
      </c>
      <c r="Q598" s="1" t="s">
        <v>2130</v>
      </c>
      <c r="R598" s="1" t="s">
        <v>13</v>
      </c>
      <c r="S598" s="1"/>
      <c r="T598" s="1"/>
      <c r="U598" s="1" t="s">
        <v>1192</v>
      </c>
      <c r="V598" s="1" t="s">
        <v>1192</v>
      </c>
      <c r="W598" s="145">
        <f t="shared" si="1"/>
        <v>0.00007636880882</v>
      </c>
      <c r="AC598" s="38"/>
    </row>
    <row r="599" ht="15.75" customHeight="1">
      <c r="A599" s="1" t="s">
        <v>2026</v>
      </c>
      <c r="B599" s="1" t="s">
        <v>2127</v>
      </c>
      <c r="C599" s="63">
        <v>46241.0</v>
      </c>
      <c r="D599" s="63" t="s">
        <v>130</v>
      </c>
      <c r="E599" s="68">
        <v>0.97022868</v>
      </c>
      <c r="F599" s="1"/>
      <c r="G599" s="23">
        <v>3300000.0</v>
      </c>
      <c r="H599" s="23">
        <v>3201754.63</v>
      </c>
      <c r="I599" s="23">
        <v>3300000.0</v>
      </c>
      <c r="J599" s="23">
        <v>3201754.63</v>
      </c>
      <c r="K599" s="24">
        <v>1.3647454E7</v>
      </c>
      <c r="L599" s="1" t="s">
        <v>1776</v>
      </c>
      <c r="M599" s="1" t="s">
        <v>2128</v>
      </c>
      <c r="N599" s="63" t="s">
        <v>1118</v>
      </c>
      <c r="O599" s="63" t="s">
        <v>1118</v>
      </c>
      <c r="P599" s="68">
        <v>32.0</v>
      </c>
      <c r="Q599" s="1" t="s">
        <v>2130</v>
      </c>
      <c r="R599" s="1" t="s">
        <v>13</v>
      </c>
      <c r="S599" s="1"/>
      <c r="T599" s="1"/>
      <c r="U599" s="1" t="s">
        <v>1193</v>
      </c>
      <c r="V599" s="1" t="s">
        <v>1193</v>
      </c>
      <c r="W599" s="145">
        <f t="shared" si="1"/>
        <v>0.00006549512181</v>
      </c>
      <c r="AC599" s="38"/>
    </row>
    <row r="600" ht="15.75" customHeight="1">
      <c r="A600" s="1" t="s">
        <v>1953</v>
      </c>
      <c r="B600" s="1" t="s">
        <v>2127</v>
      </c>
      <c r="C600" s="63">
        <v>46244.0</v>
      </c>
      <c r="D600" s="63" t="s">
        <v>130</v>
      </c>
      <c r="E600" s="68">
        <v>0.9796028</v>
      </c>
      <c r="F600" s="1"/>
      <c r="G600" s="23">
        <v>2500000.0</v>
      </c>
      <c r="H600" s="23">
        <v>2449007.0</v>
      </c>
      <c r="I600" s="23">
        <v>2500000.0</v>
      </c>
      <c r="J600" s="23">
        <v>2449007.0</v>
      </c>
      <c r="K600" s="24">
        <v>6131.0</v>
      </c>
      <c r="L600" s="1" t="s">
        <v>1776</v>
      </c>
      <c r="M600" s="1" t="s">
        <v>2128</v>
      </c>
      <c r="N600" s="63" t="s">
        <v>946</v>
      </c>
      <c r="O600" s="63" t="s">
        <v>946</v>
      </c>
      <c r="P600" s="68">
        <v>20.0</v>
      </c>
      <c r="Q600" s="1" t="s">
        <v>2130</v>
      </c>
      <c r="R600" s="1" t="s">
        <v>13</v>
      </c>
      <c r="S600" s="1"/>
      <c r="T600" s="1"/>
      <c r="U600" s="1" t="s">
        <v>972</v>
      </c>
      <c r="V600" s="1" t="s">
        <v>972</v>
      </c>
      <c r="W600" s="145">
        <f t="shared" si="1"/>
        <v>0.00005009690945</v>
      </c>
      <c r="AC600" s="38"/>
    </row>
    <row r="601" ht="15.75" customHeight="1">
      <c r="A601" s="1" t="s">
        <v>2041</v>
      </c>
      <c r="B601" s="1" t="s">
        <v>2127</v>
      </c>
      <c r="C601" s="63">
        <v>46244.0</v>
      </c>
      <c r="D601" s="63" t="s">
        <v>130</v>
      </c>
      <c r="E601" s="68">
        <v>0.96581298</v>
      </c>
      <c r="F601" s="1"/>
      <c r="G601" s="23">
        <v>4190169.08</v>
      </c>
      <c r="H601" s="23">
        <v>4046919.69</v>
      </c>
      <c r="I601" s="23">
        <v>4190169.08</v>
      </c>
      <c r="J601" s="23">
        <v>4046919.69</v>
      </c>
      <c r="K601" s="24">
        <v>1.3668591E7</v>
      </c>
      <c r="L601" s="1" t="s">
        <v>1776</v>
      </c>
      <c r="M601" s="1" t="s">
        <v>2128</v>
      </c>
      <c r="N601" s="63" t="s">
        <v>1245</v>
      </c>
      <c r="O601" s="63" t="s">
        <v>1245</v>
      </c>
      <c r="P601" s="68">
        <v>34.0</v>
      </c>
      <c r="Q601" s="1" t="s">
        <v>2130</v>
      </c>
      <c r="R601" s="1" t="s">
        <v>13</v>
      </c>
      <c r="S601" s="1"/>
      <c r="T601" s="1"/>
      <c r="U601" s="1" t="s">
        <v>1262</v>
      </c>
      <c r="V601" s="1" t="s">
        <v>1262</v>
      </c>
      <c r="W601" s="145">
        <f t="shared" si="1"/>
        <v>0.00008278382596</v>
      </c>
      <c r="AC601" s="38"/>
    </row>
    <row r="602" ht="15.75" customHeight="1">
      <c r="A602" s="1" t="s">
        <v>1906</v>
      </c>
      <c r="B602" s="1" t="s">
        <v>2127</v>
      </c>
      <c r="C602" s="63">
        <v>46244.0</v>
      </c>
      <c r="D602" s="63" t="s">
        <v>130</v>
      </c>
      <c r="E602" s="68">
        <v>0.96194407</v>
      </c>
      <c r="F602" s="1"/>
      <c r="G602" s="23">
        <v>2.0E7</v>
      </c>
      <c r="H602" s="23">
        <v>1.923888149E7</v>
      </c>
      <c r="I602" s="23">
        <v>2.0E7</v>
      </c>
      <c r="J602" s="23">
        <v>1.923888149E7</v>
      </c>
      <c r="K602" s="24">
        <v>7.0219543E7</v>
      </c>
      <c r="L602" s="1" t="s">
        <v>1776</v>
      </c>
      <c r="M602" s="1" t="s">
        <v>2128</v>
      </c>
      <c r="N602" s="63" t="s">
        <v>1222</v>
      </c>
      <c r="O602" s="63" t="s">
        <v>1222</v>
      </c>
      <c r="P602" s="68">
        <v>38.0</v>
      </c>
      <c r="Q602" s="1" t="s">
        <v>2130</v>
      </c>
      <c r="R602" s="1" t="s">
        <v>13</v>
      </c>
      <c r="S602" s="1"/>
      <c r="T602" s="1"/>
      <c r="U602" s="1" t="s">
        <v>1221</v>
      </c>
      <c r="V602" s="1" t="s">
        <v>1221</v>
      </c>
      <c r="W602" s="145">
        <f t="shared" si="1"/>
        <v>0.0003935507346</v>
      </c>
      <c r="AC602" s="38"/>
    </row>
    <row r="603" ht="15.75" customHeight="1">
      <c r="A603" s="1" t="s">
        <v>1906</v>
      </c>
      <c r="B603" s="1" t="s">
        <v>2127</v>
      </c>
      <c r="C603" s="63">
        <v>46244.0</v>
      </c>
      <c r="D603" s="63" t="s">
        <v>130</v>
      </c>
      <c r="E603" s="68">
        <v>0.96194405</v>
      </c>
      <c r="F603" s="1"/>
      <c r="G603" s="23">
        <v>2.0E7</v>
      </c>
      <c r="H603" s="23">
        <v>1.923888091E7</v>
      </c>
      <c r="I603" s="23">
        <v>2.0E7</v>
      </c>
      <c r="J603" s="23">
        <v>1.923888091E7</v>
      </c>
      <c r="K603" s="24">
        <v>7.0219544E7</v>
      </c>
      <c r="L603" s="1" t="s">
        <v>1776</v>
      </c>
      <c r="M603" s="1" t="s">
        <v>2128</v>
      </c>
      <c r="N603" s="63" t="s">
        <v>1118</v>
      </c>
      <c r="O603" s="63" t="s">
        <v>1118</v>
      </c>
      <c r="P603" s="68">
        <v>38.0</v>
      </c>
      <c r="Q603" s="1" t="s">
        <v>2130</v>
      </c>
      <c r="R603" s="1" t="s">
        <v>13</v>
      </c>
      <c r="S603" s="1"/>
      <c r="T603" s="1"/>
      <c r="U603" s="1" t="s">
        <v>1144</v>
      </c>
      <c r="V603" s="1" t="s">
        <v>1144</v>
      </c>
      <c r="W603" s="145">
        <f t="shared" si="1"/>
        <v>0.0003935507227</v>
      </c>
      <c r="AC603" s="38"/>
    </row>
    <row r="604" ht="15.75" customHeight="1">
      <c r="A604" s="1" t="s">
        <v>1954</v>
      </c>
      <c r="B604" s="1" t="s">
        <v>2127</v>
      </c>
      <c r="C604" s="63">
        <v>46244.0</v>
      </c>
      <c r="D604" s="63" t="s">
        <v>130</v>
      </c>
      <c r="E604" s="68">
        <v>0.96387464</v>
      </c>
      <c r="F604" s="1"/>
      <c r="G604" s="23">
        <v>2.0E7</v>
      </c>
      <c r="H604" s="23">
        <v>1.927749276E7</v>
      </c>
      <c r="I604" s="23">
        <v>2.0E7</v>
      </c>
      <c r="J604" s="23">
        <v>1.927749276E7</v>
      </c>
      <c r="K604" s="24">
        <v>424.0</v>
      </c>
      <c r="L604" s="1" t="s">
        <v>1776</v>
      </c>
      <c r="M604" s="1" t="s">
        <v>2128</v>
      </c>
      <c r="N604" s="63" t="s">
        <v>863</v>
      </c>
      <c r="O604" s="63" t="s">
        <v>863</v>
      </c>
      <c r="P604" s="68">
        <v>36.0</v>
      </c>
      <c r="Q604" s="1" t="s">
        <v>2130</v>
      </c>
      <c r="R604" s="1" t="s">
        <v>13</v>
      </c>
      <c r="S604" s="1"/>
      <c r="T604" s="1"/>
      <c r="U604" s="1" t="s">
        <v>871</v>
      </c>
      <c r="V604" s="1" t="s">
        <v>871</v>
      </c>
      <c r="W604" s="145">
        <f t="shared" si="1"/>
        <v>0.0003943405671</v>
      </c>
      <c r="AC604" s="38"/>
    </row>
    <row r="605" ht="15.75" customHeight="1">
      <c r="A605" s="1" t="s">
        <v>1982</v>
      </c>
      <c r="B605" s="1" t="s">
        <v>2127</v>
      </c>
      <c r="C605" s="63">
        <v>46244.0</v>
      </c>
      <c r="D605" s="63" t="s">
        <v>130</v>
      </c>
      <c r="E605" s="68">
        <v>0.96678502</v>
      </c>
      <c r="F605" s="1"/>
      <c r="G605" s="23">
        <v>5600000.0</v>
      </c>
      <c r="H605" s="23">
        <v>5413996.11</v>
      </c>
      <c r="I605" s="23">
        <v>5600000.0</v>
      </c>
      <c r="J605" s="23">
        <v>5413996.11</v>
      </c>
      <c r="K605" s="24">
        <v>3501249.0</v>
      </c>
      <c r="L605" s="1" t="s">
        <v>1776</v>
      </c>
      <c r="M605" s="1" t="s">
        <v>2128</v>
      </c>
      <c r="N605" s="63" t="s">
        <v>543</v>
      </c>
      <c r="O605" s="63" t="s">
        <v>543</v>
      </c>
      <c r="P605" s="68">
        <v>33.0</v>
      </c>
      <c r="Q605" s="1" t="s">
        <v>2130</v>
      </c>
      <c r="R605" s="1" t="s">
        <v>13</v>
      </c>
      <c r="S605" s="1"/>
      <c r="T605" s="1"/>
      <c r="U605" s="1" t="s">
        <v>548</v>
      </c>
      <c r="V605" s="1" t="s">
        <v>548</v>
      </c>
      <c r="W605" s="145">
        <f t="shared" si="1"/>
        <v>0.0001107487536</v>
      </c>
      <c r="AC605" s="38"/>
    </row>
    <row r="606" ht="15.75" customHeight="1">
      <c r="A606" s="1" t="s">
        <v>1961</v>
      </c>
      <c r="B606" s="1" t="s">
        <v>2127</v>
      </c>
      <c r="C606" s="63">
        <v>46244.0</v>
      </c>
      <c r="D606" s="63" t="s">
        <v>130</v>
      </c>
      <c r="E606" s="68">
        <v>0.96387456</v>
      </c>
      <c r="F606" s="1"/>
      <c r="G606" s="23">
        <v>2197564.35</v>
      </c>
      <c r="H606" s="23">
        <v>2118176.37</v>
      </c>
      <c r="I606" s="23">
        <v>2197564.35</v>
      </c>
      <c r="J606" s="23">
        <v>2118176.37</v>
      </c>
      <c r="K606" s="24">
        <v>2761.0</v>
      </c>
      <c r="L606" s="1" t="s">
        <v>1776</v>
      </c>
      <c r="M606" s="1" t="s">
        <v>2128</v>
      </c>
      <c r="N606" s="63" t="s">
        <v>1332</v>
      </c>
      <c r="O606" s="63" t="s">
        <v>1332</v>
      </c>
      <c r="P606" s="68">
        <v>36.0</v>
      </c>
      <c r="Q606" s="1" t="s">
        <v>2130</v>
      </c>
      <c r="R606" s="1" t="s">
        <v>13</v>
      </c>
      <c r="S606" s="1"/>
      <c r="T606" s="1"/>
      <c r="U606" s="1" t="s">
        <v>1363</v>
      </c>
      <c r="V606" s="1" t="s">
        <v>1363</v>
      </c>
      <c r="W606" s="145">
        <f t="shared" si="1"/>
        <v>0.00004332943507</v>
      </c>
      <c r="AC606" s="38"/>
    </row>
    <row r="607" ht="15.75" customHeight="1">
      <c r="A607" s="1" t="s">
        <v>1917</v>
      </c>
      <c r="B607" s="1" t="s">
        <v>2127</v>
      </c>
      <c r="C607" s="63">
        <v>46244.0</v>
      </c>
      <c r="D607" s="63" t="s">
        <v>130</v>
      </c>
      <c r="E607" s="68">
        <v>0.96971322</v>
      </c>
      <c r="F607" s="1"/>
      <c r="G607" s="23">
        <v>8750000.0</v>
      </c>
      <c r="H607" s="23">
        <v>8484990.69</v>
      </c>
      <c r="I607" s="23">
        <v>8750000.0</v>
      </c>
      <c r="J607" s="23">
        <v>8484990.69</v>
      </c>
      <c r="K607" s="24">
        <v>633.0</v>
      </c>
      <c r="L607" s="1" t="s">
        <v>1776</v>
      </c>
      <c r="M607" s="1" t="s">
        <v>2128</v>
      </c>
      <c r="N607" s="63" t="s">
        <v>1272</v>
      </c>
      <c r="O607" s="63" t="s">
        <v>1272</v>
      </c>
      <c r="P607" s="68">
        <v>30.0</v>
      </c>
      <c r="Q607" s="1" t="s">
        <v>2130</v>
      </c>
      <c r="R607" s="1" t="s">
        <v>13</v>
      </c>
      <c r="S607" s="1"/>
      <c r="T607" s="1"/>
      <c r="U607" s="1" t="s">
        <v>1296</v>
      </c>
      <c r="V607" s="1" t="s">
        <v>1296</v>
      </c>
      <c r="W607" s="145">
        <f t="shared" si="1"/>
        <v>0.0001735690467</v>
      </c>
      <c r="AC607" s="38"/>
    </row>
    <row r="608" ht="15.75" customHeight="1">
      <c r="A608" s="1" t="s">
        <v>1937</v>
      </c>
      <c r="B608" s="1" t="s">
        <v>2127</v>
      </c>
      <c r="C608" s="63">
        <v>46244.0</v>
      </c>
      <c r="D608" s="63" t="s">
        <v>130</v>
      </c>
      <c r="E608" s="68">
        <v>0.96775909</v>
      </c>
      <c r="F608" s="1"/>
      <c r="G608" s="23">
        <v>5.0E7</v>
      </c>
      <c r="H608" s="23">
        <v>4.838795455E7</v>
      </c>
      <c r="I608" s="23">
        <v>5.0E7</v>
      </c>
      <c r="J608" s="23">
        <v>4.838795455E7</v>
      </c>
      <c r="K608" s="24">
        <v>4578.0</v>
      </c>
      <c r="L608" s="1" t="s">
        <v>1776</v>
      </c>
      <c r="M608" s="1" t="s">
        <v>2128</v>
      </c>
      <c r="N608" s="63" t="s">
        <v>704</v>
      </c>
      <c r="O608" s="63" t="s">
        <v>704</v>
      </c>
      <c r="P608" s="68">
        <v>32.0</v>
      </c>
      <c r="Q608" s="1" t="s">
        <v>2130</v>
      </c>
      <c r="R608" s="1" t="s">
        <v>13</v>
      </c>
      <c r="S608" s="1"/>
      <c r="T608" s="1"/>
      <c r="U608" s="1" t="s">
        <v>720</v>
      </c>
      <c r="V608" s="1" t="s">
        <v>720</v>
      </c>
      <c r="W608" s="145">
        <f t="shared" si="1"/>
        <v>0.000989824438</v>
      </c>
    </row>
    <row r="609" ht="15.75" customHeight="1">
      <c r="A609" s="1" t="s">
        <v>1903</v>
      </c>
      <c r="B609" s="1" t="s">
        <v>2127</v>
      </c>
      <c r="C609" s="63">
        <v>46244.0</v>
      </c>
      <c r="D609" s="63" t="s">
        <v>130</v>
      </c>
      <c r="E609" s="68">
        <v>0.97265904</v>
      </c>
      <c r="F609" s="1"/>
      <c r="G609" s="23">
        <v>5800000.0</v>
      </c>
      <c r="H609" s="23">
        <v>5641422.43</v>
      </c>
      <c r="I609" s="23">
        <v>5800000.0</v>
      </c>
      <c r="J609" s="23">
        <v>5641422.43</v>
      </c>
      <c r="K609" s="24">
        <v>123.0</v>
      </c>
      <c r="L609" s="1" t="s">
        <v>1776</v>
      </c>
      <c r="M609" s="1" t="s">
        <v>2128</v>
      </c>
      <c r="N609" s="63" t="s">
        <v>1428</v>
      </c>
      <c r="O609" s="63" t="s">
        <v>1428</v>
      </c>
      <c r="P609" s="68">
        <v>27.0</v>
      </c>
      <c r="Q609" s="1" t="s">
        <v>2130</v>
      </c>
      <c r="R609" s="1" t="s">
        <v>13</v>
      </c>
      <c r="S609" s="1"/>
      <c r="T609" s="1"/>
      <c r="U609" s="1" t="s">
        <v>1435</v>
      </c>
      <c r="V609" s="1" t="s">
        <v>1435</v>
      </c>
      <c r="W609" s="145">
        <f t="shared" si="1"/>
        <v>0.0001154009885</v>
      </c>
      <c r="AC609" s="38"/>
    </row>
    <row r="610" ht="15.75" customHeight="1">
      <c r="A610" s="1" t="s">
        <v>1903</v>
      </c>
      <c r="B610" s="1" t="s">
        <v>2127</v>
      </c>
      <c r="C610" s="63">
        <v>46244.0</v>
      </c>
      <c r="D610" s="63" t="s">
        <v>130</v>
      </c>
      <c r="E610" s="68">
        <v>0.97265904</v>
      </c>
      <c r="F610" s="1"/>
      <c r="G610" s="23">
        <v>5800000.0</v>
      </c>
      <c r="H610" s="23">
        <v>5641422.43</v>
      </c>
      <c r="I610" s="23">
        <v>5800000.0</v>
      </c>
      <c r="J610" s="23">
        <v>5641422.43</v>
      </c>
      <c r="K610" s="24">
        <v>124.0</v>
      </c>
      <c r="L610" s="1" t="s">
        <v>1776</v>
      </c>
      <c r="M610" s="1" t="s">
        <v>2128</v>
      </c>
      <c r="N610" s="63" t="s">
        <v>1428</v>
      </c>
      <c r="O610" s="63" t="s">
        <v>1428</v>
      </c>
      <c r="P610" s="68">
        <v>27.0</v>
      </c>
      <c r="Q610" s="1" t="s">
        <v>2130</v>
      </c>
      <c r="R610" s="1" t="s">
        <v>13</v>
      </c>
      <c r="S610" s="1"/>
      <c r="T610" s="1"/>
      <c r="U610" s="1" t="s">
        <v>1436</v>
      </c>
      <c r="V610" s="1" t="s">
        <v>1436</v>
      </c>
      <c r="W610" s="145">
        <f t="shared" si="1"/>
        <v>0.0001154009885</v>
      </c>
      <c r="AC610" s="38"/>
    </row>
    <row r="611" ht="15.75" customHeight="1">
      <c r="A611" s="1" t="s">
        <v>1969</v>
      </c>
      <c r="B611" s="1" t="s">
        <v>2127</v>
      </c>
      <c r="C611" s="63">
        <v>46244.0</v>
      </c>
      <c r="D611" s="63" t="s">
        <v>130</v>
      </c>
      <c r="E611" s="68">
        <v>0.96873524</v>
      </c>
      <c r="F611" s="1"/>
      <c r="G611" s="23">
        <v>8091449.26</v>
      </c>
      <c r="H611" s="23">
        <v>7838472.06</v>
      </c>
      <c r="I611" s="23">
        <v>8091449.26</v>
      </c>
      <c r="J611" s="23">
        <v>7838472.06</v>
      </c>
      <c r="K611" s="24">
        <v>1110.0</v>
      </c>
      <c r="L611" s="1" t="s">
        <v>1776</v>
      </c>
      <c r="M611" s="1" t="s">
        <v>2128</v>
      </c>
      <c r="N611" s="63" t="s">
        <v>130</v>
      </c>
      <c r="O611" s="63" t="s">
        <v>130</v>
      </c>
      <c r="P611" s="68">
        <v>31.0</v>
      </c>
      <c r="Q611" s="1" t="s">
        <v>2130</v>
      </c>
      <c r="R611" s="1" t="s">
        <v>13</v>
      </c>
      <c r="S611" s="1"/>
      <c r="T611" s="1"/>
      <c r="U611" s="1" t="s">
        <v>1654</v>
      </c>
      <c r="V611" s="1" t="s">
        <v>1654</v>
      </c>
      <c r="W611" s="145">
        <f t="shared" si="1"/>
        <v>0.0001603438557</v>
      </c>
      <c r="AC611" s="38"/>
    </row>
    <row r="612" ht="15.75" customHeight="1">
      <c r="A612" s="1" t="s">
        <v>1926</v>
      </c>
      <c r="B612" s="1" t="s">
        <v>2127</v>
      </c>
      <c r="C612" s="63">
        <v>46244.0</v>
      </c>
      <c r="D612" s="63" t="s">
        <v>130</v>
      </c>
      <c r="E612" s="68">
        <v>0.96971312</v>
      </c>
      <c r="F612" s="1"/>
      <c r="G612" s="23">
        <v>1.0E7</v>
      </c>
      <c r="H612" s="23">
        <v>9697131.19</v>
      </c>
      <c r="I612" s="23">
        <v>1.0E7</v>
      </c>
      <c r="J612" s="23">
        <v>9697131.19</v>
      </c>
      <c r="K612" s="24">
        <v>4.0200399E7</v>
      </c>
      <c r="L612" s="1" t="s">
        <v>1776</v>
      </c>
      <c r="M612" s="1" t="s">
        <v>2128</v>
      </c>
      <c r="N612" s="63" t="s">
        <v>704</v>
      </c>
      <c r="O612" s="63" t="s">
        <v>704</v>
      </c>
      <c r="P612" s="68">
        <v>30.0</v>
      </c>
      <c r="Q612" s="1" t="s">
        <v>2130</v>
      </c>
      <c r="R612" s="1" t="s">
        <v>13</v>
      </c>
      <c r="S612" s="1"/>
      <c r="T612" s="1"/>
      <c r="U612" s="1" t="s">
        <v>703</v>
      </c>
      <c r="V612" s="1" t="s">
        <v>703</v>
      </c>
      <c r="W612" s="145">
        <f t="shared" si="1"/>
        <v>0.0001983646038</v>
      </c>
      <c r="AC612" s="38"/>
    </row>
    <row r="613" ht="15.75" customHeight="1">
      <c r="A613" s="1" t="s">
        <v>1926</v>
      </c>
      <c r="B613" s="1" t="s">
        <v>2127</v>
      </c>
      <c r="C613" s="63">
        <v>46244.0</v>
      </c>
      <c r="D613" s="63" t="s">
        <v>130</v>
      </c>
      <c r="E613" s="68">
        <v>0.96971307</v>
      </c>
      <c r="F613" s="1"/>
      <c r="G613" s="23">
        <v>1040000.0</v>
      </c>
      <c r="H613" s="23">
        <v>1008501.59</v>
      </c>
      <c r="I613" s="23">
        <v>1040000.0</v>
      </c>
      <c r="J613" s="23">
        <v>1008501.59</v>
      </c>
      <c r="K613" s="24">
        <v>1.3001545E7</v>
      </c>
      <c r="L613" s="1" t="s">
        <v>1776</v>
      </c>
      <c r="M613" s="1" t="s">
        <v>2128</v>
      </c>
      <c r="N613" s="63" t="s">
        <v>628</v>
      </c>
      <c r="O613" s="63" t="s">
        <v>628</v>
      </c>
      <c r="P613" s="68">
        <v>30.0</v>
      </c>
      <c r="Q613" s="1" t="s">
        <v>2130</v>
      </c>
      <c r="R613" s="1" t="s">
        <v>13</v>
      </c>
      <c r="S613" s="1"/>
      <c r="T613" s="1"/>
      <c r="U613" s="1" t="s">
        <v>634</v>
      </c>
      <c r="V613" s="1" t="s">
        <v>634</v>
      </c>
      <c r="W613" s="145">
        <f t="shared" si="1"/>
        <v>0.00002062991769</v>
      </c>
      <c r="AC613" s="38"/>
    </row>
    <row r="614" ht="15.75" customHeight="1">
      <c r="A614" s="1" t="s">
        <v>1907</v>
      </c>
      <c r="B614" s="1" t="s">
        <v>2127</v>
      </c>
      <c r="C614" s="63">
        <v>46244.0</v>
      </c>
      <c r="D614" s="63" t="s">
        <v>130</v>
      </c>
      <c r="E614" s="68">
        <v>0.97069311</v>
      </c>
      <c r="F614" s="1"/>
      <c r="G614" s="23">
        <v>1.0E8</v>
      </c>
      <c r="H614" s="23">
        <v>9.706931051E7</v>
      </c>
      <c r="I614" s="23">
        <v>1.0E8</v>
      </c>
      <c r="J614" s="23">
        <v>9.706931051E7</v>
      </c>
      <c r="K614" s="24">
        <v>9.0003814E7</v>
      </c>
      <c r="L614" s="1" t="s">
        <v>1776</v>
      </c>
      <c r="M614" s="1" t="s">
        <v>2128</v>
      </c>
      <c r="N614" s="63" t="s">
        <v>1084</v>
      </c>
      <c r="O614" s="63" t="s">
        <v>1084</v>
      </c>
      <c r="P614" s="68">
        <v>29.0</v>
      </c>
      <c r="Q614" s="1" t="s">
        <v>2130</v>
      </c>
      <c r="R614" s="1" t="s">
        <v>13</v>
      </c>
      <c r="S614" s="1"/>
      <c r="T614" s="1"/>
      <c r="U614" s="1" t="s">
        <v>1089</v>
      </c>
      <c r="V614" s="1" t="s">
        <v>1089</v>
      </c>
      <c r="W614" s="145">
        <f t="shared" si="1"/>
        <v>0.001985650698</v>
      </c>
      <c r="AC614" s="38"/>
    </row>
    <row r="615" ht="15.75" customHeight="1">
      <c r="A615" s="1" t="s">
        <v>1986</v>
      </c>
      <c r="B615" s="1" t="s">
        <v>2127</v>
      </c>
      <c r="C615" s="63">
        <v>46244.0</v>
      </c>
      <c r="D615" s="63" t="s">
        <v>130</v>
      </c>
      <c r="E615" s="68">
        <v>0.96581304</v>
      </c>
      <c r="F615" s="1"/>
      <c r="G615" s="23">
        <v>1.8E7</v>
      </c>
      <c r="H615" s="23">
        <v>1.738463475E7</v>
      </c>
      <c r="I615" s="23">
        <v>1.8E7</v>
      </c>
      <c r="J615" s="23">
        <v>1.738463475E7</v>
      </c>
      <c r="K615" s="24">
        <v>212.0</v>
      </c>
      <c r="L615" s="1" t="s">
        <v>1776</v>
      </c>
      <c r="M615" s="1" t="s">
        <v>2128</v>
      </c>
      <c r="N615" s="63" t="s">
        <v>1272</v>
      </c>
      <c r="O615" s="63" t="s">
        <v>1272</v>
      </c>
      <c r="P615" s="68">
        <v>34.0</v>
      </c>
      <c r="Q615" s="1" t="s">
        <v>2130</v>
      </c>
      <c r="R615" s="1" t="s">
        <v>13</v>
      </c>
      <c r="S615" s="1"/>
      <c r="T615" s="1"/>
      <c r="U615" s="1" t="s">
        <v>1291</v>
      </c>
      <c r="V615" s="1" t="s">
        <v>1291</v>
      </c>
      <c r="W615" s="145">
        <f t="shared" si="1"/>
        <v>0.0003556202464</v>
      </c>
      <c r="AC615" s="38"/>
    </row>
    <row r="616" ht="15.75" customHeight="1">
      <c r="A616" s="1" t="s">
        <v>2052</v>
      </c>
      <c r="B616" s="1" t="s">
        <v>2127</v>
      </c>
      <c r="C616" s="63">
        <v>46244.0</v>
      </c>
      <c r="D616" s="63" t="s">
        <v>130</v>
      </c>
      <c r="E616" s="68">
        <v>0.96971327</v>
      </c>
      <c r="F616" s="1"/>
      <c r="G616" s="23">
        <v>330000.0</v>
      </c>
      <c r="H616" s="23">
        <v>320005.38</v>
      </c>
      <c r="I616" s="23">
        <v>330000.0</v>
      </c>
      <c r="J616" s="23">
        <v>320005.38</v>
      </c>
      <c r="K616" s="24">
        <v>9918445.0</v>
      </c>
      <c r="L616" s="1" t="s">
        <v>1776</v>
      </c>
      <c r="M616" s="1" t="s">
        <v>2128</v>
      </c>
      <c r="N616" s="63" t="s">
        <v>1488</v>
      </c>
      <c r="O616" s="63" t="s">
        <v>1488</v>
      </c>
      <c r="P616" s="68">
        <v>30.0</v>
      </c>
      <c r="Q616" s="1" t="s">
        <v>2130</v>
      </c>
      <c r="R616" s="1" t="s">
        <v>13</v>
      </c>
      <c r="S616" s="1"/>
      <c r="T616" s="1"/>
      <c r="U616" s="1" t="s">
        <v>1548</v>
      </c>
      <c r="V616" s="1" t="s">
        <v>1548</v>
      </c>
      <c r="W616" s="145">
        <f t="shared" si="1"/>
        <v>0.000006546032962</v>
      </c>
      <c r="AC616" s="38"/>
    </row>
    <row r="617" ht="15.75" customHeight="1">
      <c r="A617" s="1" t="s">
        <v>2052</v>
      </c>
      <c r="B617" s="1" t="s">
        <v>2127</v>
      </c>
      <c r="C617" s="63">
        <v>46244.0</v>
      </c>
      <c r="D617" s="63" t="s">
        <v>130</v>
      </c>
      <c r="E617" s="68">
        <v>0.96971328</v>
      </c>
      <c r="F617" s="1"/>
      <c r="G617" s="23">
        <v>415000.0</v>
      </c>
      <c r="H617" s="23">
        <v>402431.01</v>
      </c>
      <c r="I617" s="23">
        <v>415000.0</v>
      </c>
      <c r="J617" s="23">
        <v>402431.01</v>
      </c>
      <c r="K617" s="24">
        <v>9918439.0</v>
      </c>
      <c r="L617" s="1" t="s">
        <v>1776</v>
      </c>
      <c r="M617" s="1" t="s">
        <v>2128</v>
      </c>
      <c r="N617" s="63" t="s">
        <v>1488</v>
      </c>
      <c r="O617" s="63" t="s">
        <v>1488</v>
      </c>
      <c r="P617" s="68">
        <v>30.0</v>
      </c>
      <c r="Q617" s="1" t="s">
        <v>2130</v>
      </c>
      <c r="R617" s="1" t="s">
        <v>13</v>
      </c>
      <c r="S617" s="1"/>
      <c r="T617" s="1"/>
      <c r="U617" s="1" t="s">
        <v>1549</v>
      </c>
      <c r="V617" s="1" t="s">
        <v>1549</v>
      </c>
      <c r="W617" s="145">
        <f t="shared" si="1"/>
        <v>0.000008232132398</v>
      </c>
      <c r="AC617" s="38"/>
    </row>
    <row r="618" ht="15.75" customHeight="1">
      <c r="A618" s="1" t="s">
        <v>1984</v>
      </c>
      <c r="B618" s="1" t="s">
        <v>2127</v>
      </c>
      <c r="C618" s="63">
        <v>46244.0</v>
      </c>
      <c r="D618" s="63" t="s">
        <v>130</v>
      </c>
      <c r="E618" s="68">
        <v>0.96775905</v>
      </c>
      <c r="F618" s="1"/>
      <c r="G618" s="23">
        <v>4.0E7</v>
      </c>
      <c r="H618" s="23">
        <v>3.871036212E7</v>
      </c>
      <c r="I618" s="23">
        <v>4.0E7</v>
      </c>
      <c r="J618" s="23">
        <v>3.871036212E7</v>
      </c>
      <c r="K618" s="24">
        <v>6192.0</v>
      </c>
      <c r="L618" s="1" t="s">
        <v>1776</v>
      </c>
      <c r="M618" s="1" t="s">
        <v>2128</v>
      </c>
      <c r="N618" s="63" t="s">
        <v>1571</v>
      </c>
      <c r="O618" s="63" t="s">
        <v>1571</v>
      </c>
      <c r="P618" s="68">
        <v>32.0</v>
      </c>
      <c r="Q618" s="1" t="s">
        <v>2130</v>
      </c>
      <c r="R618" s="1" t="s">
        <v>13</v>
      </c>
      <c r="S618" s="1"/>
      <c r="T618" s="1"/>
      <c r="U618" s="1" t="s">
        <v>1585</v>
      </c>
      <c r="V618" s="1" t="s">
        <v>1585</v>
      </c>
      <c r="W618" s="145">
        <f t="shared" si="1"/>
        <v>0.0007918595193</v>
      </c>
      <c r="AC618" s="38"/>
    </row>
    <row r="619" ht="15.75" customHeight="1">
      <c r="A619" s="1" t="s">
        <v>2056</v>
      </c>
      <c r="B619" s="1" t="s">
        <v>2127</v>
      </c>
      <c r="C619" s="63">
        <v>46245.0</v>
      </c>
      <c r="D619" s="63" t="s">
        <v>130</v>
      </c>
      <c r="E619" s="68">
        <v>0.96098153</v>
      </c>
      <c r="F619" s="1"/>
      <c r="G619" s="23">
        <v>5211510.27</v>
      </c>
      <c r="H619" s="23">
        <v>5008165.12</v>
      </c>
      <c r="I619" s="23">
        <v>5211510.27</v>
      </c>
      <c r="J619" s="23">
        <v>5008165.12</v>
      </c>
      <c r="K619" s="24">
        <v>9.0000479E7</v>
      </c>
      <c r="L619" s="1" t="s">
        <v>1776</v>
      </c>
      <c r="M619" s="1" t="s">
        <v>2128</v>
      </c>
      <c r="N619" s="63" t="s">
        <v>543</v>
      </c>
      <c r="O619" s="63" t="s">
        <v>543</v>
      </c>
      <c r="P619" s="68">
        <v>38.0</v>
      </c>
      <c r="Q619" s="1" t="s">
        <v>2130</v>
      </c>
      <c r="R619" s="1" t="s">
        <v>13</v>
      </c>
      <c r="S619" s="1"/>
      <c r="T619" s="1"/>
      <c r="U619" s="1" t="s">
        <v>555</v>
      </c>
      <c r="V619" s="1" t="s">
        <v>555</v>
      </c>
      <c r="W619" s="145">
        <f t="shared" si="1"/>
        <v>0.0001024470712</v>
      </c>
      <c r="AC619" s="38"/>
    </row>
    <row r="620" ht="15.75" customHeight="1">
      <c r="A620" s="1" t="s">
        <v>2037</v>
      </c>
      <c r="B620" s="1" t="s">
        <v>2127</v>
      </c>
      <c r="C620" s="63">
        <v>46245.0</v>
      </c>
      <c r="D620" s="63" t="s">
        <v>130</v>
      </c>
      <c r="E620" s="68">
        <v>0.96594088</v>
      </c>
      <c r="F620" s="1"/>
      <c r="G620" s="23">
        <v>2000000.0</v>
      </c>
      <c r="H620" s="23">
        <v>1931881.76</v>
      </c>
      <c r="I620" s="23">
        <v>2000000.0</v>
      </c>
      <c r="J620" s="23">
        <v>1931881.76</v>
      </c>
      <c r="K620" s="24">
        <v>435.0</v>
      </c>
      <c r="L620" s="1" t="s">
        <v>1776</v>
      </c>
      <c r="M620" s="1" t="s">
        <v>2128</v>
      </c>
      <c r="N620" s="63" t="s">
        <v>1412</v>
      </c>
      <c r="O620" s="63" t="s">
        <v>1412</v>
      </c>
      <c r="P620" s="68">
        <v>33.0</v>
      </c>
      <c r="Q620" s="1" t="s">
        <v>2130</v>
      </c>
      <c r="R620" s="1" t="s">
        <v>13</v>
      </c>
      <c r="S620" s="1"/>
      <c r="T620" s="1"/>
      <c r="U620" s="1" t="s">
        <v>1417</v>
      </c>
      <c r="V620" s="1" t="s">
        <v>1417</v>
      </c>
      <c r="W620" s="145">
        <f t="shared" si="1"/>
        <v>0.00003951859084</v>
      </c>
      <c r="AC620" s="38"/>
    </row>
    <row r="621" ht="15.75" customHeight="1">
      <c r="A621" s="1" t="s">
        <v>2019</v>
      </c>
      <c r="B621" s="1" t="s">
        <v>2127</v>
      </c>
      <c r="C621" s="63">
        <v>46245.0</v>
      </c>
      <c r="D621" s="63" t="s">
        <v>130</v>
      </c>
      <c r="E621" s="68">
        <v>0.96594078</v>
      </c>
      <c r="F621" s="1"/>
      <c r="G621" s="23">
        <v>3000000.0</v>
      </c>
      <c r="H621" s="23">
        <v>2897822.35</v>
      </c>
      <c r="I621" s="23">
        <v>3000000.0</v>
      </c>
      <c r="J621" s="23">
        <v>2897822.35</v>
      </c>
      <c r="K621" s="24">
        <v>9.0015794E7</v>
      </c>
      <c r="L621" s="1" t="s">
        <v>1776</v>
      </c>
      <c r="M621" s="1" t="s">
        <v>2128</v>
      </c>
      <c r="N621" s="63" t="s">
        <v>946</v>
      </c>
      <c r="O621" s="63" t="s">
        <v>946</v>
      </c>
      <c r="P621" s="68">
        <v>33.0</v>
      </c>
      <c r="Q621" s="1" t="s">
        <v>2130</v>
      </c>
      <c r="R621" s="1" t="s">
        <v>13</v>
      </c>
      <c r="S621" s="1"/>
      <c r="T621" s="1"/>
      <c r="U621" s="1" t="s">
        <v>1013</v>
      </c>
      <c r="V621" s="1" t="s">
        <v>1013</v>
      </c>
      <c r="W621" s="145">
        <f t="shared" si="1"/>
        <v>0.00005927788033</v>
      </c>
      <c r="AC621" s="38"/>
    </row>
    <row r="622" ht="15.75" customHeight="1">
      <c r="A622" s="1" t="s">
        <v>1906</v>
      </c>
      <c r="B622" s="1" t="s">
        <v>2127</v>
      </c>
      <c r="C622" s="63">
        <v>46245.0</v>
      </c>
      <c r="D622" s="63" t="s">
        <v>130</v>
      </c>
      <c r="E622" s="68">
        <v>0.96098162</v>
      </c>
      <c r="F622" s="1"/>
      <c r="G622" s="23">
        <v>2.0E7</v>
      </c>
      <c r="H622" s="23">
        <v>1.921963234E7</v>
      </c>
      <c r="I622" s="23">
        <v>2.0E7</v>
      </c>
      <c r="J622" s="23">
        <v>1.921963234E7</v>
      </c>
      <c r="K622" s="24">
        <v>7.0219545E7</v>
      </c>
      <c r="L622" s="1" t="s">
        <v>1776</v>
      </c>
      <c r="M622" s="1" t="s">
        <v>2128</v>
      </c>
      <c r="N622" s="63" t="s">
        <v>1222</v>
      </c>
      <c r="O622" s="63" t="s">
        <v>1222</v>
      </c>
      <c r="P622" s="68">
        <v>38.0</v>
      </c>
      <c r="Q622" s="1" t="s">
        <v>2130</v>
      </c>
      <c r="R622" s="1" t="s">
        <v>13</v>
      </c>
      <c r="S622" s="1"/>
      <c r="T622" s="1"/>
      <c r="U622" s="1" t="s">
        <v>1223</v>
      </c>
      <c r="V622" s="1" t="s">
        <v>1223</v>
      </c>
      <c r="W622" s="145">
        <f t="shared" si="1"/>
        <v>0.0003931569738</v>
      </c>
      <c r="AC622" s="38"/>
    </row>
    <row r="623" ht="15.75" customHeight="1">
      <c r="A623" s="1" t="s">
        <v>1954</v>
      </c>
      <c r="B623" s="1" t="s">
        <v>2127</v>
      </c>
      <c r="C623" s="63">
        <v>46245.0</v>
      </c>
      <c r="D623" s="63" t="s">
        <v>130</v>
      </c>
      <c r="E623" s="68">
        <v>0.96295914</v>
      </c>
      <c r="F623" s="1"/>
      <c r="G623" s="23">
        <v>2.0E7</v>
      </c>
      <c r="H623" s="23">
        <v>1.925918279E7</v>
      </c>
      <c r="I623" s="23">
        <v>2.0E7</v>
      </c>
      <c r="J623" s="23">
        <v>1.925918279E7</v>
      </c>
      <c r="K623" s="24">
        <v>425.0</v>
      </c>
      <c r="L623" s="1" t="s">
        <v>1776</v>
      </c>
      <c r="M623" s="1" t="s">
        <v>2128</v>
      </c>
      <c r="N623" s="63" t="s">
        <v>863</v>
      </c>
      <c r="O623" s="63" t="s">
        <v>863</v>
      </c>
      <c r="P623" s="68">
        <v>36.0</v>
      </c>
      <c r="Q623" s="1" t="s">
        <v>2130</v>
      </c>
      <c r="R623" s="1" t="s">
        <v>13</v>
      </c>
      <c r="S623" s="1"/>
      <c r="T623" s="1"/>
      <c r="U623" s="1" t="s">
        <v>872</v>
      </c>
      <c r="V623" s="1" t="s">
        <v>872</v>
      </c>
      <c r="W623" s="145">
        <f t="shared" si="1"/>
        <v>0.0003939660182</v>
      </c>
      <c r="AC623" s="38"/>
    </row>
    <row r="624" ht="15.75" customHeight="1">
      <c r="A624" s="1" t="s">
        <v>1972</v>
      </c>
      <c r="B624" s="1" t="s">
        <v>2127</v>
      </c>
      <c r="C624" s="63">
        <v>46245.0</v>
      </c>
      <c r="D624" s="63" t="s">
        <v>130</v>
      </c>
      <c r="E624" s="68">
        <v>0.96594081</v>
      </c>
      <c r="F624" s="1"/>
      <c r="G624" s="23">
        <v>1.0E7</v>
      </c>
      <c r="H624" s="23">
        <v>9659408.09</v>
      </c>
      <c r="I624" s="23">
        <v>1.0E7</v>
      </c>
      <c r="J624" s="23">
        <v>9659408.09</v>
      </c>
      <c r="K624" s="24">
        <v>1.3633528E7</v>
      </c>
      <c r="L624" s="1" t="s">
        <v>1776</v>
      </c>
      <c r="M624" s="1" t="s">
        <v>2128</v>
      </c>
      <c r="N624" s="63" t="s">
        <v>827</v>
      </c>
      <c r="O624" s="63" t="s">
        <v>827</v>
      </c>
      <c r="P624" s="68">
        <v>33.0</v>
      </c>
      <c r="Q624" s="1" t="s">
        <v>2130</v>
      </c>
      <c r="R624" s="1" t="s">
        <v>13</v>
      </c>
      <c r="S624" s="1"/>
      <c r="T624" s="1"/>
      <c r="U624" s="1" t="s">
        <v>835</v>
      </c>
      <c r="V624" s="1" t="s">
        <v>835</v>
      </c>
      <c r="W624" s="145">
        <f t="shared" si="1"/>
        <v>0.0001975929397</v>
      </c>
      <c r="AC624" s="38"/>
    </row>
    <row r="625" ht="15.75" customHeight="1">
      <c r="A625" s="1" t="s">
        <v>1936</v>
      </c>
      <c r="B625" s="1" t="s">
        <v>2127</v>
      </c>
      <c r="C625" s="63">
        <v>46245.0</v>
      </c>
      <c r="D625" s="63" t="s">
        <v>130</v>
      </c>
      <c r="E625" s="68">
        <v>0.96594072</v>
      </c>
      <c r="F625" s="1"/>
      <c r="G625" s="23">
        <v>5.0E7</v>
      </c>
      <c r="H625" s="23">
        <v>4.829703592E7</v>
      </c>
      <c r="I625" s="23">
        <v>5.0E7</v>
      </c>
      <c r="J625" s="23">
        <v>4.829703592E7</v>
      </c>
      <c r="K625" s="24">
        <v>2.9007571E7</v>
      </c>
      <c r="L625" s="1" t="s">
        <v>1776</v>
      </c>
      <c r="M625" s="1" t="s">
        <v>2128</v>
      </c>
      <c r="N625" s="63" t="s">
        <v>207</v>
      </c>
      <c r="O625" s="63" t="s">
        <v>207</v>
      </c>
      <c r="P625" s="68">
        <v>33.0</v>
      </c>
      <c r="Q625" s="1" t="s">
        <v>2130</v>
      </c>
      <c r="R625" s="1" t="s">
        <v>13</v>
      </c>
      <c r="S625" s="1"/>
      <c r="T625" s="1"/>
      <c r="U625" s="1" t="s">
        <v>218</v>
      </c>
      <c r="V625" s="1" t="s">
        <v>218</v>
      </c>
      <c r="W625" s="145">
        <f t="shared" si="1"/>
        <v>0.0009879646057</v>
      </c>
      <c r="AC625" s="38"/>
    </row>
    <row r="626" ht="15.75" customHeight="1">
      <c r="A626" s="1" t="s">
        <v>1961</v>
      </c>
      <c r="B626" s="1" t="s">
        <v>2127</v>
      </c>
      <c r="C626" s="63">
        <v>46245.0</v>
      </c>
      <c r="D626" s="63" t="s">
        <v>130</v>
      </c>
      <c r="E626" s="68">
        <v>0.96295928</v>
      </c>
      <c r="F626" s="1"/>
      <c r="G626" s="23">
        <v>2197564.35</v>
      </c>
      <c r="H626" s="23">
        <v>2116164.98</v>
      </c>
      <c r="I626" s="23">
        <v>2197564.35</v>
      </c>
      <c r="J626" s="23">
        <v>2116164.98</v>
      </c>
      <c r="K626" s="24">
        <v>2762.0</v>
      </c>
      <c r="L626" s="1" t="s">
        <v>1776</v>
      </c>
      <c r="M626" s="1" t="s">
        <v>2128</v>
      </c>
      <c r="N626" s="63" t="s">
        <v>1332</v>
      </c>
      <c r="O626" s="63" t="s">
        <v>1332</v>
      </c>
      <c r="P626" s="68">
        <v>36.0</v>
      </c>
      <c r="Q626" s="1" t="s">
        <v>2130</v>
      </c>
      <c r="R626" s="1" t="s">
        <v>13</v>
      </c>
      <c r="S626" s="1"/>
      <c r="T626" s="1"/>
      <c r="U626" s="1" t="s">
        <v>1364</v>
      </c>
      <c r="V626" s="1" t="s">
        <v>1364</v>
      </c>
      <c r="W626" s="145">
        <f t="shared" si="1"/>
        <v>0.00004328829006</v>
      </c>
      <c r="AC626" s="38"/>
    </row>
    <row r="627" ht="15.75" customHeight="1">
      <c r="A627" s="1" t="s">
        <v>1937</v>
      </c>
      <c r="B627" s="1" t="s">
        <v>2127</v>
      </c>
      <c r="C627" s="63">
        <v>46245.0</v>
      </c>
      <c r="D627" s="63" t="s">
        <v>130</v>
      </c>
      <c r="E627" s="68">
        <v>0.96693865</v>
      </c>
      <c r="F627" s="1"/>
      <c r="G627" s="23">
        <v>5.0E7</v>
      </c>
      <c r="H627" s="23">
        <v>4.834693274E7</v>
      </c>
      <c r="I627" s="23">
        <v>5.0E7</v>
      </c>
      <c r="J627" s="23">
        <v>4.834693274E7</v>
      </c>
      <c r="K627" s="24">
        <v>4636.0</v>
      </c>
      <c r="L627" s="1" t="s">
        <v>1776</v>
      </c>
      <c r="M627" s="1" t="s">
        <v>2128</v>
      </c>
      <c r="N627" s="63" t="s">
        <v>748</v>
      </c>
      <c r="O627" s="63" t="s">
        <v>748</v>
      </c>
      <c r="P627" s="68">
        <v>32.0</v>
      </c>
      <c r="Q627" s="1" t="s">
        <v>2130</v>
      </c>
      <c r="R627" s="1" t="s">
        <v>13</v>
      </c>
      <c r="S627" s="1"/>
      <c r="T627" s="1"/>
      <c r="U627" s="1" t="s">
        <v>760</v>
      </c>
      <c r="V627" s="1" t="s">
        <v>760</v>
      </c>
      <c r="W627" s="145">
        <f t="shared" si="1"/>
        <v>0.0009889852955</v>
      </c>
      <c r="AC627" s="38"/>
    </row>
    <row r="628" ht="15.75" customHeight="1">
      <c r="A628" s="1" t="s">
        <v>1989</v>
      </c>
      <c r="B628" s="1" t="s">
        <v>2127</v>
      </c>
      <c r="C628" s="63">
        <v>46245.0</v>
      </c>
      <c r="D628" s="63" t="s">
        <v>130</v>
      </c>
      <c r="E628" s="68">
        <v>0.96894099</v>
      </c>
      <c r="F628" s="1"/>
      <c r="G628" s="23">
        <v>2700000.0</v>
      </c>
      <c r="H628" s="23">
        <v>2616140.67</v>
      </c>
      <c r="I628" s="23">
        <v>2700000.0</v>
      </c>
      <c r="J628" s="23">
        <v>2616140.67</v>
      </c>
      <c r="K628" s="24">
        <v>6270.0</v>
      </c>
      <c r="L628" s="1" t="s">
        <v>1776</v>
      </c>
      <c r="M628" s="1" t="s">
        <v>2128</v>
      </c>
      <c r="N628" s="63" t="s">
        <v>1332</v>
      </c>
      <c r="O628" s="63" t="s">
        <v>1332</v>
      </c>
      <c r="P628" s="68">
        <v>30.0</v>
      </c>
      <c r="Q628" s="1" t="s">
        <v>2130</v>
      </c>
      <c r="R628" s="1" t="s">
        <v>13</v>
      </c>
      <c r="S628" s="1"/>
      <c r="T628" s="1"/>
      <c r="U628" s="1" t="s">
        <v>1337</v>
      </c>
      <c r="V628" s="1" t="s">
        <v>1337</v>
      </c>
      <c r="W628" s="145">
        <f t="shared" si="1"/>
        <v>0.00005351579732</v>
      </c>
      <c r="AC628" s="38"/>
    </row>
    <row r="629" ht="15.75" customHeight="1">
      <c r="A629" s="1" t="s">
        <v>1908</v>
      </c>
      <c r="B629" s="1" t="s">
        <v>2127</v>
      </c>
      <c r="C629" s="63">
        <v>46245.0</v>
      </c>
      <c r="D629" s="63" t="s">
        <v>130</v>
      </c>
      <c r="E629" s="68">
        <v>0.96098168</v>
      </c>
      <c r="F629" s="1"/>
      <c r="G629" s="23">
        <v>1.362E8</v>
      </c>
      <c r="H629" s="23">
        <v>1.308857046E8</v>
      </c>
      <c r="I629" s="23">
        <v>1.362E8</v>
      </c>
      <c r="J629" s="23">
        <v>1.308857046E8</v>
      </c>
      <c r="K629" s="24">
        <v>7.0388045E7</v>
      </c>
      <c r="L629" s="1" t="s">
        <v>1776</v>
      </c>
      <c r="M629" s="1" t="s">
        <v>2128</v>
      </c>
      <c r="N629" s="63" t="s">
        <v>1302</v>
      </c>
      <c r="O629" s="63" t="s">
        <v>1302</v>
      </c>
      <c r="P629" s="68">
        <v>38.0</v>
      </c>
      <c r="Q629" s="1" t="s">
        <v>2130</v>
      </c>
      <c r="R629" s="1" t="s">
        <v>13</v>
      </c>
      <c r="S629" s="1"/>
      <c r="T629" s="1"/>
      <c r="U629" s="1" t="s">
        <v>1329</v>
      </c>
      <c r="V629" s="1" t="s">
        <v>1329</v>
      </c>
      <c r="W629" s="145">
        <f t="shared" si="1"/>
        <v>0.002677399163</v>
      </c>
      <c r="AC629" s="38"/>
    </row>
    <row r="630" ht="15.75" customHeight="1">
      <c r="A630" s="1" t="s">
        <v>1943</v>
      </c>
      <c r="B630" s="1" t="s">
        <v>2127</v>
      </c>
      <c r="C630" s="63">
        <v>46245.0</v>
      </c>
      <c r="D630" s="63" t="s">
        <v>130</v>
      </c>
      <c r="E630" s="68">
        <v>0.95901219</v>
      </c>
      <c r="F630" s="1"/>
      <c r="G630" s="23">
        <v>2.5E7</v>
      </c>
      <c r="H630" s="23">
        <v>2.397530476E7</v>
      </c>
      <c r="I630" s="23">
        <v>2.5E7</v>
      </c>
      <c r="J630" s="23">
        <v>2.397530476E7</v>
      </c>
      <c r="K630" s="24">
        <v>7.0379056E7</v>
      </c>
      <c r="L630" s="1" t="s">
        <v>1776</v>
      </c>
      <c r="M630" s="1" t="s">
        <v>2128</v>
      </c>
      <c r="N630" s="63" t="s">
        <v>1222</v>
      </c>
      <c r="O630" s="63" t="s">
        <v>1222</v>
      </c>
      <c r="P630" s="68">
        <v>40.0</v>
      </c>
      <c r="Q630" s="1" t="s">
        <v>2130</v>
      </c>
      <c r="R630" s="1" t="s">
        <v>13</v>
      </c>
      <c r="S630" s="1"/>
      <c r="T630" s="1"/>
      <c r="U630" s="1" t="s">
        <v>1228</v>
      </c>
      <c r="V630" s="1" t="s">
        <v>1228</v>
      </c>
      <c r="W630" s="145">
        <f t="shared" si="1"/>
        <v>0.0004904390521</v>
      </c>
      <c r="AC630" s="38"/>
    </row>
    <row r="631" ht="15.75" customHeight="1">
      <c r="A631" s="1" t="s">
        <v>1907</v>
      </c>
      <c r="B631" s="1" t="s">
        <v>2127</v>
      </c>
      <c r="C631" s="63">
        <v>46245.0</v>
      </c>
      <c r="D631" s="63" t="s">
        <v>130</v>
      </c>
      <c r="E631" s="68">
        <v>0.96994501</v>
      </c>
      <c r="F631" s="1"/>
      <c r="G631" s="23">
        <v>1.0E8</v>
      </c>
      <c r="H631" s="23">
        <v>9.699450072E7</v>
      </c>
      <c r="I631" s="23">
        <v>1.0E8</v>
      </c>
      <c r="J631" s="23">
        <v>9.699450072E7</v>
      </c>
      <c r="K631" s="24">
        <v>9.0003815E7</v>
      </c>
      <c r="L631" s="1" t="s">
        <v>1776</v>
      </c>
      <c r="M631" s="1" t="s">
        <v>2128</v>
      </c>
      <c r="N631" s="63" t="s">
        <v>1084</v>
      </c>
      <c r="O631" s="63" t="s">
        <v>1084</v>
      </c>
      <c r="P631" s="68">
        <v>29.0</v>
      </c>
      <c r="Q631" s="1" t="s">
        <v>2130</v>
      </c>
      <c r="R631" s="1" t="s">
        <v>13</v>
      </c>
      <c r="S631" s="1"/>
      <c r="T631" s="1"/>
      <c r="U631" s="1" t="s">
        <v>1090</v>
      </c>
      <c r="V631" s="1" t="s">
        <v>1090</v>
      </c>
      <c r="W631" s="145">
        <f t="shared" si="1"/>
        <v>0.001984120388</v>
      </c>
      <c r="AC631" s="38"/>
    </row>
    <row r="632" ht="15.75" customHeight="1">
      <c r="A632" s="1" t="s">
        <v>2028</v>
      </c>
      <c r="B632" s="1" t="s">
        <v>2127</v>
      </c>
      <c r="C632" s="63">
        <v>46245.0</v>
      </c>
      <c r="D632" s="63" t="s">
        <v>130</v>
      </c>
      <c r="E632" s="68">
        <v>0.96894093</v>
      </c>
      <c r="F632" s="1"/>
      <c r="G632" s="23">
        <v>3533450.77</v>
      </c>
      <c r="H632" s="23">
        <v>3423705.09</v>
      </c>
      <c r="I632" s="23">
        <v>3533450.77</v>
      </c>
      <c r="J632" s="23">
        <v>3423705.09</v>
      </c>
      <c r="K632" s="24">
        <v>9755701.0</v>
      </c>
      <c r="L632" s="1" t="s">
        <v>1776</v>
      </c>
      <c r="M632" s="1" t="s">
        <v>2128</v>
      </c>
      <c r="N632" s="63" t="s">
        <v>1302</v>
      </c>
      <c r="O632" s="63" t="s">
        <v>1302</v>
      </c>
      <c r="P632" s="68">
        <v>30.0</v>
      </c>
      <c r="Q632" s="1" t="s">
        <v>2130</v>
      </c>
      <c r="R632" s="1" t="s">
        <v>13</v>
      </c>
      <c r="S632" s="1"/>
      <c r="T632" s="1"/>
      <c r="U632" s="1" t="s">
        <v>1311</v>
      </c>
      <c r="V632" s="1" t="s">
        <v>1311</v>
      </c>
      <c r="W632" s="145">
        <f t="shared" si="1"/>
        <v>0.00007003534244</v>
      </c>
      <c r="AC632" s="38"/>
    </row>
    <row r="633" ht="15.75" customHeight="1">
      <c r="A633" s="1" t="s">
        <v>1953</v>
      </c>
      <c r="B633" s="1" t="s">
        <v>2127</v>
      </c>
      <c r="C633" s="63">
        <v>46246.0</v>
      </c>
      <c r="D633" s="63" t="s">
        <v>130</v>
      </c>
      <c r="E633" s="68">
        <v>0.97855232</v>
      </c>
      <c r="F633" s="1"/>
      <c r="G633" s="23">
        <v>2500000.0</v>
      </c>
      <c r="H633" s="23">
        <v>2446380.8</v>
      </c>
      <c r="I633" s="23">
        <v>2500000.0</v>
      </c>
      <c r="J633" s="23">
        <v>2446380.8</v>
      </c>
      <c r="K633" s="24">
        <v>6132.0</v>
      </c>
      <c r="L633" s="1" t="s">
        <v>1776</v>
      </c>
      <c r="M633" s="1" t="s">
        <v>2128</v>
      </c>
      <c r="N633" s="63" t="s">
        <v>946</v>
      </c>
      <c r="O633" s="63" t="s">
        <v>946</v>
      </c>
      <c r="P633" s="68">
        <v>20.0</v>
      </c>
      <c r="Q633" s="1" t="s">
        <v>2130</v>
      </c>
      <c r="R633" s="1" t="s">
        <v>13</v>
      </c>
      <c r="S633" s="1"/>
      <c r="T633" s="1"/>
      <c r="U633" s="1" t="s">
        <v>974</v>
      </c>
      <c r="V633" s="1" t="s">
        <v>974</v>
      </c>
      <c r="W633" s="145">
        <f t="shared" si="1"/>
        <v>0.00005004318788</v>
      </c>
      <c r="AC633" s="38"/>
    </row>
    <row r="634" ht="15.75" customHeight="1">
      <c r="A634" s="1" t="s">
        <v>1960</v>
      </c>
      <c r="B634" s="1" t="s">
        <v>2127</v>
      </c>
      <c r="C634" s="63">
        <v>46246.0</v>
      </c>
      <c r="D634" s="63" t="s">
        <v>130</v>
      </c>
      <c r="E634" s="68">
        <v>0.97022866</v>
      </c>
      <c r="F634" s="1"/>
      <c r="G634" s="23">
        <v>7000000.0</v>
      </c>
      <c r="H634" s="23">
        <v>6791600.64</v>
      </c>
      <c r="I634" s="23">
        <v>7000000.0</v>
      </c>
      <c r="J634" s="23">
        <v>6791600.64</v>
      </c>
      <c r="K634" s="24">
        <v>2.9175494E7</v>
      </c>
      <c r="L634" s="1" t="s">
        <v>1776</v>
      </c>
      <c r="M634" s="1" t="s">
        <v>2128</v>
      </c>
      <c r="N634" s="63" t="s">
        <v>676</v>
      </c>
      <c r="O634" s="63" t="s">
        <v>676</v>
      </c>
      <c r="P634" s="68">
        <v>28.0</v>
      </c>
      <c r="Q634" s="1" t="s">
        <v>2130</v>
      </c>
      <c r="R634" s="1" t="s">
        <v>13</v>
      </c>
      <c r="S634" s="1"/>
      <c r="T634" s="1"/>
      <c r="U634" s="1" t="s">
        <v>680</v>
      </c>
      <c r="V634" s="1" t="s">
        <v>680</v>
      </c>
      <c r="W634" s="145">
        <f t="shared" si="1"/>
        <v>0.0001389290444</v>
      </c>
      <c r="AC634" s="38"/>
    </row>
    <row r="635" ht="15.75" customHeight="1">
      <c r="A635" s="1" t="s">
        <v>1975</v>
      </c>
      <c r="B635" s="1" t="s">
        <v>2127</v>
      </c>
      <c r="C635" s="63">
        <v>46246.0</v>
      </c>
      <c r="D635" s="63" t="s">
        <v>130</v>
      </c>
      <c r="E635" s="68">
        <v>0.96002115</v>
      </c>
      <c r="F635" s="1"/>
      <c r="G635" s="23">
        <v>4957711.81</v>
      </c>
      <c r="H635" s="23">
        <v>4759508.19</v>
      </c>
      <c r="I635" s="23">
        <v>4957711.81</v>
      </c>
      <c r="J635" s="23">
        <v>4759508.19</v>
      </c>
      <c r="K635" s="24">
        <v>590.0</v>
      </c>
      <c r="L635" s="1" t="s">
        <v>1776</v>
      </c>
      <c r="M635" s="1" t="s">
        <v>2128</v>
      </c>
      <c r="N635" s="63" t="s">
        <v>543</v>
      </c>
      <c r="O635" s="63" t="s">
        <v>543</v>
      </c>
      <c r="P635" s="68">
        <v>38.0</v>
      </c>
      <c r="Q635" s="1" t="s">
        <v>2130</v>
      </c>
      <c r="R635" s="1" t="s">
        <v>13</v>
      </c>
      <c r="S635" s="1"/>
      <c r="T635" s="1"/>
      <c r="U635" s="1" t="s">
        <v>561</v>
      </c>
      <c r="V635" s="1" t="s">
        <v>561</v>
      </c>
      <c r="W635" s="145">
        <f t="shared" si="1"/>
        <v>0.00009736054279</v>
      </c>
      <c r="AC635" s="38"/>
    </row>
    <row r="636" ht="15.75" customHeight="1">
      <c r="A636" s="1" t="s">
        <v>2022</v>
      </c>
      <c r="B636" s="1" t="s">
        <v>2127</v>
      </c>
      <c r="C636" s="63">
        <v>46246.0</v>
      </c>
      <c r="D636" s="63" t="s">
        <v>130</v>
      </c>
      <c r="E636" s="68">
        <v>0.96509797</v>
      </c>
      <c r="F636" s="1"/>
      <c r="G636" s="23">
        <v>3900000.0</v>
      </c>
      <c r="H636" s="23">
        <v>3763882.09</v>
      </c>
      <c r="I636" s="23">
        <v>3900000.0</v>
      </c>
      <c r="J636" s="23">
        <v>3763882.09</v>
      </c>
      <c r="K636" s="24">
        <v>283.0</v>
      </c>
      <c r="L636" s="1" t="s">
        <v>1776</v>
      </c>
      <c r="M636" s="1" t="s">
        <v>2128</v>
      </c>
      <c r="N636" s="63" t="s">
        <v>902</v>
      </c>
      <c r="O636" s="63" t="s">
        <v>902</v>
      </c>
      <c r="P636" s="68">
        <v>33.0</v>
      </c>
      <c r="Q636" s="1" t="s">
        <v>2130</v>
      </c>
      <c r="R636" s="1" t="s">
        <v>13</v>
      </c>
      <c r="S636" s="1"/>
      <c r="T636" s="1"/>
      <c r="U636" s="1" t="s">
        <v>918</v>
      </c>
      <c r="V636" s="1" t="s">
        <v>918</v>
      </c>
      <c r="W636" s="145">
        <f t="shared" si="1"/>
        <v>0.00007699400624</v>
      </c>
      <c r="AC636" s="38"/>
    </row>
    <row r="637" ht="15.75" customHeight="1">
      <c r="A637" s="1" t="s">
        <v>1917</v>
      </c>
      <c r="B637" s="1" t="s">
        <v>2127</v>
      </c>
      <c r="C637" s="63">
        <v>46246.0</v>
      </c>
      <c r="D637" s="63" t="s">
        <v>130</v>
      </c>
      <c r="E637" s="68">
        <v>0.9681698</v>
      </c>
      <c r="F637" s="1"/>
      <c r="G637" s="23">
        <v>1.0E7</v>
      </c>
      <c r="H637" s="23">
        <v>9681698.04</v>
      </c>
      <c r="I637" s="23">
        <v>1.0E7</v>
      </c>
      <c r="J637" s="23">
        <v>9681698.04</v>
      </c>
      <c r="K637" s="24">
        <v>500.0</v>
      </c>
      <c r="L637" s="1" t="s">
        <v>1776</v>
      </c>
      <c r="M637" s="1" t="s">
        <v>2128</v>
      </c>
      <c r="N637" s="63" t="s">
        <v>798</v>
      </c>
      <c r="O637" s="63" t="s">
        <v>798</v>
      </c>
      <c r="P637" s="68">
        <v>30.0</v>
      </c>
      <c r="Q637" s="1" t="s">
        <v>2130</v>
      </c>
      <c r="R637" s="1" t="s">
        <v>13</v>
      </c>
      <c r="S637" s="1"/>
      <c r="T637" s="1"/>
      <c r="U637" s="1" t="s">
        <v>801</v>
      </c>
      <c r="V637" s="1" t="s">
        <v>801</v>
      </c>
      <c r="W637" s="145">
        <f t="shared" si="1"/>
        <v>0.0001980489031</v>
      </c>
      <c r="AC637" s="38"/>
    </row>
    <row r="638" ht="15.75" customHeight="1">
      <c r="A638" s="1" t="s">
        <v>1940</v>
      </c>
      <c r="B638" s="1" t="s">
        <v>2127</v>
      </c>
      <c r="C638" s="63">
        <v>46246.0</v>
      </c>
      <c r="D638" s="63" t="s">
        <v>130</v>
      </c>
      <c r="E638" s="68">
        <v>0.96204534</v>
      </c>
      <c r="F638" s="1"/>
      <c r="G638" s="23">
        <v>6.5E7</v>
      </c>
      <c r="H638" s="23">
        <v>6.253294696E7</v>
      </c>
      <c r="I638" s="23">
        <v>6.5E7</v>
      </c>
      <c r="J638" s="23">
        <v>6.253294696E7</v>
      </c>
      <c r="K638" s="24">
        <v>312.0</v>
      </c>
      <c r="L638" s="1" t="s">
        <v>1776</v>
      </c>
      <c r="M638" s="1" t="s">
        <v>2128</v>
      </c>
      <c r="N638" s="63" t="s">
        <v>248</v>
      </c>
      <c r="O638" s="63" t="s">
        <v>248</v>
      </c>
      <c r="P638" s="68">
        <v>36.0</v>
      </c>
      <c r="Q638" s="1" t="s">
        <v>2130</v>
      </c>
      <c r="R638" s="1" t="s">
        <v>13</v>
      </c>
      <c r="S638" s="1"/>
      <c r="T638" s="1"/>
      <c r="U638" s="1" t="s">
        <v>246</v>
      </c>
      <c r="V638" s="1" t="s">
        <v>246</v>
      </c>
      <c r="W638" s="145">
        <f t="shared" si="1"/>
        <v>0.001279174531</v>
      </c>
      <c r="AC638" s="38"/>
    </row>
    <row r="639" ht="15.75" customHeight="1">
      <c r="A639" s="1" t="s">
        <v>1906</v>
      </c>
      <c r="B639" s="1" t="s">
        <v>2127</v>
      </c>
      <c r="C639" s="63">
        <v>46246.0</v>
      </c>
      <c r="D639" s="63" t="s">
        <v>130</v>
      </c>
      <c r="E639" s="68">
        <v>0.96002108</v>
      </c>
      <c r="F639" s="1"/>
      <c r="G639" s="23">
        <v>4.2E7</v>
      </c>
      <c r="H639" s="23">
        <v>4.032088549E7</v>
      </c>
      <c r="I639" s="23">
        <v>4.2E7</v>
      </c>
      <c r="J639" s="23">
        <v>4.032088549E7</v>
      </c>
      <c r="K639" s="24">
        <v>151336.0</v>
      </c>
      <c r="L639" s="1" t="s">
        <v>1776</v>
      </c>
      <c r="M639" s="1" t="s">
        <v>2128</v>
      </c>
      <c r="N639" s="63" t="s">
        <v>1222</v>
      </c>
      <c r="O639" s="63" t="s">
        <v>1222</v>
      </c>
      <c r="P639" s="68">
        <v>38.0</v>
      </c>
      <c r="Q639" s="1" t="s">
        <v>2130</v>
      </c>
      <c r="R639" s="1" t="s">
        <v>13</v>
      </c>
      <c r="S639" s="1"/>
      <c r="T639" s="1"/>
      <c r="U639" s="1" t="s">
        <v>1224</v>
      </c>
      <c r="V639" s="1" t="s">
        <v>1224</v>
      </c>
      <c r="W639" s="145">
        <f t="shared" si="1"/>
        <v>0.0008248044</v>
      </c>
      <c r="AC639" s="38"/>
    </row>
    <row r="640" ht="15.75" customHeight="1">
      <c r="A640" s="1" t="s">
        <v>1994</v>
      </c>
      <c r="B640" s="1" t="s">
        <v>2127</v>
      </c>
      <c r="C640" s="63">
        <v>46246.0</v>
      </c>
      <c r="D640" s="63" t="s">
        <v>130</v>
      </c>
      <c r="E640" s="68">
        <v>0.96407818</v>
      </c>
      <c r="F640" s="1"/>
      <c r="G640" s="23">
        <v>4000000.0</v>
      </c>
      <c r="H640" s="23">
        <v>3856312.73</v>
      </c>
      <c r="I640" s="23">
        <v>4000000.0</v>
      </c>
      <c r="J640" s="23">
        <v>3856312.73</v>
      </c>
      <c r="K640" s="24">
        <v>9.000005E7</v>
      </c>
      <c r="L640" s="1" t="s">
        <v>1776</v>
      </c>
      <c r="M640" s="1" t="s">
        <v>2128</v>
      </c>
      <c r="N640" s="63" t="s">
        <v>1245</v>
      </c>
      <c r="O640" s="63" t="s">
        <v>1245</v>
      </c>
      <c r="P640" s="68">
        <v>34.0</v>
      </c>
      <c r="Q640" s="1" t="s">
        <v>2130</v>
      </c>
      <c r="R640" s="1" t="s">
        <v>13</v>
      </c>
      <c r="S640" s="1"/>
      <c r="T640" s="1"/>
      <c r="U640" s="1" t="s">
        <v>1265</v>
      </c>
      <c r="V640" s="1" t="s">
        <v>1265</v>
      </c>
      <c r="W640" s="145">
        <f t="shared" si="1"/>
        <v>0.00007888476825</v>
      </c>
      <c r="AC640" s="38"/>
    </row>
    <row r="641" ht="15.75" customHeight="1">
      <c r="A641" s="1" t="s">
        <v>1982</v>
      </c>
      <c r="B641" s="1" t="s">
        <v>2127</v>
      </c>
      <c r="C641" s="63">
        <v>46246.0</v>
      </c>
      <c r="D641" s="63" t="s">
        <v>130</v>
      </c>
      <c r="E641" s="68">
        <v>0.96816985</v>
      </c>
      <c r="F641" s="1"/>
      <c r="G641" s="23">
        <v>5000000.0</v>
      </c>
      <c r="H641" s="23">
        <v>4840849.25</v>
      </c>
      <c r="I641" s="23">
        <v>5000000.0</v>
      </c>
      <c r="J641" s="23">
        <v>4840849.25</v>
      </c>
      <c r="K641" s="24">
        <v>3501230.0</v>
      </c>
      <c r="L641" s="1" t="s">
        <v>1776</v>
      </c>
      <c r="M641" s="1" t="s">
        <v>2128</v>
      </c>
      <c r="N641" s="63" t="s">
        <v>307</v>
      </c>
      <c r="O641" s="63" t="s">
        <v>307</v>
      </c>
      <c r="P641" s="68">
        <v>30.0</v>
      </c>
      <c r="Q641" s="1" t="s">
        <v>2130</v>
      </c>
      <c r="R641" s="1" t="s">
        <v>13</v>
      </c>
      <c r="S641" s="1"/>
      <c r="T641" s="1"/>
      <c r="U641" s="1" t="s">
        <v>348</v>
      </c>
      <c r="V641" s="1" t="s">
        <v>348</v>
      </c>
      <c r="W641" s="145">
        <f t="shared" si="1"/>
        <v>0.00009902445625</v>
      </c>
      <c r="AC641" s="38"/>
    </row>
    <row r="642" ht="15.75" customHeight="1">
      <c r="A642" s="1" t="s">
        <v>1961</v>
      </c>
      <c r="B642" s="1" t="s">
        <v>2127</v>
      </c>
      <c r="C642" s="63">
        <v>46246.0</v>
      </c>
      <c r="D642" s="63" t="s">
        <v>130</v>
      </c>
      <c r="E642" s="68">
        <v>0.96204549</v>
      </c>
      <c r="F642" s="1"/>
      <c r="G642" s="23">
        <v>2197564.35</v>
      </c>
      <c r="H642" s="23">
        <v>2114156.88</v>
      </c>
      <c r="I642" s="23">
        <v>2197564.35</v>
      </c>
      <c r="J642" s="23">
        <v>2114156.88</v>
      </c>
      <c r="K642" s="24">
        <v>2763.0</v>
      </c>
      <c r="L642" s="1" t="s">
        <v>1776</v>
      </c>
      <c r="M642" s="1" t="s">
        <v>2128</v>
      </c>
      <c r="N642" s="63" t="s">
        <v>1332</v>
      </c>
      <c r="O642" s="63" t="s">
        <v>1332</v>
      </c>
      <c r="P642" s="68">
        <v>36.0</v>
      </c>
      <c r="Q642" s="1" t="s">
        <v>2130</v>
      </c>
      <c r="R642" s="1" t="s">
        <v>13</v>
      </c>
      <c r="S642" s="1"/>
      <c r="T642" s="1"/>
      <c r="U642" s="1" t="s">
        <v>1365</v>
      </c>
      <c r="V642" s="1" t="s">
        <v>1365</v>
      </c>
      <c r="W642" s="145">
        <f t="shared" si="1"/>
        <v>0.00004324721235</v>
      </c>
      <c r="AC642" s="38"/>
    </row>
    <row r="643" ht="15.75" customHeight="1">
      <c r="A643" s="1" t="s">
        <v>1917</v>
      </c>
      <c r="B643" s="1" t="s">
        <v>2127</v>
      </c>
      <c r="C643" s="63">
        <v>46246.0</v>
      </c>
      <c r="D643" s="63" t="s">
        <v>130</v>
      </c>
      <c r="E643" s="68">
        <v>0.96816982</v>
      </c>
      <c r="F643" s="1"/>
      <c r="G643" s="23">
        <v>1.0E7</v>
      </c>
      <c r="H643" s="23">
        <v>9681698.23</v>
      </c>
      <c r="I643" s="23">
        <v>1.0E7</v>
      </c>
      <c r="J643" s="23">
        <v>9681698.23</v>
      </c>
      <c r="K643" s="24">
        <v>608.0</v>
      </c>
      <c r="L643" s="1" t="s">
        <v>1776</v>
      </c>
      <c r="M643" s="1" t="s">
        <v>2128</v>
      </c>
      <c r="N643" s="63" t="s">
        <v>1209</v>
      </c>
      <c r="O643" s="63" t="s">
        <v>1209</v>
      </c>
      <c r="P643" s="68">
        <v>30.0</v>
      </c>
      <c r="Q643" s="1" t="s">
        <v>2130</v>
      </c>
      <c r="R643" s="1" t="s">
        <v>13</v>
      </c>
      <c r="S643" s="1"/>
      <c r="T643" s="1"/>
      <c r="U643" s="1" t="s">
        <v>1211</v>
      </c>
      <c r="V643" s="1" t="s">
        <v>1211</v>
      </c>
      <c r="W643" s="145">
        <f t="shared" si="1"/>
        <v>0.000198048907</v>
      </c>
      <c r="AC643" s="38"/>
    </row>
    <row r="644" ht="15.75" customHeight="1">
      <c r="A644" s="1" t="s">
        <v>1917</v>
      </c>
      <c r="B644" s="1" t="s">
        <v>2127</v>
      </c>
      <c r="C644" s="63">
        <v>46246.0</v>
      </c>
      <c r="D644" s="63" t="s">
        <v>130</v>
      </c>
      <c r="E644" s="68">
        <v>0.96816979</v>
      </c>
      <c r="F644" s="1"/>
      <c r="G644" s="23">
        <v>1.0E7</v>
      </c>
      <c r="H644" s="23">
        <v>9681697.88</v>
      </c>
      <c r="I644" s="23">
        <v>1.0E7</v>
      </c>
      <c r="J644" s="23">
        <v>9681697.88</v>
      </c>
      <c r="K644" s="24">
        <v>559.0</v>
      </c>
      <c r="L644" s="1" t="s">
        <v>1776</v>
      </c>
      <c r="M644" s="1" t="s">
        <v>2128</v>
      </c>
      <c r="N644" s="63" t="s">
        <v>940</v>
      </c>
      <c r="O644" s="63" t="s">
        <v>940</v>
      </c>
      <c r="P644" s="68">
        <v>30.0</v>
      </c>
      <c r="Q644" s="1" t="s">
        <v>2130</v>
      </c>
      <c r="R644" s="1" t="s">
        <v>13</v>
      </c>
      <c r="S644" s="1"/>
      <c r="T644" s="1"/>
      <c r="U644" s="1" t="s">
        <v>942</v>
      </c>
      <c r="V644" s="1" t="s">
        <v>942</v>
      </c>
      <c r="W644" s="145">
        <f t="shared" si="1"/>
        <v>0.0001980488998</v>
      </c>
      <c r="AC644" s="38"/>
    </row>
    <row r="645" ht="15.75" customHeight="1">
      <c r="A645" s="1" t="s">
        <v>1937</v>
      </c>
      <c r="B645" s="1" t="s">
        <v>2127</v>
      </c>
      <c r="C645" s="63">
        <v>46246.0</v>
      </c>
      <c r="D645" s="63" t="s">
        <v>130</v>
      </c>
      <c r="E645" s="68">
        <v>0.96611978</v>
      </c>
      <c r="F645" s="1"/>
      <c r="G645" s="23">
        <v>5.0E7</v>
      </c>
      <c r="H645" s="23">
        <v>4.830598901E7</v>
      </c>
      <c r="I645" s="23">
        <v>5.0E7</v>
      </c>
      <c r="J645" s="23">
        <v>4.830598901E7</v>
      </c>
      <c r="K645" s="24">
        <v>4678.0</v>
      </c>
      <c r="L645" s="1" t="s">
        <v>1776</v>
      </c>
      <c r="M645" s="1" t="s">
        <v>2128</v>
      </c>
      <c r="N645" s="63" t="s">
        <v>849</v>
      </c>
      <c r="O645" s="63" t="s">
        <v>849</v>
      </c>
      <c r="P645" s="68">
        <v>32.0</v>
      </c>
      <c r="Q645" s="1" t="s">
        <v>2130</v>
      </c>
      <c r="R645" s="1" t="s">
        <v>13</v>
      </c>
      <c r="S645" s="1"/>
      <c r="T645" s="1"/>
      <c r="U645" s="1" t="s">
        <v>860</v>
      </c>
      <c r="V645" s="1" t="s">
        <v>860</v>
      </c>
      <c r="W645" s="145">
        <f t="shared" si="1"/>
        <v>0.0009881477502</v>
      </c>
      <c r="AC645" s="38"/>
    </row>
    <row r="646" ht="15.75" customHeight="1">
      <c r="A646" s="1" t="s">
        <v>1991</v>
      </c>
      <c r="B646" s="1" t="s">
        <v>2127</v>
      </c>
      <c r="C646" s="63">
        <v>46246.0</v>
      </c>
      <c r="D646" s="63" t="s">
        <v>130</v>
      </c>
      <c r="E646" s="68">
        <v>0.96509798</v>
      </c>
      <c r="F646" s="1"/>
      <c r="G646" s="23">
        <v>2000000.0</v>
      </c>
      <c r="H646" s="23">
        <v>1930195.97</v>
      </c>
      <c r="I646" s="23">
        <v>2000000.0</v>
      </c>
      <c r="J646" s="23">
        <v>1930195.97</v>
      </c>
      <c r="K646" s="24">
        <v>6186.0</v>
      </c>
      <c r="L646" s="1" t="s">
        <v>1776</v>
      </c>
      <c r="M646" s="1" t="s">
        <v>2128</v>
      </c>
      <c r="N646" s="63" t="s">
        <v>1084</v>
      </c>
      <c r="O646" s="63" t="s">
        <v>1084</v>
      </c>
      <c r="P646" s="68">
        <v>33.0</v>
      </c>
      <c r="Q646" s="1" t="s">
        <v>2130</v>
      </c>
      <c r="R646" s="1" t="s">
        <v>13</v>
      </c>
      <c r="S646" s="1"/>
      <c r="T646" s="1"/>
      <c r="U646" s="1" t="s">
        <v>1109</v>
      </c>
      <c r="V646" s="1" t="s">
        <v>1109</v>
      </c>
      <c r="W646" s="145">
        <f t="shared" si="1"/>
        <v>0.0000394841063</v>
      </c>
      <c r="AC646" s="38"/>
    </row>
    <row r="647" ht="15.75" customHeight="1">
      <c r="A647" s="1" t="s">
        <v>1924</v>
      </c>
      <c r="B647" s="1" t="s">
        <v>2127</v>
      </c>
      <c r="C647" s="63">
        <v>46246.0</v>
      </c>
      <c r="D647" s="63" t="s">
        <v>130</v>
      </c>
      <c r="E647" s="68">
        <v>0.96919816</v>
      </c>
      <c r="F647" s="1"/>
      <c r="G647" s="23">
        <v>8.0E7</v>
      </c>
      <c r="H647" s="23">
        <v>7.75358529E7</v>
      </c>
      <c r="I647" s="23">
        <v>8.0E7</v>
      </c>
      <c r="J647" s="23">
        <v>7.75358529E7</v>
      </c>
      <c r="K647" s="24">
        <v>9.004187E7</v>
      </c>
      <c r="L647" s="1" t="s">
        <v>1776</v>
      </c>
      <c r="M647" s="1" t="s">
        <v>2128</v>
      </c>
      <c r="N647" s="63" t="s">
        <v>360</v>
      </c>
      <c r="O647" s="63" t="s">
        <v>360</v>
      </c>
      <c r="P647" s="68">
        <v>29.0</v>
      </c>
      <c r="Q647" s="1" t="s">
        <v>2130</v>
      </c>
      <c r="R647" s="1" t="s">
        <v>13</v>
      </c>
      <c r="S647" s="1"/>
      <c r="T647" s="1"/>
      <c r="U647" s="1" t="s">
        <v>373</v>
      </c>
      <c r="V647" s="1" t="s">
        <v>373</v>
      </c>
      <c r="W647" s="145">
        <f t="shared" si="1"/>
        <v>0.001586074112</v>
      </c>
      <c r="AC647" s="38"/>
    </row>
    <row r="648" ht="15.75" customHeight="1">
      <c r="A648" s="1" t="s">
        <v>1903</v>
      </c>
      <c r="B648" s="1" t="s">
        <v>2127</v>
      </c>
      <c r="C648" s="63">
        <v>46246.0</v>
      </c>
      <c r="D648" s="63" t="s">
        <v>130</v>
      </c>
      <c r="E648" s="68">
        <v>0.97126149</v>
      </c>
      <c r="F648" s="1"/>
      <c r="G648" s="23">
        <v>5900000.0</v>
      </c>
      <c r="H648" s="23">
        <v>5730442.79</v>
      </c>
      <c r="I648" s="23">
        <v>5900000.0</v>
      </c>
      <c r="J648" s="23">
        <v>5730442.79</v>
      </c>
      <c r="K648" s="24">
        <v>126.0</v>
      </c>
      <c r="L648" s="1" t="s">
        <v>1776</v>
      </c>
      <c r="M648" s="1" t="s">
        <v>2128</v>
      </c>
      <c r="N648" s="63" t="s">
        <v>1428</v>
      </c>
      <c r="O648" s="63" t="s">
        <v>1428</v>
      </c>
      <c r="P648" s="68">
        <v>27.0</v>
      </c>
      <c r="Q648" s="1" t="s">
        <v>2130</v>
      </c>
      <c r="R648" s="1" t="s">
        <v>13</v>
      </c>
      <c r="S648" s="1"/>
      <c r="T648" s="1"/>
      <c r="U648" s="1" t="s">
        <v>1437</v>
      </c>
      <c r="V648" s="1" t="s">
        <v>1437</v>
      </c>
      <c r="W648" s="145">
        <f t="shared" si="1"/>
        <v>0.0001172219898</v>
      </c>
      <c r="AC648" s="38"/>
    </row>
    <row r="649" ht="15.75" customHeight="1">
      <c r="A649" s="1" t="s">
        <v>1903</v>
      </c>
      <c r="B649" s="1" t="s">
        <v>2127</v>
      </c>
      <c r="C649" s="63">
        <v>46246.0</v>
      </c>
      <c r="D649" s="63" t="s">
        <v>130</v>
      </c>
      <c r="E649" s="68">
        <v>0.97126149</v>
      </c>
      <c r="F649" s="1"/>
      <c r="G649" s="23">
        <v>5900000.0</v>
      </c>
      <c r="H649" s="23">
        <v>5730442.79</v>
      </c>
      <c r="I649" s="23">
        <v>5900000.0</v>
      </c>
      <c r="J649" s="23">
        <v>5730442.79</v>
      </c>
      <c r="K649" s="24">
        <v>125.0</v>
      </c>
      <c r="L649" s="1" t="s">
        <v>1776</v>
      </c>
      <c r="M649" s="1" t="s">
        <v>2128</v>
      </c>
      <c r="N649" s="63" t="s">
        <v>1428</v>
      </c>
      <c r="O649" s="63" t="s">
        <v>1428</v>
      </c>
      <c r="P649" s="68">
        <v>27.0</v>
      </c>
      <c r="Q649" s="1" t="s">
        <v>2130</v>
      </c>
      <c r="R649" s="1" t="s">
        <v>13</v>
      </c>
      <c r="S649" s="1"/>
      <c r="T649" s="1"/>
      <c r="U649" s="1" t="s">
        <v>1438</v>
      </c>
      <c r="V649" s="1" t="s">
        <v>1438</v>
      </c>
      <c r="W649" s="145">
        <f t="shared" si="1"/>
        <v>0.0001172219898</v>
      </c>
      <c r="AC649" s="38"/>
    </row>
    <row r="650" ht="15.75" customHeight="1">
      <c r="A650" s="1" t="s">
        <v>1933</v>
      </c>
      <c r="B650" s="1" t="s">
        <v>2127</v>
      </c>
      <c r="C650" s="63">
        <v>46246.0</v>
      </c>
      <c r="D650" s="63" t="s">
        <v>130</v>
      </c>
      <c r="E650" s="68">
        <v>0.96816982</v>
      </c>
      <c r="F650" s="1"/>
      <c r="G650" s="23">
        <v>1.0E7</v>
      </c>
      <c r="H650" s="23">
        <v>9681698.24</v>
      </c>
      <c r="I650" s="23">
        <v>1.0E7</v>
      </c>
      <c r="J650" s="23">
        <v>9681698.24</v>
      </c>
      <c r="K650" s="24">
        <v>3435966.0</v>
      </c>
      <c r="L650" s="1" t="s">
        <v>1776</v>
      </c>
      <c r="M650" s="1" t="s">
        <v>2128</v>
      </c>
      <c r="N650" s="63" t="s">
        <v>739</v>
      </c>
      <c r="O650" s="63" t="s">
        <v>739</v>
      </c>
      <c r="P650" s="68">
        <v>30.0</v>
      </c>
      <c r="Q650" s="1" t="s">
        <v>2130</v>
      </c>
      <c r="R650" s="1" t="s">
        <v>13</v>
      </c>
      <c r="S650" s="1"/>
      <c r="T650" s="1"/>
      <c r="U650" s="1" t="s">
        <v>741</v>
      </c>
      <c r="V650" s="1" t="s">
        <v>741</v>
      </c>
      <c r="W650" s="145">
        <f t="shared" si="1"/>
        <v>0.0001980489072</v>
      </c>
      <c r="AC650" s="38"/>
    </row>
    <row r="651" ht="15.75" customHeight="1">
      <c r="A651" s="1" t="s">
        <v>1951</v>
      </c>
      <c r="B651" s="1" t="s">
        <v>2127</v>
      </c>
      <c r="C651" s="63">
        <v>46246.0</v>
      </c>
      <c r="D651" s="63" t="s">
        <v>130</v>
      </c>
      <c r="E651" s="68">
        <v>0.96816983</v>
      </c>
      <c r="F651" s="1"/>
      <c r="G651" s="23">
        <v>1.68E7</v>
      </c>
      <c r="H651" s="23">
        <v>1.626525313E7</v>
      </c>
      <c r="I651" s="23">
        <v>1.68E7</v>
      </c>
      <c r="J651" s="23">
        <v>1.626525313E7</v>
      </c>
      <c r="K651" s="24">
        <v>32660.0</v>
      </c>
      <c r="L651" s="1" t="s">
        <v>1776</v>
      </c>
      <c r="M651" s="1" t="s">
        <v>2128</v>
      </c>
      <c r="N651" s="63" t="s">
        <v>676</v>
      </c>
      <c r="O651" s="63" t="s">
        <v>676</v>
      </c>
      <c r="P651" s="68">
        <v>30.0</v>
      </c>
      <c r="Q651" s="1" t="s">
        <v>2130</v>
      </c>
      <c r="R651" s="1" t="s">
        <v>13</v>
      </c>
      <c r="S651" s="1"/>
      <c r="T651" s="1"/>
      <c r="U651" s="1" t="s">
        <v>697</v>
      </c>
      <c r="V651" s="1" t="s">
        <v>697</v>
      </c>
      <c r="W651" s="145">
        <f t="shared" si="1"/>
        <v>0.0003327221658</v>
      </c>
      <c r="AC651" s="38"/>
    </row>
    <row r="652" ht="15.75" customHeight="1">
      <c r="A652" s="1" t="s">
        <v>1907</v>
      </c>
      <c r="B652" s="1" t="s">
        <v>2127</v>
      </c>
      <c r="C652" s="63">
        <v>46246.0</v>
      </c>
      <c r="D652" s="63" t="s">
        <v>130</v>
      </c>
      <c r="E652" s="68">
        <v>0.96919822</v>
      </c>
      <c r="F652" s="1"/>
      <c r="G652" s="23">
        <v>1.0E8</v>
      </c>
      <c r="H652" s="23">
        <v>9.691982158E7</v>
      </c>
      <c r="I652" s="23">
        <v>1.0E8</v>
      </c>
      <c r="J652" s="23">
        <v>9.691982158E7</v>
      </c>
      <c r="K652" s="24">
        <v>9.0003816E7</v>
      </c>
      <c r="L652" s="1" t="s">
        <v>1776</v>
      </c>
      <c r="M652" s="1" t="s">
        <v>2128</v>
      </c>
      <c r="N652" s="63" t="s">
        <v>1084</v>
      </c>
      <c r="O652" s="63" t="s">
        <v>1084</v>
      </c>
      <c r="P652" s="68">
        <v>29.0</v>
      </c>
      <c r="Q652" s="1" t="s">
        <v>2130</v>
      </c>
      <c r="R652" s="1" t="s">
        <v>13</v>
      </c>
      <c r="S652" s="1"/>
      <c r="T652" s="1"/>
      <c r="U652" s="1" t="s">
        <v>1096</v>
      </c>
      <c r="V652" s="1" t="s">
        <v>1096</v>
      </c>
      <c r="W652" s="145">
        <f t="shared" si="1"/>
        <v>0.001982592751</v>
      </c>
      <c r="AC652" s="38"/>
    </row>
    <row r="653" ht="15.75" customHeight="1">
      <c r="A653" s="1" t="s">
        <v>2055</v>
      </c>
      <c r="B653" s="1" t="s">
        <v>2127</v>
      </c>
      <c r="C653" s="63">
        <v>46246.0</v>
      </c>
      <c r="D653" s="63" t="s">
        <v>130</v>
      </c>
      <c r="E653" s="68">
        <v>0.96816982</v>
      </c>
      <c r="F653" s="1"/>
      <c r="G653" s="23">
        <v>5586280.87</v>
      </c>
      <c r="H653" s="23">
        <v>5408468.54</v>
      </c>
      <c r="I653" s="23">
        <v>5586280.87</v>
      </c>
      <c r="J653" s="23">
        <v>5408468.54</v>
      </c>
      <c r="K653" s="24">
        <v>2.9572225E7</v>
      </c>
      <c r="L653" s="1" t="s">
        <v>1776</v>
      </c>
      <c r="M653" s="1" t="s">
        <v>2128</v>
      </c>
      <c r="N653" s="63" t="s">
        <v>1488</v>
      </c>
      <c r="O653" s="63" t="s">
        <v>1488</v>
      </c>
      <c r="P653" s="68">
        <v>30.0</v>
      </c>
      <c r="Q653" s="1" t="s">
        <v>2130</v>
      </c>
      <c r="R653" s="1" t="s">
        <v>13</v>
      </c>
      <c r="S653" s="1"/>
      <c r="T653" s="1"/>
      <c r="U653" s="1" t="s">
        <v>1552</v>
      </c>
      <c r="V653" s="1" t="s">
        <v>1552</v>
      </c>
      <c r="W653" s="145">
        <f t="shared" si="1"/>
        <v>0.0001106356816</v>
      </c>
      <c r="AC653" s="38"/>
    </row>
    <row r="654" ht="15.75" customHeight="1">
      <c r="A654" s="1" t="s">
        <v>2043</v>
      </c>
      <c r="B654" s="1" t="s">
        <v>2127</v>
      </c>
      <c r="C654" s="63">
        <v>46246.0</v>
      </c>
      <c r="D654" s="63" t="s">
        <v>130</v>
      </c>
      <c r="E654" s="68">
        <v>0.96611965</v>
      </c>
      <c r="F654" s="1"/>
      <c r="G654" s="23">
        <v>2899135.68</v>
      </c>
      <c r="H654" s="23">
        <v>2800911.94</v>
      </c>
      <c r="I654" s="23">
        <v>2899135.68</v>
      </c>
      <c r="J654" s="23">
        <v>2800911.94</v>
      </c>
      <c r="K654" s="24">
        <v>6553.0</v>
      </c>
      <c r="L654" s="1" t="s">
        <v>1776</v>
      </c>
      <c r="M654" s="1" t="s">
        <v>2128</v>
      </c>
      <c r="N654" s="63" t="s">
        <v>1118</v>
      </c>
      <c r="O654" s="63" t="s">
        <v>1118</v>
      </c>
      <c r="P654" s="68">
        <v>32.0</v>
      </c>
      <c r="Q654" s="1" t="s">
        <v>2130</v>
      </c>
      <c r="R654" s="1" t="s">
        <v>13</v>
      </c>
      <c r="S654" s="1"/>
      <c r="T654" s="1"/>
      <c r="U654" s="1" t="s">
        <v>1180</v>
      </c>
      <c r="V654" s="1" t="s">
        <v>1180</v>
      </c>
      <c r="W654" s="145">
        <f t="shared" si="1"/>
        <v>0.0000572954801</v>
      </c>
      <c r="AC654" s="38"/>
    </row>
    <row r="655" ht="15.75" customHeight="1">
      <c r="A655" s="1" t="s">
        <v>2026</v>
      </c>
      <c r="B655" s="1" t="s">
        <v>2127</v>
      </c>
      <c r="C655" s="63">
        <v>46246.0</v>
      </c>
      <c r="D655" s="63" t="s">
        <v>130</v>
      </c>
      <c r="E655" s="68">
        <v>0.96611966</v>
      </c>
      <c r="F655" s="1"/>
      <c r="G655" s="23">
        <v>3300000.0</v>
      </c>
      <c r="H655" s="23">
        <v>3188194.88</v>
      </c>
      <c r="I655" s="23">
        <v>3300000.0</v>
      </c>
      <c r="J655" s="23">
        <v>3188194.88</v>
      </c>
      <c r="K655" s="24">
        <v>1.3647455E7</v>
      </c>
      <c r="L655" s="1" t="s">
        <v>1776</v>
      </c>
      <c r="M655" s="1" t="s">
        <v>2128</v>
      </c>
      <c r="N655" s="63" t="s">
        <v>1118</v>
      </c>
      <c r="O655" s="63" t="s">
        <v>1118</v>
      </c>
      <c r="P655" s="68">
        <v>32.0</v>
      </c>
      <c r="Q655" s="1" t="s">
        <v>2130</v>
      </c>
      <c r="R655" s="1" t="s">
        <v>13</v>
      </c>
      <c r="S655" s="1"/>
      <c r="T655" s="1"/>
      <c r="U655" s="1" t="s">
        <v>1194</v>
      </c>
      <c r="V655" s="1" t="s">
        <v>1194</v>
      </c>
      <c r="W655" s="145">
        <f t="shared" si="1"/>
        <v>0.00006521774344</v>
      </c>
      <c r="AC655" s="38"/>
    </row>
    <row r="656" ht="15.75" customHeight="1">
      <c r="A656" s="1" t="s">
        <v>1997</v>
      </c>
      <c r="B656" s="1" t="s">
        <v>2127</v>
      </c>
      <c r="C656" s="63">
        <v>46246.0</v>
      </c>
      <c r="D656" s="63" t="s">
        <v>130</v>
      </c>
      <c r="E656" s="68">
        <v>0.97333344</v>
      </c>
      <c r="F656" s="1"/>
      <c r="G656" s="23">
        <v>2.92E7</v>
      </c>
      <c r="H656" s="23">
        <v>2.842133658E7</v>
      </c>
      <c r="I656" s="23">
        <v>2.92E7</v>
      </c>
      <c r="J656" s="23">
        <v>2.842133658E7</v>
      </c>
      <c r="K656" s="24">
        <v>1533585.0</v>
      </c>
      <c r="L656" s="1" t="s">
        <v>1776</v>
      </c>
      <c r="M656" s="1" t="s">
        <v>2128</v>
      </c>
      <c r="N656" s="63" t="s">
        <v>1238</v>
      </c>
      <c r="O656" s="63" t="s">
        <v>1238</v>
      </c>
      <c r="P656" s="68">
        <v>25.0</v>
      </c>
      <c r="Q656" s="1" t="s">
        <v>2130</v>
      </c>
      <c r="R656" s="1" t="s">
        <v>13</v>
      </c>
      <c r="S656" s="1"/>
      <c r="T656" s="1"/>
      <c r="U656" s="1" t="s">
        <v>1239</v>
      </c>
      <c r="V656" s="1" t="s">
        <v>1239</v>
      </c>
      <c r="W656" s="145">
        <f t="shared" si="1"/>
        <v>0.0005813871194</v>
      </c>
      <c r="AC656" s="38"/>
    </row>
    <row r="657" ht="15.75" customHeight="1">
      <c r="A657" s="1" t="s">
        <v>1955</v>
      </c>
      <c r="B657" s="1" t="s">
        <v>2127</v>
      </c>
      <c r="C657" s="63">
        <v>46246.0</v>
      </c>
      <c r="D657" s="63" t="s">
        <v>130</v>
      </c>
      <c r="E657" s="68">
        <v>0.96306069</v>
      </c>
      <c r="F657" s="1"/>
      <c r="G657" s="23">
        <v>3.0E7</v>
      </c>
      <c r="H657" s="23">
        <v>2.889182067E7</v>
      </c>
      <c r="I657" s="23">
        <v>3.0E7</v>
      </c>
      <c r="J657" s="23">
        <v>2.889182067E7</v>
      </c>
      <c r="K657" s="24">
        <v>298.0</v>
      </c>
      <c r="L657" s="1" t="s">
        <v>1776</v>
      </c>
      <c r="M657" s="1" t="s">
        <v>2128</v>
      </c>
      <c r="N657" s="63" t="s">
        <v>1245</v>
      </c>
      <c r="O657" s="63" t="s">
        <v>1245</v>
      </c>
      <c r="P657" s="68">
        <v>35.0</v>
      </c>
      <c r="Q657" s="1" t="s">
        <v>2130</v>
      </c>
      <c r="R657" s="1" t="s">
        <v>13</v>
      </c>
      <c r="S657" s="1"/>
      <c r="T657" s="1"/>
      <c r="U657" s="1" t="s">
        <v>1259</v>
      </c>
      <c r="V657" s="1" t="s">
        <v>1259</v>
      </c>
      <c r="W657" s="145">
        <f t="shared" si="1"/>
        <v>0.0005910113462</v>
      </c>
      <c r="AC657" s="38"/>
    </row>
    <row r="658" ht="15.75" customHeight="1">
      <c r="A658" s="1" t="s">
        <v>1955</v>
      </c>
      <c r="B658" s="1" t="s">
        <v>2127</v>
      </c>
      <c r="C658" s="63">
        <v>46246.0</v>
      </c>
      <c r="D658" s="63" t="s">
        <v>130</v>
      </c>
      <c r="E658" s="68">
        <v>0.96306069</v>
      </c>
      <c r="F658" s="1"/>
      <c r="G658" s="23">
        <v>2.0E7</v>
      </c>
      <c r="H658" s="23">
        <v>1.926121378E7</v>
      </c>
      <c r="I658" s="23">
        <v>2.0E7</v>
      </c>
      <c r="J658" s="23">
        <v>1.926121378E7</v>
      </c>
      <c r="K658" s="24">
        <v>299.0</v>
      </c>
      <c r="L658" s="1" t="s">
        <v>1776</v>
      </c>
      <c r="M658" s="1" t="s">
        <v>2128</v>
      </c>
      <c r="N658" s="63" t="s">
        <v>1245</v>
      </c>
      <c r="O658" s="63" t="s">
        <v>1245</v>
      </c>
      <c r="P658" s="68">
        <v>35.0</v>
      </c>
      <c r="Q658" s="1" t="s">
        <v>2130</v>
      </c>
      <c r="R658" s="1" t="s">
        <v>13</v>
      </c>
      <c r="S658" s="1"/>
      <c r="T658" s="1"/>
      <c r="U658" s="1" t="s">
        <v>1260</v>
      </c>
      <c r="V658" s="1" t="s">
        <v>1260</v>
      </c>
      <c r="W658" s="145">
        <f t="shared" si="1"/>
        <v>0.0003940075641</v>
      </c>
      <c r="AC658" s="38"/>
    </row>
    <row r="659" ht="15.75" customHeight="1">
      <c r="A659" s="1" t="s">
        <v>2047</v>
      </c>
      <c r="B659" s="1" t="s">
        <v>2127</v>
      </c>
      <c r="C659" s="63">
        <v>46246.0</v>
      </c>
      <c r="D659" s="63" t="s">
        <v>130</v>
      </c>
      <c r="E659" s="68">
        <v>0.96816984</v>
      </c>
      <c r="F659" s="1"/>
      <c r="G659" s="23">
        <v>1770042.5</v>
      </c>
      <c r="H659" s="23">
        <v>1713701.76</v>
      </c>
      <c r="I659" s="23">
        <v>1770042.5</v>
      </c>
      <c r="J659" s="23">
        <v>1713701.76</v>
      </c>
      <c r="K659" s="24">
        <v>249.0</v>
      </c>
      <c r="L659" s="1" t="s">
        <v>1776</v>
      </c>
      <c r="M659" s="1" t="s">
        <v>2128</v>
      </c>
      <c r="N659" s="63" t="s">
        <v>1302</v>
      </c>
      <c r="O659" s="63" t="s">
        <v>1302</v>
      </c>
      <c r="P659" s="68">
        <v>30.0</v>
      </c>
      <c r="Q659" s="1" t="s">
        <v>2130</v>
      </c>
      <c r="R659" s="1" t="s">
        <v>13</v>
      </c>
      <c r="S659" s="1"/>
      <c r="T659" s="1"/>
      <c r="U659" s="1" t="s">
        <v>1309</v>
      </c>
      <c r="V659" s="1" t="s">
        <v>1309</v>
      </c>
      <c r="W659" s="145">
        <f t="shared" si="1"/>
        <v>0.00003505549878</v>
      </c>
      <c r="AC659" s="38"/>
    </row>
    <row r="660" ht="15.75" customHeight="1">
      <c r="A660" s="1" t="s">
        <v>2052</v>
      </c>
      <c r="B660" s="1" t="s">
        <v>2127</v>
      </c>
      <c r="C660" s="63">
        <v>46246.0</v>
      </c>
      <c r="D660" s="63" t="s">
        <v>130</v>
      </c>
      <c r="E660" s="68">
        <v>0.96816982</v>
      </c>
      <c r="F660" s="1"/>
      <c r="G660" s="23">
        <v>330000.0</v>
      </c>
      <c r="H660" s="23">
        <v>319496.04</v>
      </c>
      <c r="I660" s="23">
        <v>330000.0</v>
      </c>
      <c r="J660" s="23">
        <v>319496.04</v>
      </c>
      <c r="K660" s="24">
        <v>9918446.0</v>
      </c>
      <c r="L660" s="1" t="s">
        <v>1776</v>
      </c>
      <c r="M660" s="1" t="s">
        <v>2128</v>
      </c>
      <c r="N660" s="63" t="s">
        <v>1488</v>
      </c>
      <c r="O660" s="63" t="s">
        <v>1488</v>
      </c>
      <c r="P660" s="68">
        <v>30.0</v>
      </c>
      <c r="Q660" s="1" t="s">
        <v>2130</v>
      </c>
      <c r="R660" s="1" t="s">
        <v>13</v>
      </c>
      <c r="S660" s="1"/>
      <c r="T660" s="1"/>
      <c r="U660" s="1" t="s">
        <v>1551</v>
      </c>
      <c r="V660" s="1" t="s">
        <v>1551</v>
      </c>
      <c r="W660" s="145">
        <f t="shared" si="1"/>
        <v>0.000006535613898</v>
      </c>
      <c r="AC660" s="38"/>
    </row>
    <row r="661" ht="15.75" customHeight="1">
      <c r="A661" s="1" t="s">
        <v>1960</v>
      </c>
      <c r="B661" s="1" t="s">
        <v>2127</v>
      </c>
      <c r="C661" s="63">
        <v>46247.0</v>
      </c>
      <c r="D661" s="63" t="s">
        <v>130</v>
      </c>
      <c r="E661" s="68">
        <v>0.96950705</v>
      </c>
      <c r="F661" s="1"/>
      <c r="G661" s="23">
        <v>7000000.0</v>
      </c>
      <c r="H661" s="23">
        <v>6786549.32</v>
      </c>
      <c r="I661" s="23">
        <v>7000000.0</v>
      </c>
      <c r="J661" s="23">
        <v>6786549.32</v>
      </c>
      <c r="K661" s="24">
        <v>2.9175498E7</v>
      </c>
      <c r="L661" s="1" t="s">
        <v>1776</v>
      </c>
      <c r="M661" s="1" t="s">
        <v>2128</v>
      </c>
      <c r="N661" s="63" t="s">
        <v>676</v>
      </c>
      <c r="O661" s="63" t="s">
        <v>676</v>
      </c>
      <c r="P661" s="68">
        <v>28.0</v>
      </c>
      <c r="Q661" s="1" t="s">
        <v>2130</v>
      </c>
      <c r="R661" s="1" t="s">
        <v>13</v>
      </c>
      <c r="S661" s="1"/>
      <c r="T661" s="1"/>
      <c r="U661" s="1" t="s">
        <v>681</v>
      </c>
      <c r="V661" s="1" t="s">
        <v>681</v>
      </c>
      <c r="W661" s="145">
        <f t="shared" si="1"/>
        <v>0.0001388257146</v>
      </c>
      <c r="AC661" s="38"/>
    </row>
    <row r="662" ht="15.75" customHeight="1">
      <c r="A662" s="1" t="s">
        <v>1976</v>
      </c>
      <c r="B662" s="1" t="s">
        <v>2127</v>
      </c>
      <c r="C662" s="63">
        <v>46247.0</v>
      </c>
      <c r="D662" s="63" t="s">
        <v>130</v>
      </c>
      <c r="E662" s="68">
        <v>0.96113343</v>
      </c>
      <c r="F662" s="1"/>
      <c r="G662" s="23">
        <v>3345657.98</v>
      </c>
      <c r="H662" s="23">
        <v>3215623.74</v>
      </c>
      <c r="I662" s="23">
        <v>3345657.98</v>
      </c>
      <c r="J662" s="23">
        <v>3215623.74</v>
      </c>
      <c r="K662" s="24">
        <v>226.0</v>
      </c>
      <c r="L662" s="1" t="s">
        <v>1776</v>
      </c>
      <c r="M662" s="1" t="s">
        <v>2128</v>
      </c>
      <c r="N662" s="63" t="s">
        <v>1332</v>
      </c>
      <c r="O662" s="63" t="s">
        <v>1332</v>
      </c>
      <c r="P662" s="68">
        <v>36.0</v>
      </c>
      <c r="Q662" s="1" t="s">
        <v>2130</v>
      </c>
      <c r="R662" s="1" t="s">
        <v>13</v>
      </c>
      <c r="S662" s="1"/>
      <c r="T662" s="1"/>
      <c r="U662" s="1" t="s">
        <v>1349</v>
      </c>
      <c r="V662" s="1" t="s">
        <v>1349</v>
      </c>
      <c r="W662" s="145">
        <f t="shared" si="1"/>
        <v>0.00006577882845</v>
      </c>
      <c r="AC662" s="38"/>
    </row>
    <row r="663" ht="15.75" customHeight="1">
      <c r="A663" s="1" t="s">
        <v>1906</v>
      </c>
      <c r="B663" s="1" t="s">
        <v>2127</v>
      </c>
      <c r="C663" s="63">
        <v>46247.0</v>
      </c>
      <c r="D663" s="63" t="s">
        <v>130</v>
      </c>
      <c r="E663" s="68">
        <v>0.95906259</v>
      </c>
      <c r="F663" s="1"/>
      <c r="G663" s="23">
        <v>4.2E7</v>
      </c>
      <c r="H663" s="23">
        <v>4.028062869E7</v>
      </c>
      <c r="I663" s="23">
        <v>4.2E7</v>
      </c>
      <c r="J663" s="23">
        <v>4.028062869E7</v>
      </c>
      <c r="K663" s="24">
        <v>151337.0</v>
      </c>
      <c r="L663" s="1" t="s">
        <v>1776</v>
      </c>
      <c r="M663" s="1" t="s">
        <v>2128</v>
      </c>
      <c r="N663" s="63" t="s">
        <v>1238</v>
      </c>
      <c r="O663" s="63" t="s">
        <v>1238</v>
      </c>
      <c r="P663" s="68">
        <v>38.0</v>
      </c>
      <c r="Q663" s="1" t="s">
        <v>2130</v>
      </c>
      <c r="R663" s="1" t="s">
        <v>13</v>
      </c>
      <c r="S663" s="1"/>
      <c r="T663" s="1"/>
      <c r="U663" s="1" t="s">
        <v>1240</v>
      </c>
      <c r="V663" s="1" t="s">
        <v>1240</v>
      </c>
      <c r="W663" s="145">
        <f t="shared" si="1"/>
        <v>0.0008239809066</v>
      </c>
      <c r="AC663" s="38"/>
    </row>
    <row r="664" ht="15.75" customHeight="1">
      <c r="A664" s="1" t="s">
        <v>1961</v>
      </c>
      <c r="B664" s="1" t="s">
        <v>2127</v>
      </c>
      <c r="C664" s="63">
        <v>46247.0</v>
      </c>
      <c r="D664" s="63" t="s">
        <v>130</v>
      </c>
      <c r="E664" s="68">
        <v>0.96113344</v>
      </c>
      <c r="F664" s="1"/>
      <c r="G664" s="23">
        <v>2197564.35</v>
      </c>
      <c r="H664" s="23">
        <v>2112152.58</v>
      </c>
      <c r="I664" s="23">
        <v>2197564.35</v>
      </c>
      <c r="J664" s="23">
        <v>2112152.58</v>
      </c>
      <c r="K664" s="24">
        <v>2764.0</v>
      </c>
      <c r="L664" s="1" t="s">
        <v>1776</v>
      </c>
      <c r="M664" s="1" t="s">
        <v>2128</v>
      </c>
      <c r="N664" s="63" t="s">
        <v>1332</v>
      </c>
      <c r="O664" s="63" t="s">
        <v>1332</v>
      </c>
      <c r="P664" s="68">
        <v>36.0</v>
      </c>
      <c r="Q664" s="1" t="s">
        <v>2130</v>
      </c>
      <c r="R664" s="1" t="s">
        <v>13</v>
      </c>
      <c r="S664" s="1"/>
      <c r="T664" s="1"/>
      <c r="U664" s="1" t="s">
        <v>1366</v>
      </c>
      <c r="V664" s="1" t="s">
        <v>1366</v>
      </c>
      <c r="W664" s="145">
        <f t="shared" si="1"/>
        <v>0.00004320621237</v>
      </c>
      <c r="AC664" s="38"/>
    </row>
    <row r="665" ht="15.75" customHeight="1">
      <c r="A665" s="1" t="s">
        <v>1909</v>
      </c>
      <c r="B665" s="1" t="s">
        <v>2127</v>
      </c>
      <c r="C665" s="63">
        <v>46247.0</v>
      </c>
      <c r="D665" s="63" t="s">
        <v>130</v>
      </c>
      <c r="E665" s="68">
        <v>0.98018159</v>
      </c>
      <c r="F665" s="1"/>
      <c r="G665" s="23">
        <v>3.1E7</v>
      </c>
      <c r="H665" s="23">
        <v>3.038562929E7</v>
      </c>
      <c r="I665" s="23">
        <v>3.1E7</v>
      </c>
      <c r="J665" s="23">
        <v>3.038562929E7</v>
      </c>
      <c r="K665" s="24">
        <v>152408.0</v>
      </c>
      <c r="L665" s="1" t="s">
        <v>1776</v>
      </c>
      <c r="M665" s="1" t="s">
        <v>2128</v>
      </c>
      <c r="N665" s="63" t="s">
        <v>1084</v>
      </c>
      <c r="O665" s="63" t="s">
        <v>1084</v>
      </c>
      <c r="P665" s="68">
        <v>18.0</v>
      </c>
      <c r="Q665" s="1" t="s">
        <v>2130</v>
      </c>
      <c r="R665" s="1" t="s">
        <v>13</v>
      </c>
      <c r="S665" s="1"/>
      <c r="T665" s="1"/>
      <c r="U665" s="1" t="s">
        <v>1116</v>
      </c>
      <c r="V665" s="1" t="s">
        <v>1116</v>
      </c>
      <c r="W665" s="145">
        <f t="shared" si="1"/>
        <v>0.0006215687089</v>
      </c>
      <c r="AC665" s="38"/>
    </row>
    <row r="666" ht="15.75" customHeight="1">
      <c r="A666" s="1" t="s">
        <v>1917</v>
      </c>
      <c r="B666" s="1" t="s">
        <v>2127</v>
      </c>
      <c r="C666" s="63">
        <v>46247.0</v>
      </c>
      <c r="D666" s="63" t="s">
        <v>130</v>
      </c>
      <c r="E666" s="68">
        <v>0.96425665</v>
      </c>
      <c r="F666" s="1"/>
      <c r="G666" s="23">
        <v>1.0E7</v>
      </c>
      <c r="H666" s="23">
        <v>9642566.48</v>
      </c>
      <c r="I666" s="23">
        <v>1.0E7</v>
      </c>
      <c r="J666" s="23">
        <v>9642566.48</v>
      </c>
      <c r="K666" s="24">
        <v>663.0</v>
      </c>
      <c r="L666" s="1" t="s">
        <v>1776</v>
      </c>
      <c r="M666" s="1" t="s">
        <v>2128</v>
      </c>
      <c r="N666" s="63" t="s">
        <v>1381</v>
      </c>
      <c r="O666" s="63" t="s">
        <v>1381</v>
      </c>
      <c r="P666" s="68">
        <v>33.0</v>
      </c>
      <c r="Q666" s="1" t="s">
        <v>2130</v>
      </c>
      <c r="R666" s="1" t="s">
        <v>13</v>
      </c>
      <c r="S666" s="1"/>
      <c r="T666" s="1"/>
      <c r="U666" s="1" t="s">
        <v>1393</v>
      </c>
      <c r="V666" s="1" t="s">
        <v>1393</v>
      </c>
      <c r="W666" s="145">
        <f t="shared" si="1"/>
        <v>0.0001972484275</v>
      </c>
      <c r="AC666" s="38"/>
    </row>
    <row r="667" ht="15.75" customHeight="1">
      <c r="A667" s="1" t="s">
        <v>1917</v>
      </c>
      <c r="B667" s="1" t="s">
        <v>2127</v>
      </c>
      <c r="C667" s="63">
        <v>46247.0</v>
      </c>
      <c r="D667" s="63" t="s">
        <v>130</v>
      </c>
      <c r="E667" s="68">
        <v>0.96739995</v>
      </c>
      <c r="F667" s="1"/>
      <c r="G667" s="23">
        <v>1.0E7</v>
      </c>
      <c r="H667" s="23">
        <v>9673999.53</v>
      </c>
      <c r="I667" s="23">
        <v>1.0E7</v>
      </c>
      <c r="J667" s="23">
        <v>9673999.53</v>
      </c>
      <c r="K667" s="24">
        <v>668.0</v>
      </c>
      <c r="L667" s="1" t="s">
        <v>1776</v>
      </c>
      <c r="M667" s="1" t="s">
        <v>2128</v>
      </c>
      <c r="N667" s="63" t="s">
        <v>1399</v>
      </c>
      <c r="O667" s="63" t="s">
        <v>1399</v>
      </c>
      <c r="P667" s="68">
        <v>30.0</v>
      </c>
      <c r="Q667" s="1" t="s">
        <v>2130</v>
      </c>
      <c r="R667" s="1" t="s">
        <v>13</v>
      </c>
      <c r="S667" s="1"/>
      <c r="T667" s="1"/>
      <c r="U667" s="1" t="s">
        <v>1400</v>
      </c>
      <c r="V667" s="1" t="s">
        <v>1400</v>
      </c>
      <c r="W667" s="145">
        <f t="shared" si="1"/>
        <v>0.0001978914223</v>
      </c>
      <c r="AC667" s="38"/>
    </row>
    <row r="668" ht="15.75" customHeight="1">
      <c r="A668" s="1" t="s">
        <v>1937</v>
      </c>
      <c r="B668" s="1" t="s">
        <v>2127</v>
      </c>
      <c r="C668" s="63">
        <v>46247.0</v>
      </c>
      <c r="D668" s="63" t="s">
        <v>130</v>
      </c>
      <c r="E668" s="68">
        <v>0.96530209</v>
      </c>
      <c r="F668" s="1"/>
      <c r="G668" s="23">
        <v>5.0E7</v>
      </c>
      <c r="H668" s="23">
        <v>4.826510443E7</v>
      </c>
      <c r="I668" s="23">
        <v>5.0E7</v>
      </c>
      <c r="J668" s="23">
        <v>4.826510443E7</v>
      </c>
      <c r="K668" s="24">
        <v>4633.0</v>
      </c>
      <c r="L668" s="1" t="s">
        <v>1776</v>
      </c>
      <c r="M668" s="1" t="s">
        <v>2128</v>
      </c>
      <c r="N668" s="63" t="s">
        <v>748</v>
      </c>
      <c r="O668" s="63" t="s">
        <v>748</v>
      </c>
      <c r="P668" s="68">
        <v>32.0</v>
      </c>
      <c r="Q668" s="1" t="s">
        <v>2130</v>
      </c>
      <c r="R668" s="1" t="s">
        <v>13</v>
      </c>
      <c r="S668" s="1"/>
      <c r="T668" s="1"/>
      <c r="U668" s="1" t="s">
        <v>761</v>
      </c>
      <c r="V668" s="1" t="s">
        <v>761</v>
      </c>
      <c r="W668" s="145">
        <f t="shared" si="1"/>
        <v>0.0009873114149</v>
      </c>
      <c r="AC668" s="38"/>
    </row>
    <row r="669" ht="15.75" customHeight="1">
      <c r="A669" s="1" t="s">
        <v>1964</v>
      </c>
      <c r="B669" s="1" t="s">
        <v>2127</v>
      </c>
      <c r="C669" s="63">
        <v>46247.0</v>
      </c>
      <c r="D669" s="63" t="s">
        <v>130</v>
      </c>
      <c r="E669" s="68">
        <v>0.96217217</v>
      </c>
      <c r="F669" s="1"/>
      <c r="G669" s="23">
        <v>1.0E7</v>
      </c>
      <c r="H669" s="23">
        <v>9621721.67</v>
      </c>
      <c r="I669" s="23">
        <v>1.0E7</v>
      </c>
      <c r="J669" s="23">
        <v>9621721.67</v>
      </c>
      <c r="K669" s="24">
        <v>254.0</v>
      </c>
      <c r="L669" s="1" t="s">
        <v>1776</v>
      </c>
      <c r="M669" s="1" t="s">
        <v>2128</v>
      </c>
      <c r="N669" s="63" t="s">
        <v>628</v>
      </c>
      <c r="O669" s="63" t="s">
        <v>628</v>
      </c>
      <c r="P669" s="68">
        <v>35.0</v>
      </c>
      <c r="Q669" s="1" t="s">
        <v>2130</v>
      </c>
      <c r="R669" s="1" t="s">
        <v>13</v>
      </c>
      <c r="S669" s="1"/>
      <c r="T669" s="1"/>
      <c r="U669" s="1" t="s">
        <v>672</v>
      </c>
      <c r="V669" s="1" t="s">
        <v>672</v>
      </c>
      <c r="W669" s="145">
        <f t="shared" si="1"/>
        <v>0.0001968220259</v>
      </c>
      <c r="AC669" s="38"/>
    </row>
    <row r="670" ht="15.75" customHeight="1">
      <c r="A670" s="1" t="s">
        <v>1949</v>
      </c>
      <c r="B670" s="1" t="s">
        <v>2127</v>
      </c>
      <c r="C670" s="63">
        <v>46247.0</v>
      </c>
      <c r="D670" s="63" t="s">
        <v>130</v>
      </c>
      <c r="E670" s="68">
        <v>0.96217216</v>
      </c>
      <c r="F670" s="1"/>
      <c r="G670" s="23">
        <v>1.5E7</v>
      </c>
      <c r="H670" s="23">
        <v>1.443258242E7</v>
      </c>
      <c r="I670" s="23">
        <v>1.5E7</v>
      </c>
      <c r="J670" s="23">
        <v>1.443258242E7</v>
      </c>
      <c r="K670" s="24">
        <v>4182.0</v>
      </c>
      <c r="L670" s="1" t="s">
        <v>1776</v>
      </c>
      <c r="M670" s="1" t="s">
        <v>2128</v>
      </c>
      <c r="N670" s="63" t="s">
        <v>815</v>
      </c>
      <c r="O670" s="63" t="s">
        <v>815</v>
      </c>
      <c r="P670" s="68">
        <v>35.0</v>
      </c>
      <c r="Q670" s="1" t="s">
        <v>2130</v>
      </c>
      <c r="R670" s="1" t="s">
        <v>13</v>
      </c>
      <c r="S670" s="1"/>
      <c r="T670" s="1"/>
      <c r="U670" s="1" t="s">
        <v>825</v>
      </c>
      <c r="V670" s="1" t="s">
        <v>825</v>
      </c>
      <c r="W670" s="145">
        <f t="shared" si="1"/>
        <v>0.0002952330371</v>
      </c>
      <c r="AC670" s="38"/>
    </row>
    <row r="671" ht="15.75" customHeight="1">
      <c r="A671" s="1" t="s">
        <v>1991</v>
      </c>
      <c r="B671" s="1" t="s">
        <v>2127</v>
      </c>
      <c r="C671" s="63">
        <v>46247.0</v>
      </c>
      <c r="D671" s="63" t="s">
        <v>130</v>
      </c>
      <c r="E671" s="68">
        <v>0.96425656</v>
      </c>
      <c r="F671" s="1"/>
      <c r="G671" s="23">
        <v>2200000.0</v>
      </c>
      <c r="H671" s="23">
        <v>2121364.44</v>
      </c>
      <c r="I671" s="23">
        <v>2200000.0</v>
      </c>
      <c r="J671" s="23">
        <v>2121364.44</v>
      </c>
      <c r="K671" s="24">
        <v>6187.0</v>
      </c>
      <c r="L671" s="1" t="s">
        <v>1776</v>
      </c>
      <c r="M671" s="1" t="s">
        <v>2128</v>
      </c>
      <c r="N671" s="63" t="s">
        <v>1084</v>
      </c>
      <c r="O671" s="63" t="s">
        <v>1084</v>
      </c>
      <c r="P671" s="68">
        <v>33.0</v>
      </c>
      <c r="Q671" s="1" t="s">
        <v>2130</v>
      </c>
      <c r="R671" s="1" t="s">
        <v>13</v>
      </c>
      <c r="S671" s="1"/>
      <c r="T671" s="1"/>
      <c r="U671" s="1" t="s">
        <v>1100</v>
      </c>
      <c r="V671" s="1" t="s">
        <v>1100</v>
      </c>
      <c r="W671" s="145">
        <f t="shared" si="1"/>
        <v>0.00004339465026</v>
      </c>
      <c r="AC671" s="38"/>
    </row>
    <row r="672" ht="15.75" customHeight="1">
      <c r="A672" s="1" t="s">
        <v>1939</v>
      </c>
      <c r="B672" s="1" t="s">
        <v>2127</v>
      </c>
      <c r="C672" s="63">
        <v>46247.0</v>
      </c>
      <c r="D672" s="63" t="s">
        <v>130</v>
      </c>
      <c r="E672" s="68">
        <v>0.96217219</v>
      </c>
      <c r="F672" s="1"/>
      <c r="G672" s="23">
        <v>2.5E7</v>
      </c>
      <c r="H672" s="23">
        <v>2.405430484E7</v>
      </c>
      <c r="I672" s="23">
        <v>2.5E7</v>
      </c>
      <c r="J672" s="23">
        <v>2.405430484E7</v>
      </c>
      <c r="K672" s="24">
        <v>1309.0</v>
      </c>
      <c r="L672" s="1" t="s">
        <v>1776</v>
      </c>
      <c r="M672" s="1" t="s">
        <v>2128</v>
      </c>
      <c r="N672" s="63" t="s">
        <v>360</v>
      </c>
      <c r="O672" s="63" t="s">
        <v>360</v>
      </c>
      <c r="P672" s="68">
        <v>35.0</v>
      </c>
      <c r="Q672" s="1" t="s">
        <v>2130</v>
      </c>
      <c r="R672" s="1" t="s">
        <v>13</v>
      </c>
      <c r="S672" s="1"/>
      <c r="T672" s="1"/>
      <c r="U672" s="1" t="s">
        <v>399</v>
      </c>
      <c r="V672" s="1" t="s">
        <v>399</v>
      </c>
      <c r="W672" s="145">
        <f t="shared" si="1"/>
        <v>0.0004920550784</v>
      </c>
      <c r="AC672" s="38"/>
    </row>
    <row r="673" ht="15.75" customHeight="1">
      <c r="A673" s="1" t="s">
        <v>1942</v>
      </c>
      <c r="B673" s="1" t="s">
        <v>2127</v>
      </c>
      <c r="C673" s="63">
        <v>46247.0</v>
      </c>
      <c r="D673" s="63" t="s">
        <v>130</v>
      </c>
      <c r="E673" s="68">
        <v>0.97056405</v>
      </c>
      <c r="F673" s="1"/>
      <c r="G673" s="23">
        <v>1.5E8</v>
      </c>
      <c r="H673" s="23">
        <v>1.4558460734E8</v>
      </c>
      <c r="I673" s="23">
        <v>1.5E8</v>
      </c>
      <c r="J673" s="23">
        <v>1.4558460734E8</v>
      </c>
      <c r="K673" s="24">
        <v>67981.0</v>
      </c>
      <c r="L673" s="1" t="s">
        <v>1776</v>
      </c>
      <c r="M673" s="1" t="s">
        <v>2128</v>
      </c>
      <c r="N673" s="63" t="s">
        <v>748</v>
      </c>
      <c r="O673" s="63" t="s">
        <v>748</v>
      </c>
      <c r="P673" s="68">
        <v>27.0</v>
      </c>
      <c r="Q673" s="1" t="s">
        <v>2130</v>
      </c>
      <c r="R673" s="1" t="s">
        <v>13</v>
      </c>
      <c r="S673" s="1"/>
      <c r="T673" s="1"/>
      <c r="U673" s="1" t="s">
        <v>750</v>
      </c>
      <c r="V673" s="1" t="s">
        <v>750</v>
      </c>
      <c r="W673" s="145">
        <f t="shared" si="1"/>
        <v>0.002978080051</v>
      </c>
      <c r="AC673" s="38"/>
    </row>
    <row r="674" ht="15.75" customHeight="1">
      <c r="A674" s="1" t="s">
        <v>1926</v>
      </c>
      <c r="B674" s="1" t="s">
        <v>2127</v>
      </c>
      <c r="C674" s="63">
        <v>46247.0</v>
      </c>
      <c r="D674" s="63" t="s">
        <v>130</v>
      </c>
      <c r="E674" s="68">
        <v>0.96845234</v>
      </c>
      <c r="F674" s="1"/>
      <c r="G674" s="23">
        <v>5000000.0</v>
      </c>
      <c r="H674" s="23">
        <v>4842261.71</v>
      </c>
      <c r="I674" s="23">
        <v>5000000.0</v>
      </c>
      <c r="J674" s="23">
        <v>4842261.71</v>
      </c>
      <c r="K674" s="24">
        <v>6879.0</v>
      </c>
      <c r="L674" s="1" t="s">
        <v>1776</v>
      </c>
      <c r="M674" s="1" t="s">
        <v>2128</v>
      </c>
      <c r="N674" s="63" t="s">
        <v>446</v>
      </c>
      <c r="O674" s="63" t="s">
        <v>446</v>
      </c>
      <c r="P674" s="68">
        <v>29.0</v>
      </c>
      <c r="Q674" s="1" t="s">
        <v>2130</v>
      </c>
      <c r="R674" s="1" t="s">
        <v>13</v>
      </c>
      <c r="S674" s="1"/>
      <c r="T674" s="1"/>
      <c r="U674" s="1" t="s">
        <v>459</v>
      </c>
      <c r="V674" s="1" t="s">
        <v>459</v>
      </c>
      <c r="W674" s="145">
        <f t="shared" si="1"/>
        <v>0.00009905334955</v>
      </c>
      <c r="AC674" s="38"/>
    </row>
    <row r="675" ht="15.75" customHeight="1">
      <c r="A675" s="1" t="s">
        <v>1953</v>
      </c>
      <c r="B675" s="1" t="s">
        <v>2127</v>
      </c>
      <c r="C675" s="63">
        <v>46248.0</v>
      </c>
      <c r="D675" s="63" t="s">
        <v>130</v>
      </c>
      <c r="E675" s="68">
        <v>0.96770775</v>
      </c>
      <c r="F675" s="1"/>
      <c r="G675" s="23">
        <v>4.2E7</v>
      </c>
      <c r="H675" s="23">
        <v>4.064372539E7</v>
      </c>
      <c r="I675" s="23">
        <v>4.2E7</v>
      </c>
      <c r="J675" s="23">
        <v>4.064372539E7</v>
      </c>
      <c r="K675" s="24">
        <v>7578.0</v>
      </c>
      <c r="L675" s="1" t="s">
        <v>1776</v>
      </c>
      <c r="M675" s="1" t="s">
        <v>2128</v>
      </c>
      <c r="N675" s="63" t="s">
        <v>360</v>
      </c>
      <c r="O675" s="63" t="s">
        <v>360</v>
      </c>
      <c r="P675" s="68">
        <v>29.0</v>
      </c>
      <c r="Q675" s="1" t="s">
        <v>2130</v>
      </c>
      <c r="R675" s="1" t="s">
        <v>13</v>
      </c>
      <c r="S675" s="1"/>
      <c r="T675" s="1"/>
      <c r="U675" s="1" t="s">
        <v>372</v>
      </c>
      <c r="V675" s="1" t="s">
        <v>372</v>
      </c>
      <c r="W675" s="145">
        <f t="shared" si="1"/>
        <v>0.000831408416</v>
      </c>
      <c r="AC675" s="38"/>
    </row>
    <row r="676" ht="15.75" customHeight="1">
      <c r="A676" s="1" t="s">
        <v>1953</v>
      </c>
      <c r="B676" s="1" t="s">
        <v>2127</v>
      </c>
      <c r="C676" s="63">
        <v>46248.0</v>
      </c>
      <c r="D676" s="63" t="s">
        <v>130</v>
      </c>
      <c r="E676" s="68">
        <v>0.97750411</v>
      </c>
      <c r="F676" s="1"/>
      <c r="G676" s="23">
        <v>2500000.0</v>
      </c>
      <c r="H676" s="23">
        <v>2443760.28</v>
      </c>
      <c r="I676" s="23">
        <v>2500000.0</v>
      </c>
      <c r="J676" s="23">
        <v>2443760.28</v>
      </c>
      <c r="K676" s="24">
        <v>6133.0</v>
      </c>
      <c r="L676" s="1" t="s">
        <v>1776</v>
      </c>
      <c r="M676" s="1" t="s">
        <v>2128</v>
      </c>
      <c r="N676" s="63" t="s">
        <v>946</v>
      </c>
      <c r="O676" s="63" t="s">
        <v>946</v>
      </c>
      <c r="P676" s="68">
        <v>20.0</v>
      </c>
      <c r="Q676" s="1" t="s">
        <v>2130</v>
      </c>
      <c r="R676" s="1" t="s">
        <v>13</v>
      </c>
      <c r="S676" s="1"/>
      <c r="T676" s="1"/>
      <c r="U676" s="1" t="s">
        <v>966</v>
      </c>
      <c r="V676" s="1" t="s">
        <v>966</v>
      </c>
      <c r="W676" s="145">
        <f t="shared" si="1"/>
        <v>0.0000499895825</v>
      </c>
      <c r="AC676" s="38"/>
    </row>
    <row r="677" ht="15.75" customHeight="1">
      <c r="A677" s="1" t="s">
        <v>1975</v>
      </c>
      <c r="B677" s="1" t="s">
        <v>2127</v>
      </c>
      <c r="C677" s="63">
        <v>46248.0</v>
      </c>
      <c r="D677" s="63" t="s">
        <v>130</v>
      </c>
      <c r="E677" s="68">
        <v>0.95810588</v>
      </c>
      <c r="F677" s="1"/>
      <c r="G677" s="23">
        <v>4957711.81</v>
      </c>
      <c r="H677" s="23">
        <v>4750012.82</v>
      </c>
      <c r="I677" s="23">
        <v>4957711.81</v>
      </c>
      <c r="J677" s="23">
        <v>4750012.82</v>
      </c>
      <c r="K677" s="24">
        <v>591.0</v>
      </c>
      <c r="L677" s="1" t="s">
        <v>1776</v>
      </c>
      <c r="M677" s="1" t="s">
        <v>2128</v>
      </c>
      <c r="N677" s="63" t="s">
        <v>543</v>
      </c>
      <c r="O677" s="63" t="s">
        <v>543</v>
      </c>
      <c r="P677" s="68">
        <v>38.0</v>
      </c>
      <c r="Q677" s="1" t="s">
        <v>2130</v>
      </c>
      <c r="R677" s="1" t="s">
        <v>13</v>
      </c>
      <c r="S677" s="1"/>
      <c r="T677" s="1"/>
      <c r="U677" s="1" t="s">
        <v>564</v>
      </c>
      <c r="V677" s="1" t="s">
        <v>564</v>
      </c>
      <c r="W677" s="145">
        <f t="shared" si="1"/>
        <v>0.00009716630541</v>
      </c>
      <c r="AC677" s="38"/>
    </row>
    <row r="678" ht="15.75" customHeight="1">
      <c r="A678" s="1" t="s">
        <v>1976</v>
      </c>
      <c r="B678" s="1" t="s">
        <v>2127</v>
      </c>
      <c r="C678" s="63">
        <v>46248.0</v>
      </c>
      <c r="D678" s="63" t="s">
        <v>130</v>
      </c>
      <c r="E678" s="68">
        <v>0.96022311</v>
      </c>
      <c r="F678" s="1"/>
      <c r="G678" s="23">
        <v>3345657.98</v>
      </c>
      <c r="H678" s="23">
        <v>3212578.1</v>
      </c>
      <c r="I678" s="23">
        <v>3345657.98</v>
      </c>
      <c r="J678" s="23">
        <v>3212578.1</v>
      </c>
      <c r="K678" s="24">
        <v>227.0</v>
      </c>
      <c r="L678" s="1" t="s">
        <v>1776</v>
      </c>
      <c r="M678" s="1" t="s">
        <v>2128</v>
      </c>
      <c r="N678" s="63" t="s">
        <v>1332</v>
      </c>
      <c r="O678" s="63" t="s">
        <v>1332</v>
      </c>
      <c r="P678" s="68">
        <v>36.0</v>
      </c>
      <c r="Q678" s="1" t="s">
        <v>2130</v>
      </c>
      <c r="R678" s="1" t="s">
        <v>13</v>
      </c>
      <c r="S678" s="1"/>
      <c r="T678" s="1"/>
      <c r="U678" s="1" t="s">
        <v>1350</v>
      </c>
      <c r="V678" s="1" t="s">
        <v>1350</v>
      </c>
      <c r="W678" s="145">
        <f t="shared" si="1"/>
        <v>0.00006571652681</v>
      </c>
      <c r="AC678" s="38"/>
    </row>
    <row r="679" ht="15.75" customHeight="1">
      <c r="A679" s="1" t="s">
        <v>1906</v>
      </c>
      <c r="B679" s="1" t="s">
        <v>2127</v>
      </c>
      <c r="C679" s="63">
        <v>46248.0</v>
      </c>
      <c r="D679" s="63" t="s">
        <v>130</v>
      </c>
      <c r="E679" s="68">
        <v>0.95810588</v>
      </c>
      <c r="F679" s="1"/>
      <c r="G679" s="23">
        <v>4.2E7</v>
      </c>
      <c r="H679" s="23">
        <v>4.024044701E7</v>
      </c>
      <c r="I679" s="23">
        <v>4.2E7</v>
      </c>
      <c r="J679" s="23">
        <v>4.024044701E7</v>
      </c>
      <c r="K679" s="24">
        <v>151338.0</v>
      </c>
      <c r="L679" s="1" t="s">
        <v>1776</v>
      </c>
      <c r="M679" s="1" t="s">
        <v>2128</v>
      </c>
      <c r="N679" s="63" t="s">
        <v>1238</v>
      </c>
      <c r="O679" s="63" t="s">
        <v>1238</v>
      </c>
      <c r="P679" s="68">
        <v>38.0</v>
      </c>
      <c r="Q679" s="1" t="s">
        <v>2130</v>
      </c>
      <c r="R679" s="1" t="s">
        <v>13</v>
      </c>
      <c r="S679" s="1"/>
      <c r="T679" s="1"/>
      <c r="U679" s="1" t="s">
        <v>1241</v>
      </c>
      <c r="V679" s="1" t="s">
        <v>1241</v>
      </c>
      <c r="W679" s="145">
        <f t="shared" si="1"/>
        <v>0.0008231589497</v>
      </c>
      <c r="AC679" s="38"/>
    </row>
    <row r="680" ht="15.75" customHeight="1">
      <c r="A680" s="1" t="s">
        <v>1961</v>
      </c>
      <c r="B680" s="1" t="s">
        <v>2127</v>
      </c>
      <c r="C680" s="63">
        <v>46248.0</v>
      </c>
      <c r="D680" s="63" t="s">
        <v>130</v>
      </c>
      <c r="E680" s="68">
        <v>0.96022312</v>
      </c>
      <c r="F680" s="1"/>
      <c r="G680" s="23">
        <v>2197564.35</v>
      </c>
      <c r="H680" s="23">
        <v>2110152.09</v>
      </c>
      <c r="I680" s="23">
        <v>2197564.35</v>
      </c>
      <c r="J680" s="23">
        <v>2110152.09</v>
      </c>
      <c r="K680" s="24">
        <v>2765.0</v>
      </c>
      <c r="L680" s="1" t="s">
        <v>1776</v>
      </c>
      <c r="M680" s="1" t="s">
        <v>2128</v>
      </c>
      <c r="N680" s="63" t="s">
        <v>1332</v>
      </c>
      <c r="O680" s="63" t="s">
        <v>1332</v>
      </c>
      <c r="P680" s="68">
        <v>36.0</v>
      </c>
      <c r="Q680" s="1" t="s">
        <v>2130</v>
      </c>
      <c r="R680" s="1" t="s">
        <v>13</v>
      </c>
      <c r="S680" s="1"/>
      <c r="T680" s="1"/>
      <c r="U680" s="1" t="s">
        <v>1356</v>
      </c>
      <c r="V680" s="1" t="s">
        <v>1356</v>
      </c>
      <c r="W680" s="145">
        <f t="shared" si="1"/>
        <v>0.00004316529033</v>
      </c>
      <c r="AC680" s="38"/>
    </row>
    <row r="681" ht="15.75" customHeight="1">
      <c r="A681" s="1" t="s">
        <v>1917</v>
      </c>
      <c r="B681" s="1" t="s">
        <v>2127</v>
      </c>
      <c r="C681" s="63">
        <v>46248.0</v>
      </c>
      <c r="D681" s="63" t="s">
        <v>130</v>
      </c>
      <c r="E681" s="68">
        <v>0.96663152</v>
      </c>
      <c r="F681" s="1"/>
      <c r="G681" s="23">
        <v>1.0E7</v>
      </c>
      <c r="H681" s="23">
        <v>9666315.23</v>
      </c>
      <c r="I681" s="23">
        <v>1.0E7</v>
      </c>
      <c r="J681" s="23">
        <v>9666315.23</v>
      </c>
      <c r="K681" s="24">
        <v>635.0</v>
      </c>
      <c r="L681" s="1" t="s">
        <v>1776</v>
      </c>
      <c r="M681" s="1" t="s">
        <v>2128</v>
      </c>
      <c r="N681" s="63" t="s">
        <v>1302</v>
      </c>
      <c r="O681" s="63" t="s">
        <v>1302</v>
      </c>
      <c r="P681" s="68">
        <v>30.0</v>
      </c>
      <c r="Q681" s="1" t="s">
        <v>2130</v>
      </c>
      <c r="R681" s="1" t="s">
        <v>13</v>
      </c>
      <c r="S681" s="1"/>
      <c r="T681" s="1"/>
      <c r="U681" s="1" t="s">
        <v>1318</v>
      </c>
      <c r="V681" s="1" t="s">
        <v>1318</v>
      </c>
      <c r="W681" s="145">
        <f t="shared" si="1"/>
        <v>0.0001977342322</v>
      </c>
      <c r="AC681" s="38"/>
    </row>
    <row r="682" ht="15.75" customHeight="1">
      <c r="A682" s="1" t="s">
        <v>1917</v>
      </c>
      <c r="B682" s="1" t="s">
        <v>2127</v>
      </c>
      <c r="C682" s="63">
        <v>46248.0</v>
      </c>
      <c r="D682" s="63" t="s">
        <v>130</v>
      </c>
      <c r="E682" s="68">
        <v>0.96663153</v>
      </c>
      <c r="F682" s="1"/>
      <c r="G682" s="23">
        <v>5000000.0</v>
      </c>
      <c r="H682" s="23">
        <v>4833157.63</v>
      </c>
      <c r="I682" s="23">
        <v>5000000.0</v>
      </c>
      <c r="J682" s="23">
        <v>4833157.63</v>
      </c>
      <c r="K682" s="24">
        <v>640.0</v>
      </c>
      <c r="L682" s="1" t="s">
        <v>1776</v>
      </c>
      <c r="M682" s="1" t="s">
        <v>2128</v>
      </c>
      <c r="N682" s="63" t="s">
        <v>1302</v>
      </c>
      <c r="O682" s="63" t="s">
        <v>1302</v>
      </c>
      <c r="P682" s="68">
        <v>30.0</v>
      </c>
      <c r="Q682" s="1" t="s">
        <v>2130</v>
      </c>
      <c r="R682" s="1" t="s">
        <v>13</v>
      </c>
      <c r="S682" s="1"/>
      <c r="T682" s="1"/>
      <c r="U682" s="1" t="s">
        <v>1319</v>
      </c>
      <c r="V682" s="1" t="s">
        <v>1319</v>
      </c>
      <c r="W682" s="145">
        <f t="shared" si="1"/>
        <v>0.0000988671164</v>
      </c>
      <c r="AC682" s="38"/>
    </row>
    <row r="683" ht="15.75" customHeight="1">
      <c r="A683" s="1" t="s">
        <v>1917</v>
      </c>
      <c r="B683" s="1" t="s">
        <v>2127</v>
      </c>
      <c r="C683" s="63">
        <v>46248.0</v>
      </c>
      <c r="D683" s="63" t="s">
        <v>130</v>
      </c>
      <c r="E683" s="68">
        <v>0.96663136</v>
      </c>
      <c r="F683" s="1"/>
      <c r="G683" s="23">
        <v>1.0E7</v>
      </c>
      <c r="H683" s="23">
        <v>9666313.56</v>
      </c>
      <c r="I683" s="23">
        <v>1.0E7</v>
      </c>
      <c r="J683" s="23">
        <v>9666313.56</v>
      </c>
      <c r="K683" s="24">
        <v>575.0</v>
      </c>
      <c r="L683" s="1" t="s">
        <v>1776</v>
      </c>
      <c r="M683" s="1" t="s">
        <v>2128</v>
      </c>
      <c r="N683" s="63" t="s">
        <v>1048</v>
      </c>
      <c r="O683" s="63" t="s">
        <v>1048</v>
      </c>
      <c r="P683" s="68">
        <v>30.0</v>
      </c>
      <c r="Q683" s="1" t="s">
        <v>2130</v>
      </c>
      <c r="R683" s="1" t="s">
        <v>13</v>
      </c>
      <c r="S683" s="1"/>
      <c r="T683" s="1"/>
      <c r="U683" s="1" t="s">
        <v>1047</v>
      </c>
      <c r="V683" s="1" t="s">
        <v>1047</v>
      </c>
      <c r="W683" s="145">
        <f t="shared" si="1"/>
        <v>0.000197734198</v>
      </c>
      <c r="AC683" s="38"/>
    </row>
    <row r="684" ht="15.75" customHeight="1">
      <c r="A684" s="1" t="s">
        <v>1929</v>
      </c>
      <c r="B684" s="1" t="s">
        <v>2127</v>
      </c>
      <c r="C684" s="63">
        <v>46248.0</v>
      </c>
      <c r="D684" s="63" t="s">
        <v>130</v>
      </c>
      <c r="E684" s="68">
        <v>0.96128536</v>
      </c>
      <c r="F684" s="1"/>
      <c r="G684" s="23">
        <v>1.0E8</v>
      </c>
      <c r="H684" s="23">
        <v>9.612853623E7</v>
      </c>
      <c r="I684" s="23">
        <v>1.0E8</v>
      </c>
      <c r="J684" s="23">
        <v>9.612853623E7</v>
      </c>
      <c r="K684" s="24">
        <v>2763.0</v>
      </c>
      <c r="L684" s="1" t="s">
        <v>1776</v>
      </c>
      <c r="M684" s="1" t="s">
        <v>2128</v>
      </c>
      <c r="N684" s="63" t="s">
        <v>815</v>
      </c>
      <c r="O684" s="63" t="s">
        <v>815</v>
      </c>
      <c r="P684" s="68">
        <v>35.0</v>
      </c>
      <c r="Q684" s="1" t="s">
        <v>2130</v>
      </c>
      <c r="R684" s="1" t="s">
        <v>13</v>
      </c>
      <c r="S684" s="1"/>
      <c r="T684" s="1"/>
      <c r="U684" s="1" t="s">
        <v>819</v>
      </c>
      <c r="V684" s="1" t="s">
        <v>819</v>
      </c>
      <c r="W684" s="145">
        <f t="shared" si="1"/>
        <v>0.001966406211</v>
      </c>
      <c r="AC684" s="38"/>
    </row>
    <row r="685" ht="15.75" customHeight="1">
      <c r="A685" s="1" t="s">
        <v>1991</v>
      </c>
      <c r="B685" s="1" t="s">
        <v>2127</v>
      </c>
      <c r="C685" s="63">
        <v>46248.0</v>
      </c>
      <c r="D685" s="63" t="s">
        <v>130</v>
      </c>
      <c r="E685" s="68">
        <v>0.96341661</v>
      </c>
      <c r="F685" s="1"/>
      <c r="G685" s="23">
        <v>2200000.0</v>
      </c>
      <c r="H685" s="23">
        <v>2119516.55</v>
      </c>
      <c r="I685" s="23">
        <v>2200000.0</v>
      </c>
      <c r="J685" s="23">
        <v>2119516.55</v>
      </c>
      <c r="K685" s="24">
        <v>6188.0</v>
      </c>
      <c r="L685" s="1" t="s">
        <v>1776</v>
      </c>
      <c r="M685" s="1" t="s">
        <v>2128</v>
      </c>
      <c r="N685" s="63" t="s">
        <v>1084</v>
      </c>
      <c r="O685" s="63" t="s">
        <v>1084</v>
      </c>
      <c r="P685" s="68">
        <v>33.0</v>
      </c>
      <c r="Q685" s="1" t="s">
        <v>2130</v>
      </c>
      <c r="R685" s="1" t="s">
        <v>13</v>
      </c>
      <c r="S685" s="1"/>
      <c r="T685" s="1"/>
      <c r="U685" s="1" t="s">
        <v>1110</v>
      </c>
      <c r="V685" s="1" t="s">
        <v>1110</v>
      </c>
      <c r="W685" s="145">
        <f t="shared" si="1"/>
        <v>0.00004335684981</v>
      </c>
      <c r="AC685" s="38"/>
    </row>
    <row r="686" ht="15.75" customHeight="1">
      <c r="A686" s="1" t="s">
        <v>1989</v>
      </c>
      <c r="B686" s="1" t="s">
        <v>2127</v>
      </c>
      <c r="C686" s="63">
        <v>46248.0</v>
      </c>
      <c r="D686" s="63" t="s">
        <v>130</v>
      </c>
      <c r="E686" s="68">
        <v>0.96663138</v>
      </c>
      <c r="F686" s="1"/>
      <c r="G686" s="23">
        <v>2700000.0</v>
      </c>
      <c r="H686" s="23">
        <v>2609904.72</v>
      </c>
      <c r="I686" s="23">
        <v>2700000.0</v>
      </c>
      <c r="J686" s="23">
        <v>2609904.72</v>
      </c>
      <c r="K686" s="24">
        <v>6271.0</v>
      </c>
      <c r="L686" s="1" t="s">
        <v>1776</v>
      </c>
      <c r="M686" s="1" t="s">
        <v>2128</v>
      </c>
      <c r="N686" s="63" t="s">
        <v>1332</v>
      </c>
      <c r="O686" s="63" t="s">
        <v>1332</v>
      </c>
      <c r="P686" s="68">
        <v>30.0</v>
      </c>
      <c r="Q686" s="1" t="s">
        <v>2130</v>
      </c>
      <c r="R686" s="1" t="s">
        <v>13</v>
      </c>
      <c r="S686" s="1"/>
      <c r="T686" s="1"/>
      <c r="U686" s="1" t="s">
        <v>1339</v>
      </c>
      <c r="V686" s="1" t="s">
        <v>1339</v>
      </c>
      <c r="W686" s="145">
        <f t="shared" si="1"/>
        <v>0.00005338823467</v>
      </c>
      <c r="AC686" s="38"/>
    </row>
    <row r="687" ht="15.75" customHeight="1">
      <c r="A687" s="1" t="s">
        <v>1924</v>
      </c>
      <c r="B687" s="1" t="s">
        <v>2127</v>
      </c>
      <c r="C687" s="63">
        <v>46248.0</v>
      </c>
      <c r="D687" s="63" t="s">
        <v>130</v>
      </c>
      <c r="E687" s="68">
        <v>0.96986774</v>
      </c>
      <c r="F687" s="1"/>
      <c r="G687" s="23">
        <v>7.5E7</v>
      </c>
      <c r="H687" s="23">
        <v>7.274008082E7</v>
      </c>
      <c r="I687" s="23">
        <v>7.5E7</v>
      </c>
      <c r="J687" s="23">
        <v>7.274008082E7</v>
      </c>
      <c r="K687" s="24">
        <v>16182.0</v>
      </c>
      <c r="L687" s="1" t="s">
        <v>1776</v>
      </c>
      <c r="M687" s="1" t="s">
        <v>2128</v>
      </c>
      <c r="N687" s="63" t="s">
        <v>446</v>
      </c>
      <c r="O687" s="63" t="s">
        <v>446</v>
      </c>
      <c r="P687" s="68">
        <v>27.0</v>
      </c>
      <c r="Q687" s="1" t="s">
        <v>2130</v>
      </c>
      <c r="R687" s="1" t="s">
        <v>13</v>
      </c>
      <c r="S687" s="1"/>
      <c r="T687" s="1"/>
      <c r="U687" s="1" t="s">
        <v>498</v>
      </c>
      <c r="V687" s="1" t="s">
        <v>498</v>
      </c>
      <c r="W687" s="145">
        <f t="shared" si="1"/>
        <v>0.001487971754</v>
      </c>
      <c r="AC687" s="38"/>
    </row>
    <row r="688" ht="15.75" customHeight="1">
      <c r="A688" s="1" t="s">
        <v>1910</v>
      </c>
      <c r="B688" s="1" t="s">
        <v>2127</v>
      </c>
      <c r="C688" s="63">
        <v>46248.0</v>
      </c>
      <c r="D688" s="63" t="s">
        <v>130</v>
      </c>
      <c r="E688" s="68">
        <v>0.97203734</v>
      </c>
      <c r="F688" s="1"/>
      <c r="G688" s="23">
        <v>5.0E7</v>
      </c>
      <c r="H688" s="23">
        <v>4.860186717E7</v>
      </c>
      <c r="I688" s="23">
        <v>5.0E7</v>
      </c>
      <c r="J688" s="23">
        <v>4.860186717E7</v>
      </c>
      <c r="K688" s="24">
        <v>4902.0</v>
      </c>
      <c r="L688" s="1" t="s">
        <v>1776</v>
      </c>
      <c r="M688" s="1" t="s">
        <v>2128</v>
      </c>
      <c r="N688" s="63" t="s">
        <v>1428</v>
      </c>
      <c r="O688" s="63" t="s">
        <v>1428</v>
      </c>
      <c r="P688" s="68">
        <v>25.0</v>
      </c>
      <c r="Q688" s="1" t="s">
        <v>2130</v>
      </c>
      <c r="R688" s="1" t="s">
        <v>13</v>
      </c>
      <c r="S688" s="1"/>
      <c r="T688" s="1"/>
      <c r="U688" s="1" t="s">
        <v>1454</v>
      </c>
      <c r="V688" s="1" t="s">
        <v>1454</v>
      </c>
      <c r="W688" s="145">
        <f t="shared" si="1"/>
        <v>0.0009942002365</v>
      </c>
      <c r="AC688" s="38"/>
    </row>
    <row r="689" ht="15.75" customHeight="1">
      <c r="A689" s="1" t="s">
        <v>1938</v>
      </c>
      <c r="B689" s="1" t="s">
        <v>2127</v>
      </c>
      <c r="C689" s="63">
        <v>46248.0</v>
      </c>
      <c r="D689" s="63" t="s">
        <v>130</v>
      </c>
      <c r="E689" s="68">
        <v>0.96022315</v>
      </c>
      <c r="F689" s="1"/>
      <c r="G689" s="23">
        <v>2.5E7</v>
      </c>
      <c r="H689" s="23">
        <v>2.400557883E7</v>
      </c>
      <c r="I689" s="23">
        <v>2.5E7</v>
      </c>
      <c r="J689" s="23">
        <v>2.400557883E7</v>
      </c>
      <c r="K689" s="24">
        <v>1176620.0</v>
      </c>
      <c r="L689" s="1" t="s">
        <v>1776</v>
      </c>
      <c r="M689" s="1" t="s">
        <v>2128</v>
      </c>
      <c r="N689" s="63" t="s">
        <v>256</v>
      </c>
      <c r="O689" s="63" t="s">
        <v>256</v>
      </c>
      <c r="P689" s="68">
        <v>36.0</v>
      </c>
      <c r="Q689" s="1" t="s">
        <v>2130</v>
      </c>
      <c r="R689" s="1" t="s">
        <v>13</v>
      </c>
      <c r="S689" s="1"/>
      <c r="T689" s="1"/>
      <c r="U689" s="1" t="s">
        <v>255</v>
      </c>
      <c r="V689" s="1" t="s">
        <v>255</v>
      </c>
      <c r="W689" s="145">
        <f t="shared" si="1"/>
        <v>0.0004910583387</v>
      </c>
      <c r="AC689" s="38"/>
    </row>
    <row r="690" ht="15.75" customHeight="1">
      <c r="A690" s="1" t="s">
        <v>1933</v>
      </c>
      <c r="B690" s="1" t="s">
        <v>2127</v>
      </c>
      <c r="C690" s="63">
        <v>46248.0</v>
      </c>
      <c r="D690" s="63" t="s">
        <v>130</v>
      </c>
      <c r="E690" s="68">
        <v>0.97095136</v>
      </c>
      <c r="F690" s="1"/>
      <c r="G690" s="23">
        <v>1.0E7</v>
      </c>
      <c r="H690" s="23">
        <v>9709513.6</v>
      </c>
      <c r="I690" s="23">
        <v>1.0E7</v>
      </c>
      <c r="J690" s="23">
        <v>9709513.6</v>
      </c>
      <c r="K690" s="24">
        <v>9825609.0</v>
      </c>
      <c r="L690" s="1" t="s">
        <v>1776</v>
      </c>
      <c r="M690" s="1" t="s">
        <v>2128</v>
      </c>
      <c r="N690" s="63" t="s">
        <v>1381</v>
      </c>
      <c r="O690" s="63" t="s">
        <v>1381</v>
      </c>
      <c r="P690" s="68">
        <v>26.0</v>
      </c>
      <c r="Q690" s="1" t="s">
        <v>2130</v>
      </c>
      <c r="R690" s="1" t="s">
        <v>13</v>
      </c>
      <c r="S690" s="1"/>
      <c r="T690" s="1"/>
      <c r="U690" s="1" t="s">
        <v>1382</v>
      </c>
      <c r="V690" s="1" t="s">
        <v>1382</v>
      </c>
      <c r="W690" s="145">
        <f t="shared" si="1"/>
        <v>0.0001986178984</v>
      </c>
      <c r="AC690" s="38"/>
    </row>
    <row r="691" ht="15.75" customHeight="1">
      <c r="A691" s="1" t="s">
        <v>1947</v>
      </c>
      <c r="B691" s="1" t="s">
        <v>2127</v>
      </c>
      <c r="C691" s="63">
        <v>46248.0</v>
      </c>
      <c r="D691" s="63" t="s">
        <v>130</v>
      </c>
      <c r="E691" s="68">
        <v>0.96022315</v>
      </c>
      <c r="F691" s="1"/>
      <c r="G691" s="23">
        <v>5.0E7</v>
      </c>
      <c r="H691" s="23">
        <v>4.801115766E7</v>
      </c>
      <c r="I691" s="23">
        <v>5.0E7</v>
      </c>
      <c r="J691" s="23">
        <v>4.801115766E7</v>
      </c>
      <c r="K691" s="24">
        <v>6573.0</v>
      </c>
      <c r="L691" s="1" t="s">
        <v>1776</v>
      </c>
      <c r="M691" s="1" t="s">
        <v>2128</v>
      </c>
      <c r="N691" s="63" t="s">
        <v>256</v>
      </c>
      <c r="O691" s="63" t="s">
        <v>256</v>
      </c>
      <c r="P691" s="68">
        <v>36.0</v>
      </c>
      <c r="Q691" s="1" t="s">
        <v>2130</v>
      </c>
      <c r="R691" s="1" t="s">
        <v>13</v>
      </c>
      <c r="S691" s="1"/>
      <c r="T691" s="1"/>
      <c r="U691" s="1" t="s">
        <v>278</v>
      </c>
      <c r="V691" s="1" t="s">
        <v>278</v>
      </c>
      <c r="W691" s="145">
        <f t="shared" si="1"/>
        <v>0.0009821166774</v>
      </c>
      <c r="AC691" s="38"/>
    </row>
    <row r="692" ht="15.75" customHeight="1">
      <c r="A692" s="1" t="s">
        <v>2016</v>
      </c>
      <c r="B692" s="1" t="s">
        <v>2127</v>
      </c>
      <c r="C692" s="63">
        <v>46248.0</v>
      </c>
      <c r="D692" s="63" t="s">
        <v>130</v>
      </c>
      <c r="E692" s="68">
        <v>0.95285336</v>
      </c>
      <c r="F692" s="1"/>
      <c r="G692" s="23">
        <v>3000000.0</v>
      </c>
      <c r="H692" s="23">
        <v>2858560.07</v>
      </c>
      <c r="I692" s="23">
        <v>3000000.0</v>
      </c>
      <c r="J692" s="23">
        <v>2858560.07</v>
      </c>
      <c r="K692" s="24">
        <v>3074.0</v>
      </c>
      <c r="L692" s="1" t="s">
        <v>1776</v>
      </c>
      <c r="M692" s="1" t="s">
        <v>2128</v>
      </c>
      <c r="N692" s="63" t="s">
        <v>154</v>
      </c>
      <c r="O692" s="63" t="s">
        <v>154</v>
      </c>
      <c r="P692" s="68">
        <v>43.0</v>
      </c>
      <c r="Q692" s="1" t="s">
        <v>2130</v>
      </c>
      <c r="R692" s="1" t="s">
        <v>13</v>
      </c>
      <c r="S692" s="1"/>
      <c r="T692" s="1"/>
      <c r="U692" s="1" t="s">
        <v>156</v>
      </c>
      <c r="V692" s="1" t="s">
        <v>156</v>
      </c>
      <c r="W692" s="145">
        <f t="shared" si="1"/>
        <v>0.00005847473077</v>
      </c>
      <c r="AC692" s="38"/>
    </row>
    <row r="693" ht="15.75" customHeight="1">
      <c r="A693" s="1" t="s">
        <v>1926</v>
      </c>
      <c r="B693" s="1" t="s">
        <v>2127</v>
      </c>
      <c r="C693" s="63">
        <v>46248.0</v>
      </c>
      <c r="D693" s="63" t="s">
        <v>130</v>
      </c>
      <c r="E693" s="68">
        <v>0.96663145</v>
      </c>
      <c r="F693" s="1"/>
      <c r="G693" s="23">
        <v>1040000.0</v>
      </c>
      <c r="H693" s="23">
        <v>1005296.71</v>
      </c>
      <c r="I693" s="23">
        <v>1040000.0</v>
      </c>
      <c r="J693" s="23">
        <v>1005296.71</v>
      </c>
      <c r="K693" s="24">
        <v>1.0401546E7</v>
      </c>
      <c r="L693" s="1" t="s">
        <v>1776</v>
      </c>
      <c r="M693" s="1" t="s">
        <v>2128</v>
      </c>
      <c r="N693" s="63" t="s">
        <v>628</v>
      </c>
      <c r="O693" s="63" t="s">
        <v>628</v>
      </c>
      <c r="P693" s="68">
        <v>30.0</v>
      </c>
      <c r="Q693" s="1" t="s">
        <v>2130</v>
      </c>
      <c r="R693" s="1" t="s">
        <v>13</v>
      </c>
      <c r="S693" s="1"/>
      <c r="T693" s="1"/>
      <c r="U693" s="1" t="s">
        <v>629</v>
      </c>
      <c r="V693" s="1" t="s">
        <v>629</v>
      </c>
      <c r="W693" s="145">
        <f t="shared" si="1"/>
        <v>0.00002056435864</v>
      </c>
      <c r="AC693" s="38"/>
    </row>
    <row r="694" ht="15.75" customHeight="1">
      <c r="A694" s="1" t="s">
        <v>1907</v>
      </c>
      <c r="B694" s="1" t="s">
        <v>2127</v>
      </c>
      <c r="C694" s="63">
        <v>46248.0</v>
      </c>
      <c r="D694" s="63" t="s">
        <v>130</v>
      </c>
      <c r="E694" s="68">
        <v>0.96770777</v>
      </c>
      <c r="F694" s="1"/>
      <c r="G694" s="23">
        <v>1.0E8</v>
      </c>
      <c r="H694" s="23">
        <v>9.677077689E7</v>
      </c>
      <c r="I694" s="23">
        <v>1.0E8</v>
      </c>
      <c r="J694" s="23">
        <v>9.677077689E7</v>
      </c>
      <c r="K694" s="24">
        <v>9.0003817E7</v>
      </c>
      <c r="L694" s="1" t="s">
        <v>1776</v>
      </c>
      <c r="M694" s="1" t="s">
        <v>2128</v>
      </c>
      <c r="N694" s="63" t="s">
        <v>1084</v>
      </c>
      <c r="O694" s="63" t="s">
        <v>1084</v>
      </c>
      <c r="P694" s="68">
        <v>29.0</v>
      </c>
      <c r="Q694" s="1" t="s">
        <v>2130</v>
      </c>
      <c r="R694" s="1" t="s">
        <v>13</v>
      </c>
      <c r="S694" s="1"/>
      <c r="T694" s="1"/>
      <c r="U694" s="1" t="s">
        <v>1091</v>
      </c>
      <c r="V694" s="1" t="s">
        <v>1091</v>
      </c>
      <c r="W694" s="145">
        <f t="shared" si="1"/>
        <v>0.001979543892</v>
      </c>
      <c r="AC694" s="38"/>
    </row>
    <row r="695" ht="15.75" customHeight="1">
      <c r="A695" s="1" t="s">
        <v>2052</v>
      </c>
      <c r="B695" s="1" t="s">
        <v>2127</v>
      </c>
      <c r="C695" s="63">
        <v>46248.0</v>
      </c>
      <c r="D695" s="63" t="s">
        <v>130</v>
      </c>
      <c r="E695" s="68">
        <v>0.96663155</v>
      </c>
      <c r="F695" s="1"/>
      <c r="G695" s="23">
        <v>330000.0</v>
      </c>
      <c r="H695" s="23">
        <v>318988.41</v>
      </c>
      <c r="I695" s="23">
        <v>330000.0</v>
      </c>
      <c r="J695" s="23">
        <v>318988.41</v>
      </c>
      <c r="K695" s="24">
        <v>9918447.0</v>
      </c>
      <c r="L695" s="1" t="s">
        <v>1776</v>
      </c>
      <c r="M695" s="1" t="s">
        <v>2128</v>
      </c>
      <c r="N695" s="63" t="s">
        <v>1488</v>
      </c>
      <c r="O695" s="63" t="s">
        <v>1488</v>
      </c>
      <c r="P695" s="68">
        <v>30.0</v>
      </c>
      <c r="Q695" s="1" t="s">
        <v>2130</v>
      </c>
      <c r="R695" s="1" t="s">
        <v>13</v>
      </c>
      <c r="S695" s="1"/>
      <c r="T695" s="1"/>
      <c r="U695" s="1" t="s">
        <v>1550</v>
      </c>
      <c r="V695" s="1" t="s">
        <v>1550</v>
      </c>
      <c r="W695" s="145">
        <f t="shared" si="1"/>
        <v>0.000006525229814</v>
      </c>
      <c r="AC695" s="38"/>
    </row>
    <row r="696" ht="15.75" customHeight="1">
      <c r="A696" s="1" t="s">
        <v>1976</v>
      </c>
      <c r="B696" s="1" t="s">
        <v>2127</v>
      </c>
      <c r="C696" s="63">
        <v>46252.0</v>
      </c>
      <c r="D696" s="63" t="s">
        <v>130</v>
      </c>
      <c r="E696" s="68">
        <v>0.95659923</v>
      </c>
      <c r="F696" s="1"/>
      <c r="G696" s="23">
        <v>3345657.98</v>
      </c>
      <c r="H696" s="23">
        <v>3200453.86</v>
      </c>
      <c r="I696" s="23">
        <v>3345657.98</v>
      </c>
      <c r="J696" s="23">
        <v>3200453.86</v>
      </c>
      <c r="K696" s="24">
        <v>228.0</v>
      </c>
      <c r="L696" s="1" t="s">
        <v>1776</v>
      </c>
      <c r="M696" s="1" t="s">
        <v>2128</v>
      </c>
      <c r="N696" s="63" t="s">
        <v>1332</v>
      </c>
      <c r="O696" s="63" t="s">
        <v>1332</v>
      </c>
      <c r="P696" s="68">
        <v>36.0</v>
      </c>
      <c r="Q696" s="1" t="s">
        <v>2130</v>
      </c>
      <c r="R696" s="1" t="s">
        <v>13</v>
      </c>
      <c r="S696" s="1"/>
      <c r="T696" s="1"/>
      <c r="U696" s="1" t="s">
        <v>1351</v>
      </c>
      <c r="V696" s="1" t="s">
        <v>1351</v>
      </c>
      <c r="W696" s="145">
        <f t="shared" si="1"/>
        <v>0.00006546851325</v>
      </c>
      <c r="AC696" s="38"/>
    </row>
    <row r="697" ht="15.75" customHeight="1">
      <c r="A697" s="1" t="s">
        <v>1906</v>
      </c>
      <c r="B697" s="1" t="s">
        <v>2127</v>
      </c>
      <c r="C697" s="63">
        <v>46252.0</v>
      </c>
      <c r="D697" s="63" t="s">
        <v>130</v>
      </c>
      <c r="E697" s="68">
        <v>0.95429829</v>
      </c>
      <c r="F697" s="1"/>
      <c r="G697" s="23">
        <v>4.3E7</v>
      </c>
      <c r="H697" s="23">
        <v>4.103482629E7</v>
      </c>
      <c r="I697" s="23">
        <v>4.3E7</v>
      </c>
      <c r="J697" s="23">
        <v>4.103482629E7</v>
      </c>
      <c r="K697" s="24">
        <v>151340.0</v>
      </c>
      <c r="L697" s="1" t="s">
        <v>1776</v>
      </c>
      <c r="M697" s="1" t="s">
        <v>2128</v>
      </c>
      <c r="N697" s="63" t="s">
        <v>1238</v>
      </c>
      <c r="O697" s="63" t="s">
        <v>1238</v>
      </c>
      <c r="P697" s="68">
        <v>38.0</v>
      </c>
      <c r="Q697" s="1" t="s">
        <v>2130</v>
      </c>
      <c r="R697" s="1" t="s">
        <v>13</v>
      </c>
      <c r="S697" s="1"/>
      <c r="T697" s="1"/>
      <c r="U697" s="1" t="s">
        <v>1242</v>
      </c>
      <c r="V697" s="1" t="s">
        <v>1242</v>
      </c>
      <c r="W697" s="145">
        <f t="shared" si="1"/>
        <v>0.0008394087795</v>
      </c>
      <c r="AC697" s="38"/>
    </row>
    <row r="698" ht="15.75" customHeight="1">
      <c r="A698" s="1" t="s">
        <v>1970</v>
      </c>
      <c r="B698" s="1" t="s">
        <v>2127</v>
      </c>
      <c r="C698" s="63">
        <v>46252.0</v>
      </c>
      <c r="D698" s="63" t="s">
        <v>130</v>
      </c>
      <c r="E698" s="68">
        <v>0.95200835</v>
      </c>
      <c r="F698" s="1"/>
      <c r="G698" s="23">
        <v>9943984.5</v>
      </c>
      <c r="H698" s="23">
        <v>9466756.27</v>
      </c>
      <c r="I698" s="23">
        <v>9943984.5</v>
      </c>
      <c r="J698" s="23">
        <v>9466756.27</v>
      </c>
      <c r="K698" s="24">
        <v>1820.0</v>
      </c>
      <c r="L698" s="1" t="s">
        <v>1776</v>
      </c>
      <c r="M698" s="1" t="s">
        <v>2128</v>
      </c>
      <c r="N698" s="63" t="s">
        <v>283</v>
      </c>
      <c r="O698" s="63" t="s">
        <v>283</v>
      </c>
      <c r="P698" s="68">
        <v>40.0</v>
      </c>
      <c r="Q698" s="1" t="s">
        <v>2130</v>
      </c>
      <c r="R698" s="1" t="s">
        <v>13</v>
      </c>
      <c r="S698" s="1"/>
      <c r="T698" s="1"/>
      <c r="U698" s="1" t="s">
        <v>298</v>
      </c>
      <c r="V698" s="1" t="s">
        <v>298</v>
      </c>
      <c r="W698" s="145">
        <f t="shared" si="1"/>
        <v>0.0001936520523</v>
      </c>
      <c r="AC698" s="38"/>
    </row>
    <row r="699" ht="15.75" customHeight="1">
      <c r="A699" s="1" t="s">
        <v>1970</v>
      </c>
      <c r="B699" s="1" t="s">
        <v>2127</v>
      </c>
      <c r="C699" s="63">
        <v>46252.0</v>
      </c>
      <c r="D699" s="63" t="s">
        <v>130</v>
      </c>
      <c r="E699" s="68">
        <v>0.95200835</v>
      </c>
      <c r="F699" s="1"/>
      <c r="G699" s="23">
        <v>9943984.5</v>
      </c>
      <c r="H699" s="23">
        <v>9466756.27</v>
      </c>
      <c r="I699" s="23">
        <v>9943984.5</v>
      </c>
      <c r="J699" s="23">
        <v>9466756.27</v>
      </c>
      <c r="K699" s="24">
        <v>1819.0</v>
      </c>
      <c r="L699" s="1" t="s">
        <v>1776</v>
      </c>
      <c r="M699" s="1" t="s">
        <v>2128</v>
      </c>
      <c r="N699" s="63" t="s">
        <v>283</v>
      </c>
      <c r="O699" s="63" t="s">
        <v>283</v>
      </c>
      <c r="P699" s="68">
        <v>40.0</v>
      </c>
      <c r="Q699" s="1" t="s">
        <v>2130</v>
      </c>
      <c r="R699" s="1" t="s">
        <v>13</v>
      </c>
      <c r="S699" s="1"/>
      <c r="T699" s="1"/>
      <c r="U699" s="1" t="s">
        <v>303</v>
      </c>
      <c r="V699" s="1" t="s">
        <v>303</v>
      </c>
      <c r="W699" s="145">
        <f t="shared" si="1"/>
        <v>0.0001936520523</v>
      </c>
      <c r="AC699" s="38"/>
    </row>
    <row r="700" ht="15.75" customHeight="1">
      <c r="A700" s="1" t="s">
        <v>1982</v>
      </c>
      <c r="B700" s="1" t="s">
        <v>2127</v>
      </c>
      <c r="C700" s="63">
        <v>46252.0</v>
      </c>
      <c r="D700" s="63" t="s">
        <v>130</v>
      </c>
      <c r="E700" s="68">
        <v>0.9635692</v>
      </c>
      <c r="F700" s="1"/>
      <c r="G700" s="23">
        <v>5000000.0</v>
      </c>
      <c r="H700" s="23">
        <v>4817846.01</v>
      </c>
      <c r="I700" s="23">
        <v>5000000.0</v>
      </c>
      <c r="J700" s="23">
        <v>4817846.01</v>
      </c>
      <c r="K700" s="24">
        <v>3501229.0</v>
      </c>
      <c r="L700" s="1" t="s">
        <v>1776</v>
      </c>
      <c r="M700" s="1" t="s">
        <v>2128</v>
      </c>
      <c r="N700" s="63" t="s">
        <v>307</v>
      </c>
      <c r="O700" s="63" t="s">
        <v>307</v>
      </c>
      <c r="P700" s="68">
        <v>30.0</v>
      </c>
      <c r="Q700" s="1" t="s">
        <v>2130</v>
      </c>
      <c r="R700" s="1" t="s">
        <v>13</v>
      </c>
      <c r="S700" s="1"/>
      <c r="T700" s="1"/>
      <c r="U700" s="1" t="s">
        <v>349</v>
      </c>
      <c r="V700" s="1" t="s">
        <v>349</v>
      </c>
      <c r="W700" s="145">
        <f t="shared" si="1"/>
        <v>0.00009855390177</v>
      </c>
      <c r="AC700" s="38"/>
    </row>
    <row r="701" ht="15.75" customHeight="1">
      <c r="A701" s="1" t="s">
        <v>1982</v>
      </c>
      <c r="B701" s="1" t="s">
        <v>2127</v>
      </c>
      <c r="C701" s="63">
        <v>46252.0</v>
      </c>
      <c r="D701" s="63" t="s">
        <v>130</v>
      </c>
      <c r="E701" s="68">
        <v>0.96007157</v>
      </c>
      <c r="F701" s="1"/>
      <c r="G701" s="23">
        <v>5600000.0</v>
      </c>
      <c r="H701" s="23">
        <v>5376400.78</v>
      </c>
      <c r="I701" s="23">
        <v>5600000.0</v>
      </c>
      <c r="J701" s="23">
        <v>5376400.78</v>
      </c>
      <c r="K701" s="24">
        <v>3501250.0</v>
      </c>
      <c r="L701" s="1" t="s">
        <v>1776</v>
      </c>
      <c r="M701" s="1" t="s">
        <v>2128</v>
      </c>
      <c r="N701" s="63" t="s">
        <v>543</v>
      </c>
      <c r="O701" s="63" t="s">
        <v>543</v>
      </c>
      <c r="P701" s="68">
        <v>33.0</v>
      </c>
      <c r="Q701" s="1" t="s">
        <v>2130</v>
      </c>
      <c r="R701" s="1" t="s">
        <v>13</v>
      </c>
      <c r="S701" s="1"/>
      <c r="T701" s="1"/>
      <c r="U701" s="1" t="s">
        <v>552</v>
      </c>
      <c r="V701" s="1" t="s">
        <v>552</v>
      </c>
      <c r="W701" s="145">
        <f t="shared" si="1"/>
        <v>0.0001099797032</v>
      </c>
      <c r="AC701" s="38"/>
    </row>
    <row r="702" ht="15.75" customHeight="1">
      <c r="A702" s="1" t="s">
        <v>1961</v>
      </c>
      <c r="B702" s="1" t="s">
        <v>2127</v>
      </c>
      <c r="C702" s="63">
        <v>46252.0</v>
      </c>
      <c r="D702" s="63" t="s">
        <v>130</v>
      </c>
      <c r="E702" s="68">
        <v>0.95659923</v>
      </c>
      <c r="F702" s="1"/>
      <c r="G702" s="23">
        <v>2304789.0</v>
      </c>
      <c r="H702" s="23">
        <v>2204759.38</v>
      </c>
      <c r="I702" s="23">
        <v>2304789.0</v>
      </c>
      <c r="J702" s="23">
        <v>2204759.38</v>
      </c>
      <c r="K702" s="24">
        <v>2766.0</v>
      </c>
      <c r="L702" s="1" t="s">
        <v>1776</v>
      </c>
      <c r="M702" s="1" t="s">
        <v>2128</v>
      </c>
      <c r="N702" s="63" t="s">
        <v>1332</v>
      </c>
      <c r="O702" s="63" t="s">
        <v>1332</v>
      </c>
      <c r="P702" s="68">
        <v>36.0</v>
      </c>
      <c r="Q702" s="1" t="s">
        <v>2130</v>
      </c>
      <c r="R702" s="1" t="s">
        <v>13</v>
      </c>
      <c r="S702" s="1"/>
      <c r="T702" s="1"/>
      <c r="U702" s="1" t="s">
        <v>1357</v>
      </c>
      <c r="V702" s="1" t="s">
        <v>1357</v>
      </c>
      <c r="W702" s="145">
        <f t="shared" si="1"/>
        <v>0.00004510057791</v>
      </c>
      <c r="AC702" s="38"/>
    </row>
    <row r="703" ht="15.75" customHeight="1">
      <c r="A703" s="1" t="s">
        <v>1991</v>
      </c>
      <c r="B703" s="1" t="s">
        <v>2127</v>
      </c>
      <c r="C703" s="63">
        <v>46252.0</v>
      </c>
      <c r="D703" s="63" t="s">
        <v>130</v>
      </c>
      <c r="E703" s="68">
        <v>0.96007158</v>
      </c>
      <c r="F703" s="1"/>
      <c r="G703" s="23">
        <v>2200000.0</v>
      </c>
      <c r="H703" s="23">
        <v>2112157.48</v>
      </c>
      <c r="I703" s="23">
        <v>2200000.0</v>
      </c>
      <c r="J703" s="23">
        <v>2112157.48</v>
      </c>
      <c r="K703" s="24">
        <v>6189.0</v>
      </c>
      <c r="L703" s="1" t="s">
        <v>1776</v>
      </c>
      <c r="M703" s="1" t="s">
        <v>2128</v>
      </c>
      <c r="N703" s="63" t="s">
        <v>1084</v>
      </c>
      <c r="O703" s="63" t="s">
        <v>1084</v>
      </c>
      <c r="P703" s="68">
        <v>33.0</v>
      </c>
      <c r="Q703" s="1" t="s">
        <v>2130</v>
      </c>
      <c r="R703" s="1" t="s">
        <v>13</v>
      </c>
      <c r="S703" s="1"/>
      <c r="T703" s="1"/>
      <c r="U703" s="1" t="s">
        <v>1111</v>
      </c>
      <c r="V703" s="1" t="s">
        <v>1111</v>
      </c>
      <c r="W703" s="145">
        <f t="shared" si="1"/>
        <v>0.00004320631261</v>
      </c>
      <c r="AC703" s="38"/>
    </row>
    <row r="704" ht="15.75" customHeight="1">
      <c r="A704" s="1" t="s">
        <v>1826</v>
      </c>
      <c r="B704" s="1" t="s">
        <v>2127</v>
      </c>
      <c r="C704" s="63">
        <v>46252.0</v>
      </c>
      <c r="D704" s="63" t="s">
        <v>130</v>
      </c>
      <c r="E704" s="68">
        <v>0.95429837</v>
      </c>
      <c r="F704" s="1"/>
      <c r="G704" s="23">
        <v>5450000.0</v>
      </c>
      <c r="H704" s="23">
        <v>5200926.1</v>
      </c>
      <c r="I704" s="23">
        <v>5450000.0</v>
      </c>
      <c r="J704" s="23">
        <v>5200926.1</v>
      </c>
      <c r="K704" s="24">
        <v>28517.0</v>
      </c>
      <c r="L704" s="1" t="s">
        <v>1776</v>
      </c>
      <c r="M704" s="1" t="s">
        <v>2128</v>
      </c>
      <c r="N704" s="63" t="s">
        <v>241</v>
      </c>
      <c r="O704" s="63" t="s">
        <v>241</v>
      </c>
      <c r="P704" s="68">
        <v>38.0</v>
      </c>
      <c r="Q704" s="1" t="s">
        <v>2130</v>
      </c>
      <c r="R704" s="1" t="s">
        <v>13</v>
      </c>
      <c r="S704" s="1"/>
      <c r="T704" s="1"/>
      <c r="U704" s="1" t="s">
        <v>244</v>
      </c>
      <c r="V704" s="1" t="s">
        <v>244</v>
      </c>
      <c r="W704" s="145">
        <f t="shared" si="1"/>
        <v>0.0001063901916</v>
      </c>
      <c r="AC704" s="38"/>
    </row>
    <row r="705" ht="15.75" customHeight="1">
      <c r="A705" s="1" t="s">
        <v>1933</v>
      </c>
      <c r="B705" s="1" t="s">
        <v>2127</v>
      </c>
      <c r="C705" s="63">
        <v>46252.0</v>
      </c>
      <c r="D705" s="63" t="s">
        <v>130</v>
      </c>
      <c r="E705" s="68">
        <v>0.96123463</v>
      </c>
      <c r="F705" s="1"/>
      <c r="G705" s="23">
        <v>1.5E7</v>
      </c>
      <c r="H705" s="23">
        <v>1.441851942E7</v>
      </c>
      <c r="I705" s="23">
        <v>1.5E7</v>
      </c>
      <c r="J705" s="23">
        <v>1.441851942E7</v>
      </c>
      <c r="K705" s="24">
        <v>176.0</v>
      </c>
      <c r="L705" s="1" t="s">
        <v>1776</v>
      </c>
      <c r="M705" s="1" t="s">
        <v>2128</v>
      </c>
      <c r="N705" s="63" t="s">
        <v>307</v>
      </c>
      <c r="O705" s="63" t="s">
        <v>307</v>
      </c>
      <c r="P705" s="68">
        <v>32.0</v>
      </c>
      <c r="Q705" s="1" t="s">
        <v>2130</v>
      </c>
      <c r="R705" s="1" t="s">
        <v>13</v>
      </c>
      <c r="S705" s="1"/>
      <c r="T705" s="1"/>
      <c r="U705" s="1" t="s">
        <v>320</v>
      </c>
      <c r="V705" s="1" t="s">
        <v>320</v>
      </c>
      <c r="W705" s="145">
        <f t="shared" si="1"/>
        <v>0.0002949453643</v>
      </c>
      <c r="AC705" s="38"/>
    </row>
    <row r="706" ht="15.75" customHeight="1">
      <c r="A706" s="1" t="s">
        <v>1908</v>
      </c>
      <c r="B706" s="1" t="s">
        <v>2127</v>
      </c>
      <c r="C706" s="63">
        <v>46252.0</v>
      </c>
      <c r="D706" s="63" t="s">
        <v>130</v>
      </c>
      <c r="E706" s="68">
        <v>0.95429853</v>
      </c>
      <c r="F706" s="1"/>
      <c r="G706" s="23">
        <v>2.15E8</v>
      </c>
      <c r="H706" s="23">
        <v>2.0517418475E8</v>
      </c>
      <c r="I706" s="23">
        <v>2.15E8</v>
      </c>
      <c r="J706" s="23">
        <v>2.0517418475E8</v>
      </c>
      <c r="K706" s="24">
        <v>7.0390705E7</v>
      </c>
      <c r="L706" s="1" t="s">
        <v>1776</v>
      </c>
      <c r="M706" s="1" t="s">
        <v>2128</v>
      </c>
      <c r="N706" s="63" t="s">
        <v>1412</v>
      </c>
      <c r="O706" s="63" t="s">
        <v>1412</v>
      </c>
      <c r="P706" s="68">
        <v>38.0</v>
      </c>
      <c r="Q706" s="1" t="s">
        <v>2130</v>
      </c>
      <c r="R706" s="1" t="s">
        <v>13</v>
      </c>
      <c r="S706" s="1"/>
      <c r="T706" s="1"/>
      <c r="U706" s="1" t="s">
        <v>1421</v>
      </c>
      <c r="V706" s="1" t="s">
        <v>1421</v>
      </c>
      <c r="W706" s="145">
        <f t="shared" si="1"/>
        <v>0.004197044988</v>
      </c>
      <c r="AC706" s="38"/>
    </row>
    <row r="707" ht="15.75" customHeight="1">
      <c r="A707" s="1" t="s">
        <v>2016</v>
      </c>
      <c r="B707" s="1" t="s">
        <v>2127</v>
      </c>
      <c r="C707" s="63">
        <v>46252.0</v>
      </c>
      <c r="D707" s="63" t="s">
        <v>130</v>
      </c>
      <c r="E707" s="68">
        <v>0.94859401</v>
      </c>
      <c r="F707" s="1"/>
      <c r="G707" s="23">
        <v>3500000.0</v>
      </c>
      <c r="H707" s="23">
        <v>3320079.02</v>
      </c>
      <c r="I707" s="23">
        <v>3500000.0</v>
      </c>
      <c r="J707" s="23">
        <v>3320079.02</v>
      </c>
      <c r="K707" s="24">
        <v>3075.0</v>
      </c>
      <c r="L707" s="1" t="s">
        <v>1776</v>
      </c>
      <c r="M707" s="1" t="s">
        <v>2128</v>
      </c>
      <c r="N707" s="63" t="s">
        <v>154</v>
      </c>
      <c r="O707" s="63" t="s">
        <v>154</v>
      </c>
      <c r="P707" s="68">
        <v>43.0</v>
      </c>
      <c r="Q707" s="1" t="s">
        <v>2130</v>
      </c>
      <c r="R707" s="1" t="s">
        <v>13</v>
      </c>
      <c r="S707" s="1"/>
      <c r="T707" s="1"/>
      <c r="U707" s="1" t="s">
        <v>160</v>
      </c>
      <c r="V707" s="1" t="s">
        <v>160</v>
      </c>
      <c r="W707" s="145">
        <f t="shared" si="1"/>
        <v>0.00006791556661</v>
      </c>
      <c r="AC707" s="38"/>
    </row>
    <row r="708" ht="15.75" customHeight="1">
      <c r="A708" s="1" t="s">
        <v>2030</v>
      </c>
      <c r="B708" s="1" t="s">
        <v>2127</v>
      </c>
      <c r="C708" s="63">
        <v>46252.0</v>
      </c>
      <c r="D708" s="63" t="s">
        <v>130</v>
      </c>
      <c r="E708" s="68">
        <v>0.96007168</v>
      </c>
      <c r="F708" s="1"/>
      <c r="G708" s="23">
        <v>1701000.0</v>
      </c>
      <c r="H708" s="23">
        <v>1633081.93</v>
      </c>
      <c r="I708" s="23">
        <v>1701000.0</v>
      </c>
      <c r="J708" s="23">
        <v>1633081.93</v>
      </c>
      <c r="K708" s="24">
        <v>6.7242959E7</v>
      </c>
      <c r="L708" s="1" t="s">
        <v>1776</v>
      </c>
      <c r="M708" s="1" t="s">
        <v>2128</v>
      </c>
      <c r="N708" s="63" t="s">
        <v>946</v>
      </c>
      <c r="O708" s="63" t="s">
        <v>946</v>
      </c>
      <c r="P708" s="68">
        <v>33.0</v>
      </c>
      <c r="Q708" s="1" t="s">
        <v>2130</v>
      </c>
      <c r="R708" s="1" t="s">
        <v>13</v>
      </c>
      <c r="S708" s="1"/>
      <c r="T708" s="1"/>
      <c r="U708" s="1" t="s">
        <v>1016</v>
      </c>
      <c r="V708" s="1" t="s">
        <v>1016</v>
      </c>
      <c r="W708" s="145">
        <f t="shared" si="1"/>
        <v>0.0000334063388</v>
      </c>
      <c r="AC708" s="38"/>
    </row>
    <row r="709" ht="15.75" customHeight="1">
      <c r="A709" s="1" t="s">
        <v>2026</v>
      </c>
      <c r="B709" s="1" t="s">
        <v>2127</v>
      </c>
      <c r="C709" s="63">
        <v>46252.0</v>
      </c>
      <c r="D709" s="63" t="s">
        <v>130</v>
      </c>
      <c r="E709" s="68">
        <v>0.96123468</v>
      </c>
      <c r="F709" s="1"/>
      <c r="G709" s="23">
        <v>3300000.0</v>
      </c>
      <c r="H709" s="23">
        <v>3172074.44</v>
      </c>
      <c r="I709" s="23">
        <v>3300000.0</v>
      </c>
      <c r="J709" s="23">
        <v>3172074.44</v>
      </c>
      <c r="K709" s="24">
        <v>1.3647456E7</v>
      </c>
      <c r="L709" s="1" t="s">
        <v>1776</v>
      </c>
      <c r="M709" s="1" t="s">
        <v>2128</v>
      </c>
      <c r="N709" s="63" t="s">
        <v>1118</v>
      </c>
      <c r="O709" s="63" t="s">
        <v>1118</v>
      </c>
      <c r="P709" s="68">
        <v>32.0</v>
      </c>
      <c r="Q709" s="1" t="s">
        <v>2130</v>
      </c>
      <c r="R709" s="1" t="s">
        <v>13</v>
      </c>
      <c r="S709" s="1"/>
      <c r="T709" s="1"/>
      <c r="U709" s="1" t="s">
        <v>1195</v>
      </c>
      <c r="V709" s="1" t="s">
        <v>1195</v>
      </c>
      <c r="W709" s="145">
        <f t="shared" si="1"/>
        <v>0.00006488798357</v>
      </c>
      <c r="AC709" s="38"/>
    </row>
    <row r="710" ht="15.75" customHeight="1">
      <c r="A710" s="1" t="s">
        <v>1955</v>
      </c>
      <c r="B710" s="1" t="s">
        <v>2127</v>
      </c>
      <c r="C710" s="63">
        <v>46252.0</v>
      </c>
      <c r="D710" s="63" t="s">
        <v>130</v>
      </c>
      <c r="E710" s="68">
        <v>0.95775395</v>
      </c>
      <c r="F710" s="1"/>
      <c r="G710" s="23">
        <v>5.0E7</v>
      </c>
      <c r="H710" s="23">
        <v>4.788769757E7</v>
      </c>
      <c r="I710" s="23">
        <v>5.0E7</v>
      </c>
      <c r="J710" s="23">
        <v>4.788769757E7</v>
      </c>
      <c r="K710" s="24">
        <v>300.0</v>
      </c>
      <c r="L710" s="1" t="s">
        <v>1776</v>
      </c>
      <c r="M710" s="1" t="s">
        <v>2128</v>
      </c>
      <c r="N710" s="63" t="s">
        <v>1245</v>
      </c>
      <c r="O710" s="63" t="s">
        <v>1245</v>
      </c>
      <c r="P710" s="68">
        <v>35.0</v>
      </c>
      <c r="Q710" s="1" t="s">
        <v>2130</v>
      </c>
      <c r="R710" s="1" t="s">
        <v>13</v>
      </c>
      <c r="S710" s="1"/>
      <c r="T710" s="1"/>
      <c r="U710" s="1" t="s">
        <v>1261</v>
      </c>
      <c r="V710" s="1" t="s">
        <v>1261</v>
      </c>
      <c r="W710" s="145">
        <f t="shared" si="1"/>
        <v>0.0009795911767</v>
      </c>
      <c r="AC710" s="38"/>
    </row>
    <row r="711" ht="15.75" customHeight="1">
      <c r="A711" s="1" t="s">
        <v>1976</v>
      </c>
      <c r="B711" s="1" t="s">
        <v>2127</v>
      </c>
      <c r="C711" s="63">
        <v>46253.0</v>
      </c>
      <c r="D711" s="63" t="s">
        <v>130</v>
      </c>
      <c r="E711" s="68">
        <v>0.95569771</v>
      </c>
      <c r="F711" s="1"/>
      <c r="G711" s="23">
        <v>3345657.98</v>
      </c>
      <c r="H711" s="23">
        <v>3197437.66</v>
      </c>
      <c r="I711" s="23">
        <v>3345657.98</v>
      </c>
      <c r="J711" s="23">
        <v>3197437.66</v>
      </c>
      <c r="K711" s="24">
        <v>229.0</v>
      </c>
      <c r="L711" s="1" t="s">
        <v>1776</v>
      </c>
      <c r="M711" s="1" t="s">
        <v>2128</v>
      </c>
      <c r="N711" s="63" t="s">
        <v>1332</v>
      </c>
      <c r="O711" s="63" t="s">
        <v>1332</v>
      </c>
      <c r="P711" s="68">
        <v>36.0</v>
      </c>
      <c r="Q711" s="1" t="s">
        <v>2130</v>
      </c>
      <c r="R711" s="1" t="s">
        <v>13</v>
      </c>
      <c r="S711" s="1"/>
      <c r="T711" s="1"/>
      <c r="U711" s="1" t="s">
        <v>1352</v>
      </c>
      <c r="V711" s="1" t="s">
        <v>1352</v>
      </c>
      <c r="W711" s="145">
        <f t="shared" si="1"/>
        <v>0.00006540681383</v>
      </c>
      <c r="AC711" s="38"/>
    </row>
    <row r="712" ht="15.75" customHeight="1">
      <c r="A712" s="1" t="s">
        <v>2037</v>
      </c>
      <c r="B712" s="1" t="s">
        <v>2127</v>
      </c>
      <c r="C712" s="63">
        <v>46253.0</v>
      </c>
      <c r="D712" s="63" t="s">
        <v>130</v>
      </c>
      <c r="E712" s="68">
        <v>0.95923909</v>
      </c>
      <c r="F712" s="1"/>
      <c r="G712" s="23">
        <v>2000000.0</v>
      </c>
      <c r="H712" s="23">
        <v>1918478.18</v>
      </c>
      <c r="I712" s="23">
        <v>2000000.0</v>
      </c>
      <c r="J712" s="23">
        <v>1918478.18</v>
      </c>
      <c r="K712" s="24">
        <v>436.0</v>
      </c>
      <c r="L712" s="1" t="s">
        <v>1776</v>
      </c>
      <c r="M712" s="1" t="s">
        <v>2128</v>
      </c>
      <c r="N712" s="63" t="s">
        <v>1412</v>
      </c>
      <c r="O712" s="63" t="s">
        <v>1412</v>
      </c>
      <c r="P712" s="68">
        <v>33.0</v>
      </c>
      <c r="Q712" s="1" t="s">
        <v>2130</v>
      </c>
      <c r="R712" s="1" t="s">
        <v>13</v>
      </c>
      <c r="S712" s="1"/>
      <c r="T712" s="1"/>
      <c r="U712" s="1" t="s">
        <v>1418</v>
      </c>
      <c r="V712" s="1" t="s">
        <v>1418</v>
      </c>
      <c r="W712" s="145">
        <f t="shared" si="1"/>
        <v>0.00003924440709</v>
      </c>
      <c r="AC712" s="38"/>
    </row>
    <row r="713" ht="15.75" customHeight="1">
      <c r="A713" s="1" t="s">
        <v>2019</v>
      </c>
      <c r="B713" s="1" t="s">
        <v>2127</v>
      </c>
      <c r="C713" s="63">
        <v>46253.0</v>
      </c>
      <c r="D713" s="63" t="s">
        <v>130</v>
      </c>
      <c r="E713" s="68">
        <v>0.95923901</v>
      </c>
      <c r="F713" s="1"/>
      <c r="G713" s="23">
        <v>3000000.0</v>
      </c>
      <c r="H713" s="23">
        <v>2877717.03</v>
      </c>
      <c r="I713" s="23">
        <v>3000000.0</v>
      </c>
      <c r="J713" s="23">
        <v>2877717.03</v>
      </c>
      <c r="K713" s="24">
        <v>9.0015795E7</v>
      </c>
      <c r="L713" s="1" t="s">
        <v>1776</v>
      </c>
      <c r="M713" s="1" t="s">
        <v>2128</v>
      </c>
      <c r="N713" s="63" t="s">
        <v>946</v>
      </c>
      <c r="O713" s="63" t="s">
        <v>946</v>
      </c>
      <c r="P713" s="68">
        <v>33.0</v>
      </c>
      <c r="Q713" s="1" t="s">
        <v>2130</v>
      </c>
      <c r="R713" s="1" t="s">
        <v>13</v>
      </c>
      <c r="S713" s="1"/>
      <c r="T713" s="1"/>
      <c r="U713" s="1" t="s">
        <v>1008</v>
      </c>
      <c r="V713" s="1" t="s">
        <v>1008</v>
      </c>
      <c r="W713" s="145">
        <f t="shared" si="1"/>
        <v>0.00005886660572</v>
      </c>
      <c r="AC713" s="38"/>
    </row>
    <row r="714" ht="15.75" customHeight="1">
      <c r="A714" s="1" t="s">
        <v>1906</v>
      </c>
      <c r="B714" s="1" t="s">
        <v>2127</v>
      </c>
      <c r="C714" s="63">
        <v>46253.0</v>
      </c>
      <c r="D714" s="63" t="s">
        <v>130</v>
      </c>
      <c r="E714" s="68">
        <v>0.95335118</v>
      </c>
      <c r="F714" s="1"/>
      <c r="G714" s="23">
        <v>4.2E7</v>
      </c>
      <c r="H714" s="23">
        <v>4.004074965E7</v>
      </c>
      <c r="I714" s="23">
        <v>4.2E7</v>
      </c>
      <c r="J714" s="23">
        <v>4.004074965E7</v>
      </c>
      <c r="K714" s="24">
        <v>151341.0</v>
      </c>
      <c r="L714" s="1" t="s">
        <v>1776</v>
      </c>
      <c r="M714" s="1" t="s">
        <v>2128</v>
      </c>
      <c r="N714" s="63" t="s">
        <v>1272</v>
      </c>
      <c r="O714" s="63" t="s">
        <v>1272</v>
      </c>
      <c r="P714" s="68">
        <v>38.0</v>
      </c>
      <c r="Q714" s="1" t="s">
        <v>2130</v>
      </c>
      <c r="R714" s="1" t="s">
        <v>13</v>
      </c>
      <c r="S714" s="1"/>
      <c r="T714" s="1"/>
      <c r="U714" s="1" t="s">
        <v>1288</v>
      </c>
      <c r="V714" s="1" t="s">
        <v>1288</v>
      </c>
      <c r="W714" s="145">
        <f t="shared" si="1"/>
        <v>0.0008190739387</v>
      </c>
      <c r="AC714" s="38"/>
    </row>
    <row r="715" ht="15.75" customHeight="1">
      <c r="A715" s="1" t="s">
        <v>1970</v>
      </c>
      <c r="B715" s="1" t="s">
        <v>2127</v>
      </c>
      <c r="C715" s="63">
        <v>46253.0</v>
      </c>
      <c r="D715" s="63" t="s">
        <v>130</v>
      </c>
      <c r="E715" s="68">
        <v>0.95101626</v>
      </c>
      <c r="F715" s="1"/>
      <c r="G715" s="23">
        <v>9943984.5</v>
      </c>
      <c r="H715" s="23">
        <v>9456890.92</v>
      </c>
      <c r="I715" s="23">
        <v>9943984.5</v>
      </c>
      <c r="J715" s="23">
        <v>9456890.92</v>
      </c>
      <c r="K715" s="24">
        <v>1821.0</v>
      </c>
      <c r="L715" s="1" t="s">
        <v>1776</v>
      </c>
      <c r="M715" s="1" t="s">
        <v>2128</v>
      </c>
      <c r="N715" s="63" t="s">
        <v>283</v>
      </c>
      <c r="O715" s="63" t="s">
        <v>283</v>
      </c>
      <c r="P715" s="68">
        <v>40.0</v>
      </c>
      <c r="Q715" s="1" t="s">
        <v>2130</v>
      </c>
      <c r="R715" s="1" t="s">
        <v>13</v>
      </c>
      <c r="S715" s="1"/>
      <c r="T715" s="1"/>
      <c r="U715" s="1" t="s">
        <v>299</v>
      </c>
      <c r="V715" s="1" t="s">
        <v>299</v>
      </c>
      <c r="W715" s="145">
        <f t="shared" si="1"/>
        <v>0.0001934502466</v>
      </c>
      <c r="AC715" s="38"/>
    </row>
    <row r="716" ht="15.75" customHeight="1">
      <c r="A716" s="1" t="s">
        <v>1970</v>
      </c>
      <c r="B716" s="1" t="s">
        <v>2127</v>
      </c>
      <c r="C716" s="63">
        <v>46253.0</v>
      </c>
      <c r="D716" s="63" t="s">
        <v>130</v>
      </c>
      <c r="E716" s="68">
        <v>0.95101626</v>
      </c>
      <c r="F716" s="1"/>
      <c r="G716" s="23">
        <v>9943984.5</v>
      </c>
      <c r="H716" s="23">
        <v>9456890.92</v>
      </c>
      <c r="I716" s="23">
        <v>9943984.5</v>
      </c>
      <c r="J716" s="23">
        <v>9456890.92</v>
      </c>
      <c r="K716" s="24">
        <v>1822.0</v>
      </c>
      <c r="L716" s="1" t="s">
        <v>1776</v>
      </c>
      <c r="M716" s="1" t="s">
        <v>2128</v>
      </c>
      <c r="N716" s="63" t="s">
        <v>283</v>
      </c>
      <c r="O716" s="63" t="s">
        <v>283</v>
      </c>
      <c r="P716" s="68">
        <v>40.0</v>
      </c>
      <c r="Q716" s="1" t="s">
        <v>2130</v>
      </c>
      <c r="R716" s="1" t="s">
        <v>13</v>
      </c>
      <c r="S716" s="1"/>
      <c r="T716" s="1"/>
      <c r="U716" s="1" t="s">
        <v>304</v>
      </c>
      <c r="V716" s="1" t="s">
        <v>304</v>
      </c>
      <c r="W716" s="145">
        <f t="shared" si="1"/>
        <v>0.0001934502466</v>
      </c>
      <c r="AC716" s="38"/>
    </row>
    <row r="717" ht="15.75" customHeight="1">
      <c r="A717" s="1" t="s">
        <v>1936</v>
      </c>
      <c r="B717" s="1" t="s">
        <v>2127</v>
      </c>
      <c r="C717" s="63">
        <v>46253.0</v>
      </c>
      <c r="D717" s="63" t="s">
        <v>130</v>
      </c>
      <c r="E717" s="68">
        <v>0.95923895</v>
      </c>
      <c r="F717" s="1"/>
      <c r="G717" s="23">
        <v>5.0E7</v>
      </c>
      <c r="H717" s="23">
        <v>4.796194771E7</v>
      </c>
      <c r="I717" s="23">
        <v>5.0E7</v>
      </c>
      <c r="J717" s="23">
        <v>4.796194771E7</v>
      </c>
      <c r="K717" s="24">
        <v>2.900757E7</v>
      </c>
      <c r="L717" s="1" t="s">
        <v>1776</v>
      </c>
      <c r="M717" s="1" t="s">
        <v>2128</v>
      </c>
      <c r="N717" s="63" t="s">
        <v>207</v>
      </c>
      <c r="O717" s="63" t="s">
        <v>207</v>
      </c>
      <c r="P717" s="68">
        <v>33.0</v>
      </c>
      <c r="Q717" s="1" t="s">
        <v>2130</v>
      </c>
      <c r="R717" s="1" t="s">
        <v>13</v>
      </c>
      <c r="S717" s="1"/>
      <c r="T717" s="1"/>
      <c r="U717" s="1" t="s">
        <v>220</v>
      </c>
      <c r="V717" s="1" t="s">
        <v>220</v>
      </c>
      <c r="W717" s="145">
        <f t="shared" si="1"/>
        <v>0.0009811100382</v>
      </c>
      <c r="AC717" s="38"/>
    </row>
    <row r="718" ht="15.75" customHeight="1">
      <c r="A718" s="1" t="s">
        <v>1828</v>
      </c>
      <c r="B718" s="1" t="s">
        <v>2127</v>
      </c>
      <c r="C718" s="63">
        <v>46253.0</v>
      </c>
      <c r="D718" s="63" t="s">
        <v>130</v>
      </c>
      <c r="E718" s="68">
        <v>0.90872879</v>
      </c>
      <c r="F718" s="1"/>
      <c r="G718" s="23">
        <v>1.0E7</v>
      </c>
      <c r="H718" s="23">
        <v>9087287.85</v>
      </c>
      <c r="I718" s="23">
        <v>1.0E7</v>
      </c>
      <c r="J718" s="23">
        <v>9087287.85</v>
      </c>
      <c r="K718" s="24">
        <v>3936.0</v>
      </c>
      <c r="L718" s="1" t="s">
        <v>1776</v>
      </c>
      <c r="M718" s="1" t="s">
        <v>2128</v>
      </c>
      <c r="N718" s="63" t="s">
        <v>144</v>
      </c>
      <c r="O718" s="63" t="s">
        <v>144</v>
      </c>
      <c r="P718" s="68">
        <v>78.0</v>
      </c>
      <c r="Q718" s="1" t="s">
        <v>2130</v>
      </c>
      <c r="R718" s="1" t="s">
        <v>13</v>
      </c>
      <c r="S718" s="1"/>
      <c r="T718" s="1"/>
      <c r="U718" s="1" t="s">
        <v>142</v>
      </c>
      <c r="V718" s="1" t="s">
        <v>142</v>
      </c>
      <c r="W718" s="145">
        <f t="shared" si="1"/>
        <v>0.0001858896428</v>
      </c>
      <c r="AC718" s="38"/>
    </row>
    <row r="719" ht="15.75" customHeight="1">
      <c r="A719" s="1" t="s">
        <v>1949</v>
      </c>
      <c r="B719" s="1" t="s">
        <v>2127</v>
      </c>
      <c r="C719" s="63">
        <v>46253.0</v>
      </c>
      <c r="D719" s="63" t="s">
        <v>130</v>
      </c>
      <c r="E719" s="68">
        <v>0.95687521</v>
      </c>
      <c r="F719" s="1"/>
      <c r="G719" s="23">
        <v>2.0E7</v>
      </c>
      <c r="H719" s="23">
        <v>1.913750423E7</v>
      </c>
      <c r="I719" s="23">
        <v>2.0E7</v>
      </c>
      <c r="J719" s="23">
        <v>1.913750423E7</v>
      </c>
      <c r="K719" s="24">
        <v>4183.0</v>
      </c>
      <c r="L719" s="1" t="s">
        <v>1776</v>
      </c>
      <c r="M719" s="1" t="s">
        <v>2128</v>
      </c>
      <c r="N719" s="63" t="s">
        <v>827</v>
      </c>
      <c r="O719" s="63" t="s">
        <v>827</v>
      </c>
      <c r="P719" s="68">
        <v>35.0</v>
      </c>
      <c r="Q719" s="1" t="s">
        <v>2130</v>
      </c>
      <c r="R719" s="1" t="s">
        <v>13</v>
      </c>
      <c r="S719" s="1"/>
      <c r="T719" s="1"/>
      <c r="U719" s="1" t="s">
        <v>833</v>
      </c>
      <c r="V719" s="1" t="s">
        <v>833</v>
      </c>
      <c r="W719" s="145">
        <f t="shared" si="1"/>
        <v>0.0003914769605</v>
      </c>
      <c r="AC719" s="38"/>
    </row>
    <row r="720" ht="15.75" customHeight="1">
      <c r="A720" s="1" t="s">
        <v>1991</v>
      </c>
      <c r="B720" s="1" t="s">
        <v>2127</v>
      </c>
      <c r="C720" s="63">
        <v>46253.0</v>
      </c>
      <c r="D720" s="63" t="s">
        <v>130</v>
      </c>
      <c r="E720" s="68">
        <v>0.95923909</v>
      </c>
      <c r="F720" s="1"/>
      <c r="G720" s="23">
        <v>2200000.0</v>
      </c>
      <c r="H720" s="23">
        <v>2110325.99</v>
      </c>
      <c r="I720" s="23">
        <v>2200000.0</v>
      </c>
      <c r="J720" s="23">
        <v>2110325.99</v>
      </c>
      <c r="K720" s="24">
        <v>6190.0</v>
      </c>
      <c r="L720" s="1" t="s">
        <v>1776</v>
      </c>
      <c r="M720" s="1" t="s">
        <v>2128</v>
      </c>
      <c r="N720" s="63" t="s">
        <v>1084</v>
      </c>
      <c r="O720" s="63" t="s">
        <v>1084</v>
      </c>
      <c r="P720" s="68">
        <v>33.0</v>
      </c>
      <c r="Q720" s="1" t="s">
        <v>2130</v>
      </c>
      <c r="R720" s="1" t="s">
        <v>13</v>
      </c>
      <c r="S720" s="1"/>
      <c r="T720" s="1"/>
      <c r="U720" s="1" t="s">
        <v>1112</v>
      </c>
      <c r="V720" s="1" t="s">
        <v>1112</v>
      </c>
      <c r="W720" s="145">
        <f t="shared" si="1"/>
        <v>0.00004316884763</v>
      </c>
      <c r="AC720" s="38"/>
    </row>
    <row r="721" ht="15.75" customHeight="1">
      <c r="A721" s="1" t="s">
        <v>1903</v>
      </c>
      <c r="B721" s="1" t="s">
        <v>2127</v>
      </c>
      <c r="C721" s="63">
        <v>46253.0</v>
      </c>
      <c r="D721" s="63" t="s">
        <v>130</v>
      </c>
      <c r="E721" s="68">
        <v>0.96280677</v>
      </c>
      <c r="F721" s="1"/>
      <c r="G721" s="23">
        <v>6.0E7</v>
      </c>
      <c r="H721" s="23">
        <v>5.776840593E7</v>
      </c>
      <c r="I721" s="23">
        <v>6.0E7</v>
      </c>
      <c r="J721" s="23">
        <v>5.776840593E7</v>
      </c>
      <c r="K721" s="24">
        <v>60.0</v>
      </c>
      <c r="L721" s="1" t="s">
        <v>1776</v>
      </c>
      <c r="M721" s="1" t="s">
        <v>2128</v>
      </c>
      <c r="N721" s="63" t="s">
        <v>704</v>
      </c>
      <c r="O721" s="63" t="s">
        <v>704</v>
      </c>
      <c r="P721" s="68">
        <v>30.0</v>
      </c>
      <c r="Q721" s="1" t="s">
        <v>2130</v>
      </c>
      <c r="R721" s="1" t="s">
        <v>13</v>
      </c>
      <c r="S721" s="1"/>
      <c r="T721" s="1"/>
      <c r="U721" s="1" t="s">
        <v>716</v>
      </c>
      <c r="V721" s="1" t="s">
        <v>716</v>
      </c>
      <c r="W721" s="145">
        <f t="shared" si="1"/>
        <v>0.001181711037</v>
      </c>
      <c r="AC721" s="38"/>
    </row>
    <row r="722" ht="15.75" customHeight="1">
      <c r="A722" s="1" t="s">
        <v>1903</v>
      </c>
      <c r="B722" s="1" t="s">
        <v>2127</v>
      </c>
      <c r="C722" s="63">
        <v>46253.0</v>
      </c>
      <c r="D722" s="63" t="s">
        <v>130</v>
      </c>
      <c r="E722" s="68">
        <v>0.9640018</v>
      </c>
      <c r="F722" s="1"/>
      <c r="G722" s="23">
        <v>5500000.0</v>
      </c>
      <c r="H722" s="23">
        <v>5302009.89</v>
      </c>
      <c r="I722" s="23">
        <v>5500000.0</v>
      </c>
      <c r="J722" s="23">
        <v>5302009.89</v>
      </c>
      <c r="K722" s="24">
        <v>6.6554053E7</v>
      </c>
      <c r="L722" s="1" t="s">
        <v>1776</v>
      </c>
      <c r="M722" s="1" t="s">
        <v>2128</v>
      </c>
      <c r="N722" s="63" t="s">
        <v>608</v>
      </c>
      <c r="O722" s="63" t="s">
        <v>608</v>
      </c>
      <c r="P722" s="68">
        <v>29.0</v>
      </c>
      <c r="Q722" s="1" t="s">
        <v>2130</v>
      </c>
      <c r="R722" s="1" t="s">
        <v>13</v>
      </c>
      <c r="S722" s="1"/>
      <c r="T722" s="1"/>
      <c r="U722" s="1" t="s">
        <v>609</v>
      </c>
      <c r="V722" s="1" t="s">
        <v>609</v>
      </c>
      <c r="W722" s="145">
        <f t="shared" si="1"/>
        <v>0.0001084579625</v>
      </c>
      <c r="AC722" s="38"/>
    </row>
    <row r="723" ht="15.75" customHeight="1">
      <c r="A723" s="1" t="s">
        <v>1939</v>
      </c>
      <c r="B723" s="1" t="s">
        <v>2127</v>
      </c>
      <c r="C723" s="63">
        <v>46253.0</v>
      </c>
      <c r="D723" s="63" t="s">
        <v>130</v>
      </c>
      <c r="E723" s="68">
        <v>0.95101624</v>
      </c>
      <c r="F723" s="1"/>
      <c r="G723" s="23">
        <v>4.0E7</v>
      </c>
      <c r="H723" s="23">
        <v>3.804064976E7</v>
      </c>
      <c r="I723" s="23">
        <v>4.0E7</v>
      </c>
      <c r="J723" s="23">
        <v>3.804064976E7</v>
      </c>
      <c r="K723" s="24">
        <v>223.0</v>
      </c>
      <c r="L723" s="1" t="s">
        <v>1776</v>
      </c>
      <c r="M723" s="1" t="s">
        <v>2128</v>
      </c>
      <c r="N723" s="63" t="s">
        <v>192</v>
      </c>
      <c r="O723" s="63" t="s">
        <v>192</v>
      </c>
      <c r="P723" s="68">
        <v>40.0</v>
      </c>
      <c r="Q723" s="1" t="s">
        <v>2130</v>
      </c>
      <c r="R723" s="1" t="s">
        <v>13</v>
      </c>
      <c r="S723" s="1"/>
      <c r="T723" s="1"/>
      <c r="U723" s="1" t="s">
        <v>194</v>
      </c>
      <c r="V723" s="1" t="s">
        <v>194</v>
      </c>
      <c r="W723" s="145">
        <f t="shared" si="1"/>
        <v>0.0007781598772</v>
      </c>
      <c r="AC723" s="38"/>
    </row>
    <row r="724" ht="15.75" customHeight="1">
      <c r="A724" s="1" t="s">
        <v>1950</v>
      </c>
      <c r="B724" s="1" t="s">
        <v>2127</v>
      </c>
      <c r="C724" s="63">
        <v>46253.0</v>
      </c>
      <c r="D724" s="63" t="s">
        <v>130</v>
      </c>
      <c r="E724" s="68">
        <v>0.96042524</v>
      </c>
      <c r="F724" s="1"/>
      <c r="G724" s="23">
        <v>3243208.42</v>
      </c>
      <c r="H724" s="23">
        <v>3114859.21</v>
      </c>
      <c r="I724" s="23">
        <v>3243208.42</v>
      </c>
      <c r="J724" s="23">
        <v>3114859.21</v>
      </c>
      <c r="K724" s="24">
        <v>143910.0</v>
      </c>
      <c r="L724" s="1" t="s">
        <v>1776</v>
      </c>
      <c r="M724" s="1" t="s">
        <v>2128</v>
      </c>
      <c r="N724" s="63" t="s">
        <v>307</v>
      </c>
      <c r="O724" s="63" t="s">
        <v>307</v>
      </c>
      <c r="P724" s="68">
        <v>32.0</v>
      </c>
      <c r="Q724" s="1" t="s">
        <v>2130</v>
      </c>
      <c r="R724" s="1" t="s">
        <v>13</v>
      </c>
      <c r="S724" s="1"/>
      <c r="T724" s="1"/>
      <c r="U724" s="1" t="s">
        <v>306</v>
      </c>
      <c r="V724" s="1" t="s">
        <v>306</v>
      </c>
      <c r="W724" s="145">
        <f t="shared" si="1"/>
        <v>0.00006371758831</v>
      </c>
      <c r="AC724" s="38"/>
    </row>
    <row r="725" ht="15.75" customHeight="1">
      <c r="A725" s="1" t="s">
        <v>1921</v>
      </c>
      <c r="B725" s="1" t="s">
        <v>2127</v>
      </c>
      <c r="C725" s="63">
        <v>46253.0</v>
      </c>
      <c r="D725" s="63" t="s">
        <v>130</v>
      </c>
      <c r="E725" s="68">
        <v>0.9640018</v>
      </c>
      <c r="F725" s="1"/>
      <c r="G725" s="23">
        <v>2500000.0</v>
      </c>
      <c r="H725" s="23">
        <v>2410004.5</v>
      </c>
      <c r="I725" s="23">
        <v>2500000.0</v>
      </c>
      <c r="J725" s="23">
        <v>2410004.5</v>
      </c>
      <c r="K725" s="24">
        <v>366.0</v>
      </c>
      <c r="L725" s="1" t="s">
        <v>1776</v>
      </c>
      <c r="M725" s="1" t="s">
        <v>2128</v>
      </c>
      <c r="N725" s="63" t="s">
        <v>307</v>
      </c>
      <c r="O725" s="63" t="s">
        <v>307</v>
      </c>
      <c r="P725" s="68">
        <v>29.0</v>
      </c>
      <c r="Q725" s="1" t="s">
        <v>2130</v>
      </c>
      <c r="R725" s="1" t="s">
        <v>13</v>
      </c>
      <c r="S725" s="1"/>
      <c r="T725" s="1"/>
      <c r="U725" s="1" t="s">
        <v>310</v>
      </c>
      <c r="V725" s="1" t="s">
        <v>310</v>
      </c>
      <c r="W725" s="145">
        <f t="shared" si="1"/>
        <v>0.00004929907395</v>
      </c>
      <c r="AC725" s="38"/>
    </row>
    <row r="726" ht="15.75" customHeight="1">
      <c r="A726" s="1" t="s">
        <v>2016</v>
      </c>
      <c r="B726" s="1" t="s">
        <v>2127</v>
      </c>
      <c r="C726" s="63">
        <v>46253.0</v>
      </c>
      <c r="D726" s="63" t="s">
        <v>130</v>
      </c>
      <c r="E726" s="68">
        <v>0.94753519</v>
      </c>
      <c r="F726" s="1"/>
      <c r="G726" s="23">
        <v>3500000.0</v>
      </c>
      <c r="H726" s="23">
        <v>3316373.17</v>
      </c>
      <c r="I726" s="23">
        <v>3500000.0</v>
      </c>
      <c r="J726" s="23">
        <v>3316373.17</v>
      </c>
      <c r="K726" s="24">
        <v>3076.0</v>
      </c>
      <c r="L726" s="1" t="s">
        <v>1776</v>
      </c>
      <c r="M726" s="1" t="s">
        <v>2128</v>
      </c>
      <c r="N726" s="63" t="s">
        <v>154</v>
      </c>
      <c r="O726" s="63" t="s">
        <v>154</v>
      </c>
      <c r="P726" s="68">
        <v>43.0</v>
      </c>
      <c r="Q726" s="1" t="s">
        <v>2130</v>
      </c>
      <c r="R726" s="1" t="s">
        <v>13</v>
      </c>
      <c r="S726" s="1"/>
      <c r="T726" s="1"/>
      <c r="U726" s="1" t="s">
        <v>164</v>
      </c>
      <c r="V726" s="1" t="s">
        <v>164</v>
      </c>
      <c r="W726" s="145">
        <f t="shared" si="1"/>
        <v>0.00006783975971</v>
      </c>
      <c r="AC726" s="38"/>
    </row>
    <row r="727" ht="15.75" customHeight="1">
      <c r="A727" s="1" t="s">
        <v>1926</v>
      </c>
      <c r="B727" s="1" t="s">
        <v>2127</v>
      </c>
      <c r="C727" s="63">
        <v>46253.0</v>
      </c>
      <c r="D727" s="63" t="s">
        <v>130</v>
      </c>
      <c r="E727" s="68">
        <v>0.96640105</v>
      </c>
      <c r="F727" s="1"/>
      <c r="G727" s="23">
        <v>2900000.0</v>
      </c>
      <c r="H727" s="23">
        <v>2802563.04</v>
      </c>
      <c r="I727" s="23">
        <v>2900000.0</v>
      </c>
      <c r="J727" s="23">
        <v>2802563.04</v>
      </c>
      <c r="K727" s="24">
        <v>10946.0</v>
      </c>
      <c r="L727" s="1" t="s">
        <v>1776</v>
      </c>
      <c r="M727" s="1" t="s">
        <v>2128</v>
      </c>
      <c r="N727" s="63" t="s">
        <v>130</v>
      </c>
      <c r="O727" s="63" t="s">
        <v>130</v>
      </c>
      <c r="P727" s="68">
        <v>27.0</v>
      </c>
      <c r="Q727" s="1" t="s">
        <v>2130</v>
      </c>
      <c r="R727" s="1" t="s">
        <v>13</v>
      </c>
      <c r="S727" s="1"/>
      <c r="T727" s="1"/>
      <c r="U727" s="1" t="s">
        <v>1630</v>
      </c>
      <c r="V727" s="1" t="s">
        <v>1630</v>
      </c>
      <c r="W727" s="145">
        <f t="shared" si="1"/>
        <v>0.00005732925502</v>
      </c>
      <c r="AC727" s="38"/>
    </row>
    <row r="728" ht="15.75" customHeight="1">
      <c r="A728" s="1" t="s">
        <v>1926</v>
      </c>
      <c r="B728" s="1" t="s">
        <v>2127</v>
      </c>
      <c r="C728" s="63">
        <v>46253.0</v>
      </c>
      <c r="D728" s="63" t="s">
        <v>130</v>
      </c>
      <c r="E728" s="68">
        <v>0.96400184</v>
      </c>
      <c r="F728" s="1"/>
      <c r="G728" s="23">
        <v>5000000.0</v>
      </c>
      <c r="H728" s="23">
        <v>4820009.19</v>
      </c>
      <c r="I728" s="23">
        <v>5000000.0</v>
      </c>
      <c r="J728" s="23">
        <v>4820009.19</v>
      </c>
      <c r="K728" s="24">
        <v>6880.0</v>
      </c>
      <c r="L728" s="1" t="s">
        <v>1776</v>
      </c>
      <c r="M728" s="1" t="s">
        <v>2128</v>
      </c>
      <c r="N728" s="63" t="s">
        <v>446</v>
      </c>
      <c r="O728" s="63" t="s">
        <v>446</v>
      </c>
      <c r="P728" s="68">
        <v>29.0</v>
      </c>
      <c r="Q728" s="1" t="s">
        <v>2130</v>
      </c>
      <c r="R728" s="1" t="s">
        <v>13</v>
      </c>
      <c r="S728" s="1"/>
      <c r="T728" s="1"/>
      <c r="U728" s="1" t="s">
        <v>460</v>
      </c>
      <c r="V728" s="1" t="s">
        <v>460</v>
      </c>
      <c r="W728" s="145">
        <f t="shared" si="1"/>
        <v>0.0000985981518</v>
      </c>
      <c r="AC728" s="38"/>
    </row>
    <row r="729" ht="15.75" customHeight="1">
      <c r="A729" s="1" t="s">
        <v>2070</v>
      </c>
      <c r="B729" s="1" t="s">
        <v>2127</v>
      </c>
      <c r="C729" s="63">
        <v>46253.0</v>
      </c>
      <c r="D729" s="63" t="s">
        <v>130</v>
      </c>
      <c r="E729" s="68">
        <v>0.96280674</v>
      </c>
      <c r="F729" s="1"/>
      <c r="G729" s="23">
        <v>2500000.0</v>
      </c>
      <c r="H729" s="23">
        <v>2407016.86</v>
      </c>
      <c r="I729" s="23">
        <v>2500000.0</v>
      </c>
      <c r="J729" s="23">
        <v>2407016.86</v>
      </c>
      <c r="K729" s="24">
        <v>334.0</v>
      </c>
      <c r="L729" s="1" t="s">
        <v>1776</v>
      </c>
      <c r="M729" s="1" t="s">
        <v>2128</v>
      </c>
      <c r="N729" s="63" t="s">
        <v>1302</v>
      </c>
      <c r="O729" s="63" t="s">
        <v>1302</v>
      </c>
      <c r="P729" s="68">
        <v>30.0</v>
      </c>
      <c r="Q729" s="1" t="s">
        <v>2130</v>
      </c>
      <c r="R729" s="1" t="s">
        <v>13</v>
      </c>
      <c r="S729" s="1"/>
      <c r="T729" s="1"/>
      <c r="U729" s="1" t="s">
        <v>1306</v>
      </c>
      <c r="V729" s="1" t="s">
        <v>1306</v>
      </c>
      <c r="W729" s="145">
        <f t="shared" si="1"/>
        <v>0.00004923795876</v>
      </c>
      <c r="AC729" s="38"/>
    </row>
    <row r="730" ht="15.75" customHeight="1">
      <c r="A730" s="1" t="s">
        <v>1953</v>
      </c>
      <c r="B730" s="1" t="s">
        <v>2127</v>
      </c>
      <c r="C730" s="63">
        <v>46254.0</v>
      </c>
      <c r="D730" s="63" t="s">
        <v>130</v>
      </c>
      <c r="E730" s="68">
        <v>0.97437269</v>
      </c>
      <c r="F730" s="1"/>
      <c r="G730" s="23">
        <v>2500000.0</v>
      </c>
      <c r="H730" s="23">
        <v>2435931.73</v>
      </c>
      <c r="I730" s="23">
        <v>2500000.0</v>
      </c>
      <c r="J730" s="23">
        <v>2435931.73</v>
      </c>
      <c r="K730" s="24">
        <v>6135.0</v>
      </c>
      <c r="L730" s="1" t="s">
        <v>1776</v>
      </c>
      <c r="M730" s="1" t="s">
        <v>2128</v>
      </c>
      <c r="N730" s="63" t="s">
        <v>946</v>
      </c>
      <c r="O730" s="63" t="s">
        <v>946</v>
      </c>
      <c r="P730" s="68">
        <v>20.0</v>
      </c>
      <c r="Q730" s="1" t="s">
        <v>2130</v>
      </c>
      <c r="R730" s="1" t="s">
        <v>13</v>
      </c>
      <c r="S730" s="1"/>
      <c r="T730" s="1"/>
      <c r="U730" s="1" t="s">
        <v>962</v>
      </c>
      <c r="V730" s="1" t="s">
        <v>962</v>
      </c>
      <c r="W730" s="145">
        <f t="shared" si="1"/>
        <v>0.00004982944161</v>
      </c>
      <c r="AC730" s="38"/>
    </row>
    <row r="731" ht="15.75" customHeight="1">
      <c r="A731" s="1" t="s">
        <v>1953</v>
      </c>
      <c r="B731" s="1" t="s">
        <v>2127</v>
      </c>
      <c r="C731" s="63">
        <v>46254.0</v>
      </c>
      <c r="D731" s="63" t="s">
        <v>130</v>
      </c>
      <c r="E731" s="68">
        <v>0.97437269</v>
      </c>
      <c r="F731" s="1"/>
      <c r="G731" s="23">
        <v>2500000.0</v>
      </c>
      <c r="H731" s="23">
        <v>2435931.73</v>
      </c>
      <c r="I731" s="23">
        <v>2500000.0</v>
      </c>
      <c r="J731" s="23">
        <v>2435931.73</v>
      </c>
      <c r="K731" s="24">
        <v>6134.0</v>
      </c>
      <c r="L731" s="1" t="s">
        <v>1776</v>
      </c>
      <c r="M731" s="1" t="s">
        <v>2128</v>
      </c>
      <c r="N731" s="63" t="s">
        <v>946</v>
      </c>
      <c r="O731" s="63" t="s">
        <v>946</v>
      </c>
      <c r="P731" s="68">
        <v>20.0</v>
      </c>
      <c r="Q731" s="1" t="s">
        <v>2130</v>
      </c>
      <c r="R731" s="1" t="s">
        <v>13</v>
      </c>
      <c r="S731" s="1"/>
      <c r="T731" s="1"/>
      <c r="U731" s="1" t="s">
        <v>964</v>
      </c>
      <c r="V731" s="1" t="s">
        <v>964</v>
      </c>
      <c r="W731" s="145">
        <f t="shared" si="1"/>
        <v>0.00004982944161</v>
      </c>
      <c r="AC731" s="38"/>
    </row>
    <row r="732" ht="15.75" customHeight="1">
      <c r="A732" s="1" t="s">
        <v>1960</v>
      </c>
      <c r="B732" s="1" t="s">
        <v>2127</v>
      </c>
      <c r="C732" s="63">
        <v>46254.0</v>
      </c>
      <c r="D732" s="63" t="s">
        <v>130</v>
      </c>
      <c r="E732" s="68">
        <v>0.96448583</v>
      </c>
      <c r="F732" s="1"/>
      <c r="G732" s="23">
        <v>5000000.0</v>
      </c>
      <c r="H732" s="23">
        <v>4822429.15</v>
      </c>
      <c r="I732" s="23">
        <v>5000000.0</v>
      </c>
      <c r="J732" s="23">
        <v>4822429.15</v>
      </c>
      <c r="K732" s="24">
        <v>2.9175486E7</v>
      </c>
      <c r="L732" s="1" t="s">
        <v>1776</v>
      </c>
      <c r="M732" s="1" t="s">
        <v>2128</v>
      </c>
      <c r="N732" s="63" t="s">
        <v>676</v>
      </c>
      <c r="O732" s="63" t="s">
        <v>676</v>
      </c>
      <c r="P732" s="68">
        <v>28.0</v>
      </c>
      <c r="Q732" s="1" t="s">
        <v>2130</v>
      </c>
      <c r="R732" s="1" t="s">
        <v>13</v>
      </c>
      <c r="S732" s="1"/>
      <c r="T732" s="1"/>
      <c r="U732" s="1" t="s">
        <v>684</v>
      </c>
      <c r="V732" s="1" t="s">
        <v>684</v>
      </c>
      <c r="W732" s="145">
        <f t="shared" si="1"/>
        <v>0.00009864765452</v>
      </c>
      <c r="AC732" s="38"/>
    </row>
    <row r="733" ht="15.75" customHeight="1">
      <c r="A733" s="1" t="s">
        <v>1960</v>
      </c>
      <c r="B733" s="1" t="s">
        <v>2127</v>
      </c>
      <c r="C733" s="63">
        <v>46254.0</v>
      </c>
      <c r="D733" s="63" t="s">
        <v>130</v>
      </c>
      <c r="E733" s="68">
        <v>0.96448583</v>
      </c>
      <c r="F733" s="1"/>
      <c r="G733" s="23">
        <v>5000000.0</v>
      </c>
      <c r="H733" s="23">
        <v>4822429.15</v>
      </c>
      <c r="I733" s="23">
        <v>5000000.0</v>
      </c>
      <c r="J733" s="23">
        <v>4822429.15</v>
      </c>
      <c r="K733" s="24">
        <v>2.9175484E7</v>
      </c>
      <c r="L733" s="1" t="s">
        <v>1776</v>
      </c>
      <c r="M733" s="1" t="s">
        <v>2128</v>
      </c>
      <c r="N733" s="63" t="s">
        <v>676</v>
      </c>
      <c r="O733" s="63" t="s">
        <v>676</v>
      </c>
      <c r="P733" s="68">
        <v>28.0</v>
      </c>
      <c r="Q733" s="1" t="s">
        <v>2130</v>
      </c>
      <c r="R733" s="1" t="s">
        <v>13</v>
      </c>
      <c r="S733" s="1"/>
      <c r="T733" s="1"/>
      <c r="U733" s="1" t="s">
        <v>692</v>
      </c>
      <c r="V733" s="1" t="s">
        <v>692</v>
      </c>
      <c r="W733" s="145">
        <f t="shared" si="1"/>
        <v>0.00009864765452</v>
      </c>
      <c r="AC733" s="38"/>
    </row>
    <row r="734" ht="15.75" customHeight="1">
      <c r="A734" s="1" t="s">
        <v>1919</v>
      </c>
      <c r="B734" s="1" t="s">
        <v>2127</v>
      </c>
      <c r="C734" s="63">
        <v>46254.0</v>
      </c>
      <c r="D734" s="63" t="s">
        <v>130</v>
      </c>
      <c r="E734" s="68">
        <v>0.96693871</v>
      </c>
      <c r="F734" s="1"/>
      <c r="G734" s="23">
        <v>2.871235731E7</v>
      </c>
      <c r="H734" s="23">
        <v>2.77630898E7</v>
      </c>
      <c r="I734" s="23">
        <v>2.871235731E7</v>
      </c>
      <c r="J734" s="23">
        <v>2.77630898E7</v>
      </c>
      <c r="K734" s="24">
        <v>568307.0</v>
      </c>
      <c r="L734" s="1" t="s">
        <v>1776</v>
      </c>
      <c r="M734" s="1" t="s">
        <v>2128</v>
      </c>
      <c r="N734" s="63" t="s">
        <v>543</v>
      </c>
      <c r="O734" s="63" t="s">
        <v>543</v>
      </c>
      <c r="P734" s="68">
        <v>26.0</v>
      </c>
      <c r="Q734" s="1" t="s">
        <v>2130</v>
      </c>
      <c r="R734" s="1" t="s">
        <v>13</v>
      </c>
      <c r="S734" s="1"/>
      <c r="T734" s="1"/>
      <c r="U734" s="1" t="s">
        <v>570</v>
      </c>
      <c r="V734" s="1" t="s">
        <v>570</v>
      </c>
      <c r="W734" s="145">
        <f t="shared" si="1"/>
        <v>0.0005679220173</v>
      </c>
      <c r="AC734" s="38"/>
    </row>
    <row r="735" ht="15.75" customHeight="1">
      <c r="A735" s="1" t="s">
        <v>1919</v>
      </c>
      <c r="B735" s="1" t="s">
        <v>2127</v>
      </c>
      <c r="C735" s="63">
        <v>46254.0</v>
      </c>
      <c r="D735" s="63" t="s">
        <v>130</v>
      </c>
      <c r="E735" s="68">
        <v>0.96693871</v>
      </c>
      <c r="F735" s="1"/>
      <c r="G735" s="23">
        <v>5.039910895E7</v>
      </c>
      <c r="H735" s="23">
        <v>4.87328495E7</v>
      </c>
      <c r="I735" s="23">
        <v>5.039910895E7</v>
      </c>
      <c r="J735" s="23">
        <v>4.87328495E7</v>
      </c>
      <c r="K735" s="24">
        <v>568283.0</v>
      </c>
      <c r="L735" s="1" t="s">
        <v>1776</v>
      </c>
      <c r="M735" s="1" t="s">
        <v>2128</v>
      </c>
      <c r="N735" s="63" t="s">
        <v>543</v>
      </c>
      <c r="O735" s="63" t="s">
        <v>543</v>
      </c>
      <c r="P735" s="68">
        <v>26.0</v>
      </c>
      <c r="Q735" s="1" t="s">
        <v>2130</v>
      </c>
      <c r="R735" s="1" t="s">
        <v>13</v>
      </c>
      <c r="S735" s="1"/>
      <c r="T735" s="1"/>
      <c r="U735" s="1" t="s">
        <v>571</v>
      </c>
      <c r="V735" s="1" t="s">
        <v>571</v>
      </c>
      <c r="W735" s="145">
        <f t="shared" si="1"/>
        <v>0.0009968796123</v>
      </c>
      <c r="AC735" s="38"/>
    </row>
    <row r="736" ht="15.75" customHeight="1">
      <c r="A736" s="1" t="s">
        <v>1919</v>
      </c>
      <c r="B736" s="1" t="s">
        <v>2127</v>
      </c>
      <c r="C736" s="63">
        <v>46254.0</v>
      </c>
      <c r="D736" s="63" t="s">
        <v>130</v>
      </c>
      <c r="E736" s="68">
        <v>0.96693871</v>
      </c>
      <c r="F736" s="1"/>
      <c r="G736" s="23">
        <v>4643215.31</v>
      </c>
      <c r="H736" s="23">
        <v>4489704.61</v>
      </c>
      <c r="I736" s="23">
        <v>4643215.31</v>
      </c>
      <c r="J736" s="23">
        <v>4489704.61</v>
      </c>
      <c r="K736" s="24">
        <v>568282.0</v>
      </c>
      <c r="L736" s="1" t="s">
        <v>1776</v>
      </c>
      <c r="M736" s="1" t="s">
        <v>2128</v>
      </c>
      <c r="N736" s="63" t="s">
        <v>543</v>
      </c>
      <c r="O736" s="63" t="s">
        <v>543</v>
      </c>
      <c r="P736" s="68">
        <v>26.0</v>
      </c>
      <c r="Q736" s="1" t="s">
        <v>2130</v>
      </c>
      <c r="R736" s="1" t="s">
        <v>13</v>
      </c>
      <c r="S736" s="1"/>
      <c r="T736" s="1"/>
      <c r="U736" s="1" t="s">
        <v>572</v>
      </c>
      <c r="V736" s="1" t="s">
        <v>572</v>
      </c>
      <c r="W736" s="145">
        <f t="shared" si="1"/>
        <v>0.00009184143831</v>
      </c>
      <c r="AC736" s="38"/>
    </row>
    <row r="737" ht="15.75" customHeight="1">
      <c r="A737" s="1" t="s">
        <v>1919</v>
      </c>
      <c r="B737" s="1" t="s">
        <v>2127</v>
      </c>
      <c r="C737" s="63">
        <v>46254.0</v>
      </c>
      <c r="D737" s="63" t="s">
        <v>130</v>
      </c>
      <c r="E737" s="68">
        <v>0.96693871</v>
      </c>
      <c r="F737" s="1"/>
      <c r="G737" s="23">
        <v>2120477.86</v>
      </c>
      <c r="H737" s="23">
        <v>2050372.13</v>
      </c>
      <c r="I737" s="23">
        <v>2120477.86</v>
      </c>
      <c r="J737" s="23">
        <v>2050372.13</v>
      </c>
      <c r="K737" s="24">
        <v>568321.0</v>
      </c>
      <c r="L737" s="1" t="s">
        <v>1776</v>
      </c>
      <c r="M737" s="1" t="s">
        <v>2128</v>
      </c>
      <c r="N737" s="63" t="s">
        <v>543</v>
      </c>
      <c r="O737" s="63" t="s">
        <v>543</v>
      </c>
      <c r="P737" s="68">
        <v>26.0</v>
      </c>
      <c r="Q737" s="1" t="s">
        <v>2130</v>
      </c>
      <c r="R737" s="1" t="s">
        <v>13</v>
      </c>
      <c r="S737" s="1"/>
      <c r="T737" s="1"/>
      <c r="U737" s="1" t="s">
        <v>573</v>
      </c>
      <c r="V737" s="1" t="s">
        <v>573</v>
      </c>
      <c r="W737" s="145">
        <f t="shared" si="1"/>
        <v>0.00004194243093</v>
      </c>
      <c r="AC737" s="38"/>
    </row>
    <row r="738" ht="15.75" customHeight="1">
      <c r="A738" s="1" t="s">
        <v>1919</v>
      </c>
      <c r="B738" s="1" t="s">
        <v>2127</v>
      </c>
      <c r="C738" s="63">
        <v>46254.0</v>
      </c>
      <c r="D738" s="63" t="s">
        <v>130</v>
      </c>
      <c r="E738" s="68">
        <v>0.9669387</v>
      </c>
      <c r="F738" s="1"/>
      <c r="G738" s="23">
        <v>3412014.84</v>
      </c>
      <c r="H738" s="23">
        <v>3299209.21</v>
      </c>
      <c r="I738" s="23">
        <v>3412014.84</v>
      </c>
      <c r="J738" s="23">
        <v>3299209.21</v>
      </c>
      <c r="K738" s="24">
        <v>568312.0</v>
      </c>
      <c r="L738" s="1" t="s">
        <v>1776</v>
      </c>
      <c r="M738" s="1" t="s">
        <v>2128</v>
      </c>
      <c r="N738" s="63" t="s">
        <v>543</v>
      </c>
      <c r="O738" s="63" t="s">
        <v>543</v>
      </c>
      <c r="P738" s="68">
        <v>26.0</v>
      </c>
      <c r="Q738" s="1" t="s">
        <v>2130</v>
      </c>
      <c r="R738" s="1" t="s">
        <v>13</v>
      </c>
      <c r="S738" s="1"/>
      <c r="T738" s="1"/>
      <c r="U738" s="1" t="s">
        <v>578</v>
      </c>
      <c r="V738" s="1" t="s">
        <v>578</v>
      </c>
      <c r="W738" s="145">
        <f t="shared" si="1"/>
        <v>0.00006748865358</v>
      </c>
      <c r="AC738" s="38"/>
    </row>
    <row r="739" ht="15.75" customHeight="1">
      <c r="A739" s="1" t="s">
        <v>1992</v>
      </c>
      <c r="B739" s="1" t="s">
        <v>2127</v>
      </c>
      <c r="C739" s="63">
        <v>46254.0</v>
      </c>
      <c r="D739" s="63" t="s">
        <v>130</v>
      </c>
      <c r="E739" s="68">
        <v>0.96204546</v>
      </c>
      <c r="F739" s="1"/>
      <c r="G739" s="23">
        <v>1.796954275E7</v>
      </c>
      <c r="H739" s="23">
        <v>1.728751693E7</v>
      </c>
      <c r="I739" s="23">
        <v>1.796954275E7</v>
      </c>
      <c r="J739" s="23">
        <v>1.728751693E7</v>
      </c>
      <c r="K739" s="24">
        <v>691.0</v>
      </c>
      <c r="L739" s="1" t="s">
        <v>1776</v>
      </c>
      <c r="M739" s="1" t="s">
        <v>2128</v>
      </c>
      <c r="N739" s="63" t="s">
        <v>724</v>
      </c>
      <c r="O739" s="63" t="s">
        <v>724</v>
      </c>
      <c r="P739" s="68">
        <v>30.0</v>
      </c>
      <c r="Q739" s="1" t="s">
        <v>2130</v>
      </c>
      <c r="R739" s="1" t="s">
        <v>13</v>
      </c>
      <c r="S739" s="1"/>
      <c r="T739" s="1"/>
      <c r="U739" s="1" t="s">
        <v>723</v>
      </c>
      <c r="V739" s="1" t="s">
        <v>723</v>
      </c>
      <c r="W739" s="145">
        <f t="shared" si="1"/>
        <v>0.0003536336034</v>
      </c>
      <c r="AC739" s="38"/>
    </row>
    <row r="740" ht="15.75" customHeight="1">
      <c r="A740" s="1" t="s">
        <v>1976</v>
      </c>
      <c r="B740" s="1" t="s">
        <v>2127</v>
      </c>
      <c r="C740" s="63">
        <v>46254.0</v>
      </c>
      <c r="D740" s="63" t="s">
        <v>130</v>
      </c>
      <c r="E740" s="68">
        <v>0.95479765</v>
      </c>
      <c r="F740" s="1"/>
      <c r="G740" s="23">
        <v>3345657.98</v>
      </c>
      <c r="H740" s="23">
        <v>3194426.37</v>
      </c>
      <c r="I740" s="23">
        <v>3345657.98</v>
      </c>
      <c r="J740" s="23">
        <v>3194426.37</v>
      </c>
      <c r="K740" s="24">
        <v>230.0</v>
      </c>
      <c r="L740" s="1" t="s">
        <v>1776</v>
      </c>
      <c r="M740" s="1" t="s">
        <v>2128</v>
      </c>
      <c r="N740" s="63" t="s">
        <v>1332</v>
      </c>
      <c r="O740" s="63" t="s">
        <v>1332</v>
      </c>
      <c r="P740" s="68">
        <v>36.0</v>
      </c>
      <c r="Q740" s="1" t="s">
        <v>2130</v>
      </c>
      <c r="R740" s="1" t="s">
        <v>13</v>
      </c>
      <c r="S740" s="1"/>
      <c r="T740" s="1"/>
      <c r="U740" s="1" t="s">
        <v>1353</v>
      </c>
      <c r="V740" s="1" t="s">
        <v>1353</v>
      </c>
      <c r="W740" s="145">
        <f t="shared" si="1"/>
        <v>0.00006534521486</v>
      </c>
      <c r="AC740" s="38"/>
    </row>
    <row r="741" ht="15.75" customHeight="1">
      <c r="A741" s="1" t="s">
        <v>1976</v>
      </c>
      <c r="B741" s="1" t="s">
        <v>2127</v>
      </c>
      <c r="C741" s="63">
        <v>46254.0</v>
      </c>
      <c r="D741" s="63" t="s">
        <v>130</v>
      </c>
      <c r="E741" s="68">
        <v>0.95479765</v>
      </c>
      <c r="F741" s="1"/>
      <c r="G741" s="23">
        <v>3345657.98</v>
      </c>
      <c r="H741" s="23">
        <v>3194426.37</v>
      </c>
      <c r="I741" s="23">
        <v>3345657.98</v>
      </c>
      <c r="J741" s="23">
        <v>3194426.37</v>
      </c>
      <c r="K741" s="24">
        <v>231.0</v>
      </c>
      <c r="L741" s="1" t="s">
        <v>1776</v>
      </c>
      <c r="M741" s="1" t="s">
        <v>2128</v>
      </c>
      <c r="N741" s="63" t="s">
        <v>1332</v>
      </c>
      <c r="O741" s="63" t="s">
        <v>1332</v>
      </c>
      <c r="P741" s="68">
        <v>36.0</v>
      </c>
      <c r="Q741" s="1" t="s">
        <v>2130</v>
      </c>
      <c r="R741" s="1" t="s">
        <v>13</v>
      </c>
      <c r="S741" s="1"/>
      <c r="T741" s="1"/>
      <c r="U741" s="1" t="s">
        <v>1354</v>
      </c>
      <c r="V741" s="1" t="s">
        <v>1354</v>
      </c>
      <c r="W741" s="145">
        <f t="shared" si="1"/>
        <v>0.00006534521486</v>
      </c>
      <c r="AC741" s="38"/>
    </row>
    <row r="742" ht="15.75" customHeight="1">
      <c r="A742" s="1" t="s">
        <v>2022</v>
      </c>
      <c r="B742" s="1" t="s">
        <v>2127</v>
      </c>
      <c r="C742" s="63">
        <v>46254.0</v>
      </c>
      <c r="D742" s="63" t="s">
        <v>130</v>
      </c>
      <c r="E742" s="68">
        <v>0.95840785</v>
      </c>
      <c r="F742" s="1"/>
      <c r="G742" s="23">
        <v>3900000.0</v>
      </c>
      <c r="H742" s="23">
        <v>3737790.61</v>
      </c>
      <c r="I742" s="23">
        <v>3900000.0</v>
      </c>
      <c r="J742" s="23">
        <v>3737790.61</v>
      </c>
      <c r="K742" s="24">
        <v>284.0</v>
      </c>
      <c r="L742" s="1" t="s">
        <v>1776</v>
      </c>
      <c r="M742" s="1" t="s">
        <v>2128</v>
      </c>
      <c r="N742" s="63" t="s">
        <v>902</v>
      </c>
      <c r="O742" s="63" t="s">
        <v>902</v>
      </c>
      <c r="P742" s="68">
        <v>33.0</v>
      </c>
      <c r="Q742" s="1" t="s">
        <v>2130</v>
      </c>
      <c r="R742" s="1" t="s">
        <v>13</v>
      </c>
      <c r="S742" s="1"/>
      <c r="T742" s="1"/>
      <c r="U742" s="1" t="s">
        <v>917</v>
      </c>
      <c r="V742" s="1" t="s">
        <v>917</v>
      </c>
      <c r="W742" s="145">
        <f t="shared" si="1"/>
        <v>0.00007646027869</v>
      </c>
      <c r="AC742" s="38"/>
    </row>
    <row r="743" ht="15.75" customHeight="1">
      <c r="A743" s="1" t="s">
        <v>1917</v>
      </c>
      <c r="B743" s="1" t="s">
        <v>2127</v>
      </c>
      <c r="C743" s="63">
        <v>46254.0</v>
      </c>
      <c r="D743" s="63" t="s">
        <v>130</v>
      </c>
      <c r="E743" s="68">
        <v>0.96204536</v>
      </c>
      <c r="F743" s="1"/>
      <c r="G743" s="23">
        <v>1.0E7</v>
      </c>
      <c r="H743" s="23">
        <v>9620453.55</v>
      </c>
      <c r="I743" s="23">
        <v>1.0E7</v>
      </c>
      <c r="J743" s="23">
        <v>9620453.55</v>
      </c>
      <c r="K743" s="24">
        <v>501.0</v>
      </c>
      <c r="L743" s="1" t="s">
        <v>1776</v>
      </c>
      <c r="M743" s="1" t="s">
        <v>2128</v>
      </c>
      <c r="N743" s="63" t="s">
        <v>798</v>
      </c>
      <c r="O743" s="63" t="s">
        <v>798</v>
      </c>
      <c r="P743" s="68">
        <v>30.0</v>
      </c>
      <c r="Q743" s="1" t="s">
        <v>2130</v>
      </c>
      <c r="R743" s="1" t="s">
        <v>13</v>
      </c>
      <c r="S743" s="1"/>
      <c r="T743" s="1"/>
      <c r="U743" s="1" t="s">
        <v>799</v>
      </c>
      <c r="V743" s="1" t="s">
        <v>799</v>
      </c>
      <c r="W743" s="145">
        <f t="shared" si="1"/>
        <v>0.0001967960853</v>
      </c>
      <c r="AC743" s="38"/>
    </row>
    <row r="744" ht="15.75" customHeight="1">
      <c r="A744" s="1" t="s">
        <v>1917</v>
      </c>
      <c r="B744" s="1" t="s">
        <v>2127</v>
      </c>
      <c r="C744" s="63">
        <v>46254.0</v>
      </c>
      <c r="D744" s="63" t="s">
        <v>130</v>
      </c>
      <c r="E744" s="68">
        <v>0.96204542</v>
      </c>
      <c r="F744" s="1"/>
      <c r="G744" s="23">
        <v>1.0E7</v>
      </c>
      <c r="H744" s="23">
        <v>9620454.15</v>
      </c>
      <c r="I744" s="23">
        <v>1.0E7</v>
      </c>
      <c r="J744" s="23">
        <v>9620454.15</v>
      </c>
      <c r="K744" s="24">
        <v>472.0</v>
      </c>
      <c r="L744" s="1" t="s">
        <v>1776</v>
      </c>
      <c r="M744" s="1" t="s">
        <v>2128</v>
      </c>
      <c r="N744" s="63" t="s">
        <v>748</v>
      </c>
      <c r="O744" s="63" t="s">
        <v>748</v>
      </c>
      <c r="P744" s="68">
        <v>30.0</v>
      </c>
      <c r="Q744" s="1" t="s">
        <v>2130</v>
      </c>
      <c r="R744" s="1" t="s">
        <v>13</v>
      </c>
      <c r="S744" s="1"/>
      <c r="T744" s="1"/>
      <c r="U744" s="1" t="s">
        <v>758</v>
      </c>
      <c r="V744" s="1" t="s">
        <v>758</v>
      </c>
      <c r="W744" s="145">
        <f t="shared" si="1"/>
        <v>0.0001967960975</v>
      </c>
      <c r="AC744" s="38"/>
    </row>
    <row r="745" ht="15.75" customHeight="1">
      <c r="A745" s="1" t="s">
        <v>1906</v>
      </c>
      <c r="B745" s="1" t="s">
        <v>2127</v>
      </c>
      <c r="C745" s="63">
        <v>46254.0</v>
      </c>
      <c r="D745" s="63" t="s">
        <v>130</v>
      </c>
      <c r="E745" s="68">
        <v>0.95240583</v>
      </c>
      <c r="F745" s="1"/>
      <c r="G745" s="23">
        <v>4.04E7</v>
      </c>
      <c r="H745" s="23">
        <v>3.847719536E7</v>
      </c>
      <c r="I745" s="23">
        <v>4.04E7</v>
      </c>
      <c r="J745" s="23">
        <v>3.847719536E7</v>
      </c>
      <c r="K745" s="24">
        <v>151343.0</v>
      </c>
      <c r="L745" s="1" t="s">
        <v>1776</v>
      </c>
      <c r="M745" s="1" t="s">
        <v>2128</v>
      </c>
      <c r="N745" s="63" t="s">
        <v>1272</v>
      </c>
      <c r="O745" s="63" t="s">
        <v>1272</v>
      </c>
      <c r="P745" s="68">
        <v>38.0</v>
      </c>
      <c r="Q745" s="1" t="s">
        <v>2130</v>
      </c>
      <c r="R745" s="1" t="s">
        <v>13</v>
      </c>
      <c r="S745" s="1"/>
      <c r="T745" s="1"/>
      <c r="U745" s="1" t="s">
        <v>1289</v>
      </c>
      <c r="V745" s="1" t="s">
        <v>1289</v>
      </c>
      <c r="W745" s="145">
        <f t="shared" si="1"/>
        <v>0.000787089858</v>
      </c>
      <c r="AC745" s="38"/>
    </row>
    <row r="746" ht="15.75" customHeight="1">
      <c r="A746" s="1" t="s">
        <v>1994</v>
      </c>
      <c r="B746" s="1" t="s">
        <v>2127</v>
      </c>
      <c r="C746" s="63">
        <v>46254.0</v>
      </c>
      <c r="D746" s="63" t="s">
        <v>130</v>
      </c>
      <c r="E746" s="68">
        <v>0.95599795</v>
      </c>
      <c r="F746" s="1"/>
      <c r="G746" s="23">
        <v>1500000.0</v>
      </c>
      <c r="H746" s="23">
        <v>1433996.92</v>
      </c>
      <c r="I746" s="23">
        <v>1500000.0</v>
      </c>
      <c r="J746" s="23">
        <v>1433996.92</v>
      </c>
      <c r="K746" s="24">
        <v>2.0</v>
      </c>
      <c r="L746" s="1" t="s">
        <v>1776</v>
      </c>
      <c r="M746" s="1" t="s">
        <v>2128</v>
      </c>
      <c r="N746" s="63" t="s">
        <v>532</v>
      </c>
      <c r="O746" s="63" t="s">
        <v>532</v>
      </c>
      <c r="P746" s="68">
        <v>35.0</v>
      </c>
      <c r="Q746" s="1" t="s">
        <v>2130</v>
      </c>
      <c r="R746" s="1" t="s">
        <v>13</v>
      </c>
      <c r="S746" s="1"/>
      <c r="T746" s="1"/>
      <c r="U746" s="1" t="s">
        <v>534</v>
      </c>
      <c r="V746" s="1" t="s">
        <v>534</v>
      </c>
      <c r="W746" s="145">
        <f t="shared" si="1"/>
        <v>0.00002933385403</v>
      </c>
      <c r="AC746" s="38"/>
    </row>
    <row r="747" ht="15.75" customHeight="1">
      <c r="A747" s="1" t="s">
        <v>1970</v>
      </c>
      <c r="B747" s="1" t="s">
        <v>2127</v>
      </c>
      <c r="C747" s="63">
        <v>46254.0</v>
      </c>
      <c r="D747" s="63" t="s">
        <v>130</v>
      </c>
      <c r="E747" s="68">
        <v>0.95002609</v>
      </c>
      <c r="F747" s="1"/>
      <c r="G747" s="23">
        <v>7551944.0</v>
      </c>
      <c r="H747" s="23">
        <v>7174543.86</v>
      </c>
      <c r="I747" s="23">
        <v>7551944.0</v>
      </c>
      <c r="J747" s="23">
        <v>7174543.86</v>
      </c>
      <c r="K747" s="24">
        <v>1824.0</v>
      </c>
      <c r="L747" s="1" t="s">
        <v>1776</v>
      </c>
      <c r="M747" s="1" t="s">
        <v>2128</v>
      </c>
      <c r="N747" s="63" t="s">
        <v>283</v>
      </c>
      <c r="O747" s="63" t="s">
        <v>283</v>
      </c>
      <c r="P747" s="68">
        <v>40.0</v>
      </c>
      <c r="Q747" s="1" t="s">
        <v>2130</v>
      </c>
      <c r="R747" s="1" t="s">
        <v>13</v>
      </c>
      <c r="S747" s="1"/>
      <c r="T747" s="1"/>
      <c r="U747" s="1" t="s">
        <v>296</v>
      </c>
      <c r="V747" s="1" t="s">
        <v>296</v>
      </c>
      <c r="W747" s="145">
        <f t="shared" si="1"/>
        <v>0.0001467625344</v>
      </c>
      <c r="AC747" s="38"/>
    </row>
    <row r="748" ht="15.75" customHeight="1">
      <c r="A748" s="1" t="s">
        <v>1970</v>
      </c>
      <c r="B748" s="1" t="s">
        <v>2127</v>
      </c>
      <c r="C748" s="63">
        <v>46254.0</v>
      </c>
      <c r="D748" s="63" t="s">
        <v>130</v>
      </c>
      <c r="E748" s="68">
        <v>0.95002609</v>
      </c>
      <c r="F748" s="1"/>
      <c r="G748" s="23">
        <v>7551944.0</v>
      </c>
      <c r="H748" s="23">
        <v>7174543.86</v>
      </c>
      <c r="I748" s="23">
        <v>7551944.0</v>
      </c>
      <c r="J748" s="23">
        <v>7174543.86</v>
      </c>
      <c r="K748" s="24">
        <v>1823.0</v>
      </c>
      <c r="L748" s="1" t="s">
        <v>1776</v>
      </c>
      <c r="M748" s="1" t="s">
        <v>2128</v>
      </c>
      <c r="N748" s="63" t="s">
        <v>283</v>
      </c>
      <c r="O748" s="63" t="s">
        <v>283</v>
      </c>
      <c r="P748" s="68">
        <v>40.0</v>
      </c>
      <c r="Q748" s="1" t="s">
        <v>2130</v>
      </c>
      <c r="R748" s="1" t="s">
        <v>13</v>
      </c>
      <c r="S748" s="1"/>
      <c r="T748" s="1"/>
      <c r="U748" s="1" t="s">
        <v>305</v>
      </c>
      <c r="V748" s="1" t="s">
        <v>305</v>
      </c>
      <c r="W748" s="145">
        <f t="shared" si="1"/>
        <v>0.0001467625344</v>
      </c>
      <c r="AC748" s="38"/>
    </row>
    <row r="749" ht="15.75" customHeight="1">
      <c r="A749" s="1" t="s">
        <v>1961</v>
      </c>
      <c r="B749" s="1" t="s">
        <v>2127</v>
      </c>
      <c r="C749" s="63">
        <v>46254.0</v>
      </c>
      <c r="D749" s="63" t="s">
        <v>130</v>
      </c>
      <c r="E749" s="68">
        <v>0.95479764</v>
      </c>
      <c r="F749" s="1"/>
      <c r="G749" s="23">
        <v>2304789.0</v>
      </c>
      <c r="H749" s="23">
        <v>2200607.1</v>
      </c>
      <c r="I749" s="23">
        <v>2304789.0</v>
      </c>
      <c r="J749" s="23">
        <v>2200607.1</v>
      </c>
      <c r="K749" s="24">
        <v>2768.0</v>
      </c>
      <c r="L749" s="1" t="s">
        <v>1776</v>
      </c>
      <c r="M749" s="1" t="s">
        <v>2128</v>
      </c>
      <c r="N749" s="63" t="s">
        <v>1332</v>
      </c>
      <c r="O749" s="63" t="s">
        <v>1332</v>
      </c>
      <c r="P749" s="68">
        <v>36.0</v>
      </c>
      <c r="Q749" s="1" t="s">
        <v>2130</v>
      </c>
      <c r="R749" s="1" t="s">
        <v>13</v>
      </c>
      <c r="S749" s="1"/>
      <c r="T749" s="1"/>
      <c r="U749" s="1" t="s">
        <v>1358</v>
      </c>
      <c r="V749" s="1" t="s">
        <v>1358</v>
      </c>
      <c r="W749" s="145">
        <f t="shared" si="1"/>
        <v>0.00004501563884</v>
      </c>
      <c r="AC749" s="38"/>
    </row>
    <row r="750" ht="15.75" customHeight="1">
      <c r="A750" s="1" t="s">
        <v>1961</v>
      </c>
      <c r="B750" s="1" t="s">
        <v>2127</v>
      </c>
      <c r="C750" s="63">
        <v>46254.0</v>
      </c>
      <c r="D750" s="63" t="s">
        <v>130</v>
      </c>
      <c r="E750" s="68">
        <v>0.95479764</v>
      </c>
      <c r="F750" s="1"/>
      <c r="G750" s="23">
        <v>2304789.0</v>
      </c>
      <c r="H750" s="23">
        <v>2200607.1</v>
      </c>
      <c r="I750" s="23">
        <v>2304789.0</v>
      </c>
      <c r="J750" s="23">
        <v>2200607.1</v>
      </c>
      <c r="K750" s="24">
        <v>2769.0</v>
      </c>
      <c r="L750" s="1" t="s">
        <v>1776</v>
      </c>
      <c r="M750" s="1" t="s">
        <v>2128</v>
      </c>
      <c r="N750" s="63" t="s">
        <v>1332</v>
      </c>
      <c r="O750" s="63" t="s">
        <v>1332</v>
      </c>
      <c r="P750" s="68">
        <v>36.0</v>
      </c>
      <c r="Q750" s="1" t="s">
        <v>2130</v>
      </c>
      <c r="R750" s="1" t="s">
        <v>13</v>
      </c>
      <c r="S750" s="1"/>
      <c r="T750" s="1"/>
      <c r="U750" s="1" t="s">
        <v>1359</v>
      </c>
      <c r="V750" s="1" t="s">
        <v>1359</v>
      </c>
      <c r="W750" s="145">
        <f t="shared" si="1"/>
        <v>0.00004501563884</v>
      </c>
      <c r="AC750" s="38"/>
    </row>
    <row r="751" ht="15.75" customHeight="1">
      <c r="A751" s="1" t="s">
        <v>1917</v>
      </c>
      <c r="B751" s="1" t="s">
        <v>2127</v>
      </c>
      <c r="C751" s="63">
        <v>46254.0</v>
      </c>
      <c r="D751" s="63" t="s">
        <v>130</v>
      </c>
      <c r="E751" s="68">
        <v>0.95840794</v>
      </c>
      <c r="F751" s="1"/>
      <c r="G751" s="23">
        <v>1.0E7</v>
      </c>
      <c r="H751" s="23">
        <v>9584079.36</v>
      </c>
      <c r="I751" s="23">
        <v>1.0E7</v>
      </c>
      <c r="J751" s="23">
        <v>9584079.36</v>
      </c>
      <c r="K751" s="24">
        <v>664.0</v>
      </c>
      <c r="L751" s="1" t="s">
        <v>1776</v>
      </c>
      <c r="M751" s="1" t="s">
        <v>2128</v>
      </c>
      <c r="N751" s="63" t="s">
        <v>1381</v>
      </c>
      <c r="O751" s="63" t="s">
        <v>1381</v>
      </c>
      <c r="P751" s="68">
        <v>33.0</v>
      </c>
      <c r="Q751" s="1" t="s">
        <v>2130</v>
      </c>
      <c r="R751" s="1" t="s">
        <v>13</v>
      </c>
      <c r="S751" s="1"/>
      <c r="T751" s="1"/>
      <c r="U751" s="1" t="s">
        <v>1394</v>
      </c>
      <c r="V751" s="1" t="s">
        <v>1394</v>
      </c>
      <c r="W751" s="145">
        <f t="shared" si="1"/>
        <v>0.0001960520145</v>
      </c>
      <c r="AC751" s="38"/>
    </row>
    <row r="752" ht="15.75" customHeight="1">
      <c r="A752" s="1" t="s">
        <v>1917</v>
      </c>
      <c r="B752" s="1" t="s">
        <v>2127</v>
      </c>
      <c r="C752" s="63">
        <v>46254.0</v>
      </c>
      <c r="D752" s="63" t="s">
        <v>130</v>
      </c>
      <c r="E752" s="68">
        <v>0.96204536</v>
      </c>
      <c r="F752" s="1"/>
      <c r="G752" s="23">
        <v>1.0E7</v>
      </c>
      <c r="H752" s="23">
        <v>9620453.6</v>
      </c>
      <c r="I752" s="23">
        <v>1.0E7</v>
      </c>
      <c r="J752" s="23">
        <v>9620453.6</v>
      </c>
      <c r="K752" s="24">
        <v>669.0</v>
      </c>
      <c r="L752" s="1" t="s">
        <v>1776</v>
      </c>
      <c r="M752" s="1" t="s">
        <v>2128</v>
      </c>
      <c r="N752" s="63" t="s">
        <v>1399</v>
      </c>
      <c r="O752" s="63" t="s">
        <v>1399</v>
      </c>
      <c r="P752" s="68">
        <v>30.0</v>
      </c>
      <c r="Q752" s="1" t="s">
        <v>2130</v>
      </c>
      <c r="R752" s="1" t="s">
        <v>13</v>
      </c>
      <c r="S752" s="1"/>
      <c r="T752" s="1"/>
      <c r="U752" s="1" t="s">
        <v>1406</v>
      </c>
      <c r="V752" s="1" t="s">
        <v>1406</v>
      </c>
      <c r="W752" s="145">
        <f t="shared" si="1"/>
        <v>0.0001967960863</v>
      </c>
      <c r="AC752" s="38"/>
    </row>
    <row r="753" ht="15.75" customHeight="1">
      <c r="A753" s="1" t="s">
        <v>1917</v>
      </c>
      <c r="B753" s="1" t="s">
        <v>2127</v>
      </c>
      <c r="C753" s="63">
        <v>46254.0</v>
      </c>
      <c r="D753" s="63" t="s">
        <v>130</v>
      </c>
      <c r="E753" s="68">
        <v>0.96204549</v>
      </c>
      <c r="F753" s="1"/>
      <c r="G753" s="23">
        <v>1.0E7</v>
      </c>
      <c r="H753" s="23">
        <v>9620454.91</v>
      </c>
      <c r="I753" s="23">
        <v>1.0E7</v>
      </c>
      <c r="J753" s="23">
        <v>9620454.91</v>
      </c>
      <c r="K753" s="24">
        <v>560.0</v>
      </c>
      <c r="L753" s="1" t="s">
        <v>1776</v>
      </c>
      <c r="M753" s="1" t="s">
        <v>2128</v>
      </c>
      <c r="N753" s="63" t="s">
        <v>940</v>
      </c>
      <c r="O753" s="63" t="s">
        <v>940</v>
      </c>
      <c r="P753" s="68">
        <v>30.0</v>
      </c>
      <c r="Q753" s="1" t="s">
        <v>2130</v>
      </c>
      <c r="R753" s="1" t="s">
        <v>13</v>
      </c>
      <c r="S753" s="1"/>
      <c r="T753" s="1"/>
      <c r="U753" s="1" t="s">
        <v>943</v>
      </c>
      <c r="V753" s="1" t="s">
        <v>943</v>
      </c>
      <c r="W753" s="145">
        <f t="shared" si="1"/>
        <v>0.0001967961131</v>
      </c>
      <c r="AC753" s="38"/>
    </row>
    <row r="754" ht="15.75" customHeight="1">
      <c r="A754" s="1" t="s">
        <v>1949</v>
      </c>
      <c r="B754" s="1" t="s">
        <v>2127</v>
      </c>
      <c r="C754" s="63">
        <v>46254.0</v>
      </c>
      <c r="D754" s="63" t="s">
        <v>130</v>
      </c>
      <c r="E754" s="68">
        <v>0.95599796</v>
      </c>
      <c r="F754" s="1"/>
      <c r="G754" s="23">
        <v>1.5E7</v>
      </c>
      <c r="H754" s="23">
        <v>1.433996945E7</v>
      </c>
      <c r="I754" s="23">
        <v>1.5E7</v>
      </c>
      <c r="J754" s="23">
        <v>1.433996945E7</v>
      </c>
      <c r="K754" s="24">
        <v>4266.0</v>
      </c>
      <c r="L754" s="1" t="s">
        <v>1776</v>
      </c>
      <c r="M754" s="1" t="s">
        <v>2128</v>
      </c>
      <c r="N754" s="63" t="s">
        <v>1230</v>
      </c>
      <c r="O754" s="63" t="s">
        <v>1230</v>
      </c>
      <c r="P754" s="68">
        <v>35.0</v>
      </c>
      <c r="Q754" s="1" t="s">
        <v>2130</v>
      </c>
      <c r="R754" s="1" t="s">
        <v>13</v>
      </c>
      <c r="S754" s="1"/>
      <c r="T754" s="1"/>
      <c r="U754" s="1" t="s">
        <v>1232</v>
      </c>
      <c r="V754" s="1" t="s">
        <v>1232</v>
      </c>
      <c r="W754" s="145">
        <f t="shared" si="1"/>
        <v>0.0002933385454</v>
      </c>
      <c r="AC754" s="38"/>
    </row>
    <row r="755" ht="15.75" customHeight="1">
      <c r="A755" s="1" t="s">
        <v>1991</v>
      </c>
      <c r="B755" s="1" t="s">
        <v>2127</v>
      </c>
      <c r="C755" s="63">
        <v>46254.0</v>
      </c>
      <c r="D755" s="63" t="s">
        <v>130</v>
      </c>
      <c r="E755" s="68">
        <v>0.95840785</v>
      </c>
      <c r="F755" s="1"/>
      <c r="G755" s="23">
        <v>2200000.0</v>
      </c>
      <c r="H755" s="23">
        <v>2108497.28</v>
      </c>
      <c r="I755" s="23">
        <v>2200000.0</v>
      </c>
      <c r="J755" s="23">
        <v>2108497.28</v>
      </c>
      <c r="K755" s="24">
        <v>6191.0</v>
      </c>
      <c r="L755" s="1" t="s">
        <v>1776</v>
      </c>
      <c r="M755" s="1" t="s">
        <v>2128</v>
      </c>
      <c r="N755" s="63" t="s">
        <v>1084</v>
      </c>
      <c r="O755" s="63" t="s">
        <v>1084</v>
      </c>
      <c r="P755" s="68">
        <v>33.0</v>
      </c>
      <c r="Q755" s="1" t="s">
        <v>2130</v>
      </c>
      <c r="R755" s="1" t="s">
        <v>13</v>
      </c>
      <c r="S755" s="1"/>
      <c r="T755" s="1"/>
      <c r="U755" s="1" t="s">
        <v>1113</v>
      </c>
      <c r="V755" s="1" t="s">
        <v>1113</v>
      </c>
      <c r="W755" s="145">
        <f t="shared" si="1"/>
        <v>0.00004313143952</v>
      </c>
      <c r="AC755" s="38"/>
    </row>
    <row r="756" ht="15.75" customHeight="1">
      <c r="A756" s="1" t="s">
        <v>1989</v>
      </c>
      <c r="B756" s="1" t="s">
        <v>2127</v>
      </c>
      <c r="C756" s="63">
        <v>46254.0</v>
      </c>
      <c r="D756" s="63" t="s">
        <v>130</v>
      </c>
      <c r="E756" s="68">
        <v>0.96204543</v>
      </c>
      <c r="F756" s="1"/>
      <c r="G756" s="23">
        <v>2700000.0</v>
      </c>
      <c r="H756" s="23">
        <v>2597522.67</v>
      </c>
      <c r="I756" s="23">
        <v>2700000.0</v>
      </c>
      <c r="J756" s="23">
        <v>2597522.67</v>
      </c>
      <c r="K756" s="24">
        <v>6272.0</v>
      </c>
      <c r="L756" s="1" t="s">
        <v>1776</v>
      </c>
      <c r="M756" s="1" t="s">
        <v>2128</v>
      </c>
      <c r="N756" s="63" t="s">
        <v>1332</v>
      </c>
      <c r="O756" s="63" t="s">
        <v>1332</v>
      </c>
      <c r="P756" s="68">
        <v>30.0</v>
      </c>
      <c r="Q756" s="1" t="s">
        <v>2130</v>
      </c>
      <c r="R756" s="1" t="s">
        <v>13</v>
      </c>
      <c r="S756" s="1"/>
      <c r="T756" s="1"/>
      <c r="U756" s="1" t="s">
        <v>1341</v>
      </c>
      <c r="V756" s="1" t="s">
        <v>1341</v>
      </c>
      <c r="W756" s="145">
        <f t="shared" si="1"/>
        <v>0.00005313494734</v>
      </c>
      <c r="AC756" s="38"/>
    </row>
    <row r="757" ht="15.75" customHeight="1">
      <c r="A757" s="1" t="s">
        <v>1903</v>
      </c>
      <c r="B757" s="1" t="s">
        <v>2127</v>
      </c>
      <c r="C757" s="63">
        <v>46254.0</v>
      </c>
      <c r="D757" s="63" t="s">
        <v>130</v>
      </c>
      <c r="E757" s="68">
        <v>0.96326407</v>
      </c>
      <c r="F757" s="1"/>
      <c r="G757" s="23">
        <v>1.0E7</v>
      </c>
      <c r="H757" s="23">
        <v>9632640.7</v>
      </c>
      <c r="I757" s="23">
        <v>1.0E7</v>
      </c>
      <c r="J757" s="23">
        <v>9632640.7</v>
      </c>
      <c r="K757" s="24">
        <v>2149.0</v>
      </c>
      <c r="L757" s="1" t="s">
        <v>1776</v>
      </c>
      <c r="M757" s="1" t="s">
        <v>2128</v>
      </c>
      <c r="N757" s="63" t="s">
        <v>591</v>
      </c>
      <c r="O757" s="63" t="s">
        <v>591</v>
      </c>
      <c r="P757" s="68">
        <v>29.0</v>
      </c>
      <c r="Q757" s="1" t="s">
        <v>2130</v>
      </c>
      <c r="R757" s="1" t="s">
        <v>13</v>
      </c>
      <c r="S757" s="1"/>
      <c r="T757" s="1"/>
      <c r="U757" s="1" t="s">
        <v>595</v>
      </c>
      <c r="V757" s="1" t="s">
        <v>595</v>
      </c>
      <c r="W757" s="145">
        <f t="shared" si="1"/>
        <v>0.0001970453857</v>
      </c>
      <c r="AC757" s="38"/>
    </row>
    <row r="758" ht="15.75" customHeight="1">
      <c r="A758" s="1" t="s">
        <v>1903</v>
      </c>
      <c r="B758" s="1" t="s">
        <v>2127</v>
      </c>
      <c r="C758" s="63">
        <v>46254.0</v>
      </c>
      <c r="D758" s="63" t="s">
        <v>130</v>
      </c>
      <c r="E758" s="68">
        <v>0.96326407</v>
      </c>
      <c r="F758" s="1"/>
      <c r="G758" s="23">
        <v>1.0E7</v>
      </c>
      <c r="H758" s="23">
        <v>9632640.7</v>
      </c>
      <c r="I758" s="23">
        <v>1.0E7</v>
      </c>
      <c r="J758" s="23">
        <v>9632640.7</v>
      </c>
      <c r="K758" s="24">
        <v>2150.0</v>
      </c>
      <c r="L758" s="1" t="s">
        <v>1776</v>
      </c>
      <c r="M758" s="1" t="s">
        <v>2128</v>
      </c>
      <c r="N758" s="63" t="s">
        <v>591</v>
      </c>
      <c r="O758" s="63" t="s">
        <v>591</v>
      </c>
      <c r="P758" s="68">
        <v>29.0</v>
      </c>
      <c r="Q758" s="1" t="s">
        <v>2130</v>
      </c>
      <c r="R758" s="1" t="s">
        <v>13</v>
      </c>
      <c r="S758" s="1"/>
      <c r="T758" s="1"/>
      <c r="U758" s="1" t="s">
        <v>603</v>
      </c>
      <c r="V758" s="1" t="s">
        <v>603</v>
      </c>
      <c r="W758" s="145">
        <f t="shared" si="1"/>
        <v>0.0001970453857</v>
      </c>
      <c r="AC758" s="38"/>
    </row>
    <row r="759" ht="15.75" customHeight="1">
      <c r="A759" s="1" t="s">
        <v>1939</v>
      </c>
      <c r="B759" s="1" t="s">
        <v>2127</v>
      </c>
      <c r="C759" s="63">
        <v>46254.0</v>
      </c>
      <c r="D759" s="63" t="s">
        <v>130</v>
      </c>
      <c r="E759" s="68">
        <v>0.95599798</v>
      </c>
      <c r="F759" s="1"/>
      <c r="G759" s="23">
        <v>2.5E7</v>
      </c>
      <c r="H759" s="23">
        <v>2.389994942E7</v>
      </c>
      <c r="I759" s="23">
        <v>2.5E7</v>
      </c>
      <c r="J759" s="23">
        <v>2.389994942E7</v>
      </c>
      <c r="K759" s="24">
        <v>1307.0</v>
      </c>
      <c r="L759" s="1" t="s">
        <v>1776</v>
      </c>
      <c r="M759" s="1" t="s">
        <v>2128</v>
      </c>
      <c r="N759" s="63" t="s">
        <v>360</v>
      </c>
      <c r="O759" s="63" t="s">
        <v>360</v>
      </c>
      <c r="P759" s="68">
        <v>35.0</v>
      </c>
      <c r="Q759" s="1" t="s">
        <v>2130</v>
      </c>
      <c r="R759" s="1" t="s">
        <v>13</v>
      </c>
      <c r="S759" s="1"/>
      <c r="T759" s="1"/>
      <c r="U759" s="1" t="s">
        <v>401</v>
      </c>
      <c r="V759" s="1" t="s">
        <v>401</v>
      </c>
      <c r="W759" s="145">
        <f t="shared" si="1"/>
        <v>0.0004888975825</v>
      </c>
      <c r="AC759" s="38"/>
    </row>
    <row r="760" ht="15.75" customHeight="1">
      <c r="A760" s="1" t="s">
        <v>1951</v>
      </c>
      <c r="B760" s="1" t="s">
        <v>2127</v>
      </c>
      <c r="C760" s="63">
        <v>46254.0</v>
      </c>
      <c r="D760" s="63" t="s">
        <v>130</v>
      </c>
      <c r="E760" s="68">
        <v>0.96204536</v>
      </c>
      <c r="F760" s="1"/>
      <c r="G760" s="23">
        <v>1.35E7</v>
      </c>
      <c r="H760" s="23">
        <v>1.298761241E7</v>
      </c>
      <c r="I760" s="23">
        <v>1.35E7</v>
      </c>
      <c r="J760" s="23">
        <v>1.298761241E7</v>
      </c>
      <c r="K760" s="24">
        <v>32806.0</v>
      </c>
      <c r="L760" s="1" t="s">
        <v>1776</v>
      </c>
      <c r="M760" s="1" t="s">
        <v>2128</v>
      </c>
      <c r="N760" s="63" t="s">
        <v>727</v>
      </c>
      <c r="O760" s="63" t="s">
        <v>727</v>
      </c>
      <c r="P760" s="68">
        <v>30.0</v>
      </c>
      <c r="Q760" s="1" t="s">
        <v>2130</v>
      </c>
      <c r="R760" s="1" t="s">
        <v>13</v>
      </c>
      <c r="S760" s="1"/>
      <c r="T760" s="1"/>
      <c r="U760" s="1" t="s">
        <v>731</v>
      </c>
      <c r="V760" s="1" t="s">
        <v>731</v>
      </c>
      <c r="W760" s="145">
        <f t="shared" si="1"/>
        <v>0.0002656747175</v>
      </c>
      <c r="AC760" s="38"/>
    </row>
    <row r="761" ht="15.75" customHeight="1">
      <c r="A761" s="1" t="s">
        <v>1919</v>
      </c>
      <c r="B761" s="1" t="s">
        <v>2127</v>
      </c>
      <c r="C761" s="63">
        <v>46254.0</v>
      </c>
      <c r="D761" s="63" t="s">
        <v>130</v>
      </c>
      <c r="E761" s="68">
        <v>0.96693871</v>
      </c>
      <c r="F761" s="1"/>
      <c r="G761" s="23">
        <v>2502217.07</v>
      </c>
      <c r="H761" s="23">
        <v>2419490.54</v>
      </c>
      <c r="I761" s="23">
        <v>2502217.07</v>
      </c>
      <c r="J761" s="23">
        <v>2419490.54</v>
      </c>
      <c r="K761" s="24">
        <v>568315.0</v>
      </c>
      <c r="L761" s="1" t="s">
        <v>1776</v>
      </c>
      <c r="M761" s="1" t="s">
        <v>2128</v>
      </c>
      <c r="N761" s="63" t="s">
        <v>543</v>
      </c>
      <c r="O761" s="63" t="s">
        <v>543</v>
      </c>
      <c r="P761" s="68">
        <v>26.0</v>
      </c>
      <c r="Q761" s="1" t="s">
        <v>2130</v>
      </c>
      <c r="R761" s="1" t="s">
        <v>13</v>
      </c>
      <c r="S761" s="1"/>
      <c r="T761" s="1"/>
      <c r="U761" s="1" t="s">
        <v>579</v>
      </c>
      <c r="V761" s="1" t="s">
        <v>579</v>
      </c>
      <c r="W761" s="145">
        <f t="shared" si="1"/>
        <v>0.00004949312047</v>
      </c>
      <c r="AC761" s="38"/>
    </row>
    <row r="762" ht="15.75" customHeight="1">
      <c r="A762" s="1" t="s">
        <v>1919</v>
      </c>
      <c r="B762" s="1" t="s">
        <v>2127</v>
      </c>
      <c r="C762" s="63">
        <v>46254.0</v>
      </c>
      <c r="D762" s="63" t="s">
        <v>130</v>
      </c>
      <c r="E762" s="68">
        <v>0.96693871</v>
      </c>
      <c r="F762" s="1"/>
      <c r="G762" s="23">
        <v>6395453.2</v>
      </c>
      <c r="H762" s="23">
        <v>6184011.27</v>
      </c>
      <c r="I762" s="23">
        <v>6395453.2</v>
      </c>
      <c r="J762" s="23">
        <v>6184011.27</v>
      </c>
      <c r="K762" s="24">
        <v>568311.0</v>
      </c>
      <c r="L762" s="1" t="s">
        <v>1776</v>
      </c>
      <c r="M762" s="1" t="s">
        <v>2128</v>
      </c>
      <c r="N762" s="63" t="s">
        <v>543</v>
      </c>
      <c r="O762" s="63" t="s">
        <v>543</v>
      </c>
      <c r="P762" s="68">
        <v>26.0</v>
      </c>
      <c r="Q762" s="1" t="s">
        <v>2130</v>
      </c>
      <c r="R762" s="1" t="s">
        <v>13</v>
      </c>
      <c r="S762" s="1"/>
      <c r="T762" s="1"/>
      <c r="U762" s="1" t="s">
        <v>580</v>
      </c>
      <c r="V762" s="1" t="s">
        <v>580</v>
      </c>
      <c r="W762" s="145">
        <f t="shared" si="1"/>
        <v>0.0001265001907</v>
      </c>
      <c r="AC762" s="38"/>
    </row>
    <row r="763" ht="15.75" customHeight="1">
      <c r="A763" s="1" t="s">
        <v>1919</v>
      </c>
      <c r="B763" s="1" t="s">
        <v>2127</v>
      </c>
      <c r="C763" s="63">
        <v>46254.0</v>
      </c>
      <c r="D763" s="63" t="s">
        <v>130</v>
      </c>
      <c r="E763" s="68">
        <v>0.96693871</v>
      </c>
      <c r="F763" s="1"/>
      <c r="G763" s="23">
        <v>1860181.4</v>
      </c>
      <c r="H763" s="23">
        <v>1798681.41</v>
      </c>
      <c r="I763" s="23">
        <v>1860181.4</v>
      </c>
      <c r="J763" s="23">
        <v>1798681.41</v>
      </c>
      <c r="K763" s="24">
        <v>568323.0</v>
      </c>
      <c r="L763" s="1" t="s">
        <v>1776</v>
      </c>
      <c r="M763" s="1" t="s">
        <v>2128</v>
      </c>
      <c r="N763" s="63" t="s">
        <v>543</v>
      </c>
      <c r="O763" s="63" t="s">
        <v>543</v>
      </c>
      <c r="P763" s="68">
        <v>26.0</v>
      </c>
      <c r="Q763" s="1" t="s">
        <v>2130</v>
      </c>
      <c r="R763" s="1" t="s">
        <v>13</v>
      </c>
      <c r="S763" s="1"/>
      <c r="T763" s="1"/>
      <c r="U763" s="1" t="s">
        <v>581</v>
      </c>
      <c r="V763" s="1" t="s">
        <v>581</v>
      </c>
      <c r="W763" s="145">
        <f t="shared" si="1"/>
        <v>0.00003679384327</v>
      </c>
      <c r="AC763" s="38"/>
    </row>
    <row r="764" ht="15.75" customHeight="1">
      <c r="A764" s="1" t="s">
        <v>1919</v>
      </c>
      <c r="B764" s="1" t="s">
        <v>2127</v>
      </c>
      <c r="C764" s="63">
        <v>46254.0</v>
      </c>
      <c r="D764" s="63" t="s">
        <v>130</v>
      </c>
      <c r="E764" s="68">
        <v>0.96693871</v>
      </c>
      <c r="F764" s="1"/>
      <c r="G764" s="23">
        <v>3621557.13</v>
      </c>
      <c r="H764" s="23">
        <v>3501823.78</v>
      </c>
      <c r="I764" s="23">
        <v>3621557.13</v>
      </c>
      <c r="J764" s="23">
        <v>3501823.78</v>
      </c>
      <c r="K764" s="24">
        <v>568292.0</v>
      </c>
      <c r="L764" s="1" t="s">
        <v>1776</v>
      </c>
      <c r="M764" s="1" t="s">
        <v>2128</v>
      </c>
      <c r="N764" s="63" t="s">
        <v>543</v>
      </c>
      <c r="O764" s="63" t="s">
        <v>543</v>
      </c>
      <c r="P764" s="68">
        <v>26.0</v>
      </c>
      <c r="Q764" s="1" t="s">
        <v>2130</v>
      </c>
      <c r="R764" s="1" t="s">
        <v>13</v>
      </c>
      <c r="S764" s="1"/>
      <c r="T764" s="1"/>
      <c r="U764" s="1" t="s">
        <v>582</v>
      </c>
      <c r="V764" s="1" t="s">
        <v>582</v>
      </c>
      <c r="W764" s="145">
        <f t="shared" si="1"/>
        <v>0.00007163333907</v>
      </c>
      <c r="AC764" s="38"/>
    </row>
    <row r="765" ht="15.75" customHeight="1">
      <c r="A765" s="1" t="s">
        <v>1919</v>
      </c>
      <c r="B765" s="1" t="s">
        <v>2127</v>
      </c>
      <c r="C765" s="63">
        <v>46254.0</v>
      </c>
      <c r="D765" s="63" t="s">
        <v>130</v>
      </c>
      <c r="E765" s="68">
        <v>0.96693871</v>
      </c>
      <c r="F765" s="1"/>
      <c r="G765" s="23">
        <v>1.494732566E7</v>
      </c>
      <c r="H765" s="23">
        <v>1.445314782E7</v>
      </c>
      <c r="I765" s="23">
        <v>1.494732566E7</v>
      </c>
      <c r="J765" s="23">
        <v>1.445314782E7</v>
      </c>
      <c r="K765" s="24">
        <v>568359.0</v>
      </c>
      <c r="L765" s="1" t="s">
        <v>1776</v>
      </c>
      <c r="M765" s="1" t="s">
        <v>2128</v>
      </c>
      <c r="N765" s="63" t="s">
        <v>543</v>
      </c>
      <c r="O765" s="63" t="s">
        <v>543</v>
      </c>
      <c r="P765" s="68">
        <v>26.0</v>
      </c>
      <c r="Q765" s="1" t="s">
        <v>2130</v>
      </c>
      <c r="R765" s="1" t="s">
        <v>13</v>
      </c>
      <c r="S765" s="1"/>
      <c r="T765" s="1"/>
      <c r="U765" s="1" t="s">
        <v>583</v>
      </c>
      <c r="V765" s="1" t="s">
        <v>583</v>
      </c>
      <c r="W765" s="145">
        <f t="shared" si="1"/>
        <v>0.0002956537232</v>
      </c>
      <c r="AC765" s="38"/>
    </row>
    <row r="766" ht="15.75" customHeight="1">
      <c r="A766" s="1" t="s">
        <v>1919</v>
      </c>
      <c r="B766" s="1" t="s">
        <v>2127</v>
      </c>
      <c r="C766" s="63">
        <v>46254.0</v>
      </c>
      <c r="D766" s="63" t="s">
        <v>130</v>
      </c>
      <c r="E766" s="68">
        <v>0.96693871</v>
      </c>
      <c r="F766" s="1"/>
      <c r="G766" s="23">
        <v>1.060411444E7</v>
      </c>
      <c r="H766" s="23">
        <v>1.025352876E7</v>
      </c>
      <c r="I766" s="23">
        <v>1.060411444E7</v>
      </c>
      <c r="J766" s="23">
        <v>1.025352876E7</v>
      </c>
      <c r="K766" s="24">
        <v>568349.0</v>
      </c>
      <c r="L766" s="1" t="s">
        <v>1776</v>
      </c>
      <c r="M766" s="1" t="s">
        <v>2128</v>
      </c>
      <c r="N766" s="63" t="s">
        <v>543</v>
      </c>
      <c r="O766" s="63" t="s">
        <v>543</v>
      </c>
      <c r="P766" s="68">
        <v>26.0</v>
      </c>
      <c r="Q766" s="1" t="s">
        <v>2130</v>
      </c>
      <c r="R766" s="1" t="s">
        <v>13</v>
      </c>
      <c r="S766" s="1"/>
      <c r="T766" s="1"/>
      <c r="U766" s="1" t="s">
        <v>584</v>
      </c>
      <c r="V766" s="1" t="s">
        <v>584</v>
      </c>
      <c r="W766" s="145">
        <f t="shared" si="1"/>
        <v>0.0002097462775</v>
      </c>
      <c r="AC766" s="38"/>
    </row>
    <row r="767" ht="15.75" customHeight="1">
      <c r="A767" s="1" t="s">
        <v>1926</v>
      </c>
      <c r="B767" s="1" t="s">
        <v>2127</v>
      </c>
      <c r="C767" s="63">
        <v>46254.0</v>
      </c>
      <c r="D767" s="63" t="s">
        <v>130</v>
      </c>
      <c r="E767" s="68">
        <v>0.96204537</v>
      </c>
      <c r="F767" s="1"/>
      <c r="G767" s="23">
        <v>1040000.0</v>
      </c>
      <c r="H767" s="23">
        <v>1000527.19</v>
      </c>
      <c r="I767" s="23">
        <v>1040000.0</v>
      </c>
      <c r="J767" s="23">
        <v>1000527.19</v>
      </c>
      <c r="K767" s="24">
        <v>1.3301548E7</v>
      </c>
      <c r="L767" s="1" t="s">
        <v>1776</v>
      </c>
      <c r="M767" s="1" t="s">
        <v>2128</v>
      </c>
      <c r="N767" s="63" t="s">
        <v>628</v>
      </c>
      <c r="O767" s="63" t="s">
        <v>628</v>
      </c>
      <c r="P767" s="68">
        <v>30.0</v>
      </c>
      <c r="Q767" s="1" t="s">
        <v>2130</v>
      </c>
      <c r="R767" s="1" t="s">
        <v>13</v>
      </c>
      <c r="S767" s="1"/>
      <c r="T767" s="1"/>
      <c r="U767" s="1" t="s">
        <v>631</v>
      </c>
      <c r="V767" s="1" t="s">
        <v>631</v>
      </c>
      <c r="W767" s="145">
        <f t="shared" si="1"/>
        <v>0.00002046679329</v>
      </c>
      <c r="AC767" s="38"/>
    </row>
    <row r="768" ht="15.75" customHeight="1">
      <c r="A768" s="1" t="s">
        <v>1926</v>
      </c>
      <c r="B768" s="1" t="s">
        <v>2127</v>
      </c>
      <c r="C768" s="63">
        <v>46254.0</v>
      </c>
      <c r="D768" s="63" t="s">
        <v>130</v>
      </c>
      <c r="E768" s="68">
        <v>0.96204537</v>
      </c>
      <c r="F768" s="1"/>
      <c r="G768" s="23">
        <v>1040000.0</v>
      </c>
      <c r="H768" s="23">
        <v>1000527.19</v>
      </c>
      <c r="I768" s="23">
        <v>1040000.0</v>
      </c>
      <c r="J768" s="23">
        <v>1000527.19</v>
      </c>
      <c r="K768" s="24">
        <v>1.9101547E7</v>
      </c>
      <c r="L768" s="1" t="s">
        <v>1776</v>
      </c>
      <c r="M768" s="1" t="s">
        <v>2128</v>
      </c>
      <c r="N768" s="63" t="s">
        <v>628</v>
      </c>
      <c r="O768" s="63" t="s">
        <v>628</v>
      </c>
      <c r="P768" s="68">
        <v>30.0</v>
      </c>
      <c r="Q768" s="1" t="s">
        <v>2130</v>
      </c>
      <c r="R768" s="1" t="s">
        <v>13</v>
      </c>
      <c r="S768" s="1"/>
      <c r="T768" s="1"/>
      <c r="U768" s="1" t="s">
        <v>637</v>
      </c>
      <c r="V768" s="1" t="s">
        <v>637</v>
      </c>
      <c r="W768" s="145">
        <f t="shared" si="1"/>
        <v>0.00002046679329</v>
      </c>
      <c r="AC768" s="38"/>
    </row>
    <row r="769" ht="15.75" customHeight="1">
      <c r="A769" s="1" t="s">
        <v>1926</v>
      </c>
      <c r="B769" s="1" t="s">
        <v>2127</v>
      </c>
      <c r="C769" s="63">
        <v>46254.0</v>
      </c>
      <c r="D769" s="63" t="s">
        <v>130</v>
      </c>
      <c r="E769" s="68">
        <v>0.96326402</v>
      </c>
      <c r="F769" s="1"/>
      <c r="G769" s="23">
        <v>6410198.8</v>
      </c>
      <c r="H769" s="23">
        <v>6174713.89</v>
      </c>
      <c r="I769" s="23">
        <v>6410198.8</v>
      </c>
      <c r="J769" s="23">
        <v>6174713.89</v>
      </c>
      <c r="K769" s="24">
        <v>5612.0</v>
      </c>
      <c r="L769" s="1" t="s">
        <v>1776</v>
      </c>
      <c r="M769" s="1" t="s">
        <v>2128</v>
      </c>
      <c r="N769" s="63" t="s">
        <v>446</v>
      </c>
      <c r="O769" s="63" t="s">
        <v>446</v>
      </c>
      <c r="P769" s="68">
        <v>29.0</v>
      </c>
      <c r="Q769" s="1" t="s">
        <v>2130</v>
      </c>
      <c r="R769" s="1" t="s">
        <v>13</v>
      </c>
      <c r="S769" s="1"/>
      <c r="T769" s="1"/>
      <c r="U769" s="1" t="s">
        <v>455</v>
      </c>
      <c r="V769" s="1" t="s">
        <v>455</v>
      </c>
      <c r="W769" s="145">
        <f t="shared" si="1"/>
        <v>0.0001263100035</v>
      </c>
      <c r="AC769" s="38"/>
    </row>
    <row r="770" ht="15.75" customHeight="1">
      <c r="A770" s="1" t="s">
        <v>1926</v>
      </c>
      <c r="B770" s="1" t="s">
        <v>2127</v>
      </c>
      <c r="C770" s="63">
        <v>46254.0</v>
      </c>
      <c r="D770" s="63" t="s">
        <v>130</v>
      </c>
      <c r="E770" s="68">
        <v>0.96326403</v>
      </c>
      <c r="F770" s="1"/>
      <c r="G770" s="23">
        <v>5184831.36</v>
      </c>
      <c r="H770" s="23">
        <v>4994361.53</v>
      </c>
      <c r="I770" s="23">
        <v>5184831.36</v>
      </c>
      <c r="J770" s="23">
        <v>4994361.53</v>
      </c>
      <c r="K770" s="24">
        <v>6881.0</v>
      </c>
      <c r="L770" s="1" t="s">
        <v>1776</v>
      </c>
      <c r="M770" s="1" t="s">
        <v>2128</v>
      </c>
      <c r="N770" s="63" t="s">
        <v>446</v>
      </c>
      <c r="O770" s="63" t="s">
        <v>446</v>
      </c>
      <c r="P770" s="68">
        <v>29.0</v>
      </c>
      <c r="Q770" s="1" t="s">
        <v>2130</v>
      </c>
      <c r="R770" s="1" t="s">
        <v>13</v>
      </c>
      <c r="S770" s="1"/>
      <c r="T770" s="1"/>
      <c r="U770" s="1" t="s">
        <v>456</v>
      </c>
      <c r="V770" s="1" t="s">
        <v>456</v>
      </c>
      <c r="W770" s="145">
        <f t="shared" si="1"/>
        <v>0.0001021647048</v>
      </c>
      <c r="AC770" s="38"/>
    </row>
    <row r="771" ht="15.75" customHeight="1">
      <c r="A771" s="1" t="s">
        <v>1907</v>
      </c>
      <c r="B771" s="1" t="s">
        <v>2127</v>
      </c>
      <c r="C771" s="63">
        <v>46254.0</v>
      </c>
      <c r="D771" s="63" t="s">
        <v>130</v>
      </c>
      <c r="E771" s="68">
        <v>0.9632641</v>
      </c>
      <c r="F771" s="1"/>
      <c r="G771" s="23">
        <v>2.0E8</v>
      </c>
      <c r="H771" s="23">
        <v>1.9265282002E8</v>
      </c>
      <c r="I771" s="23">
        <v>2.0E8</v>
      </c>
      <c r="J771" s="23">
        <v>1.9265282002E8</v>
      </c>
      <c r="K771" s="24">
        <v>9.0003854E7</v>
      </c>
      <c r="L771" s="1" t="s">
        <v>1776</v>
      </c>
      <c r="M771" s="1" t="s">
        <v>2128</v>
      </c>
      <c r="N771" s="63" t="s">
        <v>1412</v>
      </c>
      <c r="O771" s="63" t="s">
        <v>1412</v>
      </c>
      <c r="P771" s="68">
        <v>29.0</v>
      </c>
      <c r="Q771" s="1" t="s">
        <v>2130</v>
      </c>
      <c r="R771" s="1" t="s">
        <v>13</v>
      </c>
      <c r="S771" s="1"/>
      <c r="T771" s="1"/>
      <c r="U771" s="1" t="s">
        <v>1422</v>
      </c>
      <c r="V771" s="1" t="s">
        <v>1422</v>
      </c>
      <c r="W771" s="145">
        <f t="shared" si="1"/>
        <v>0.003940907837</v>
      </c>
      <c r="AC771" s="38"/>
    </row>
    <row r="772" ht="15.75" customHeight="1">
      <c r="A772" s="1" t="s">
        <v>1981</v>
      </c>
      <c r="B772" s="1" t="s">
        <v>2127</v>
      </c>
      <c r="C772" s="63">
        <v>46254.0</v>
      </c>
      <c r="D772" s="63" t="s">
        <v>130</v>
      </c>
      <c r="E772" s="68">
        <v>0.95961737</v>
      </c>
      <c r="F772" s="1"/>
      <c r="G772" s="23">
        <v>1.3E7</v>
      </c>
      <c r="H772" s="23">
        <v>1.247502582E7</v>
      </c>
      <c r="I772" s="23">
        <v>1.3E7</v>
      </c>
      <c r="J772" s="23">
        <v>1.247502582E7</v>
      </c>
      <c r="K772" s="24">
        <v>545.0</v>
      </c>
      <c r="L772" s="1" t="s">
        <v>1776</v>
      </c>
      <c r="M772" s="1" t="s">
        <v>2128</v>
      </c>
      <c r="N772" s="63" t="s">
        <v>1118</v>
      </c>
      <c r="O772" s="63" t="s">
        <v>1118</v>
      </c>
      <c r="P772" s="68">
        <v>32.0</v>
      </c>
      <c r="Q772" s="1" t="s">
        <v>2130</v>
      </c>
      <c r="R772" s="1" t="s">
        <v>13</v>
      </c>
      <c r="S772" s="1"/>
      <c r="T772" s="1"/>
      <c r="U772" s="1" t="s">
        <v>1160</v>
      </c>
      <c r="V772" s="1" t="s">
        <v>1160</v>
      </c>
      <c r="W772" s="145">
        <f t="shared" si="1"/>
        <v>0.0002551892415</v>
      </c>
      <c r="AC772" s="38"/>
    </row>
    <row r="773" ht="15.75" customHeight="1">
      <c r="A773" s="1" t="s">
        <v>2027</v>
      </c>
      <c r="B773" s="1" t="s">
        <v>2127</v>
      </c>
      <c r="C773" s="63">
        <v>46254.0</v>
      </c>
      <c r="D773" s="63" t="s">
        <v>130</v>
      </c>
      <c r="E773" s="68">
        <v>0.95961739</v>
      </c>
      <c r="F773" s="1"/>
      <c r="G773" s="23">
        <v>1000000.0</v>
      </c>
      <c r="H773" s="23">
        <v>959617.39</v>
      </c>
      <c r="I773" s="23">
        <v>1000000.0</v>
      </c>
      <c r="J773" s="23">
        <v>959617.39</v>
      </c>
      <c r="K773" s="24">
        <v>6.7381452E7</v>
      </c>
      <c r="L773" s="1" t="s">
        <v>1776</v>
      </c>
      <c r="M773" s="1" t="s">
        <v>2128</v>
      </c>
      <c r="N773" s="63" t="s">
        <v>1118</v>
      </c>
      <c r="O773" s="63" t="s">
        <v>1118</v>
      </c>
      <c r="P773" s="68">
        <v>32.0</v>
      </c>
      <c r="Q773" s="1" t="s">
        <v>2130</v>
      </c>
      <c r="R773" s="1" t="s">
        <v>13</v>
      </c>
      <c r="S773" s="1"/>
      <c r="T773" s="1"/>
      <c r="U773" s="1" t="s">
        <v>1163</v>
      </c>
      <c r="V773" s="1" t="s">
        <v>1163</v>
      </c>
      <c r="W773" s="145">
        <f t="shared" si="1"/>
        <v>0.00001962994205</v>
      </c>
      <c r="AC773" s="38"/>
    </row>
    <row r="774" ht="15.75" customHeight="1">
      <c r="A774" s="1" t="s">
        <v>2024</v>
      </c>
      <c r="B774" s="1" t="s">
        <v>2127</v>
      </c>
      <c r="C774" s="63">
        <v>46254.0</v>
      </c>
      <c r="D774" s="63" t="s">
        <v>130</v>
      </c>
      <c r="E774" s="68">
        <v>0.96204543</v>
      </c>
      <c r="F774" s="1"/>
      <c r="G774" s="23">
        <v>1.473116433E7</v>
      </c>
      <c r="H774" s="23">
        <v>1.417204935E7</v>
      </c>
      <c r="I774" s="23">
        <v>1.473116433E7</v>
      </c>
      <c r="J774" s="23">
        <v>1.417204935E7</v>
      </c>
      <c r="K774" s="24">
        <v>2.9493306E7</v>
      </c>
      <c r="L774" s="1" t="s">
        <v>1776</v>
      </c>
      <c r="M774" s="1" t="s">
        <v>2128</v>
      </c>
      <c r="N774" s="63" t="s">
        <v>1332</v>
      </c>
      <c r="O774" s="63" t="s">
        <v>1332</v>
      </c>
      <c r="P774" s="68">
        <v>30.0</v>
      </c>
      <c r="Q774" s="1" t="s">
        <v>2130</v>
      </c>
      <c r="R774" s="1" t="s">
        <v>13</v>
      </c>
      <c r="S774" s="1"/>
      <c r="T774" s="1"/>
      <c r="U774" s="1" t="s">
        <v>1347</v>
      </c>
      <c r="V774" s="1" t="s">
        <v>1347</v>
      </c>
      <c r="W774" s="145">
        <f t="shared" si="1"/>
        <v>0.0002899035703</v>
      </c>
      <c r="AC774" s="38"/>
    </row>
    <row r="775" ht="15.75" customHeight="1">
      <c r="A775" s="1" t="s">
        <v>1976</v>
      </c>
      <c r="B775" s="1" t="s">
        <v>2127</v>
      </c>
      <c r="C775" s="63">
        <v>46255.0</v>
      </c>
      <c r="D775" s="63" t="s">
        <v>130</v>
      </c>
      <c r="E775" s="68">
        <v>0.95389927</v>
      </c>
      <c r="F775" s="1"/>
      <c r="G775" s="23">
        <v>3345657.98</v>
      </c>
      <c r="H775" s="23">
        <v>3191420.71</v>
      </c>
      <c r="I775" s="23">
        <v>3345657.98</v>
      </c>
      <c r="J775" s="23">
        <v>3191420.71</v>
      </c>
      <c r="K775" s="24">
        <v>232.0</v>
      </c>
      <c r="L775" s="1" t="s">
        <v>1776</v>
      </c>
      <c r="M775" s="1" t="s">
        <v>2128</v>
      </c>
      <c r="N775" s="63" t="s">
        <v>1332</v>
      </c>
      <c r="O775" s="63" t="s">
        <v>1332</v>
      </c>
      <c r="P775" s="68">
        <v>36.0</v>
      </c>
      <c r="Q775" s="1" t="s">
        <v>2130</v>
      </c>
      <c r="R775" s="1" t="s">
        <v>13</v>
      </c>
      <c r="S775" s="1"/>
      <c r="T775" s="1"/>
      <c r="U775" s="1" t="s">
        <v>1355</v>
      </c>
      <c r="V775" s="1" t="s">
        <v>1355</v>
      </c>
      <c r="W775" s="145">
        <f t="shared" si="1"/>
        <v>0.00006528373105</v>
      </c>
      <c r="AC775" s="38"/>
    </row>
    <row r="776" ht="15.75" customHeight="1">
      <c r="A776" s="1" t="s">
        <v>1906</v>
      </c>
      <c r="B776" s="1" t="s">
        <v>2127</v>
      </c>
      <c r="C776" s="63">
        <v>46255.0</v>
      </c>
      <c r="D776" s="63" t="s">
        <v>130</v>
      </c>
      <c r="E776" s="68">
        <v>0.95146258</v>
      </c>
      <c r="F776" s="1"/>
      <c r="G776" s="23">
        <v>4.04E7</v>
      </c>
      <c r="H776" s="23">
        <v>3.843908834E7</v>
      </c>
      <c r="I776" s="23">
        <v>4.04E7</v>
      </c>
      <c r="J776" s="23">
        <v>3.843908834E7</v>
      </c>
      <c r="K776" s="24">
        <v>151347.0</v>
      </c>
      <c r="L776" s="1" t="s">
        <v>1776</v>
      </c>
      <c r="M776" s="1" t="s">
        <v>2128</v>
      </c>
      <c r="N776" s="63" t="s">
        <v>1272</v>
      </c>
      <c r="O776" s="63" t="s">
        <v>1272</v>
      </c>
      <c r="P776" s="68">
        <v>38.0</v>
      </c>
      <c r="Q776" s="1" t="s">
        <v>2130</v>
      </c>
      <c r="R776" s="1" t="s">
        <v>13</v>
      </c>
      <c r="S776" s="1"/>
      <c r="T776" s="1"/>
      <c r="U776" s="1" t="s">
        <v>1290</v>
      </c>
      <c r="V776" s="1" t="s">
        <v>1290</v>
      </c>
      <c r="W776" s="145">
        <f t="shared" si="1"/>
        <v>0.0007863103404</v>
      </c>
      <c r="AC776" s="38"/>
    </row>
    <row r="777" ht="15.75" customHeight="1">
      <c r="A777" s="1" t="s">
        <v>1917</v>
      </c>
      <c r="B777" s="1" t="s">
        <v>2127</v>
      </c>
      <c r="C777" s="63">
        <v>46255.0</v>
      </c>
      <c r="D777" s="63" t="s">
        <v>130</v>
      </c>
      <c r="E777" s="68">
        <v>0.96128539</v>
      </c>
      <c r="F777" s="1"/>
      <c r="G777" s="23">
        <v>1.0E7</v>
      </c>
      <c r="H777" s="23">
        <v>9612853.85</v>
      </c>
      <c r="I777" s="23">
        <v>1.0E7</v>
      </c>
      <c r="J777" s="23">
        <v>9612853.85</v>
      </c>
      <c r="K777" s="24">
        <v>609.0</v>
      </c>
      <c r="L777" s="1" t="s">
        <v>1776</v>
      </c>
      <c r="M777" s="1" t="s">
        <v>2128</v>
      </c>
      <c r="N777" s="63" t="s">
        <v>1209</v>
      </c>
      <c r="O777" s="63" t="s">
        <v>1209</v>
      </c>
      <c r="P777" s="68">
        <v>30.0</v>
      </c>
      <c r="Q777" s="1" t="s">
        <v>2130</v>
      </c>
      <c r="R777" s="1" t="s">
        <v>13</v>
      </c>
      <c r="S777" s="1"/>
      <c r="T777" s="1"/>
      <c r="U777" s="1" t="s">
        <v>1215</v>
      </c>
      <c r="V777" s="1" t="s">
        <v>1215</v>
      </c>
      <c r="W777" s="145">
        <f t="shared" si="1"/>
        <v>0.0001966406257</v>
      </c>
      <c r="AC777" s="38"/>
    </row>
    <row r="778" ht="15.75" customHeight="1">
      <c r="A778" s="1" t="s">
        <v>1917</v>
      </c>
      <c r="B778" s="1" t="s">
        <v>2127</v>
      </c>
      <c r="C778" s="63">
        <v>46255.0</v>
      </c>
      <c r="D778" s="63" t="s">
        <v>130</v>
      </c>
      <c r="E778" s="68">
        <v>0.96128525</v>
      </c>
      <c r="F778" s="1"/>
      <c r="G778" s="23">
        <v>1.0E7</v>
      </c>
      <c r="H778" s="23">
        <v>9612852.51</v>
      </c>
      <c r="I778" s="23">
        <v>1.0E7</v>
      </c>
      <c r="J778" s="23">
        <v>9612852.51</v>
      </c>
      <c r="K778" s="24">
        <v>677.0</v>
      </c>
      <c r="L778" s="1" t="s">
        <v>1776</v>
      </c>
      <c r="M778" s="1" t="s">
        <v>2128</v>
      </c>
      <c r="N778" s="63" t="s">
        <v>1412</v>
      </c>
      <c r="O778" s="63" t="s">
        <v>1412</v>
      </c>
      <c r="P778" s="68">
        <v>30.0</v>
      </c>
      <c r="Q778" s="1" t="s">
        <v>2130</v>
      </c>
      <c r="R778" s="1" t="s">
        <v>13</v>
      </c>
      <c r="S778" s="1"/>
      <c r="T778" s="1"/>
      <c r="U778" s="1" t="s">
        <v>1415</v>
      </c>
      <c r="V778" s="1" t="s">
        <v>1415</v>
      </c>
      <c r="W778" s="145">
        <f t="shared" si="1"/>
        <v>0.0001966405983</v>
      </c>
      <c r="AC778" s="38"/>
    </row>
    <row r="779" ht="15.75" customHeight="1">
      <c r="A779" s="1" t="s">
        <v>1917</v>
      </c>
      <c r="B779" s="1" t="s">
        <v>2127</v>
      </c>
      <c r="C779" s="63">
        <v>46255.0</v>
      </c>
      <c r="D779" s="63" t="s">
        <v>130</v>
      </c>
      <c r="E779" s="68">
        <v>0.96128524</v>
      </c>
      <c r="F779" s="1"/>
      <c r="G779" s="23">
        <v>1.0E7</v>
      </c>
      <c r="H779" s="23">
        <v>9612852.39</v>
      </c>
      <c r="I779" s="23">
        <v>1.0E7</v>
      </c>
      <c r="J779" s="23">
        <v>9612852.39</v>
      </c>
      <c r="K779" s="24">
        <v>576.0</v>
      </c>
      <c r="L779" s="1" t="s">
        <v>1776</v>
      </c>
      <c r="M779" s="1" t="s">
        <v>2128</v>
      </c>
      <c r="N779" s="63" t="s">
        <v>1048</v>
      </c>
      <c r="O779" s="63" t="s">
        <v>1048</v>
      </c>
      <c r="P779" s="68">
        <v>30.0</v>
      </c>
      <c r="Q779" s="1" t="s">
        <v>2130</v>
      </c>
      <c r="R779" s="1" t="s">
        <v>13</v>
      </c>
      <c r="S779" s="1"/>
      <c r="T779" s="1"/>
      <c r="U779" s="1" t="s">
        <v>1055</v>
      </c>
      <c r="V779" s="1" t="s">
        <v>1055</v>
      </c>
      <c r="W779" s="145">
        <f t="shared" si="1"/>
        <v>0.0001966405959</v>
      </c>
      <c r="AC779" s="38"/>
    </row>
    <row r="780" ht="15.75" customHeight="1">
      <c r="A780" s="1" t="s">
        <v>1991</v>
      </c>
      <c r="B780" s="1" t="s">
        <v>2127</v>
      </c>
      <c r="C780" s="63">
        <v>46255.0</v>
      </c>
      <c r="D780" s="63" t="s">
        <v>130</v>
      </c>
      <c r="E780" s="68">
        <v>0.95757805</v>
      </c>
      <c r="F780" s="1"/>
      <c r="G780" s="23">
        <v>2200000.0</v>
      </c>
      <c r="H780" s="23">
        <v>2106671.71</v>
      </c>
      <c r="I780" s="23">
        <v>2200000.0</v>
      </c>
      <c r="J780" s="23">
        <v>2106671.71</v>
      </c>
      <c r="K780" s="24">
        <v>6192.0</v>
      </c>
      <c r="L780" s="1" t="s">
        <v>1776</v>
      </c>
      <c r="M780" s="1" t="s">
        <v>2128</v>
      </c>
      <c r="N780" s="63" t="s">
        <v>1084</v>
      </c>
      <c r="O780" s="63" t="s">
        <v>1084</v>
      </c>
      <c r="P780" s="68">
        <v>33.0</v>
      </c>
      <c r="Q780" s="1" t="s">
        <v>2130</v>
      </c>
      <c r="R780" s="1" t="s">
        <v>13</v>
      </c>
      <c r="S780" s="1"/>
      <c r="T780" s="1"/>
      <c r="U780" s="1" t="s">
        <v>1114</v>
      </c>
      <c r="V780" s="1" t="s">
        <v>1114</v>
      </c>
      <c r="W780" s="145">
        <f t="shared" si="1"/>
        <v>0.00004309409565</v>
      </c>
      <c r="AC780" s="38"/>
    </row>
    <row r="781" ht="15.75" customHeight="1">
      <c r="A781" s="1" t="s">
        <v>2058</v>
      </c>
      <c r="B781" s="1" t="s">
        <v>2127</v>
      </c>
      <c r="C781" s="63">
        <v>46255.0</v>
      </c>
      <c r="D781" s="63" t="s">
        <v>130</v>
      </c>
      <c r="E781" s="68">
        <v>0.96128542</v>
      </c>
      <c r="F781" s="1"/>
      <c r="G781" s="23">
        <v>1606134.0</v>
      </c>
      <c r="H781" s="23">
        <v>1543953.19</v>
      </c>
      <c r="I781" s="23">
        <v>1606134.0</v>
      </c>
      <c r="J781" s="23">
        <v>1543953.19</v>
      </c>
      <c r="K781" s="24">
        <v>6.7237064E7</v>
      </c>
      <c r="L781" s="1" t="s">
        <v>1776</v>
      </c>
      <c r="M781" s="1" t="s">
        <v>2128</v>
      </c>
      <c r="N781" s="63" t="s">
        <v>1302</v>
      </c>
      <c r="O781" s="63" t="s">
        <v>1302</v>
      </c>
      <c r="P781" s="68">
        <v>30.0</v>
      </c>
      <c r="Q781" s="1" t="s">
        <v>2130</v>
      </c>
      <c r="R781" s="1" t="s">
        <v>13</v>
      </c>
      <c r="S781" s="1"/>
      <c r="T781" s="1"/>
      <c r="U781" s="1" t="s">
        <v>1304</v>
      </c>
      <c r="V781" s="1" t="s">
        <v>1304</v>
      </c>
      <c r="W781" s="145">
        <f t="shared" si="1"/>
        <v>0.00003158312049</v>
      </c>
      <c r="AC781" s="38"/>
    </row>
    <row r="782" ht="15.75" customHeight="1">
      <c r="A782" s="1" t="s">
        <v>1910</v>
      </c>
      <c r="B782" s="1" t="s">
        <v>2127</v>
      </c>
      <c r="C782" s="63">
        <v>46255.0</v>
      </c>
      <c r="D782" s="63" t="s">
        <v>130</v>
      </c>
      <c r="E782" s="68">
        <v>0.96502143</v>
      </c>
      <c r="F782" s="1"/>
      <c r="G782" s="23">
        <v>2.0E8</v>
      </c>
      <c r="H782" s="23">
        <v>1.9300428568E8</v>
      </c>
      <c r="I782" s="23">
        <v>2.0E8</v>
      </c>
      <c r="J782" s="23">
        <v>1.9300428568E8</v>
      </c>
      <c r="K782" s="24">
        <v>9.0003874E7</v>
      </c>
      <c r="L782" s="1" t="s">
        <v>1776</v>
      </c>
      <c r="M782" s="1" t="s">
        <v>2128</v>
      </c>
      <c r="N782" s="63" t="s">
        <v>1458</v>
      </c>
      <c r="O782" s="63" t="s">
        <v>1458</v>
      </c>
      <c r="P782" s="68">
        <v>27.0</v>
      </c>
      <c r="Q782" s="1" t="s">
        <v>2130</v>
      </c>
      <c r="R782" s="1" t="s">
        <v>13</v>
      </c>
      <c r="S782" s="1"/>
      <c r="T782" s="1"/>
      <c r="U782" s="1" t="s">
        <v>1468</v>
      </c>
      <c r="V782" s="1" t="s">
        <v>1468</v>
      </c>
      <c r="W782" s="145">
        <f t="shared" si="1"/>
        <v>0.003948097422</v>
      </c>
      <c r="AC782" s="38"/>
    </row>
    <row r="783" ht="15.75" customHeight="1">
      <c r="A783" s="1" t="s">
        <v>1903</v>
      </c>
      <c r="B783" s="1" t="s">
        <v>2127</v>
      </c>
      <c r="C783" s="63">
        <v>46255.0</v>
      </c>
      <c r="D783" s="63" t="s">
        <v>130</v>
      </c>
      <c r="E783" s="68">
        <v>0.96502137</v>
      </c>
      <c r="F783" s="1"/>
      <c r="G783" s="23">
        <v>7250000.0</v>
      </c>
      <c r="H783" s="23">
        <v>6996404.9</v>
      </c>
      <c r="I783" s="23">
        <v>7250000.0</v>
      </c>
      <c r="J783" s="23">
        <v>6996404.9</v>
      </c>
      <c r="K783" s="24">
        <v>1088.0</v>
      </c>
      <c r="L783" s="1" t="s">
        <v>1776</v>
      </c>
      <c r="M783" s="1" t="s">
        <v>2128</v>
      </c>
      <c r="N783" s="63" t="s">
        <v>1428</v>
      </c>
      <c r="O783" s="63" t="s">
        <v>1428</v>
      </c>
      <c r="P783" s="68">
        <v>27.0</v>
      </c>
      <c r="Q783" s="1" t="s">
        <v>2130</v>
      </c>
      <c r="R783" s="1" t="s">
        <v>13</v>
      </c>
      <c r="S783" s="1"/>
      <c r="T783" s="1"/>
      <c r="U783" s="1" t="s">
        <v>1439</v>
      </c>
      <c r="V783" s="1" t="s">
        <v>1439</v>
      </c>
      <c r="W783" s="145">
        <f t="shared" si="1"/>
        <v>0.0001431185222</v>
      </c>
      <c r="AC783" s="38"/>
    </row>
    <row r="784" ht="15.75" customHeight="1">
      <c r="A784" s="1" t="s">
        <v>1903</v>
      </c>
      <c r="B784" s="1" t="s">
        <v>2127</v>
      </c>
      <c r="C784" s="63">
        <v>46255.0</v>
      </c>
      <c r="D784" s="63" t="s">
        <v>130</v>
      </c>
      <c r="E784" s="68">
        <v>0.96502137</v>
      </c>
      <c r="F784" s="1"/>
      <c r="G784" s="23">
        <v>7250000.0</v>
      </c>
      <c r="H784" s="23">
        <v>6996404.9</v>
      </c>
      <c r="I784" s="23">
        <v>7250000.0</v>
      </c>
      <c r="J784" s="23">
        <v>6996404.9</v>
      </c>
      <c r="K784" s="24">
        <v>1087.0</v>
      </c>
      <c r="L784" s="1" t="s">
        <v>1776</v>
      </c>
      <c r="M784" s="1" t="s">
        <v>2128</v>
      </c>
      <c r="N784" s="63" t="s">
        <v>1428</v>
      </c>
      <c r="O784" s="63" t="s">
        <v>1428</v>
      </c>
      <c r="P784" s="68">
        <v>27.0</v>
      </c>
      <c r="Q784" s="1" t="s">
        <v>2130</v>
      </c>
      <c r="R784" s="1" t="s">
        <v>13</v>
      </c>
      <c r="S784" s="1"/>
      <c r="T784" s="1"/>
      <c r="U784" s="1" t="s">
        <v>1440</v>
      </c>
      <c r="V784" s="1" t="s">
        <v>1440</v>
      </c>
      <c r="W784" s="145">
        <f t="shared" si="1"/>
        <v>0.0001431185222</v>
      </c>
      <c r="AC784" s="38"/>
    </row>
    <row r="785" ht="15.75" customHeight="1">
      <c r="A785" s="1" t="s">
        <v>1903</v>
      </c>
      <c r="B785" s="1" t="s">
        <v>2127</v>
      </c>
      <c r="C785" s="63">
        <v>46255.0</v>
      </c>
      <c r="D785" s="63" t="s">
        <v>130</v>
      </c>
      <c r="E785" s="68">
        <v>0.96502137</v>
      </c>
      <c r="F785" s="1"/>
      <c r="G785" s="23">
        <v>7250000.0</v>
      </c>
      <c r="H785" s="23">
        <v>6996404.9</v>
      </c>
      <c r="I785" s="23">
        <v>7250000.0</v>
      </c>
      <c r="J785" s="23">
        <v>6996404.9</v>
      </c>
      <c r="K785" s="24">
        <v>1086.0</v>
      </c>
      <c r="L785" s="1" t="s">
        <v>1776</v>
      </c>
      <c r="M785" s="1" t="s">
        <v>2128</v>
      </c>
      <c r="N785" s="63" t="s">
        <v>1428</v>
      </c>
      <c r="O785" s="63" t="s">
        <v>1428</v>
      </c>
      <c r="P785" s="68">
        <v>27.0</v>
      </c>
      <c r="Q785" s="1" t="s">
        <v>2130</v>
      </c>
      <c r="R785" s="1" t="s">
        <v>13</v>
      </c>
      <c r="S785" s="1"/>
      <c r="T785" s="1"/>
      <c r="U785" s="1" t="s">
        <v>1441</v>
      </c>
      <c r="V785" s="1" t="s">
        <v>1441</v>
      </c>
      <c r="W785" s="145">
        <f t="shared" si="1"/>
        <v>0.0001431185222</v>
      </c>
      <c r="AC785" s="38"/>
    </row>
    <row r="786" ht="15.75" customHeight="1">
      <c r="A786" s="1" t="s">
        <v>1903</v>
      </c>
      <c r="B786" s="1" t="s">
        <v>2127</v>
      </c>
      <c r="C786" s="63">
        <v>46255.0</v>
      </c>
      <c r="D786" s="63" t="s">
        <v>130</v>
      </c>
      <c r="E786" s="68">
        <v>0.96502137</v>
      </c>
      <c r="F786" s="1"/>
      <c r="G786" s="23">
        <v>7250000.0</v>
      </c>
      <c r="H786" s="23">
        <v>6996404.9</v>
      </c>
      <c r="I786" s="23">
        <v>7250000.0</v>
      </c>
      <c r="J786" s="23">
        <v>6996404.9</v>
      </c>
      <c r="K786" s="24">
        <v>1084.0</v>
      </c>
      <c r="L786" s="1" t="s">
        <v>1776</v>
      </c>
      <c r="M786" s="1" t="s">
        <v>2128</v>
      </c>
      <c r="N786" s="63" t="s">
        <v>1428</v>
      </c>
      <c r="O786" s="63" t="s">
        <v>1428</v>
      </c>
      <c r="P786" s="68">
        <v>27.0</v>
      </c>
      <c r="Q786" s="1" t="s">
        <v>2130</v>
      </c>
      <c r="R786" s="1" t="s">
        <v>13</v>
      </c>
      <c r="S786" s="1"/>
      <c r="T786" s="1"/>
      <c r="U786" s="1" t="s">
        <v>1442</v>
      </c>
      <c r="V786" s="1" t="s">
        <v>1442</v>
      </c>
      <c r="W786" s="145">
        <f t="shared" si="1"/>
        <v>0.0001431185222</v>
      </c>
      <c r="AC786" s="38"/>
    </row>
    <row r="787" ht="15.75" customHeight="1">
      <c r="A787" s="1" t="s">
        <v>1903</v>
      </c>
      <c r="B787" s="1" t="s">
        <v>2127</v>
      </c>
      <c r="C787" s="63">
        <v>46255.0</v>
      </c>
      <c r="D787" s="63" t="s">
        <v>130</v>
      </c>
      <c r="E787" s="68">
        <v>0.96252738</v>
      </c>
      <c r="F787" s="1"/>
      <c r="G787" s="23">
        <v>1.0E7</v>
      </c>
      <c r="H787" s="23">
        <v>9625273.84</v>
      </c>
      <c r="I787" s="23">
        <v>1.0E7</v>
      </c>
      <c r="J787" s="23">
        <v>9625273.84</v>
      </c>
      <c r="K787" s="24">
        <v>2151.0</v>
      </c>
      <c r="L787" s="1" t="s">
        <v>1776</v>
      </c>
      <c r="M787" s="1" t="s">
        <v>2128</v>
      </c>
      <c r="N787" s="63" t="s">
        <v>591</v>
      </c>
      <c r="O787" s="63" t="s">
        <v>591</v>
      </c>
      <c r="P787" s="68">
        <v>29.0</v>
      </c>
      <c r="Q787" s="1" t="s">
        <v>2130</v>
      </c>
      <c r="R787" s="1" t="s">
        <v>13</v>
      </c>
      <c r="S787" s="1"/>
      <c r="T787" s="1"/>
      <c r="U787" s="1" t="s">
        <v>594</v>
      </c>
      <c r="V787" s="1" t="s">
        <v>594</v>
      </c>
      <c r="W787" s="145">
        <f t="shared" si="1"/>
        <v>0.0001968946891</v>
      </c>
      <c r="AC787" s="38"/>
      <c r="AE787" s="146"/>
      <c r="AF787" s="68"/>
      <c r="AG787" s="1"/>
      <c r="AH787" s="23"/>
      <c r="AI787" s="23"/>
    </row>
    <row r="788" ht="15.75" customHeight="1">
      <c r="A788" s="1" t="s">
        <v>1939</v>
      </c>
      <c r="B788" s="1" t="s">
        <v>2127</v>
      </c>
      <c r="C788" s="63">
        <v>46255.0</v>
      </c>
      <c r="D788" s="63" t="s">
        <v>130</v>
      </c>
      <c r="E788" s="68">
        <v>0.95512241</v>
      </c>
      <c r="F788" s="1"/>
      <c r="G788" s="23">
        <v>1.66E7</v>
      </c>
      <c r="H788" s="23">
        <v>1.585503207E7</v>
      </c>
      <c r="I788" s="23">
        <v>1.66E7</v>
      </c>
      <c r="J788" s="23">
        <v>1.585503207E7</v>
      </c>
      <c r="K788" s="24">
        <v>2.9088026E7</v>
      </c>
      <c r="L788" s="1" t="s">
        <v>1776</v>
      </c>
      <c r="M788" s="1" t="s">
        <v>2128</v>
      </c>
      <c r="N788" s="63" t="s">
        <v>256</v>
      </c>
      <c r="O788" s="63" t="s">
        <v>256</v>
      </c>
      <c r="P788" s="68">
        <v>35.0</v>
      </c>
      <c r="Q788" s="1" t="s">
        <v>2130</v>
      </c>
      <c r="R788" s="1" t="s">
        <v>13</v>
      </c>
      <c r="S788" s="1"/>
      <c r="T788" s="1"/>
      <c r="U788" s="1" t="s">
        <v>273</v>
      </c>
      <c r="V788" s="1" t="s">
        <v>273</v>
      </c>
      <c r="W788" s="145">
        <f t="shared" si="1"/>
        <v>0.0003243306801</v>
      </c>
      <c r="AC788" s="38"/>
    </row>
    <row r="789" ht="15.75" customHeight="1">
      <c r="A789" s="1" t="s">
        <v>1908</v>
      </c>
      <c r="B789" s="1" t="s">
        <v>2127</v>
      </c>
      <c r="C789" s="63">
        <v>46255.0</v>
      </c>
      <c r="D789" s="63" t="s">
        <v>130</v>
      </c>
      <c r="E789" s="68">
        <v>0.95512243</v>
      </c>
      <c r="F789" s="1"/>
      <c r="G789" s="23">
        <v>2.83E8</v>
      </c>
      <c r="H789" s="23">
        <v>2.7029964727E8</v>
      </c>
      <c r="I789" s="23">
        <v>2.83E8</v>
      </c>
      <c r="J789" s="23">
        <v>2.7029964727E8</v>
      </c>
      <c r="K789" s="24">
        <v>7.0390734E7</v>
      </c>
      <c r="L789" s="1" t="s">
        <v>1776</v>
      </c>
      <c r="M789" s="1" t="s">
        <v>2128</v>
      </c>
      <c r="N789" s="63" t="s">
        <v>1589</v>
      </c>
      <c r="O789" s="63" t="s">
        <v>1589</v>
      </c>
      <c r="P789" s="68">
        <v>35.0</v>
      </c>
      <c r="Q789" s="1" t="s">
        <v>2130</v>
      </c>
      <c r="R789" s="1" t="s">
        <v>13</v>
      </c>
      <c r="S789" s="1"/>
      <c r="T789" s="1"/>
      <c r="U789" s="1" t="s">
        <v>1593</v>
      </c>
      <c r="V789" s="1" t="s">
        <v>1593</v>
      </c>
      <c r="W789" s="145">
        <f t="shared" si="1"/>
        <v>0.005529252041</v>
      </c>
      <c r="AC789" s="38"/>
    </row>
    <row r="790" ht="15.75" customHeight="1">
      <c r="A790" s="1" t="s">
        <v>1921</v>
      </c>
      <c r="B790" s="1" t="s">
        <v>2127</v>
      </c>
      <c r="C790" s="63">
        <v>46255.0</v>
      </c>
      <c r="D790" s="63" t="s">
        <v>130</v>
      </c>
      <c r="E790" s="68">
        <v>0.96752833</v>
      </c>
      <c r="F790" s="1"/>
      <c r="G790" s="23">
        <v>966441.68</v>
      </c>
      <c r="H790" s="23">
        <v>935059.7</v>
      </c>
      <c r="I790" s="23">
        <v>966441.68</v>
      </c>
      <c r="J790" s="23">
        <v>935059.7</v>
      </c>
      <c r="K790" s="24">
        <v>3531.0</v>
      </c>
      <c r="L790" s="1" t="s">
        <v>1776</v>
      </c>
      <c r="M790" s="1" t="s">
        <v>2128</v>
      </c>
      <c r="N790" s="63" t="s">
        <v>1488</v>
      </c>
      <c r="O790" s="63" t="s">
        <v>1488</v>
      </c>
      <c r="P790" s="68">
        <v>25.0</v>
      </c>
      <c r="Q790" s="1" t="s">
        <v>2130</v>
      </c>
      <c r="R790" s="1" t="s">
        <v>13</v>
      </c>
      <c r="S790" s="1"/>
      <c r="T790" s="1"/>
      <c r="U790" s="1" t="s">
        <v>1529</v>
      </c>
      <c r="V790" s="1" t="s">
        <v>1529</v>
      </c>
      <c r="W790" s="145">
        <f t="shared" si="1"/>
        <v>0.00001912758972</v>
      </c>
      <c r="AC790" s="38"/>
    </row>
    <row r="791" ht="15.75" customHeight="1">
      <c r="A791" s="1" t="s">
        <v>1921</v>
      </c>
      <c r="B791" s="1" t="s">
        <v>2127</v>
      </c>
      <c r="C791" s="63">
        <v>46255.0</v>
      </c>
      <c r="D791" s="63" t="s">
        <v>130</v>
      </c>
      <c r="E791" s="68">
        <v>0.96752833</v>
      </c>
      <c r="F791" s="1"/>
      <c r="G791" s="23">
        <v>639790.28</v>
      </c>
      <c r="H791" s="23">
        <v>619015.22</v>
      </c>
      <c r="I791" s="23">
        <v>639790.28</v>
      </c>
      <c r="J791" s="23">
        <v>619015.22</v>
      </c>
      <c r="K791" s="24">
        <v>3533.0</v>
      </c>
      <c r="L791" s="1" t="s">
        <v>1776</v>
      </c>
      <c r="M791" s="1" t="s">
        <v>2128</v>
      </c>
      <c r="N791" s="63" t="s">
        <v>1488</v>
      </c>
      <c r="O791" s="63" t="s">
        <v>1488</v>
      </c>
      <c r="P791" s="68">
        <v>25.0</v>
      </c>
      <c r="Q791" s="1" t="s">
        <v>2130</v>
      </c>
      <c r="R791" s="1" t="s">
        <v>13</v>
      </c>
      <c r="S791" s="1"/>
      <c r="T791" s="1"/>
      <c r="U791" s="1" t="s">
        <v>1530</v>
      </c>
      <c r="V791" s="1" t="s">
        <v>1530</v>
      </c>
      <c r="W791" s="145">
        <f t="shared" si="1"/>
        <v>0.00001266258097</v>
      </c>
      <c r="AC791" s="38"/>
    </row>
    <row r="792" ht="15.75" customHeight="1">
      <c r="A792" s="1" t="s">
        <v>2030</v>
      </c>
      <c r="B792" s="1" t="s">
        <v>2127</v>
      </c>
      <c r="C792" s="63">
        <v>46255.0</v>
      </c>
      <c r="D792" s="63" t="s">
        <v>130</v>
      </c>
      <c r="E792" s="68">
        <v>0.95757815</v>
      </c>
      <c r="F792" s="1"/>
      <c r="G792" s="23">
        <v>1698044.02</v>
      </c>
      <c r="H792" s="23">
        <v>1626009.85</v>
      </c>
      <c r="I792" s="23">
        <v>1698044.02</v>
      </c>
      <c r="J792" s="23">
        <v>1626009.85</v>
      </c>
      <c r="K792" s="24">
        <v>6.7243116E7</v>
      </c>
      <c r="L792" s="1" t="s">
        <v>1776</v>
      </c>
      <c r="M792" s="1" t="s">
        <v>2128</v>
      </c>
      <c r="N792" s="63" t="s">
        <v>946</v>
      </c>
      <c r="O792" s="63" t="s">
        <v>946</v>
      </c>
      <c r="P792" s="68">
        <v>33.0</v>
      </c>
      <c r="Q792" s="1" t="s">
        <v>2130</v>
      </c>
      <c r="R792" s="1" t="s">
        <v>13</v>
      </c>
      <c r="S792" s="1"/>
      <c r="T792" s="1"/>
      <c r="U792" s="1" t="s">
        <v>1018</v>
      </c>
      <c r="V792" s="1" t="s">
        <v>1018</v>
      </c>
      <c r="W792" s="145">
        <f t="shared" si="1"/>
        <v>0.00003326167227</v>
      </c>
      <c r="AC792" s="38"/>
    </row>
    <row r="793" ht="15.75" customHeight="1">
      <c r="A793" s="1" t="s">
        <v>2027</v>
      </c>
      <c r="B793" s="1" t="s">
        <v>2127</v>
      </c>
      <c r="C793" s="63">
        <v>46255.0</v>
      </c>
      <c r="D793" s="63" t="s">
        <v>130</v>
      </c>
      <c r="E793" s="68">
        <v>0.95881065</v>
      </c>
      <c r="F793" s="1"/>
      <c r="G793" s="23">
        <v>1000000.0</v>
      </c>
      <c r="H793" s="23">
        <v>958810.65</v>
      </c>
      <c r="I793" s="23">
        <v>1000000.0</v>
      </c>
      <c r="J793" s="23">
        <v>958810.65</v>
      </c>
      <c r="K793" s="24">
        <v>6.7277718E7</v>
      </c>
      <c r="L793" s="1" t="s">
        <v>1776</v>
      </c>
      <c r="M793" s="1" t="s">
        <v>2128</v>
      </c>
      <c r="N793" s="63" t="s">
        <v>1118</v>
      </c>
      <c r="O793" s="63" t="s">
        <v>1118</v>
      </c>
      <c r="P793" s="68">
        <v>32.0</v>
      </c>
      <c r="Q793" s="1" t="s">
        <v>2130</v>
      </c>
      <c r="R793" s="1" t="s">
        <v>13</v>
      </c>
      <c r="S793" s="1"/>
      <c r="T793" s="1"/>
      <c r="U793" s="1" t="s">
        <v>1170</v>
      </c>
      <c r="V793" s="1" t="s">
        <v>1170</v>
      </c>
      <c r="W793" s="145">
        <f t="shared" si="1"/>
        <v>0.00001961343937</v>
      </c>
      <c r="AC793" s="38"/>
    </row>
    <row r="794" ht="15.75" customHeight="1">
      <c r="A794" s="1" t="s">
        <v>2026</v>
      </c>
      <c r="B794" s="1" t="s">
        <v>2127</v>
      </c>
      <c r="C794" s="63">
        <v>46255.0</v>
      </c>
      <c r="D794" s="63" t="s">
        <v>130</v>
      </c>
      <c r="E794" s="68">
        <v>0.95881067</v>
      </c>
      <c r="F794" s="1"/>
      <c r="G794" s="23">
        <v>3090647.25</v>
      </c>
      <c r="H794" s="23">
        <v>2963345.56</v>
      </c>
      <c r="I794" s="23">
        <v>3090647.25</v>
      </c>
      <c r="J794" s="23">
        <v>2963345.56</v>
      </c>
      <c r="K794" s="24">
        <v>1.3647457E7</v>
      </c>
      <c r="L794" s="1" t="s">
        <v>1776</v>
      </c>
      <c r="M794" s="1" t="s">
        <v>2128</v>
      </c>
      <c r="N794" s="63" t="s">
        <v>1118</v>
      </c>
      <c r="O794" s="63" t="s">
        <v>1118</v>
      </c>
      <c r="P794" s="68">
        <v>32.0</v>
      </c>
      <c r="Q794" s="1" t="s">
        <v>2130</v>
      </c>
      <c r="R794" s="1" t="s">
        <v>13</v>
      </c>
      <c r="S794" s="1"/>
      <c r="T794" s="1"/>
      <c r="U794" s="1" t="s">
        <v>1196</v>
      </c>
      <c r="V794" s="1" t="s">
        <v>1196</v>
      </c>
      <c r="W794" s="145">
        <f t="shared" si="1"/>
        <v>0.00006061822371</v>
      </c>
      <c r="AC794" s="38"/>
    </row>
    <row r="795" ht="15.75" customHeight="1">
      <c r="A795" s="1" t="s">
        <v>1918</v>
      </c>
      <c r="B795" s="1" t="s">
        <v>2127</v>
      </c>
      <c r="C795" s="63">
        <v>46258.0</v>
      </c>
      <c r="D795" s="63" t="s">
        <v>130</v>
      </c>
      <c r="E795" s="68">
        <v>0.95509757</v>
      </c>
      <c r="F795" s="1"/>
      <c r="G795" s="23">
        <v>1.75E8</v>
      </c>
      <c r="H795" s="23">
        <v>1.6714207456E8</v>
      </c>
      <c r="I795" s="23">
        <v>1.75E8</v>
      </c>
      <c r="J795" s="23">
        <v>1.6714207456E8</v>
      </c>
      <c r="K795" s="24">
        <v>7.0389145E7</v>
      </c>
      <c r="L795" s="1" t="s">
        <v>1776</v>
      </c>
      <c r="M795" s="1" t="s">
        <v>2128</v>
      </c>
      <c r="N795" s="63" t="s">
        <v>130</v>
      </c>
      <c r="O795" s="63" t="s">
        <v>130</v>
      </c>
      <c r="P795" s="68">
        <v>33.0</v>
      </c>
      <c r="Q795" s="1" t="s">
        <v>2130</v>
      </c>
      <c r="R795" s="1" t="s">
        <v>13</v>
      </c>
      <c r="S795" s="1"/>
      <c r="T795" s="1"/>
      <c r="U795" s="1" t="s">
        <v>1660</v>
      </c>
      <c r="V795" s="1" t="s">
        <v>1660</v>
      </c>
      <c r="W795" s="145">
        <f t="shared" si="1"/>
        <v>0.003419059796</v>
      </c>
      <c r="AC795" s="38"/>
    </row>
    <row r="796" ht="15.75" customHeight="1">
      <c r="A796" s="1" t="s">
        <v>1988</v>
      </c>
      <c r="B796" s="1" t="s">
        <v>2127</v>
      </c>
      <c r="C796" s="63">
        <v>46258.0</v>
      </c>
      <c r="D796" s="63" t="s">
        <v>130</v>
      </c>
      <c r="E796" s="68">
        <v>0.94864331</v>
      </c>
      <c r="F796" s="1"/>
      <c r="G796" s="23">
        <v>7865231.25</v>
      </c>
      <c r="H796" s="23">
        <v>7461299.04</v>
      </c>
      <c r="I796" s="23">
        <v>7865231.25</v>
      </c>
      <c r="J796" s="23">
        <v>7461299.04</v>
      </c>
      <c r="K796" s="24">
        <v>9.0000558E7</v>
      </c>
      <c r="L796" s="1" t="s">
        <v>1776</v>
      </c>
      <c r="M796" s="1" t="s">
        <v>2128</v>
      </c>
      <c r="N796" s="63" t="s">
        <v>446</v>
      </c>
      <c r="O796" s="63" t="s">
        <v>446</v>
      </c>
      <c r="P796" s="68">
        <v>38.0</v>
      </c>
      <c r="Q796" s="1" t="s">
        <v>2130</v>
      </c>
      <c r="R796" s="1" t="s">
        <v>13</v>
      </c>
      <c r="S796" s="1"/>
      <c r="T796" s="1"/>
      <c r="U796" s="1" t="s">
        <v>526</v>
      </c>
      <c r="V796" s="1" t="s">
        <v>526</v>
      </c>
      <c r="W796" s="145">
        <f t="shared" si="1"/>
        <v>0.000152628401</v>
      </c>
      <c r="AC796" s="38"/>
    </row>
    <row r="797" ht="15.75" customHeight="1">
      <c r="A797" s="1" t="s">
        <v>1970</v>
      </c>
      <c r="B797" s="1" t="s">
        <v>2127</v>
      </c>
      <c r="C797" s="63">
        <v>46258.0</v>
      </c>
      <c r="D797" s="63" t="s">
        <v>130</v>
      </c>
      <c r="E797" s="68">
        <v>0.94608611</v>
      </c>
      <c r="F797" s="1"/>
      <c r="G797" s="23">
        <v>7551944.0</v>
      </c>
      <c r="H797" s="23">
        <v>7144789.32</v>
      </c>
      <c r="I797" s="23">
        <v>7551944.0</v>
      </c>
      <c r="J797" s="23">
        <v>7144789.32</v>
      </c>
      <c r="K797" s="24">
        <v>1825.0</v>
      </c>
      <c r="L797" s="1" t="s">
        <v>1776</v>
      </c>
      <c r="M797" s="1" t="s">
        <v>2128</v>
      </c>
      <c r="N797" s="63" t="s">
        <v>283</v>
      </c>
      <c r="O797" s="63" t="s">
        <v>283</v>
      </c>
      <c r="P797" s="68">
        <v>40.0</v>
      </c>
      <c r="Q797" s="1" t="s">
        <v>2130</v>
      </c>
      <c r="R797" s="1" t="s">
        <v>13</v>
      </c>
      <c r="S797" s="1"/>
      <c r="T797" s="1"/>
      <c r="U797" s="1" t="s">
        <v>300</v>
      </c>
      <c r="V797" s="1" t="s">
        <v>300</v>
      </c>
      <c r="W797" s="145">
        <f t="shared" si="1"/>
        <v>0.0001461538753</v>
      </c>
      <c r="AC797" s="38"/>
    </row>
    <row r="798" ht="15.75" customHeight="1">
      <c r="A798" s="1" t="s">
        <v>1970</v>
      </c>
      <c r="B798" s="1" t="s">
        <v>2127</v>
      </c>
      <c r="C798" s="63">
        <v>46258.0</v>
      </c>
      <c r="D798" s="63" t="s">
        <v>130</v>
      </c>
      <c r="E798" s="68">
        <v>0.94608611</v>
      </c>
      <c r="F798" s="1"/>
      <c r="G798" s="23">
        <v>7551944.0</v>
      </c>
      <c r="H798" s="23">
        <v>7144789.32</v>
      </c>
      <c r="I798" s="23">
        <v>7551944.0</v>
      </c>
      <c r="J798" s="23">
        <v>7144789.32</v>
      </c>
      <c r="K798" s="24">
        <v>1826.0</v>
      </c>
      <c r="L798" s="1" t="s">
        <v>1776</v>
      </c>
      <c r="M798" s="1" t="s">
        <v>2128</v>
      </c>
      <c r="N798" s="63" t="s">
        <v>283</v>
      </c>
      <c r="O798" s="63" t="s">
        <v>283</v>
      </c>
      <c r="P798" s="68">
        <v>40.0</v>
      </c>
      <c r="Q798" s="1" t="s">
        <v>2130</v>
      </c>
      <c r="R798" s="1" t="s">
        <v>13</v>
      </c>
      <c r="S798" s="1"/>
      <c r="T798" s="1"/>
      <c r="U798" s="1" t="s">
        <v>302</v>
      </c>
      <c r="V798" s="1" t="s">
        <v>302</v>
      </c>
      <c r="W798" s="145">
        <f t="shared" si="1"/>
        <v>0.0001461538753</v>
      </c>
      <c r="AC798" s="38"/>
    </row>
    <row r="799" ht="15.75" customHeight="1">
      <c r="A799" s="1" t="s">
        <v>1982</v>
      </c>
      <c r="B799" s="1" t="s">
        <v>2127</v>
      </c>
      <c r="C799" s="63">
        <v>46258.0</v>
      </c>
      <c r="D799" s="63" t="s">
        <v>130</v>
      </c>
      <c r="E799" s="68">
        <v>0.95509742</v>
      </c>
      <c r="F799" s="1"/>
      <c r="G799" s="23">
        <v>5600000.0</v>
      </c>
      <c r="H799" s="23">
        <v>5348545.53</v>
      </c>
      <c r="I799" s="23">
        <v>5600000.0</v>
      </c>
      <c r="J799" s="23">
        <v>5348545.53</v>
      </c>
      <c r="K799" s="24">
        <v>3501251.0</v>
      </c>
      <c r="L799" s="1" t="s">
        <v>1776</v>
      </c>
      <c r="M799" s="1" t="s">
        <v>2128</v>
      </c>
      <c r="N799" s="63" t="s">
        <v>543</v>
      </c>
      <c r="O799" s="63" t="s">
        <v>543</v>
      </c>
      <c r="P799" s="68">
        <v>33.0</v>
      </c>
      <c r="Q799" s="1" t="s">
        <v>2130</v>
      </c>
      <c r="R799" s="1" t="s">
        <v>13</v>
      </c>
      <c r="S799" s="1"/>
      <c r="T799" s="1"/>
      <c r="U799" s="1" t="s">
        <v>553</v>
      </c>
      <c r="V799" s="1" t="s">
        <v>553</v>
      </c>
      <c r="W799" s="145">
        <f t="shared" si="1"/>
        <v>0.000109409896</v>
      </c>
      <c r="AC799" s="38"/>
    </row>
    <row r="800" ht="15.75" customHeight="1">
      <c r="A800" s="1" t="s">
        <v>1917</v>
      </c>
      <c r="B800" s="1" t="s">
        <v>2127</v>
      </c>
      <c r="C800" s="63">
        <v>46258.0</v>
      </c>
      <c r="D800" s="63" t="s">
        <v>130</v>
      </c>
      <c r="E800" s="68">
        <v>0.95901211</v>
      </c>
      <c r="F800" s="1"/>
      <c r="G800" s="23">
        <v>7500000.0</v>
      </c>
      <c r="H800" s="23">
        <v>7192590.81</v>
      </c>
      <c r="I800" s="23">
        <v>7500000.0</v>
      </c>
      <c r="J800" s="23">
        <v>7192590.81</v>
      </c>
      <c r="K800" s="24">
        <v>510.0</v>
      </c>
      <c r="L800" s="1" t="s">
        <v>1776</v>
      </c>
      <c r="M800" s="1" t="s">
        <v>2128</v>
      </c>
      <c r="N800" s="63" t="s">
        <v>815</v>
      </c>
      <c r="O800" s="63" t="s">
        <v>815</v>
      </c>
      <c r="P800" s="68">
        <v>30.0</v>
      </c>
      <c r="Q800" s="1" t="s">
        <v>2130</v>
      </c>
      <c r="R800" s="1" t="s">
        <v>13</v>
      </c>
      <c r="S800" s="1"/>
      <c r="T800" s="1"/>
      <c r="U800" s="1" t="s">
        <v>822</v>
      </c>
      <c r="V800" s="1" t="s">
        <v>822</v>
      </c>
      <c r="W800" s="145">
        <f t="shared" si="1"/>
        <v>0.000147131703</v>
      </c>
      <c r="AC800" s="38"/>
    </row>
    <row r="801" ht="15.75" customHeight="1">
      <c r="A801" s="1" t="s">
        <v>1903</v>
      </c>
      <c r="B801" s="1" t="s">
        <v>2127</v>
      </c>
      <c r="C801" s="63">
        <v>46258.0</v>
      </c>
      <c r="D801" s="63" t="s">
        <v>130</v>
      </c>
      <c r="E801" s="68">
        <v>0.96032414</v>
      </c>
      <c r="F801" s="1"/>
      <c r="G801" s="23">
        <v>1.0E7</v>
      </c>
      <c r="H801" s="23">
        <v>9603241.45</v>
      </c>
      <c r="I801" s="23">
        <v>1.0E7</v>
      </c>
      <c r="J801" s="23">
        <v>9603241.45</v>
      </c>
      <c r="K801" s="24">
        <v>6.6412292E7</v>
      </c>
      <c r="L801" s="1" t="s">
        <v>1776</v>
      </c>
      <c r="M801" s="1" t="s">
        <v>2128</v>
      </c>
      <c r="N801" s="63" t="s">
        <v>446</v>
      </c>
      <c r="O801" s="63" t="s">
        <v>446</v>
      </c>
      <c r="P801" s="68">
        <v>29.0</v>
      </c>
      <c r="Q801" s="1" t="s">
        <v>2130</v>
      </c>
      <c r="R801" s="1" t="s">
        <v>13</v>
      </c>
      <c r="S801" s="1"/>
      <c r="T801" s="1"/>
      <c r="U801" s="1" t="s">
        <v>503</v>
      </c>
      <c r="V801" s="1" t="s">
        <v>503</v>
      </c>
      <c r="W801" s="145">
        <f t="shared" si="1"/>
        <v>0.0001964439944</v>
      </c>
      <c r="AC801" s="38"/>
    </row>
    <row r="802" ht="15.75" customHeight="1">
      <c r="A802" s="1" t="s">
        <v>1911</v>
      </c>
      <c r="B802" s="1" t="s">
        <v>2127</v>
      </c>
      <c r="C802" s="63">
        <v>46258.0</v>
      </c>
      <c r="D802" s="63" t="s">
        <v>130</v>
      </c>
      <c r="E802" s="68">
        <v>0.94864338</v>
      </c>
      <c r="F802" s="1"/>
      <c r="G802" s="23">
        <v>5.0E7</v>
      </c>
      <c r="H802" s="23">
        <v>4.743216891E7</v>
      </c>
      <c r="I802" s="23">
        <v>5.0E7</v>
      </c>
      <c r="J802" s="23">
        <v>4.743216891E7</v>
      </c>
      <c r="K802" s="24">
        <v>6.7105677E7</v>
      </c>
      <c r="L802" s="1" t="s">
        <v>1776</v>
      </c>
      <c r="M802" s="1" t="s">
        <v>2128</v>
      </c>
      <c r="N802" s="63" t="s">
        <v>886</v>
      </c>
      <c r="O802" s="63" t="s">
        <v>886</v>
      </c>
      <c r="P802" s="68">
        <v>38.0</v>
      </c>
      <c r="Q802" s="1" t="s">
        <v>2130</v>
      </c>
      <c r="R802" s="1" t="s">
        <v>13</v>
      </c>
      <c r="S802" s="1"/>
      <c r="T802" s="1"/>
      <c r="U802" s="1" t="s">
        <v>887</v>
      </c>
      <c r="V802" s="1" t="s">
        <v>887</v>
      </c>
      <c r="W802" s="145">
        <f t="shared" si="1"/>
        <v>0.0009702728783</v>
      </c>
      <c r="AC802" s="38"/>
    </row>
    <row r="803" ht="15.75" customHeight="1">
      <c r="A803" s="1" t="s">
        <v>1979</v>
      </c>
      <c r="B803" s="1" t="s">
        <v>2127</v>
      </c>
      <c r="C803" s="63">
        <v>46258.0</v>
      </c>
      <c r="D803" s="63" t="s">
        <v>130</v>
      </c>
      <c r="E803" s="68">
        <v>0.95509742</v>
      </c>
      <c r="F803" s="1"/>
      <c r="G803" s="23">
        <v>2500000.0</v>
      </c>
      <c r="H803" s="23">
        <v>2387743.55</v>
      </c>
      <c r="I803" s="23">
        <v>2500000.0</v>
      </c>
      <c r="J803" s="23">
        <v>2387743.55</v>
      </c>
      <c r="K803" s="24">
        <v>1197.0</v>
      </c>
      <c r="L803" s="1" t="s">
        <v>1776</v>
      </c>
      <c r="M803" s="1" t="s">
        <v>2128</v>
      </c>
      <c r="N803" s="63" t="s">
        <v>827</v>
      </c>
      <c r="O803" s="63" t="s">
        <v>827</v>
      </c>
      <c r="P803" s="68">
        <v>33.0</v>
      </c>
      <c r="Q803" s="1" t="s">
        <v>2130</v>
      </c>
      <c r="R803" s="1" t="s">
        <v>13</v>
      </c>
      <c r="S803" s="1"/>
      <c r="T803" s="1"/>
      <c r="U803" s="1" t="s">
        <v>843</v>
      </c>
      <c r="V803" s="1" t="s">
        <v>843</v>
      </c>
      <c r="W803" s="145">
        <f t="shared" si="1"/>
        <v>0.00004884370376</v>
      </c>
      <c r="AC803" s="38"/>
    </row>
    <row r="804" ht="15.75" customHeight="1">
      <c r="A804" s="1" t="s">
        <v>1991</v>
      </c>
      <c r="B804" s="1" t="s">
        <v>2127</v>
      </c>
      <c r="C804" s="63">
        <v>46258.0</v>
      </c>
      <c r="D804" s="63" t="s">
        <v>130</v>
      </c>
      <c r="E804" s="68">
        <v>0.95509744</v>
      </c>
      <c r="F804" s="1"/>
      <c r="G804" s="23">
        <v>2200000.0</v>
      </c>
      <c r="H804" s="23">
        <v>2101214.37</v>
      </c>
      <c r="I804" s="23">
        <v>2200000.0</v>
      </c>
      <c r="J804" s="23">
        <v>2101214.37</v>
      </c>
      <c r="K804" s="24">
        <v>6193.0</v>
      </c>
      <c r="L804" s="1" t="s">
        <v>1776</v>
      </c>
      <c r="M804" s="1" t="s">
        <v>2128</v>
      </c>
      <c r="N804" s="63" t="s">
        <v>1084</v>
      </c>
      <c r="O804" s="63" t="s">
        <v>1084</v>
      </c>
      <c r="P804" s="68">
        <v>33.0</v>
      </c>
      <c r="Q804" s="1" t="s">
        <v>2130</v>
      </c>
      <c r="R804" s="1" t="s">
        <v>13</v>
      </c>
      <c r="S804" s="1"/>
      <c r="T804" s="1"/>
      <c r="U804" s="1" t="s">
        <v>1101</v>
      </c>
      <c r="V804" s="1" t="s">
        <v>1101</v>
      </c>
      <c r="W804" s="145">
        <f t="shared" si="1"/>
        <v>0.00004298246025</v>
      </c>
      <c r="AC804" s="38"/>
    </row>
    <row r="805" ht="15.75" customHeight="1">
      <c r="A805" s="1" t="s">
        <v>1920</v>
      </c>
      <c r="B805" s="1" t="s">
        <v>2127</v>
      </c>
      <c r="C805" s="63">
        <v>46258.0</v>
      </c>
      <c r="D805" s="63" t="s">
        <v>130</v>
      </c>
      <c r="E805" s="68">
        <v>0.95250534</v>
      </c>
      <c r="F805" s="1"/>
      <c r="G805" s="23">
        <v>1.0E8</v>
      </c>
      <c r="H805" s="23">
        <v>9.525053394E7</v>
      </c>
      <c r="I805" s="23">
        <v>1.0E8</v>
      </c>
      <c r="J805" s="23">
        <v>9.525053394E7</v>
      </c>
      <c r="K805" s="24">
        <v>7413.0</v>
      </c>
      <c r="L805" s="1" t="s">
        <v>1776</v>
      </c>
      <c r="M805" s="1" t="s">
        <v>2128</v>
      </c>
      <c r="N805" s="63" t="s">
        <v>849</v>
      </c>
      <c r="O805" s="63" t="s">
        <v>849</v>
      </c>
      <c r="P805" s="68">
        <v>35.0</v>
      </c>
      <c r="Q805" s="1" t="s">
        <v>2130</v>
      </c>
      <c r="R805" s="1" t="s">
        <v>13</v>
      </c>
      <c r="S805" s="1"/>
      <c r="T805" s="1"/>
      <c r="U805" s="1" t="s">
        <v>861</v>
      </c>
      <c r="V805" s="1" t="s">
        <v>861</v>
      </c>
      <c r="W805" s="145">
        <f t="shared" si="1"/>
        <v>0.001948445788</v>
      </c>
      <c r="AC805" s="38"/>
    </row>
    <row r="806" ht="15.75" customHeight="1">
      <c r="A806" s="1" t="s">
        <v>1903</v>
      </c>
      <c r="B806" s="1" t="s">
        <v>2127</v>
      </c>
      <c r="C806" s="63">
        <v>46258.0</v>
      </c>
      <c r="D806" s="63" t="s">
        <v>130</v>
      </c>
      <c r="E806" s="68">
        <v>0.96032419</v>
      </c>
      <c r="F806" s="1"/>
      <c r="G806" s="23">
        <v>1.0E7</v>
      </c>
      <c r="H806" s="23">
        <v>9603241.88</v>
      </c>
      <c r="I806" s="23">
        <v>1.0E7</v>
      </c>
      <c r="J806" s="23">
        <v>9603241.88</v>
      </c>
      <c r="K806" s="24">
        <v>2152.0</v>
      </c>
      <c r="L806" s="1" t="s">
        <v>1776</v>
      </c>
      <c r="M806" s="1" t="s">
        <v>2128</v>
      </c>
      <c r="N806" s="63" t="s">
        <v>591</v>
      </c>
      <c r="O806" s="63" t="s">
        <v>591</v>
      </c>
      <c r="P806" s="68">
        <v>29.0</v>
      </c>
      <c r="Q806" s="1" t="s">
        <v>2130</v>
      </c>
      <c r="R806" s="1" t="s">
        <v>13</v>
      </c>
      <c r="S806" s="1"/>
      <c r="T806" s="1"/>
      <c r="U806" s="1" t="s">
        <v>600</v>
      </c>
      <c r="V806" s="1" t="s">
        <v>600</v>
      </c>
      <c r="W806" s="145">
        <f t="shared" si="1"/>
        <v>0.0001964440032</v>
      </c>
      <c r="AC806" s="38"/>
    </row>
    <row r="807" ht="15.75" customHeight="1">
      <c r="A807" s="1" t="s">
        <v>1996</v>
      </c>
      <c r="B807" s="1" t="s">
        <v>2127</v>
      </c>
      <c r="C807" s="63">
        <v>46258.0</v>
      </c>
      <c r="D807" s="63" t="s">
        <v>130</v>
      </c>
      <c r="E807" s="68">
        <v>0.95121466</v>
      </c>
      <c r="F807" s="1"/>
      <c r="G807" s="23">
        <v>1.5E7</v>
      </c>
      <c r="H807" s="23">
        <v>1.426821995E7</v>
      </c>
      <c r="I807" s="23">
        <v>1.5E7</v>
      </c>
      <c r="J807" s="23">
        <v>1.426821995E7</v>
      </c>
      <c r="K807" s="24">
        <v>2.9515959E7</v>
      </c>
      <c r="L807" s="1" t="s">
        <v>1776</v>
      </c>
      <c r="M807" s="1" t="s">
        <v>2128</v>
      </c>
      <c r="N807" s="63" t="s">
        <v>1375</v>
      </c>
      <c r="O807" s="63" t="s">
        <v>1375</v>
      </c>
      <c r="P807" s="68">
        <v>36.0</v>
      </c>
      <c r="Q807" s="1" t="s">
        <v>2130</v>
      </c>
      <c r="R807" s="1" t="s">
        <v>13</v>
      </c>
      <c r="S807" s="1"/>
      <c r="T807" s="1"/>
      <c r="U807" s="1" t="s">
        <v>1378</v>
      </c>
      <c r="V807" s="1" t="s">
        <v>1378</v>
      </c>
      <c r="W807" s="145">
        <f t="shared" si="1"/>
        <v>0.000291870837</v>
      </c>
      <c r="AC807" s="38"/>
    </row>
    <row r="808" ht="15.75" customHeight="1">
      <c r="A808" s="1" t="s">
        <v>2008</v>
      </c>
      <c r="B808" s="1" t="s">
        <v>2127</v>
      </c>
      <c r="C808" s="63">
        <v>46258.0</v>
      </c>
      <c r="D808" s="63" t="s">
        <v>130</v>
      </c>
      <c r="E808" s="68">
        <v>0.95509744</v>
      </c>
      <c r="F808" s="1"/>
      <c r="G808" s="23">
        <v>1.0E7</v>
      </c>
      <c r="H808" s="23">
        <v>9550974.44</v>
      </c>
      <c r="I808" s="23">
        <v>1.0E7</v>
      </c>
      <c r="J808" s="23">
        <v>9550974.44</v>
      </c>
      <c r="K808" s="24">
        <v>3221.0</v>
      </c>
      <c r="L808" s="1" t="s">
        <v>1776</v>
      </c>
      <c r="M808" s="1" t="s">
        <v>2128</v>
      </c>
      <c r="N808" s="63" t="s">
        <v>1084</v>
      </c>
      <c r="O808" s="63" t="s">
        <v>1084</v>
      </c>
      <c r="P808" s="68">
        <v>33.0</v>
      </c>
      <c r="Q808" s="1" t="s">
        <v>2130</v>
      </c>
      <c r="R808" s="1" t="s">
        <v>13</v>
      </c>
      <c r="S808" s="1"/>
      <c r="T808" s="1"/>
      <c r="U808" s="1" t="s">
        <v>1085</v>
      </c>
      <c r="V808" s="1" t="s">
        <v>1085</v>
      </c>
      <c r="W808" s="145">
        <f t="shared" si="1"/>
        <v>0.0001953748199</v>
      </c>
      <c r="AC808" s="38"/>
    </row>
    <row r="809" ht="15.75" customHeight="1">
      <c r="A809" s="1" t="s">
        <v>1926</v>
      </c>
      <c r="B809" s="1" t="s">
        <v>2127</v>
      </c>
      <c r="C809" s="63">
        <v>46258.0</v>
      </c>
      <c r="D809" s="63" t="s">
        <v>130</v>
      </c>
      <c r="E809" s="68">
        <v>0.96032417</v>
      </c>
      <c r="F809" s="1"/>
      <c r="G809" s="23">
        <v>1.192307692E7</v>
      </c>
      <c r="H809" s="23">
        <v>1.145001893E7</v>
      </c>
      <c r="I809" s="23">
        <v>1.192307692E7</v>
      </c>
      <c r="J809" s="23">
        <v>1.145001893E7</v>
      </c>
      <c r="K809" s="24">
        <v>9.0021985E7</v>
      </c>
      <c r="L809" s="1" t="s">
        <v>1776</v>
      </c>
      <c r="M809" s="1" t="s">
        <v>2128</v>
      </c>
      <c r="N809" s="63" t="s">
        <v>628</v>
      </c>
      <c r="O809" s="63" t="s">
        <v>628</v>
      </c>
      <c r="P809" s="68">
        <v>29.0</v>
      </c>
      <c r="Q809" s="1" t="s">
        <v>2130</v>
      </c>
      <c r="R809" s="1" t="s">
        <v>13</v>
      </c>
      <c r="S809" s="1"/>
      <c r="T809" s="1"/>
      <c r="U809" s="1" t="s">
        <v>650</v>
      </c>
      <c r="V809" s="1" t="s">
        <v>650</v>
      </c>
      <c r="W809" s="145">
        <f t="shared" si="1"/>
        <v>0.0002342216913</v>
      </c>
      <c r="AC809" s="38"/>
    </row>
    <row r="810" ht="15.75" customHeight="1">
      <c r="A810" s="1" t="s">
        <v>1907</v>
      </c>
      <c r="B810" s="1" t="s">
        <v>2127</v>
      </c>
      <c r="C810" s="63">
        <v>46258.0</v>
      </c>
      <c r="D810" s="63" t="s">
        <v>130</v>
      </c>
      <c r="E810" s="68">
        <v>0.96032421</v>
      </c>
      <c r="F810" s="1"/>
      <c r="G810" s="23">
        <v>2.0E8</v>
      </c>
      <c r="H810" s="23">
        <v>1.920648416E8</v>
      </c>
      <c r="I810" s="23">
        <v>2.0E8</v>
      </c>
      <c r="J810" s="23">
        <v>1.920648416E8</v>
      </c>
      <c r="K810" s="24">
        <v>9.0003855E7</v>
      </c>
      <c r="L810" s="1" t="s">
        <v>1776</v>
      </c>
      <c r="M810" s="1" t="s">
        <v>2128</v>
      </c>
      <c r="N810" s="63" t="s">
        <v>1412</v>
      </c>
      <c r="O810" s="63" t="s">
        <v>1412</v>
      </c>
      <c r="P810" s="68">
        <v>29.0</v>
      </c>
      <c r="Q810" s="1" t="s">
        <v>2130</v>
      </c>
      <c r="R810" s="1" t="s">
        <v>13</v>
      </c>
      <c r="S810" s="1"/>
      <c r="T810" s="1"/>
      <c r="U810" s="1" t="s">
        <v>1423</v>
      </c>
      <c r="V810" s="1" t="s">
        <v>1423</v>
      </c>
      <c r="W810" s="145">
        <f t="shared" si="1"/>
        <v>0.003928880145</v>
      </c>
      <c r="AC810" s="38"/>
    </row>
    <row r="811" ht="15.75" customHeight="1">
      <c r="A811" s="1" t="s">
        <v>1953</v>
      </c>
      <c r="B811" s="1" t="s">
        <v>2127</v>
      </c>
      <c r="C811" s="63">
        <v>46259.0</v>
      </c>
      <c r="D811" s="63" t="s">
        <v>130</v>
      </c>
      <c r="E811" s="68">
        <v>0.97177858</v>
      </c>
      <c r="F811" s="1"/>
      <c r="G811" s="23">
        <v>2500000.0</v>
      </c>
      <c r="H811" s="23">
        <v>2429446.46</v>
      </c>
      <c r="I811" s="23">
        <v>2500000.0</v>
      </c>
      <c r="J811" s="23">
        <v>2429446.46</v>
      </c>
      <c r="K811" s="24">
        <v>6136.0</v>
      </c>
      <c r="L811" s="1" t="s">
        <v>1776</v>
      </c>
      <c r="M811" s="1" t="s">
        <v>2128</v>
      </c>
      <c r="N811" s="63" t="s">
        <v>946</v>
      </c>
      <c r="O811" s="63" t="s">
        <v>946</v>
      </c>
      <c r="P811" s="68">
        <v>20.0</v>
      </c>
      <c r="Q811" s="1" t="s">
        <v>2130</v>
      </c>
      <c r="R811" s="1" t="s">
        <v>13</v>
      </c>
      <c r="S811" s="1"/>
      <c r="T811" s="1"/>
      <c r="U811" s="1" t="s">
        <v>967</v>
      </c>
      <c r="V811" s="1" t="s">
        <v>967</v>
      </c>
      <c r="W811" s="145">
        <f t="shared" si="1"/>
        <v>0.00004969677886</v>
      </c>
      <c r="AC811" s="38"/>
    </row>
    <row r="812" ht="15.75" customHeight="1">
      <c r="A812" s="1" t="s">
        <v>2037</v>
      </c>
      <c r="B812" s="1" t="s">
        <v>2127</v>
      </c>
      <c r="C812" s="63">
        <v>46259.0</v>
      </c>
      <c r="D812" s="63" t="s">
        <v>130</v>
      </c>
      <c r="E812" s="68">
        <v>0.95427331</v>
      </c>
      <c r="F812" s="1"/>
      <c r="G812" s="23">
        <v>2000000.0</v>
      </c>
      <c r="H812" s="23">
        <v>1908546.63</v>
      </c>
      <c r="I812" s="23">
        <v>2000000.0</v>
      </c>
      <c r="J812" s="23">
        <v>1908546.63</v>
      </c>
      <c r="K812" s="24">
        <v>437.0</v>
      </c>
      <c r="L812" s="1" t="s">
        <v>1776</v>
      </c>
      <c r="M812" s="1" t="s">
        <v>2128</v>
      </c>
      <c r="N812" s="63" t="s">
        <v>1412</v>
      </c>
      <c r="O812" s="63" t="s">
        <v>1412</v>
      </c>
      <c r="P812" s="68">
        <v>33.0</v>
      </c>
      <c r="Q812" s="1" t="s">
        <v>2130</v>
      </c>
      <c r="R812" s="1" t="s">
        <v>13</v>
      </c>
      <c r="S812" s="1"/>
      <c r="T812" s="1"/>
      <c r="U812" s="1" t="s">
        <v>1419</v>
      </c>
      <c r="V812" s="1" t="s">
        <v>1419</v>
      </c>
      <c r="W812" s="145">
        <f t="shared" si="1"/>
        <v>0.00003904124721</v>
      </c>
      <c r="AC812" s="38"/>
    </row>
    <row r="813" ht="15.75" customHeight="1">
      <c r="A813" s="1" t="s">
        <v>2019</v>
      </c>
      <c r="B813" s="1" t="s">
        <v>2127</v>
      </c>
      <c r="C813" s="63">
        <v>46259.0</v>
      </c>
      <c r="D813" s="63" t="s">
        <v>130</v>
      </c>
      <c r="E813" s="68">
        <v>0.95427347</v>
      </c>
      <c r="F813" s="1"/>
      <c r="G813" s="23">
        <v>3000000.0</v>
      </c>
      <c r="H813" s="23">
        <v>2862820.42</v>
      </c>
      <c r="I813" s="23">
        <v>3000000.0</v>
      </c>
      <c r="J813" s="23">
        <v>2862820.42</v>
      </c>
      <c r="K813" s="24">
        <v>9.0015796E7</v>
      </c>
      <c r="L813" s="1" t="s">
        <v>1776</v>
      </c>
      <c r="M813" s="1" t="s">
        <v>2128</v>
      </c>
      <c r="N813" s="63" t="s">
        <v>946</v>
      </c>
      <c r="O813" s="63" t="s">
        <v>946</v>
      </c>
      <c r="P813" s="68">
        <v>33.0</v>
      </c>
      <c r="Q813" s="1" t="s">
        <v>2130</v>
      </c>
      <c r="R813" s="1" t="s">
        <v>13</v>
      </c>
      <c r="S813" s="1"/>
      <c r="T813" s="1"/>
      <c r="U813" s="1" t="s">
        <v>1009</v>
      </c>
      <c r="V813" s="1" t="s">
        <v>1009</v>
      </c>
      <c r="W813" s="145">
        <f t="shared" si="1"/>
        <v>0.00005856188053</v>
      </c>
      <c r="AC813" s="38"/>
    </row>
    <row r="814" ht="15.75" customHeight="1">
      <c r="A814" s="1" t="s">
        <v>1936</v>
      </c>
      <c r="B814" s="1" t="s">
        <v>2127</v>
      </c>
      <c r="C814" s="63">
        <v>46259.0</v>
      </c>
      <c r="D814" s="63" t="s">
        <v>130</v>
      </c>
      <c r="E814" s="68">
        <v>0.95427339</v>
      </c>
      <c r="F814" s="1"/>
      <c r="G814" s="23">
        <v>5.0E7</v>
      </c>
      <c r="H814" s="23">
        <v>4.771366962E7</v>
      </c>
      <c r="I814" s="23">
        <v>5.0E7</v>
      </c>
      <c r="J814" s="23">
        <v>4.771366962E7</v>
      </c>
      <c r="K814" s="24">
        <v>2.9007567E7</v>
      </c>
      <c r="L814" s="1" t="s">
        <v>1776</v>
      </c>
      <c r="M814" s="1" t="s">
        <v>2128</v>
      </c>
      <c r="N814" s="63" t="s">
        <v>207</v>
      </c>
      <c r="O814" s="63" t="s">
        <v>207</v>
      </c>
      <c r="P814" s="68">
        <v>33.0</v>
      </c>
      <c r="Q814" s="1" t="s">
        <v>2130</v>
      </c>
      <c r="R814" s="1" t="s">
        <v>13</v>
      </c>
      <c r="S814" s="1"/>
      <c r="T814" s="1"/>
      <c r="U814" s="1" t="s">
        <v>222</v>
      </c>
      <c r="V814" s="1" t="s">
        <v>222</v>
      </c>
      <c r="W814" s="145">
        <f t="shared" si="1"/>
        <v>0.0009760312594</v>
      </c>
      <c r="AC814" s="38"/>
    </row>
    <row r="815" ht="15.75" customHeight="1">
      <c r="A815" s="1" t="s">
        <v>1903</v>
      </c>
      <c r="B815" s="1" t="s">
        <v>2127</v>
      </c>
      <c r="C815" s="63">
        <v>46259.0</v>
      </c>
      <c r="D815" s="63" t="s">
        <v>130</v>
      </c>
      <c r="E815" s="68">
        <v>0.95959201</v>
      </c>
      <c r="F815" s="1"/>
      <c r="G815" s="23">
        <v>1.25E7</v>
      </c>
      <c r="H815" s="23">
        <v>1.199490014E7</v>
      </c>
      <c r="I815" s="23">
        <v>1.25E7</v>
      </c>
      <c r="J815" s="23">
        <v>1.199490014E7</v>
      </c>
      <c r="K815" s="24">
        <v>4956.0</v>
      </c>
      <c r="L815" s="1" t="s">
        <v>1776</v>
      </c>
      <c r="M815" s="1" t="s">
        <v>2128</v>
      </c>
      <c r="N815" s="63" t="s">
        <v>543</v>
      </c>
      <c r="O815" s="63" t="s">
        <v>543</v>
      </c>
      <c r="P815" s="68">
        <v>29.0</v>
      </c>
      <c r="Q815" s="1" t="s">
        <v>2130</v>
      </c>
      <c r="R815" s="1" t="s">
        <v>13</v>
      </c>
      <c r="S815" s="1"/>
      <c r="T815" s="1"/>
      <c r="U815" s="1" t="s">
        <v>546</v>
      </c>
      <c r="V815" s="1" t="s">
        <v>546</v>
      </c>
      <c r="W815" s="145">
        <f t="shared" si="1"/>
        <v>0.0002453677863</v>
      </c>
    </row>
    <row r="816" ht="15.75" customHeight="1">
      <c r="A816" s="1" t="s">
        <v>1903</v>
      </c>
      <c r="B816" s="1" t="s">
        <v>2127</v>
      </c>
      <c r="C816" s="63">
        <v>46259.0</v>
      </c>
      <c r="D816" s="63" t="s">
        <v>130</v>
      </c>
      <c r="E816" s="68">
        <v>0.95959206</v>
      </c>
      <c r="F816" s="1"/>
      <c r="G816" s="23">
        <v>1.0E7</v>
      </c>
      <c r="H816" s="23">
        <v>9595920.62</v>
      </c>
      <c r="I816" s="23">
        <v>1.0E7</v>
      </c>
      <c r="J816" s="23">
        <v>9595920.62</v>
      </c>
      <c r="K816" s="24">
        <v>6.6412351E7</v>
      </c>
      <c r="L816" s="1" t="s">
        <v>1776</v>
      </c>
      <c r="M816" s="1" t="s">
        <v>2128</v>
      </c>
      <c r="N816" s="63" t="s">
        <v>446</v>
      </c>
      <c r="O816" s="63" t="s">
        <v>446</v>
      </c>
      <c r="P816" s="68">
        <v>29.0</v>
      </c>
      <c r="Q816" s="1" t="s">
        <v>2130</v>
      </c>
      <c r="R816" s="1" t="s">
        <v>13</v>
      </c>
      <c r="S816" s="1"/>
      <c r="T816" s="1"/>
      <c r="U816" s="1" t="s">
        <v>510</v>
      </c>
      <c r="V816" s="1" t="s">
        <v>510</v>
      </c>
      <c r="W816" s="145">
        <f t="shared" si="1"/>
        <v>0.0001962942394</v>
      </c>
      <c r="AC816" s="38"/>
    </row>
    <row r="817" ht="15.75" customHeight="1">
      <c r="A817" s="1" t="s">
        <v>1998</v>
      </c>
      <c r="B817" s="1" t="s">
        <v>2127</v>
      </c>
      <c r="C817" s="63">
        <v>46259.0</v>
      </c>
      <c r="D817" s="63" t="s">
        <v>130</v>
      </c>
      <c r="E817" s="68">
        <v>0.9477075</v>
      </c>
      <c r="F817" s="1"/>
      <c r="G817" s="23">
        <v>1.5E7</v>
      </c>
      <c r="H817" s="23">
        <v>1.421561245E7</v>
      </c>
      <c r="I817" s="23">
        <v>1.5E7</v>
      </c>
      <c r="J817" s="23">
        <v>1.421561245E7</v>
      </c>
      <c r="K817" s="24">
        <v>1.6806006E7</v>
      </c>
      <c r="L817" s="1" t="s">
        <v>1776</v>
      </c>
      <c r="M817" s="1" t="s">
        <v>2128</v>
      </c>
      <c r="N817" s="63" t="s">
        <v>1458</v>
      </c>
      <c r="O817" s="63" t="s">
        <v>1458</v>
      </c>
      <c r="P817" s="68">
        <v>38.0</v>
      </c>
      <c r="Q817" s="1" t="s">
        <v>2130</v>
      </c>
      <c r="R817" s="1" t="s">
        <v>13</v>
      </c>
      <c r="S817" s="1"/>
      <c r="T817" s="1"/>
      <c r="U817" s="1" t="s">
        <v>1464</v>
      </c>
      <c r="V817" s="1" t="s">
        <v>1464</v>
      </c>
      <c r="W817" s="145">
        <f t="shared" si="1"/>
        <v>0.0002907946975</v>
      </c>
      <c r="AC817" s="38"/>
    </row>
    <row r="818" ht="15.75" customHeight="1">
      <c r="A818" s="1" t="s">
        <v>1929</v>
      </c>
      <c r="B818" s="1" t="s">
        <v>2127</v>
      </c>
      <c r="C818" s="63">
        <v>46259.0</v>
      </c>
      <c r="D818" s="63" t="s">
        <v>130</v>
      </c>
      <c r="E818" s="68">
        <v>0.9516361</v>
      </c>
      <c r="F818" s="1"/>
      <c r="G818" s="23">
        <v>5.0E7</v>
      </c>
      <c r="H818" s="23">
        <v>4.758180481E7</v>
      </c>
      <c r="I818" s="23">
        <v>5.0E7</v>
      </c>
      <c r="J818" s="23">
        <v>4.758180481E7</v>
      </c>
      <c r="K818" s="24">
        <v>2992.0</v>
      </c>
      <c r="L818" s="1" t="s">
        <v>1776</v>
      </c>
      <c r="M818" s="1" t="s">
        <v>2128</v>
      </c>
      <c r="N818" s="63" t="s">
        <v>1589</v>
      </c>
      <c r="O818" s="63" t="s">
        <v>1589</v>
      </c>
      <c r="P818" s="68">
        <v>35.0</v>
      </c>
      <c r="Q818" s="1" t="s">
        <v>2130</v>
      </c>
      <c r="R818" s="1" t="s">
        <v>13</v>
      </c>
      <c r="S818" s="1"/>
      <c r="T818" s="1"/>
      <c r="U818" s="1" t="s">
        <v>1604</v>
      </c>
      <c r="V818" s="1" t="s">
        <v>1604</v>
      </c>
      <c r="W818" s="145">
        <f t="shared" si="1"/>
        <v>0.0009733338316</v>
      </c>
      <c r="AC818" s="38"/>
    </row>
    <row r="819" ht="15.75" customHeight="1">
      <c r="A819" s="1" t="s">
        <v>1964</v>
      </c>
      <c r="B819" s="1" t="s">
        <v>2127</v>
      </c>
      <c r="C819" s="63">
        <v>46259.0</v>
      </c>
      <c r="D819" s="63" t="s">
        <v>130</v>
      </c>
      <c r="E819" s="68">
        <v>0.95163604</v>
      </c>
      <c r="F819" s="1"/>
      <c r="G819" s="23">
        <v>1.0E7</v>
      </c>
      <c r="H819" s="23">
        <v>9516360.36</v>
      </c>
      <c r="I819" s="23">
        <v>1.0E7</v>
      </c>
      <c r="J819" s="23">
        <v>9516360.36</v>
      </c>
      <c r="K819" s="24">
        <v>161.0</v>
      </c>
      <c r="L819" s="1" t="s">
        <v>1776</v>
      </c>
      <c r="M819" s="1" t="s">
        <v>2128</v>
      </c>
      <c r="N819" s="63" t="s">
        <v>532</v>
      </c>
      <c r="O819" s="63" t="s">
        <v>532</v>
      </c>
      <c r="P819" s="68">
        <v>35.0</v>
      </c>
      <c r="Q819" s="1" t="s">
        <v>2130</v>
      </c>
      <c r="R819" s="1" t="s">
        <v>13</v>
      </c>
      <c r="S819" s="1"/>
      <c r="T819" s="1"/>
      <c r="U819" s="1" t="s">
        <v>541</v>
      </c>
      <c r="V819" s="1" t="s">
        <v>541</v>
      </c>
      <c r="W819" s="145">
        <f t="shared" si="1"/>
        <v>0.000194666754</v>
      </c>
      <c r="AC819" s="38"/>
    </row>
    <row r="820" ht="15.75" customHeight="1">
      <c r="A820" s="1" t="s">
        <v>1949</v>
      </c>
      <c r="B820" s="1" t="s">
        <v>2127</v>
      </c>
      <c r="C820" s="63">
        <v>46259.0</v>
      </c>
      <c r="D820" s="63" t="s">
        <v>130</v>
      </c>
      <c r="E820" s="68">
        <v>0.95163623</v>
      </c>
      <c r="F820" s="1"/>
      <c r="G820" s="23">
        <v>1.5E7</v>
      </c>
      <c r="H820" s="23">
        <v>1.427454344E7</v>
      </c>
      <c r="I820" s="23">
        <v>1.5E7</v>
      </c>
      <c r="J820" s="23">
        <v>1.427454344E7</v>
      </c>
      <c r="K820" s="24">
        <v>4267.0</v>
      </c>
      <c r="L820" s="1" t="s">
        <v>1776</v>
      </c>
      <c r="M820" s="1" t="s">
        <v>2128</v>
      </c>
      <c r="N820" s="63" t="s">
        <v>1230</v>
      </c>
      <c r="O820" s="63" t="s">
        <v>1230</v>
      </c>
      <c r="P820" s="68">
        <v>35.0</v>
      </c>
      <c r="Q820" s="1" t="s">
        <v>2130</v>
      </c>
      <c r="R820" s="1" t="s">
        <v>13</v>
      </c>
      <c r="S820" s="1"/>
      <c r="T820" s="1"/>
      <c r="U820" s="1" t="s">
        <v>1233</v>
      </c>
      <c r="V820" s="1" t="s">
        <v>1233</v>
      </c>
      <c r="W820" s="145">
        <f t="shared" si="1"/>
        <v>0.0002920001903</v>
      </c>
      <c r="AC820" s="38"/>
    </row>
    <row r="821" ht="15.75" customHeight="1">
      <c r="A821" s="1" t="s">
        <v>1991</v>
      </c>
      <c r="B821" s="1" t="s">
        <v>2127</v>
      </c>
      <c r="C821" s="63">
        <v>46259.0</v>
      </c>
      <c r="D821" s="63" t="s">
        <v>130</v>
      </c>
      <c r="E821" s="68">
        <v>0.95427337</v>
      </c>
      <c r="F821" s="1"/>
      <c r="G821" s="23">
        <v>2200000.0</v>
      </c>
      <c r="H821" s="23">
        <v>2099401.41</v>
      </c>
      <c r="I821" s="23">
        <v>2200000.0</v>
      </c>
      <c r="J821" s="23">
        <v>2099401.41</v>
      </c>
      <c r="K821" s="24">
        <v>6194.0</v>
      </c>
      <c r="L821" s="1" t="s">
        <v>1776</v>
      </c>
      <c r="M821" s="1" t="s">
        <v>2128</v>
      </c>
      <c r="N821" s="63" t="s">
        <v>1084</v>
      </c>
      <c r="O821" s="63" t="s">
        <v>1084</v>
      </c>
      <c r="P821" s="68">
        <v>33.0</v>
      </c>
      <c r="Q821" s="1" t="s">
        <v>2130</v>
      </c>
      <c r="R821" s="1" t="s">
        <v>13</v>
      </c>
      <c r="S821" s="1"/>
      <c r="T821" s="1"/>
      <c r="U821" s="1" t="s">
        <v>1115</v>
      </c>
      <c r="V821" s="1" t="s">
        <v>1115</v>
      </c>
      <c r="W821" s="145">
        <f t="shared" si="1"/>
        <v>0.00004294537432</v>
      </c>
      <c r="AC821" s="38"/>
    </row>
    <row r="822" ht="15.75" customHeight="1">
      <c r="A822" s="1" t="s">
        <v>1903</v>
      </c>
      <c r="B822" s="1" t="s">
        <v>2127</v>
      </c>
      <c r="C822" s="63">
        <v>46259.0</v>
      </c>
      <c r="D822" s="63" t="s">
        <v>130</v>
      </c>
      <c r="E822" s="68">
        <v>0.95959199</v>
      </c>
      <c r="F822" s="1"/>
      <c r="G822" s="23">
        <v>1.0E7</v>
      </c>
      <c r="H822" s="23">
        <v>9595919.91</v>
      </c>
      <c r="I822" s="23">
        <v>1.0E7</v>
      </c>
      <c r="J822" s="23">
        <v>9595919.91</v>
      </c>
      <c r="K822" s="24">
        <v>2153.0</v>
      </c>
      <c r="L822" s="1" t="s">
        <v>1776</v>
      </c>
      <c r="M822" s="1" t="s">
        <v>2128</v>
      </c>
      <c r="N822" s="63" t="s">
        <v>591</v>
      </c>
      <c r="O822" s="63" t="s">
        <v>591</v>
      </c>
      <c r="P822" s="68">
        <v>29.0</v>
      </c>
      <c r="Q822" s="1" t="s">
        <v>2130</v>
      </c>
      <c r="R822" s="1" t="s">
        <v>13</v>
      </c>
      <c r="S822" s="1"/>
      <c r="T822" s="1"/>
      <c r="U822" s="1" t="s">
        <v>598</v>
      </c>
      <c r="V822" s="1" t="s">
        <v>598</v>
      </c>
      <c r="W822" s="145">
        <f t="shared" si="1"/>
        <v>0.0001962942249</v>
      </c>
      <c r="AC822" s="38"/>
    </row>
    <row r="823" ht="15.75" customHeight="1">
      <c r="A823" s="1" t="s">
        <v>1903</v>
      </c>
      <c r="B823" s="1" t="s">
        <v>2127</v>
      </c>
      <c r="C823" s="63">
        <v>46259.0</v>
      </c>
      <c r="D823" s="63" t="s">
        <v>130</v>
      </c>
      <c r="E823" s="68">
        <v>0.95959202</v>
      </c>
      <c r="F823" s="1"/>
      <c r="G823" s="23">
        <v>5500000.0</v>
      </c>
      <c r="H823" s="23">
        <v>5277756.11</v>
      </c>
      <c r="I823" s="23">
        <v>5500000.0</v>
      </c>
      <c r="J823" s="23">
        <v>5277756.11</v>
      </c>
      <c r="K823" s="24">
        <v>6.6554072E7</v>
      </c>
      <c r="L823" s="1" t="s">
        <v>1776</v>
      </c>
      <c r="M823" s="1" t="s">
        <v>2128</v>
      </c>
      <c r="N823" s="63" t="s">
        <v>608</v>
      </c>
      <c r="O823" s="63" t="s">
        <v>608</v>
      </c>
      <c r="P823" s="68">
        <v>29.0</v>
      </c>
      <c r="Q823" s="1" t="s">
        <v>2130</v>
      </c>
      <c r="R823" s="1" t="s">
        <v>13</v>
      </c>
      <c r="S823" s="1"/>
      <c r="T823" s="1"/>
      <c r="U823" s="1" t="s">
        <v>610</v>
      </c>
      <c r="V823" s="1" t="s">
        <v>610</v>
      </c>
      <c r="W823" s="145">
        <f t="shared" si="1"/>
        <v>0.000107961827</v>
      </c>
      <c r="AC823" s="38"/>
    </row>
    <row r="824" ht="15.75" customHeight="1">
      <c r="A824" s="1" t="s">
        <v>1996</v>
      </c>
      <c r="B824" s="1" t="s">
        <v>2127</v>
      </c>
      <c r="C824" s="63">
        <v>46259.0</v>
      </c>
      <c r="D824" s="63" t="s">
        <v>130</v>
      </c>
      <c r="E824" s="68">
        <v>0.95032301</v>
      </c>
      <c r="F824" s="1"/>
      <c r="G824" s="23">
        <v>1.5E7</v>
      </c>
      <c r="H824" s="23">
        <v>1.425484522E7</v>
      </c>
      <c r="I824" s="23">
        <v>1.5E7</v>
      </c>
      <c r="J824" s="23">
        <v>1.425484522E7</v>
      </c>
      <c r="K824" s="24">
        <v>2.9515957E7</v>
      </c>
      <c r="L824" s="1" t="s">
        <v>1776</v>
      </c>
      <c r="M824" s="1" t="s">
        <v>2128</v>
      </c>
      <c r="N824" s="63" t="s">
        <v>1375</v>
      </c>
      <c r="O824" s="63" t="s">
        <v>1375</v>
      </c>
      <c r="P824" s="68">
        <v>36.0</v>
      </c>
      <c r="Q824" s="1" t="s">
        <v>2130</v>
      </c>
      <c r="R824" s="1" t="s">
        <v>13</v>
      </c>
      <c r="S824" s="1"/>
      <c r="T824" s="1"/>
      <c r="U824" s="1" t="s">
        <v>1379</v>
      </c>
      <c r="V824" s="1" t="s">
        <v>1379</v>
      </c>
      <c r="W824" s="145">
        <f t="shared" si="1"/>
        <v>0.0002915972434</v>
      </c>
      <c r="AC824" s="38"/>
    </row>
    <row r="825" ht="15.75" customHeight="1">
      <c r="A825" s="1" t="s">
        <v>1921</v>
      </c>
      <c r="B825" s="1" t="s">
        <v>2127</v>
      </c>
      <c r="C825" s="63">
        <v>46259.0</v>
      </c>
      <c r="D825" s="63" t="s">
        <v>130</v>
      </c>
      <c r="E825" s="68">
        <v>0.96093097</v>
      </c>
      <c r="F825" s="1"/>
      <c r="G825" s="23">
        <v>1.0E7</v>
      </c>
      <c r="H825" s="23">
        <v>9609309.71</v>
      </c>
      <c r="I825" s="23">
        <v>1.0E7</v>
      </c>
      <c r="J825" s="23">
        <v>9609309.71</v>
      </c>
      <c r="K825" s="24">
        <v>360532.0</v>
      </c>
      <c r="L825" s="1" t="s">
        <v>1776</v>
      </c>
      <c r="M825" s="1" t="s">
        <v>2128</v>
      </c>
      <c r="N825" s="63" t="s">
        <v>404</v>
      </c>
      <c r="O825" s="63" t="s">
        <v>404</v>
      </c>
      <c r="P825" s="68">
        <v>28.0</v>
      </c>
      <c r="Q825" s="1" t="s">
        <v>2130</v>
      </c>
      <c r="R825" s="1" t="s">
        <v>13</v>
      </c>
      <c r="S825" s="1"/>
      <c r="T825" s="1"/>
      <c r="U825" s="1" t="s">
        <v>426</v>
      </c>
      <c r="V825" s="1" t="s">
        <v>426</v>
      </c>
      <c r="W825" s="145">
        <f t="shared" si="1"/>
        <v>0.0001965681268</v>
      </c>
      <c r="AC825" s="38"/>
    </row>
    <row r="826" ht="15.75" customHeight="1">
      <c r="A826" s="1" t="s">
        <v>1926</v>
      </c>
      <c r="B826" s="1" t="s">
        <v>2127</v>
      </c>
      <c r="C826" s="63">
        <v>46259.0</v>
      </c>
      <c r="D826" s="63" t="s">
        <v>130</v>
      </c>
      <c r="E826" s="68">
        <v>0.95959209</v>
      </c>
      <c r="F826" s="1"/>
      <c r="G826" s="23">
        <v>4.0E7</v>
      </c>
      <c r="H826" s="23">
        <v>3.838368365E7</v>
      </c>
      <c r="I826" s="23">
        <v>4.0E7</v>
      </c>
      <c r="J826" s="23">
        <v>3.838368365E7</v>
      </c>
      <c r="K826" s="24">
        <v>8.0939847E7</v>
      </c>
      <c r="L826" s="1" t="s">
        <v>1776</v>
      </c>
      <c r="M826" s="1" t="s">
        <v>2128</v>
      </c>
      <c r="N826" s="63" t="s">
        <v>628</v>
      </c>
      <c r="O826" s="63" t="s">
        <v>628</v>
      </c>
      <c r="P826" s="68">
        <v>29.0</v>
      </c>
      <c r="Q826" s="1" t="s">
        <v>2130</v>
      </c>
      <c r="R826" s="1" t="s">
        <v>13</v>
      </c>
      <c r="S826" s="1"/>
      <c r="T826" s="1"/>
      <c r="U826" s="1" t="s">
        <v>652</v>
      </c>
      <c r="V826" s="1" t="s">
        <v>652</v>
      </c>
      <c r="W826" s="145">
        <f t="shared" si="1"/>
        <v>0.0007851769816</v>
      </c>
      <c r="AC826" s="38"/>
    </row>
    <row r="827" ht="15.75" customHeight="1">
      <c r="A827" s="1" t="s">
        <v>2027</v>
      </c>
      <c r="B827" s="1" t="s">
        <v>2127</v>
      </c>
      <c r="C827" s="63">
        <v>46259.0</v>
      </c>
      <c r="D827" s="63" t="s">
        <v>130</v>
      </c>
      <c r="E827" s="68">
        <v>0.95559754</v>
      </c>
      <c r="F827" s="1"/>
      <c r="G827" s="23">
        <v>1000000.0</v>
      </c>
      <c r="H827" s="23">
        <v>955597.54</v>
      </c>
      <c r="I827" s="23">
        <v>1000000.0</v>
      </c>
      <c r="J827" s="23">
        <v>955597.54</v>
      </c>
      <c r="K827" s="24">
        <v>6.7277769E7</v>
      </c>
      <c r="L827" s="1" t="s">
        <v>1776</v>
      </c>
      <c r="M827" s="1" t="s">
        <v>2128</v>
      </c>
      <c r="N827" s="63" t="s">
        <v>1118</v>
      </c>
      <c r="O827" s="63" t="s">
        <v>1118</v>
      </c>
      <c r="P827" s="68">
        <v>32.0</v>
      </c>
      <c r="Q827" s="1" t="s">
        <v>2130</v>
      </c>
      <c r="R827" s="1" t="s">
        <v>13</v>
      </c>
      <c r="S827" s="1"/>
      <c r="T827" s="1"/>
      <c r="U827" s="1" t="s">
        <v>1166</v>
      </c>
      <c r="V827" s="1" t="s">
        <v>1166</v>
      </c>
      <c r="W827" s="145">
        <f t="shared" si="1"/>
        <v>0.00001954771196</v>
      </c>
      <c r="AC827" s="38"/>
    </row>
    <row r="828" ht="15.75" customHeight="1">
      <c r="A828" s="1" t="s">
        <v>2028</v>
      </c>
      <c r="B828" s="1" t="s">
        <v>2127</v>
      </c>
      <c r="C828" s="63">
        <v>46259.0</v>
      </c>
      <c r="D828" s="63" t="s">
        <v>130</v>
      </c>
      <c r="E828" s="68">
        <v>0.95825693</v>
      </c>
      <c r="F828" s="1"/>
      <c r="G828" s="23">
        <v>3533450.77</v>
      </c>
      <c r="H828" s="23">
        <v>3385953.69</v>
      </c>
      <c r="I828" s="23">
        <v>3533450.77</v>
      </c>
      <c r="J828" s="23">
        <v>3385953.69</v>
      </c>
      <c r="K828" s="24">
        <v>9755703.0</v>
      </c>
      <c r="L828" s="1" t="s">
        <v>1776</v>
      </c>
      <c r="M828" s="1" t="s">
        <v>2128</v>
      </c>
      <c r="N828" s="63" t="s">
        <v>1302</v>
      </c>
      <c r="O828" s="63" t="s">
        <v>1302</v>
      </c>
      <c r="P828" s="68">
        <v>30.0</v>
      </c>
      <c r="Q828" s="1" t="s">
        <v>2130</v>
      </c>
      <c r="R828" s="1" t="s">
        <v>13</v>
      </c>
      <c r="S828" s="1"/>
      <c r="T828" s="1"/>
      <c r="U828" s="1" t="s">
        <v>1313</v>
      </c>
      <c r="V828" s="1" t="s">
        <v>1313</v>
      </c>
      <c r="W828" s="145">
        <f t="shared" si="1"/>
        <v>0.00006926309945</v>
      </c>
      <c r="AC828" s="38"/>
    </row>
    <row r="829" ht="15.75" customHeight="1">
      <c r="A829" s="1" t="s">
        <v>1953</v>
      </c>
      <c r="B829" s="1" t="s">
        <v>2127</v>
      </c>
      <c r="C829" s="63">
        <v>46260.0</v>
      </c>
      <c r="D829" s="63" t="s">
        <v>130</v>
      </c>
      <c r="E829" s="68">
        <v>0.97126138</v>
      </c>
      <c r="F829" s="1"/>
      <c r="G829" s="23">
        <v>2500000.0</v>
      </c>
      <c r="H829" s="23">
        <v>2428153.45</v>
      </c>
      <c r="I829" s="23">
        <v>2500000.0</v>
      </c>
      <c r="J829" s="23">
        <v>2428153.45</v>
      </c>
      <c r="K829" s="24">
        <v>6137.0</v>
      </c>
      <c r="L829" s="1" t="s">
        <v>1776</v>
      </c>
      <c r="M829" s="1" t="s">
        <v>2128</v>
      </c>
      <c r="N829" s="63" t="s">
        <v>946</v>
      </c>
      <c r="O829" s="63" t="s">
        <v>946</v>
      </c>
      <c r="P829" s="68">
        <v>20.0</v>
      </c>
      <c r="Q829" s="1" t="s">
        <v>2130</v>
      </c>
      <c r="R829" s="1" t="s">
        <v>13</v>
      </c>
      <c r="S829" s="1"/>
      <c r="T829" s="1"/>
      <c r="U829" s="1" t="s">
        <v>968</v>
      </c>
      <c r="V829" s="1" t="s">
        <v>968</v>
      </c>
      <c r="W829" s="145">
        <f t="shared" si="1"/>
        <v>0.00004967032904</v>
      </c>
      <c r="AC829" s="38"/>
    </row>
    <row r="830" ht="15.75" customHeight="1">
      <c r="A830" s="1" t="s">
        <v>1960</v>
      </c>
      <c r="B830" s="1" t="s">
        <v>2127</v>
      </c>
      <c r="C830" s="63">
        <v>46260.0</v>
      </c>
      <c r="D830" s="63" t="s">
        <v>130</v>
      </c>
      <c r="E830" s="68">
        <v>0.96022318</v>
      </c>
      <c r="F830" s="1"/>
      <c r="G830" s="23">
        <v>5000000.0</v>
      </c>
      <c r="H830" s="23">
        <v>4801115.91</v>
      </c>
      <c r="I830" s="23">
        <v>5000000.0</v>
      </c>
      <c r="J830" s="23">
        <v>4801115.91</v>
      </c>
      <c r="K830" s="24">
        <v>2.9175487E7</v>
      </c>
      <c r="L830" s="1" t="s">
        <v>1776</v>
      </c>
      <c r="M830" s="1" t="s">
        <v>2128</v>
      </c>
      <c r="N830" s="63" t="s">
        <v>676</v>
      </c>
      <c r="O830" s="63" t="s">
        <v>676</v>
      </c>
      <c r="P830" s="68">
        <v>28.0</v>
      </c>
      <c r="Q830" s="1" t="s">
        <v>2130</v>
      </c>
      <c r="R830" s="1" t="s">
        <v>13</v>
      </c>
      <c r="S830" s="1"/>
      <c r="T830" s="1"/>
      <c r="U830" s="1" t="s">
        <v>688</v>
      </c>
      <c r="V830" s="1" t="s">
        <v>688</v>
      </c>
      <c r="W830" s="145">
        <f t="shared" si="1"/>
        <v>0.00009821167069</v>
      </c>
      <c r="AC830" s="38"/>
    </row>
    <row r="831" ht="15.75" customHeight="1">
      <c r="A831" s="1" t="s">
        <v>1919</v>
      </c>
      <c r="B831" s="1" t="s">
        <v>2127</v>
      </c>
      <c r="C831" s="63">
        <v>46260.0</v>
      </c>
      <c r="D831" s="63" t="s">
        <v>130</v>
      </c>
      <c r="E831" s="68">
        <v>0.96571068</v>
      </c>
      <c r="F831" s="1"/>
      <c r="G831" s="23">
        <v>169949.7</v>
      </c>
      <c r="H831" s="23">
        <v>164122.24</v>
      </c>
      <c r="I831" s="23">
        <v>169949.7</v>
      </c>
      <c r="J831" s="23">
        <v>164122.24</v>
      </c>
      <c r="K831" s="24">
        <v>612232.0</v>
      </c>
      <c r="L831" s="1" t="s">
        <v>1776</v>
      </c>
      <c r="M831" s="1" t="s">
        <v>2128</v>
      </c>
      <c r="N831" s="63" t="s">
        <v>946</v>
      </c>
      <c r="O831" s="63" t="s">
        <v>946</v>
      </c>
      <c r="P831" s="68">
        <v>24.0</v>
      </c>
      <c r="Q831" s="1" t="s">
        <v>2130</v>
      </c>
      <c r="R831" s="1" t="s">
        <v>13</v>
      </c>
      <c r="S831" s="1"/>
      <c r="T831" s="1"/>
      <c r="U831" s="1" t="s">
        <v>978</v>
      </c>
      <c r="V831" s="1" t="s">
        <v>978</v>
      </c>
      <c r="W831" s="145">
        <f t="shared" si="1"/>
        <v>0.000003357286033</v>
      </c>
      <c r="AC831" s="38"/>
    </row>
    <row r="832" ht="15.75" customHeight="1">
      <c r="A832" s="1" t="s">
        <v>1919</v>
      </c>
      <c r="B832" s="1" t="s">
        <v>2127</v>
      </c>
      <c r="C832" s="63">
        <v>46260.0</v>
      </c>
      <c r="D832" s="63" t="s">
        <v>130</v>
      </c>
      <c r="E832" s="68">
        <v>0.96571068</v>
      </c>
      <c r="F832" s="1"/>
      <c r="G832" s="23">
        <v>169949.7</v>
      </c>
      <c r="H832" s="23">
        <v>164122.24</v>
      </c>
      <c r="I832" s="23">
        <v>169949.7</v>
      </c>
      <c r="J832" s="23">
        <v>164122.24</v>
      </c>
      <c r="K832" s="24">
        <v>612239.0</v>
      </c>
      <c r="L832" s="1" t="s">
        <v>1776</v>
      </c>
      <c r="M832" s="1" t="s">
        <v>2128</v>
      </c>
      <c r="N832" s="63" t="s">
        <v>946</v>
      </c>
      <c r="O832" s="63" t="s">
        <v>946</v>
      </c>
      <c r="P832" s="68">
        <v>24.0</v>
      </c>
      <c r="Q832" s="1" t="s">
        <v>2130</v>
      </c>
      <c r="R832" s="1" t="s">
        <v>13</v>
      </c>
      <c r="S832" s="1"/>
      <c r="T832" s="1"/>
      <c r="U832" s="1" t="s">
        <v>982</v>
      </c>
      <c r="V832" s="1" t="s">
        <v>982</v>
      </c>
      <c r="W832" s="145">
        <f t="shared" si="1"/>
        <v>0.000003357286033</v>
      </c>
      <c r="AC832" s="38"/>
    </row>
    <row r="833" ht="15.75" customHeight="1">
      <c r="A833" s="1" t="s">
        <v>1919</v>
      </c>
      <c r="B833" s="1" t="s">
        <v>2127</v>
      </c>
      <c r="C833" s="63">
        <v>46260.0</v>
      </c>
      <c r="D833" s="63" t="s">
        <v>130</v>
      </c>
      <c r="E833" s="68">
        <v>0.96571074</v>
      </c>
      <c r="F833" s="1"/>
      <c r="G833" s="23">
        <v>2382065.57</v>
      </c>
      <c r="H833" s="23">
        <v>2300386.3</v>
      </c>
      <c r="I833" s="23">
        <v>2382065.57</v>
      </c>
      <c r="J833" s="23">
        <v>2300386.3</v>
      </c>
      <c r="K833" s="24">
        <v>612234.0</v>
      </c>
      <c r="L833" s="1" t="s">
        <v>1776</v>
      </c>
      <c r="M833" s="1" t="s">
        <v>2128</v>
      </c>
      <c r="N833" s="63" t="s">
        <v>946</v>
      </c>
      <c r="O833" s="63" t="s">
        <v>946</v>
      </c>
      <c r="P833" s="68">
        <v>24.0</v>
      </c>
      <c r="Q833" s="1" t="s">
        <v>2130</v>
      </c>
      <c r="R833" s="1" t="s">
        <v>13</v>
      </c>
      <c r="S833" s="1"/>
      <c r="T833" s="1"/>
      <c r="U833" s="1" t="s">
        <v>994</v>
      </c>
      <c r="V833" s="1" t="s">
        <v>994</v>
      </c>
      <c r="W833" s="145">
        <f t="shared" si="1"/>
        <v>0.00004705672306</v>
      </c>
      <c r="AC833" s="38"/>
    </row>
    <row r="834" ht="15.75" customHeight="1">
      <c r="A834" s="1" t="s">
        <v>1975</v>
      </c>
      <c r="B834" s="1" t="s">
        <v>2127</v>
      </c>
      <c r="C834" s="63">
        <v>46260.0</v>
      </c>
      <c r="D834" s="63" t="s">
        <v>130</v>
      </c>
      <c r="E834" s="68">
        <v>0.94677326</v>
      </c>
      <c r="F834" s="1"/>
      <c r="G834" s="23">
        <v>4500000.0</v>
      </c>
      <c r="H834" s="23">
        <v>4260479.67</v>
      </c>
      <c r="I834" s="23">
        <v>4500000.0</v>
      </c>
      <c r="J834" s="23">
        <v>4260479.67</v>
      </c>
      <c r="K834" s="24">
        <v>555.0</v>
      </c>
      <c r="L834" s="1" t="s">
        <v>1776</v>
      </c>
      <c r="M834" s="1" t="s">
        <v>2128</v>
      </c>
      <c r="N834" s="63" t="s">
        <v>446</v>
      </c>
      <c r="O834" s="63" t="s">
        <v>446</v>
      </c>
      <c r="P834" s="68">
        <v>38.0</v>
      </c>
      <c r="Q834" s="1" t="s">
        <v>2130</v>
      </c>
      <c r="R834" s="1" t="s">
        <v>13</v>
      </c>
      <c r="S834" s="1"/>
      <c r="T834" s="1"/>
      <c r="U834" s="1" t="s">
        <v>517</v>
      </c>
      <c r="V834" s="1" t="s">
        <v>517</v>
      </c>
      <c r="W834" s="145">
        <f t="shared" si="1"/>
        <v>0.00008715241085</v>
      </c>
      <c r="AC834" s="38"/>
    </row>
    <row r="835" ht="15.75" customHeight="1">
      <c r="A835" s="1" t="s">
        <v>2045</v>
      </c>
      <c r="B835" s="1" t="s">
        <v>2127</v>
      </c>
      <c r="C835" s="63">
        <v>46260.0</v>
      </c>
      <c r="D835" s="63" t="s">
        <v>130</v>
      </c>
      <c r="E835" s="68">
        <v>0.9467732</v>
      </c>
      <c r="F835" s="1"/>
      <c r="G835" s="23">
        <v>2398145.2</v>
      </c>
      <c r="H835" s="23">
        <v>2270499.61</v>
      </c>
      <c r="I835" s="23">
        <v>2398145.2</v>
      </c>
      <c r="J835" s="23">
        <v>2270499.61</v>
      </c>
      <c r="K835" s="24">
        <v>1.3270645E7</v>
      </c>
      <c r="L835" s="1" t="s">
        <v>1776</v>
      </c>
      <c r="M835" s="1" t="s">
        <v>2128</v>
      </c>
      <c r="N835" s="63" t="s">
        <v>543</v>
      </c>
      <c r="O835" s="63" t="s">
        <v>543</v>
      </c>
      <c r="P835" s="68">
        <v>38.0</v>
      </c>
      <c r="Q835" s="1" t="s">
        <v>2130</v>
      </c>
      <c r="R835" s="1" t="s">
        <v>13</v>
      </c>
      <c r="S835" s="1"/>
      <c r="T835" s="1"/>
      <c r="U835" s="1" t="s">
        <v>556</v>
      </c>
      <c r="V835" s="1" t="s">
        <v>556</v>
      </c>
      <c r="W835" s="145">
        <f t="shared" si="1"/>
        <v>0.00004644536066</v>
      </c>
      <c r="AC835" s="38"/>
    </row>
    <row r="836" ht="15.75" customHeight="1">
      <c r="A836" s="1" t="s">
        <v>2022</v>
      </c>
      <c r="B836" s="1" t="s">
        <v>2127</v>
      </c>
      <c r="C836" s="63">
        <v>46260.0</v>
      </c>
      <c r="D836" s="63" t="s">
        <v>130</v>
      </c>
      <c r="E836" s="68">
        <v>0.95345073</v>
      </c>
      <c r="F836" s="1"/>
      <c r="G836" s="23">
        <v>3900000.0</v>
      </c>
      <c r="H836" s="23">
        <v>3718457.83</v>
      </c>
      <c r="I836" s="23">
        <v>3900000.0</v>
      </c>
      <c r="J836" s="23">
        <v>3718457.83</v>
      </c>
      <c r="K836" s="24">
        <v>285.0</v>
      </c>
      <c r="L836" s="1" t="s">
        <v>1776</v>
      </c>
      <c r="M836" s="1" t="s">
        <v>2128</v>
      </c>
      <c r="N836" s="63" t="s">
        <v>902</v>
      </c>
      <c r="O836" s="63" t="s">
        <v>902</v>
      </c>
      <c r="P836" s="68">
        <v>33.0</v>
      </c>
      <c r="Q836" s="1" t="s">
        <v>2130</v>
      </c>
      <c r="R836" s="1" t="s">
        <v>13</v>
      </c>
      <c r="S836" s="1"/>
      <c r="T836" s="1"/>
      <c r="U836" s="1" t="s">
        <v>919</v>
      </c>
      <c r="V836" s="1" t="s">
        <v>919</v>
      </c>
      <c r="W836" s="145">
        <f t="shared" si="1"/>
        <v>0.00007606480716</v>
      </c>
      <c r="AC836" s="38"/>
    </row>
    <row r="837" ht="15.75" customHeight="1">
      <c r="A837" s="1" t="s">
        <v>1917</v>
      </c>
      <c r="B837" s="1" t="s">
        <v>2127</v>
      </c>
      <c r="C837" s="63">
        <v>46260.0</v>
      </c>
      <c r="D837" s="63" t="s">
        <v>130</v>
      </c>
      <c r="E837" s="68">
        <v>0.9575027</v>
      </c>
      <c r="F837" s="1"/>
      <c r="G837" s="23">
        <v>1.0E7</v>
      </c>
      <c r="H837" s="23">
        <v>9575026.95</v>
      </c>
      <c r="I837" s="23">
        <v>1.0E7</v>
      </c>
      <c r="J837" s="23">
        <v>9575026.95</v>
      </c>
      <c r="K837" s="24">
        <v>502.0</v>
      </c>
      <c r="L837" s="1" t="s">
        <v>1776</v>
      </c>
      <c r="M837" s="1" t="s">
        <v>2128</v>
      </c>
      <c r="N837" s="63" t="s">
        <v>798</v>
      </c>
      <c r="O837" s="63" t="s">
        <v>798</v>
      </c>
      <c r="P837" s="68">
        <v>30.0</v>
      </c>
      <c r="Q837" s="1" t="s">
        <v>2130</v>
      </c>
      <c r="R837" s="1" t="s">
        <v>13</v>
      </c>
      <c r="S837" s="1"/>
      <c r="T837" s="1"/>
      <c r="U837" s="1" t="s">
        <v>802</v>
      </c>
      <c r="V837" s="1" t="s">
        <v>802</v>
      </c>
      <c r="W837" s="145">
        <f t="shared" si="1"/>
        <v>0.0001958668383</v>
      </c>
      <c r="AC837" s="38"/>
    </row>
    <row r="838" ht="15.75" customHeight="1">
      <c r="A838" s="1" t="s">
        <v>1917</v>
      </c>
      <c r="B838" s="1" t="s">
        <v>2127</v>
      </c>
      <c r="C838" s="63">
        <v>46260.0</v>
      </c>
      <c r="D838" s="63" t="s">
        <v>130</v>
      </c>
      <c r="E838" s="68">
        <v>0.95750276</v>
      </c>
      <c r="F838" s="1"/>
      <c r="G838" s="23">
        <v>1.0E7</v>
      </c>
      <c r="H838" s="23">
        <v>9575027.58</v>
      </c>
      <c r="I838" s="23">
        <v>1.0E7</v>
      </c>
      <c r="J838" s="23">
        <v>9575027.58</v>
      </c>
      <c r="K838" s="24">
        <v>473.0</v>
      </c>
      <c r="L838" s="1" t="s">
        <v>1776</v>
      </c>
      <c r="M838" s="1" t="s">
        <v>2128</v>
      </c>
      <c r="N838" s="63" t="s">
        <v>748</v>
      </c>
      <c r="O838" s="63" t="s">
        <v>748</v>
      </c>
      <c r="P838" s="68">
        <v>30.0</v>
      </c>
      <c r="Q838" s="1" t="s">
        <v>2130</v>
      </c>
      <c r="R838" s="1" t="s">
        <v>13</v>
      </c>
      <c r="S838" s="1"/>
      <c r="T838" s="1"/>
      <c r="U838" s="1" t="s">
        <v>756</v>
      </c>
      <c r="V838" s="1" t="s">
        <v>756</v>
      </c>
      <c r="W838" s="145">
        <f t="shared" si="1"/>
        <v>0.0001958668512</v>
      </c>
      <c r="AC838" s="38"/>
    </row>
    <row r="839" ht="15.75" customHeight="1">
      <c r="A839" s="1" t="s">
        <v>1917</v>
      </c>
      <c r="B839" s="1" t="s">
        <v>2127</v>
      </c>
      <c r="C839" s="63">
        <v>46260.0</v>
      </c>
      <c r="D839" s="63" t="s">
        <v>130</v>
      </c>
      <c r="E839" s="68">
        <v>0.95750273</v>
      </c>
      <c r="F839" s="1"/>
      <c r="G839" s="23">
        <v>1.0E7</v>
      </c>
      <c r="H839" s="23">
        <v>9575027.32</v>
      </c>
      <c r="I839" s="23">
        <v>1.0E7</v>
      </c>
      <c r="J839" s="23">
        <v>9575027.32</v>
      </c>
      <c r="K839" s="24">
        <v>670.0</v>
      </c>
      <c r="L839" s="1" t="s">
        <v>1776</v>
      </c>
      <c r="M839" s="1" t="s">
        <v>2128</v>
      </c>
      <c r="N839" s="63" t="s">
        <v>1399</v>
      </c>
      <c r="O839" s="63" t="s">
        <v>1399</v>
      </c>
      <c r="P839" s="68">
        <v>30.0</v>
      </c>
      <c r="Q839" s="1" t="s">
        <v>2130</v>
      </c>
      <c r="R839" s="1" t="s">
        <v>13</v>
      </c>
      <c r="S839" s="1"/>
      <c r="T839" s="1"/>
      <c r="U839" s="1" t="s">
        <v>1407</v>
      </c>
      <c r="V839" s="1" t="s">
        <v>1407</v>
      </c>
      <c r="W839" s="145">
        <f t="shared" si="1"/>
        <v>0.0001958668459</v>
      </c>
      <c r="AC839" s="38"/>
    </row>
    <row r="840" ht="15.75" customHeight="1">
      <c r="A840" s="1" t="s">
        <v>1917</v>
      </c>
      <c r="B840" s="1" t="s">
        <v>2127</v>
      </c>
      <c r="C840" s="63">
        <v>46260.0</v>
      </c>
      <c r="D840" s="63" t="s">
        <v>130</v>
      </c>
      <c r="E840" s="68">
        <v>0.9575027</v>
      </c>
      <c r="F840" s="1"/>
      <c r="G840" s="23">
        <v>1.0E7</v>
      </c>
      <c r="H840" s="23">
        <v>9575026.99</v>
      </c>
      <c r="I840" s="23">
        <v>1.0E7</v>
      </c>
      <c r="J840" s="23">
        <v>9575026.99</v>
      </c>
      <c r="K840" s="24">
        <v>568.0</v>
      </c>
      <c r="L840" s="1" t="s">
        <v>1776</v>
      </c>
      <c r="M840" s="1" t="s">
        <v>2128</v>
      </c>
      <c r="N840" s="63" t="s">
        <v>1039</v>
      </c>
      <c r="O840" s="63" t="s">
        <v>1039</v>
      </c>
      <c r="P840" s="68">
        <v>30.0</v>
      </c>
      <c r="Q840" s="1" t="s">
        <v>2130</v>
      </c>
      <c r="R840" s="1" t="s">
        <v>13</v>
      </c>
      <c r="S840" s="1"/>
      <c r="T840" s="1"/>
      <c r="U840" s="1" t="s">
        <v>1042</v>
      </c>
      <c r="V840" s="1" t="s">
        <v>1042</v>
      </c>
      <c r="W840" s="145">
        <f t="shared" si="1"/>
        <v>0.0001958668391</v>
      </c>
      <c r="AC840" s="38"/>
    </row>
    <row r="841" ht="15.75" customHeight="1">
      <c r="A841" s="1" t="s">
        <v>1903</v>
      </c>
      <c r="B841" s="1" t="s">
        <v>2127</v>
      </c>
      <c r="C841" s="63">
        <v>46260.0</v>
      </c>
      <c r="D841" s="63" t="s">
        <v>130</v>
      </c>
      <c r="E841" s="68">
        <v>0.9629591</v>
      </c>
      <c r="F841" s="1"/>
      <c r="G841" s="23">
        <v>1.0E8</v>
      </c>
      <c r="H841" s="23">
        <v>9.629590956E7</v>
      </c>
      <c r="I841" s="23">
        <v>1.0E8</v>
      </c>
      <c r="J841" s="23">
        <v>9.629590956E7</v>
      </c>
      <c r="K841" s="24">
        <v>2830.0</v>
      </c>
      <c r="L841" s="1" t="s">
        <v>1776</v>
      </c>
      <c r="M841" s="1" t="s">
        <v>2128</v>
      </c>
      <c r="N841" s="63" t="s">
        <v>1118</v>
      </c>
      <c r="O841" s="63" t="s">
        <v>1118</v>
      </c>
      <c r="P841" s="68">
        <v>26.0</v>
      </c>
      <c r="Q841" s="1" t="s">
        <v>2130</v>
      </c>
      <c r="R841" s="1" t="s">
        <v>13</v>
      </c>
      <c r="S841" s="1"/>
      <c r="T841" s="1"/>
      <c r="U841" s="1" t="s">
        <v>1129</v>
      </c>
      <c r="V841" s="1" t="s">
        <v>1129</v>
      </c>
      <c r="W841" s="145">
        <f t="shared" si="1"/>
        <v>0.001969830001</v>
      </c>
      <c r="AC841" s="38"/>
    </row>
    <row r="842" ht="15.75" customHeight="1">
      <c r="A842" s="1" t="s">
        <v>1903</v>
      </c>
      <c r="B842" s="1" t="s">
        <v>2127</v>
      </c>
      <c r="C842" s="63">
        <v>46260.0</v>
      </c>
      <c r="D842" s="63" t="s">
        <v>130</v>
      </c>
      <c r="E842" s="68">
        <v>0.95886098</v>
      </c>
      <c r="F842" s="1"/>
      <c r="G842" s="23">
        <v>1.0E7</v>
      </c>
      <c r="H842" s="23">
        <v>9588609.8</v>
      </c>
      <c r="I842" s="23">
        <v>1.0E7</v>
      </c>
      <c r="J842" s="23">
        <v>9588609.8</v>
      </c>
      <c r="K842" s="24">
        <v>6.6412396E7</v>
      </c>
      <c r="L842" s="1" t="s">
        <v>1776</v>
      </c>
      <c r="M842" s="1" t="s">
        <v>2128</v>
      </c>
      <c r="N842" s="63" t="s">
        <v>446</v>
      </c>
      <c r="O842" s="63" t="s">
        <v>446</v>
      </c>
      <c r="P842" s="68">
        <v>29.0</v>
      </c>
      <c r="Q842" s="1" t="s">
        <v>2130</v>
      </c>
      <c r="R842" s="1" t="s">
        <v>13</v>
      </c>
      <c r="S842" s="1"/>
      <c r="T842" s="1"/>
      <c r="U842" s="1" t="s">
        <v>504</v>
      </c>
      <c r="V842" s="1" t="s">
        <v>504</v>
      </c>
      <c r="W842" s="145">
        <f t="shared" si="1"/>
        <v>0.0001961446892</v>
      </c>
      <c r="AC842" s="38"/>
    </row>
    <row r="843" ht="15.75" customHeight="1">
      <c r="A843" s="1" t="s">
        <v>1998</v>
      </c>
      <c r="B843" s="1" t="s">
        <v>2127</v>
      </c>
      <c r="C843" s="63">
        <v>46260.0</v>
      </c>
      <c r="D843" s="63" t="s">
        <v>130</v>
      </c>
      <c r="E843" s="68">
        <v>0.94677322</v>
      </c>
      <c r="F843" s="1"/>
      <c r="G843" s="23">
        <v>1.5E7</v>
      </c>
      <c r="H843" s="23">
        <v>1.420159836E7</v>
      </c>
      <c r="I843" s="23">
        <v>1.5E7</v>
      </c>
      <c r="J843" s="23">
        <v>1.420159836E7</v>
      </c>
      <c r="K843" s="24">
        <v>1.680601E7</v>
      </c>
      <c r="L843" s="1" t="s">
        <v>1776</v>
      </c>
      <c r="M843" s="1" t="s">
        <v>2128</v>
      </c>
      <c r="N843" s="63" t="s">
        <v>1473</v>
      </c>
      <c r="O843" s="63" t="s">
        <v>1473</v>
      </c>
      <c r="P843" s="68">
        <v>38.0</v>
      </c>
      <c r="Q843" s="1" t="s">
        <v>2130</v>
      </c>
      <c r="R843" s="1" t="s">
        <v>13</v>
      </c>
      <c r="S843" s="1"/>
      <c r="T843" s="1"/>
      <c r="U843" s="1" t="s">
        <v>1472</v>
      </c>
      <c r="V843" s="1" t="s">
        <v>1472</v>
      </c>
      <c r="W843" s="145">
        <f t="shared" si="1"/>
        <v>0.0002905080251</v>
      </c>
      <c r="AC843" s="38"/>
    </row>
    <row r="844" ht="15.75" customHeight="1">
      <c r="A844" s="1" t="s">
        <v>1979</v>
      </c>
      <c r="B844" s="1" t="s">
        <v>2127</v>
      </c>
      <c r="C844" s="63">
        <v>46260.0</v>
      </c>
      <c r="D844" s="63" t="s">
        <v>130</v>
      </c>
      <c r="E844" s="68">
        <v>0.95345086</v>
      </c>
      <c r="F844" s="1"/>
      <c r="G844" s="23">
        <v>2500000.0</v>
      </c>
      <c r="H844" s="23">
        <v>2383627.14</v>
      </c>
      <c r="I844" s="23">
        <v>2500000.0</v>
      </c>
      <c r="J844" s="23">
        <v>2383627.14</v>
      </c>
      <c r="K844" s="24">
        <v>1198.0</v>
      </c>
      <c r="L844" s="1" t="s">
        <v>1776</v>
      </c>
      <c r="M844" s="1" t="s">
        <v>2128</v>
      </c>
      <c r="N844" s="63" t="s">
        <v>827</v>
      </c>
      <c r="O844" s="63" t="s">
        <v>827</v>
      </c>
      <c r="P844" s="68">
        <v>33.0</v>
      </c>
      <c r="Q844" s="1" t="s">
        <v>2130</v>
      </c>
      <c r="R844" s="1" t="s">
        <v>13</v>
      </c>
      <c r="S844" s="1"/>
      <c r="T844" s="1"/>
      <c r="U844" s="1" t="s">
        <v>845</v>
      </c>
      <c r="V844" s="1" t="s">
        <v>845</v>
      </c>
      <c r="W844" s="145">
        <f t="shared" si="1"/>
        <v>0.00004875949844</v>
      </c>
      <c r="AC844" s="38"/>
    </row>
    <row r="845" ht="15.75" customHeight="1">
      <c r="A845" s="1" t="s">
        <v>1991</v>
      </c>
      <c r="B845" s="1" t="s">
        <v>2127</v>
      </c>
      <c r="C845" s="63">
        <v>46260.0</v>
      </c>
      <c r="D845" s="63" t="s">
        <v>130</v>
      </c>
      <c r="E845" s="68">
        <v>0.9534509</v>
      </c>
      <c r="F845" s="1"/>
      <c r="G845" s="23">
        <v>2200000.0</v>
      </c>
      <c r="H845" s="23">
        <v>2097591.98</v>
      </c>
      <c r="I845" s="23">
        <v>2200000.0</v>
      </c>
      <c r="J845" s="23">
        <v>2097591.98</v>
      </c>
      <c r="K845" s="24">
        <v>6195.0</v>
      </c>
      <c r="L845" s="1" t="s">
        <v>1776</v>
      </c>
      <c r="M845" s="1" t="s">
        <v>2128</v>
      </c>
      <c r="N845" s="63" t="s">
        <v>1084</v>
      </c>
      <c r="O845" s="63" t="s">
        <v>1084</v>
      </c>
      <c r="P845" s="68">
        <v>33.0</v>
      </c>
      <c r="Q845" s="1" t="s">
        <v>2130</v>
      </c>
      <c r="R845" s="1" t="s">
        <v>13</v>
      </c>
      <c r="S845" s="1"/>
      <c r="T845" s="1"/>
      <c r="U845" s="1" t="s">
        <v>1103</v>
      </c>
      <c r="V845" s="1" t="s">
        <v>1103</v>
      </c>
      <c r="W845" s="145">
        <f t="shared" si="1"/>
        <v>0.00004290836061</v>
      </c>
      <c r="AC845" s="38"/>
    </row>
    <row r="846" ht="15.75" customHeight="1">
      <c r="A846" s="1" t="s">
        <v>1989</v>
      </c>
      <c r="B846" s="1" t="s">
        <v>2127</v>
      </c>
      <c r="C846" s="63">
        <v>46260.0</v>
      </c>
      <c r="D846" s="63" t="s">
        <v>130</v>
      </c>
      <c r="E846" s="68">
        <v>0.9575028</v>
      </c>
      <c r="F846" s="1"/>
      <c r="G846" s="23">
        <v>2700000.0</v>
      </c>
      <c r="H846" s="23">
        <v>2585257.56</v>
      </c>
      <c r="I846" s="23">
        <v>2700000.0</v>
      </c>
      <c r="J846" s="23">
        <v>2585257.56</v>
      </c>
      <c r="K846" s="24">
        <v>6273.0</v>
      </c>
      <c r="L846" s="1" t="s">
        <v>1776</v>
      </c>
      <c r="M846" s="1" t="s">
        <v>2128</v>
      </c>
      <c r="N846" s="63" t="s">
        <v>1332</v>
      </c>
      <c r="O846" s="63" t="s">
        <v>1332</v>
      </c>
      <c r="P846" s="68">
        <v>30.0</v>
      </c>
      <c r="Q846" s="1" t="s">
        <v>2130</v>
      </c>
      <c r="R846" s="1" t="s">
        <v>13</v>
      </c>
      <c r="S846" s="1"/>
      <c r="T846" s="1"/>
      <c r="U846" s="1" t="s">
        <v>1343</v>
      </c>
      <c r="V846" s="1" t="s">
        <v>1343</v>
      </c>
      <c r="W846" s="145">
        <f t="shared" si="1"/>
        <v>0.00005288405214</v>
      </c>
      <c r="AC846" s="38"/>
    </row>
    <row r="847" ht="15.75" customHeight="1">
      <c r="A847" s="1" t="s">
        <v>1903</v>
      </c>
      <c r="B847" s="1" t="s">
        <v>2127</v>
      </c>
      <c r="C847" s="63">
        <v>46260.0</v>
      </c>
      <c r="D847" s="63" t="s">
        <v>130</v>
      </c>
      <c r="E847" s="68">
        <v>0.95886103</v>
      </c>
      <c r="F847" s="1"/>
      <c r="G847" s="23">
        <v>1.0E7</v>
      </c>
      <c r="H847" s="23">
        <v>9588610.26</v>
      </c>
      <c r="I847" s="23">
        <v>1.0E7</v>
      </c>
      <c r="J847" s="23">
        <v>9588610.26</v>
      </c>
      <c r="K847" s="24">
        <v>2154.0</v>
      </c>
      <c r="L847" s="1" t="s">
        <v>1776</v>
      </c>
      <c r="M847" s="1" t="s">
        <v>2128</v>
      </c>
      <c r="N847" s="63" t="s">
        <v>591</v>
      </c>
      <c r="O847" s="63" t="s">
        <v>591</v>
      </c>
      <c r="P847" s="68">
        <v>29.0</v>
      </c>
      <c r="Q847" s="1" t="s">
        <v>2130</v>
      </c>
      <c r="R847" s="1" t="s">
        <v>13</v>
      </c>
      <c r="S847" s="1"/>
      <c r="T847" s="1"/>
      <c r="U847" s="1" t="s">
        <v>601</v>
      </c>
      <c r="V847" s="1" t="s">
        <v>601</v>
      </c>
      <c r="W847" s="145">
        <f t="shared" si="1"/>
        <v>0.0001961446986</v>
      </c>
      <c r="AC847" s="38"/>
    </row>
    <row r="848" ht="15.75" customHeight="1">
      <c r="A848" s="1" t="s">
        <v>1933</v>
      </c>
      <c r="B848" s="1" t="s">
        <v>2127</v>
      </c>
      <c r="C848" s="63">
        <v>46260.0</v>
      </c>
      <c r="D848" s="63" t="s">
        <v>130</v>
      </c>
      <c r="E848" s="68">
        <v>0.95479754</v>
      </c>
      <c r="F848" s="1"/>
      <c r="G848" s="23">
        <v>1.5E7</v>
      </c>
      <c r="H848" s="23">
        <v>1.432196316E7</v>
      </c>
      <c r="I848" s="23">
        <v>1.5E7</v>
      </c>
      <c r="J848" s="23">
        <v>1.432196316E7</v>
      </c>
      <c r="K848" s="24">
        <v>177.0</v>
      </c>
      <c r="L848" s="1" t="s">
        <v>1776</v>
      </c>
      <c r="M848" s="1" t="s">
        <v>2128</v>
      </c>
      <c r="N848" s="63" t="s">
        <v>307</v>
      </c>
      <c r="O848" s="63" t="s">
        <v>307</v>
      </c>
      <c r="P848" s="68">
        <v>32.0</v>
      </c>
      <c r="Q848" s="1" t="s">
        <v>2130</v>
      </c>
      <c r="R848" s="1" t="s">
        <v>13</v>
      </c>
      <c r="S848" s="1"/>
      <c r="T848" s="1"/>
      <c r="U848" s="1" t="s">
        <v>327</v>
      </c>
      <c r="V848" s="1" t="s">
        <v>327</v>
      </c>
      <c r="W848" s="145">
        <f t="shared" si="1"/>
        <v>0.0002929702086</v>
      </c>
      <c r="AC848" s="38"/>
    </row>
    <row r="849" ht="15.75" customHeight="1">
      <c r="A849" s="1" t="s">
        <v>1957</v>
      </c>
      <c r="B849" s="1" t="s">
        <v>2127</v>
      </c>
      <c r="C849" s="63">
        <v>46260.0</v>
      </c>
      <c r="D849" s="63" t="s">
        <v>130</v>
      </c>
      <c r="E849" s="68">
        <v>0.94544904</v>
      </c>
      <c r="F849" s="1"/>
      <c r="G849" s="23">
        <v>1.080042897E7</v>
      </c>
      <c r="H849" s="23">
        <v>1.021125517E7</v>
      </c>
      <c r="I849" s="23">
        <v>1.080042897E7</v>
      </c>
      <c r="J849" s="23">
        <v>1.021125517E7</v>
      </c>
      <c r="K849" s="24">
        <v>5.3243195E7</v>
      </c>
      <c r="L849" s="1" t="s">
        <v>1776</v>
      </c>
      <c r="M849" s="1" t="s">
        <v>2128</v>
      </c>
      <c r="N849" s="63" t="s">
        <v>807</v>
      </c>
      <c r="O849" s="63" t="s">
        <v>807</v>
      </c>
      <c r="P849" s="68">
        <v>39.0</v>
      </c>
      <c r="Q849" s="1" t="s">
        <v>2130</v>
      </c>
      <c r="R849" s="1" t="s">
        <v>13</v>
      </c>
      <c r="S849" s="1"/>
      <c r="T849" s="1"/>
      <c r="U849" s="1" t="s">
        <v>809</v>
      </c>
      <c r="V849" s="1" t="s">
        <v>809</v>
      </c>
      <c r="W849" s="145">
        <f t="shared" si="1"/>
        <v>0.0002088815286</v>
      </c>
      <c r="AC849" s="38"/>
    </row>
    <row r="850" ht="15.75" customHeight="1">
      <c r="A850" s="1" t="s">
        <v>1921</v>
      </c>
      <c r="B850" s="1" t="s">
        <v>2127</v>
      </c>
      <c r="C850" s="63">
        <v>46260.0</v>
      </c>
      <c r="D850" s="63" t="s">
        <v>130</v>
      </c>
      <c r="E850" s="68">
        <v>0.96022311</v>
      </c>
      <c r="F850" s="1"/>
      <c r="G850" s="23">
        <v>1.0E7</v>
      </c>
      <c r="H850" s="23">
        <v>9602231.11</v>
      </c>
      <c r="I850" s="23">
        <v>1.0E7</v>
      </c>
      <c r="J850" s="23">
        <v>9602231.11</v>
      </c>
      <c r="K850" s="24">
        <v>360558.0</v>
      </c>
      <c r="L850" s="1" t="s">
        <v>1776</v>
      </c>
      <c r="M850" s="1" t="s">
        <v>2128</v>
      </c>
      <c r="N850" s="63" t="s">
        <v>404</v>
      </c>
      <c r="O850" s="63" t="s">
        <v>404</v>
      </c>
      <c r="P850" s="68">
        <v>28.0</v>
      </c>
      <c r="Q850" s="1" t="s">
        <v>2130</v>
      </c>
      <c r="R850" s="1" t="s">
        <v>13</v>
      </c>
      <c r="S850" s="1"/>
      <c r="T850" s="1"/>
      <c r="U850" s="1" t="s">
        <v>428</v>
      </c>
      <c r="V850" s="1" t="s">
        <v>428</v>
      </c>
      <c r="W850" s="145">
        <f t="shared" si="1"/>
        <v>0.0001964233269</v>
      </c>
      <c r="AC850" s="38"/>
    </row>
    <row r="851" ht="15.75" customHeight="1">
      <c r="A851" s="1" t="s">
        <v>1926</v>
      </c>
      <c r="B851" s="1" t="s">
        <v>2127</v>
      </c>
      <c r="C851" s="63">
        <v>46260.0</v>
      </c>
      <c r="D851" s="63" t="s">
        <v>130</v>
      </c>
      <c r="E851" s="68">
        <v>0.9575027</v>
      </c>
      <c r="F851" s="1"/>
      <c r="G851" s="23">
        <v>1040000.0</v>
      </c>
      <c r="H851" s="23">
        <v>995802.81</v>
      </c>
      <c r="I851" s="23">
        <v>1040000.0</v>
      </c>
      <c r="J851" s="23">
        <v>995802.81</v>
      </c>
      <c r="K851" s="24">
        <v>1.0601549E7</v>
      </c>
      <c r="L851" s="1" t="s">
        <v>1776</v>
      </c>
      <c r="M851" s="1" t="s">
        <v>2128</v>
      </c>
      <c r="N851" s="63" t="s">
        <v>628</v>
      </c>
      <c r="O851" s="63" t="s">
        <v>628</v>
      </c>
      <c r="P851" s="68">
        <v>30.0</v>
      </c>
      <c r="Q851" s="1" t="s">
        <v>2130</v>
      </c>
      <c r="R851" s="1" t="s">
        <v>13</v>
      </c>
      <c r="S851" s="1"/>
      <c r="T851" s="1"/>
      <c r="U851" s="1" t="s">
        <v>630</v>
      </c>
      <c r="V851" s="1" t="s">
        <v>630</v>
      </c>
      <c r="W851" s="145">
        <f t="shared" si="1"/>
        <v>0.00002037015133</v>
      </c>
      <c r="AC851" s="38"/>
    </row>
    <row r="852" ht="15.75" customHeight="1">
      <c r="A852" s="1" t="s">
        <v>1926</v>
      </c>
      <c r="B852" s="1" t="s">
        <v>2127</v>
      </c>
      <c r="C852" s="63">
        <v>46260.0</v>
      </c>
      <c r="D852" s="63" t="s">
        <v>130</v>
      </c>
      <c r="E852" s="68">
        <v>0.96022318</v>
      </c>
      <c r="F852" s="1"/>
      <c r="G852" s="23">
        <v>1.654557209E7</v>
      </c>
      <c r="H852" s="23">
        <v>1.588744183E7</v>
      </c>
      <c r="I852" s="23">
        <v>1.654557209E7</v>
      </c>
      <c r="J852" s="23">
        <v>1.588744183E7</v>
      </c>
      <c r="K852" s="24">
        <v>7610.0</v>
      </c>
      <c r="L852" s="1" t="s">
        <v>1776</v>
      </c>
      <c r="M852" s="1" t="s">
        <v>2128</v>
      </c>
      <c r="N852" s="63" t="s">
        <v>1209</v>
      </c>
      <c r="O852" s="63" t="s">
        <v>1209</v>
      </c>
      <c r="P852" s="68">
        <v>28.0</v>
      </c>
      <c r="Q852" s="1" t="s">
        <v>2130</v>
      </c>
      <c r="R852" s="1" t="s">
        <v>13</v>
      </c>
      <c r="S852" s="1"/>
      <c r="T852" s="1"/>
      <c r="U852" s="1" t="s">
        <v>1208</v>
      </c>
      <c r="V852" s="1" t="s">
        <v>1208</v>
      </c>
      <c r="W852" s="145">
        <f t="shared" si="1"/>
        <v>0.0003249936545</v>
      </c>
      <c r="AC852" s="38"/>
    </row>
    <row r="853" ht="15.75" customHeight="1">
      <c r="A853" s="1" t="s">
        <v>1907</v>
      </c>
      <c r="B853" s="1" t="s">
        <v>2127</v>
      </c>
      <c r="C853" s="63">
        <v>46260.0</v>
      </c>
      <c r="D853" s="63" t="s">
        <v>130</v>
      </c>
      <c r="E853" s="68">
        <v>0.95886109</v>
      </c>
      <c r="F853" s="1"/>
      <c r="G853" s="23">
        <v>2.0E8</v>
      </c>
      <c r="H853" s="23">
        <v>1.9177221888E8</v>
      </c>
      <c r="I853" s="23">
        <v>2.0E8</v>
      </c>
      <c r="J853" s="23">
        <v>1.9177221888E8</v>
      </c>
      <c r="K853" s="24">
        <v>9.0003856E7</v>
      </c>
      <c r="L853" s="1" t="s">
        <v>1776</v>
      </c>
      <c r="M853" s="1" t="s">
        <v>2128</v>
      </c>
      <c r="N853" s="63" t="s">
        <v>1412</v>
      </c>
      <c r="O853" s="63" t="s">
        <v>1412</v>
      </c>
      <c r="P853" s="68">
        <v>29.0</v>
      </c>
      <c r="Q853" s="1" t="s">
        <v>2130</v>
      </c>
      <c r="R853" s="1" t="s">
        <v>13</v>
      </c>
      <c r="S853" s="1"/>
      <c r="T853" s="1"/>
      <c r="U853" s="1" t="s">
        <v>1426</v>
      </c>
      <c r="V853" s="1" t="s">
        <v>1426</v>
      </c>
      <c r="W853" s="145">
        <f t="shared" si="1"/>
        <v>0.003922894252</v>
      </c>
      <c r="AC853" s="38"/>
    </row>
    <row r="854" ht="15.75" customHeight="1">
      <c r="A854" s="1" t="s">
        <v>2027</v>
      </c>
      <c r="B854" s="1" t="s">
        <v>2127</v>
      </c>
      <c r="C854" s="63">
        <v>46260.0</v>
      </c>
      <c r="D854" s="63" t="s">
        <v>130</v>
      </c>
      <c r="E854" s="68">
        <v>0.95479757</v>
      </c>
      <c r="F854" s="1"/>
      <c r="G854" s="23">
        <v>1000000.0</v>
      </c>
      <c r="H854" s="23">
        <v>954797.57</v>
      </c>
      <c r="I854" s="23">
        <v>1000000.0</v>
      </c>
      <c r="J854" s="23">
        <v>954797.57</v>
      </c>
      <c r="K854" s="24">
        <v>6.7381469E7</v>
      </c>
      <c r="L854" s="1" t="s">
        <v>1776</v>
      </c>
      <c r="M854" s="1" t="s">
        <v>2128</v>
      </c>
      <c r="N854" s="63" t="s">
        <v>1118</v>
      </c>
      <c r="O854" s="63" t="s">
        <v>1118</v>
      </c>
      <c r="P854" s="68">
        <v>32.0</v>
      </c>
      <c r="Q854" s="1" t="s">
        <v>2130</v>
      </c>
      <c r="R854" s="1" t="s">
        <v>13</v>
      </c>
      <c r="S854" s="1"/>
      <c r="T854" s="1"/>
      <c r="U854" s="1" t="s">
        <v>1167</v>
      </c>
      <c r="V854" s="1" t="s">
        <v>1167</v>
      </c>
      <c r="W854" s="145">
        <f t="shared" si="1"/>
        <v>0.00001953134777</v>
      </c>
      <c r="AC854" s="38"/>
    </row>
    <row r="855" ht="15.75" customHeight="1">
      <c r="A855" s="1" t="s">
        <v>2027</v>
      </c>
      <c r="B855" s="1" t="s">
        <v>2127</v>
      </c>
      <c r="C855" s="63">
        <v>46260.0</v>
      </c>
      <c r="D855" s="63" t="s">
        <v>130</v>
      </c>
      <c r="E855" s="68">
        <v>0.95479757</v>
      </c>
      <c r="F855" s="1"/>
      <c r="G855" s="23">
        <v>1000000.0</v>
      </c>
      <c r="H855" s="23">
        <v>954797.57</v>
      </c>
      <c r="I855" s="23">
        <v>1000000.0</v>
      </c>
      <c r="J855" s="23">
        <v>954797.57</v>
      </c>
      <c r="K855" s="24">
        <v>6.7277847E7</v>
      </c>
      <c r="L855" s="1" t="s">
        <v>1776</v>
      </c>
      <c r="M855" s="1" t="s">
        <v>2128</v>
      </c>
      <c r="N855" s="63" t="s">
        <v>1118</v>
      </c>
      <c r="O855" s="63" t="s">
        <v>1118</v>
      </c>
      <c r="P855" s="68">
        <v>32.0</v>
      </c>
      <c r="Q855" s="1" t="s">
        <v>2130</v>
      </c>
      <c r="R855" s="1" t="s">
        <v>13</v>
      </c>
      <c r="S855" s="1"/>
      <c r="T855" s="1"/>
      <c r="U855" s="1" t="s">
        <v>1171</v>
      </c>
      <c r="V855" s="1" t="s">
        <v>1171</v>
      </c>
      <c r="W855" s="145">
        <f t="shared" si="1"/>
        <v>0.00001953134777</v>
      </c>
      <c r="AC855" s="38"/>
    </row>
    <row r="856" ht="15.75" customHeight="1">
      <c r="A856" s="1" t="s">
        <v>2000</v>
      </c>
      <c r="B856" s="1" t="s">
        <v>2127</v>
      </c>
      <c r="C856" s="63">
        <v>46260.0</v>
      </c>
      <c r="D856" s="63" t="s">
        <v>130</v>
      </c>
      <c r="E856" s="68">
        <v>0.95345077</v>
      </c>
      <c r="F856" s="1"/>
      <c r="G856" s="23">
        <v>1.0E7</v>
      </c>
      <c r="H856" s="23">
        <v>9534507.7</v>
      </c>
      <c r="I856" s="23">
        <v>1.0E7</v>
      </c>
      <c r="J856" s="23">
        <v>9534507.7</v>
      </c>
      <c r="K856" s="24">
        <v>5743953.0</v>
      </c>
      <c r="L856" s="1" t="s">
        <v>1776</v>
      </c>
      <c r="M856" s="1" t="s">
        <v>2128</v>
      </c>
      <c r="N856" s="63" t="s">
        <v>130</v>
      </c>
      <c r="O856" s="63" t="s">
        <v>130</v>
      </c>
      <c r="P856" s="68">
        <v>33.0</v>
      </c>
      <c r="Q856" s="1" t="s">
        <v>2130</v>
      </c>
      <c r="R856" s="1" t="s">
        <v>13</v>
      </c>
      <c r="S856" s="1"/>
      <c r="T856" s="1"/>
      <c r="U856" s="1" t="s">
        <v>1651</v>
      </c>
      <c r="V856" s="1" t="s">
        <v>1651</v>
      </c>
      <c r="W856" s="145">
        <f t="shared" si="1"/>
        <v>0.0001950379762</v>
      </c>
      <c r="AC856" s="38"/>
    </row>
    <row r="857" ht="15.75" customHeight="1">
      <c r="A857" s="1" t="s">
        <v>1960</v>
      </c>
      <c r="B857" s="1" t="s">
        <v>2127</v>
      </c>
      <c r="C857" s="63">
        <v>46261.0</v>
      </c>
      <c r="D857" s="63" t="s">
        <v>130</v>
      </c>
      <c r="E857" s="68">
        <v>0.95951636</v>
      </c>
      <c r="F857" s="1"/>
      <c r="G857" s="23">
        <v>5000000.0</v>
      </c>
      <c r="H857" s="23">
        <v>4797581.79</v>
      </c>
      <c r="I857" s="23">
        <v>5000000.0</v>
      </c>
      <c r="J857" s="23">
        <v>4797581.79</v>
      </c>
      <c r="K857" s="24">
        <v>2.9175496E7</v>
      </c>
      <c r="L857" s="1" t="s">
        <v>1776</v>
      </c>
      <c r="M857" s="1" t="s">
        <v>2128</v>
      </c>
      <c r="N857" s="63" t="s">
        <v>676</v>
      </c>
      <c r="O857" s="63" t="s">
        <v>676</v>
      </c>
      <c r="P857" s="68">
        <v>28.0</v>
      </c>
      <c r="Q857" s="1" t="s">
        <v>2130</v>
      </c>
      <c r="R857" s="1" t="s">
        <v>13</v>
      </c>
      <c r="S857" s="1"/>
      <c r="T857" s="1"/>
      <c r="U857" s="1" t="s">
        <v>689</v>
      </c>
      <c r="V857" s="1" t="s">
        <v>689</v>
      </c>
      <c r="W857" s="145">
        <f t="shared" si="1"/>
        <v>0.0000981393767</v>
      </c>
      <c r="AC857" s="38"/>
    </row>
    <row r="858" ht="15.75" customHeight="1">
      <c r="A858" s="1" t="s">
        <v>2037</v>
      </c>
      <c r="B858" s="1" t="s">
        <v>2127</v>
      </c>
      <c r="C858" s="63">
        <v>46261.0</v>
      </c>
      <c r="D858" s="63" t="s">
        <v>130</v>
      </c>
      <c r="E858" s="68">
        <v>0.95262964</v>
      </c>
      <c r="F858" s="1"/>
      <c r="G858" s="23">
        <v>2000000.0</v>
      </c>
      <c r="H858" s="23">
        <v>1905259.28</v>
      </c>
      <c r="I858" s="23">
        <v>2000000.0</v>
      </c>
      <c r="J858" s="23">
        <v>1905259.28</v>
      </c>
      <c r="K858" s="24">
        <v>438.0</v>
      </c>
      <c r="L858" s="1" t="s">
        <v>1776</v>
      </c>
      <c r="M858" s="1" t="s">
        <v>2128</v>
      </c>
      <c r="N858" s="63" t="s">
        <v>1412</v>
      </c>
      <c r="O858" s="63" t="s">
        <v>1412</v>
      </c>
      <c r="P858" s="68">
        <v>33.0</v>
      </c>
      <c r="Q858" s="1" t="s">
        <v>2130</v>
      </c>
      <c r="R858" s="1" t="s">
        <v>13</v>
      </c>
      <c r="S858" s="1"/>
      <c r="T858" s="1"/>
      <c r="U858" s="1" t="s">
        <v>1420</v>
      </c>
      <c r="V858" s="1" t="s">
        <v>1420</v>
      </c>
      <c r="W858" s="145">
        <f t="shared" si="1"/>
        <v>0.00003897400115</v>
      </c>
      <c r="AC858" s="38"/>
    </row>
    <row r="859" ht="15.75" customHeight="1">
      <c r="A859" s="1" t="s">
        <v>1917</v>
      </c>
      <c r="B859" s="1" t="s">
        <v>2127</v>
      </c>
      <c r="C859" s="63">
        <v>46261.0</v>
      </c>
      <c r="D859" s="63" t="s">
        <v>130</v>
      </c>
      <c r="E859" s="68">
        <v>0.95674971</v>
      </c>
      <c r="F859" s="1"/>
      <c r="G859" s="23">
        <v>8750000.0</v>
      </c>
      <c r="H859" s="23">
        <v>8371559.95</v>
      </c>
      <c r="I859" s="23">
        <v>8750000.0</v>
      </c>
      <c r="J859" s="23">
        <v>8371559.95</v>
      </c>
      <c r="K859" s="24">
        <v>634.0</v>
      </c>
      <c r="L859" s="1" t="s">
        <v>1776</v>
      </c>
      <c r="M859" s="1" t="s">
        <v>2128</v>
      </c>
      <c r="N859" s="63" t="s">
        <v>1272</v>
      </c>
      <c r="O859" s="63" t="s">
        <v>1272</v>
      </c>
      <c r="P859" s="68">
        <v>30.0</v>
      </c>
      <c r="Q859" s="1" t="s">
        <v>2130</v>
      </c>
      <c r="R859" s="1" t="s">
        <v>13</v>
      </c>
      <c r="S859" s="1"/>
      <c r="T859" s="1"/>
      <c r="U859" s="1" t="s">
        <v>1295</v>
      </c>
      <c r="V859" s="1" t="s">
        <v>1295</v>
      </c>
      <c r="W859" s="145">
        <f t="shared" si="1"/>
        <v>0.0001712487064</v>
      </c>
      <c r="AC859" s="38"/>
    </row>
    <row r="860" ht="15.75" customHeight="1">
      <c r="A860" s="1" t="s">
        <v>1917</v>
      </c>
      <c r="B860" s="1" t="s">
        <v>2127</v>
      </c>
      <c r="C860" s="63">
        <v>46261.0</v>
      </c>
      <c r="D860" s="63" t="s">
        <v>130</v>
      </c>
      <c r="E860" s="68">
        <v>0.95674973</v>
      </c>
      <c r="F860" s="1"/>
      <c r="G860" s="23">
        <v>1.0E7</v>
      </c>
      <c r="H860" s="23">
        <v>9567497.3</v>
      </c>
      <c r="I860" s="23">
        <v>1.0E7</v>
      </c>
      <c r="J860" s="23">
        <v>9567497.3</v>
      </c>
      <c r="K860" s="24">
        <v>636.0</v>
      </c>
      <c r="L860" s="1" t="s">
        <v>1776</v>
      </c>
      <c r="M860" s="1" t="s">
        <v>2128</v>
      </c>
      <c r="N860" s="63" t="s">
        <v>1302</v>
      </c>
      <c r="O860" s="63" t="s">
        <v>1302</v>
      </c>
      <c r="P860" s="68">
        <v>30.0</v>
      </c>
      <c r="Q860" s="1" t="s">
        <v>2130</v>
      </c>
      <c r="R860" s="1" t="s">
        <v>13</v>
      </c>
      <c r="S860" s="1"/>
      <c r="T860" s="1"/>
      <c r="U860" s="1" t="s">
        <v>1321</v>
      </c>
      <c r="V860" s="1" t="s">
        <v>1321</v>
      </c>
      <c r="W860" s="145">
        <f t="shared" si="1"/>
        <v>0.0001957128117</v>
      </c>
      <c r="AC860" s="38"/>
    </row>
    <row r="861" ht="15.75" customHeight="1">
      <c r="A861" s="1" t="s">
        <v>1917</v>
      </c>
      <c r="B861" s="1" t="s">
        <v>2127</v>
      </c>
      <c r="C861" s="63">
        <v>46261.0</v>
      </c>
      <c r="D861" s="63" t="s">
        <v>130</v>
      </c>
      <c r="E861" s="68">
        <v>0.95674973</v>
      </c>
      <c r="F861" s="1"/>
      <c r="G861" s="23">
        <v>5000000.0</v>
      </c>
      <c r="H861" s="23">
        <v>4783748.63</v>
      </c>
      <c r="I861" s="23">
        <v>5000000.0</v>
      </c>
      <c r="J861" s="23">
        <v>4783748.63</v>
      </c>
      <c r="K861" s="24">
        <v>641.0</v>
      </c>
      <c r="L861" s="1" t="s">
        <v>1776</v>
      </c>
      <c r="M861" s="1" t="s">
        <v>2128</v>
      </c>
      <c r="N861" s="63" t="s">
        <v>1302</v>
      </c>
      <c r="O861" s="63" t="s">
        <v>1302</v>
      </c>
      <c r="P861" s="68">
        <v>30.0</v>
      </c>
      <c r="Q861" s="1" t="s">
        <v>2130</v>
      </c>
      <c r="R861" s="1" t="s">
        <v>13</v>
      </c>
      <c r="S861" s="1"/>
      <c r="T861" s="1"/>
      <c r="U861" s="1" t="s">
        <v>1322</v>
      </c>
      <c r="V861" s="1" t="s">
        <v>1322</v>
      </c>
      <c r="W861" s="145">
        <f t="shared" si="1"/>
        <v>0.00009785640545</v>
      </c>
      <c r="AC861" s="38"/>
    </row>
    <row r="862" ht="15.75" customHeight="1">
      <c r="A862" s="1" t="s">
        <v>1917</v>
      </c>
      <c r="B862" s="1" t="s">
        <v>2127</v>
      </c>
      <c r="C862" s="63">
        <v>46261.0</v>
      </c>
      <c r="D862" s="63" t="s">
        <v>130</v>
      </c>
      <c r="E862" s="68">
        <v>0.95674968</v>
      </c>
      <c r="F862" s="1"/>
      <c r="G862" s="23">
        <v>5000000.0</v>
      </c>
      <c r="H862" s="23">
        <v>4783748.38</v>
      </c>
      <c r="I862" s="23">
        <v>5000000.0</v>
      </c>
      <c r="J862" s="23">
        <v>4783748.38</v>
      </c>
      <c r="K862" s="24">
        <v>681.0</v>
      </c>
      <c r="L862" s="1" t="s">
        <v>1776</v>
      </c>
      <c r="M862" s="1" t="s">
        <v>2128</v>
      </c>
      <c r="N862" s="63" t="s">
        <v>1458</v>
      </c>
      <c r="O862" s="63" t="s">
        <v>1458</v>
      </c>
      <c r="P862" s="68">
        <v>30.0</v>
      </c>
      <c r="Q862" s="1" t="s">
        <v>2130</v>
      </c>
      <c r="R862" s="1" t="s">
        <v>13</v>
      </c>
      <c r="S862" s="1"/>
      <c r="T862" s="1"/>
      <c r="U862" s="1" t="s">
        <v>1463</v>
      </c>
      <c r="V862" s="1" t="s">
        <v>1463</v>
      </c>
      <c r="W862" s="145">
        <f t="shared" si="1"/>
        <v>0.00009785640034</v>
      </c>
      <c r="AC862" s="38"/>
    </row>
    <row r="863" ht="15.75" customHeight="1">
      <c r="A863" s="1" t="s">
        <v>1903</v>
      </c>
      <c r="B863" s="1" t="s">
        <v>2127</v>
      </c>
      <c r="C863" s="63">
        <v>46261.0</v>
      </c>
      <c r="D863" s="63" t="s">
        <v>130</v>
      </c>
      <c r="E863" s="68">
        <v>0.95813101</v>
      </c>
      <c r="F863" s="1"/>
      <c r="G863" s="23">
        <v>1.0E7</v>
      </c>
      <c r="H863" s="23">
        <v>9581310.12</v>
      </c>
      <c r="I863" s="23">
        <v>1.0E7</v>
      </c>
      <c r="J863" s="23">
        <v>9581310.12</v>
      </c>
      <c r="K863" s="24">
        <v>6.6412433E7</v>
      </c>
      <c r="L863" s="1" t="s">
        <v>1776</v>
      </c>
      <c r="M863" s="1" t="s">
        <v>2128</v>
      </c>
      <c r="N863" s="63" t="s">
        <v>446</v>
      </c>
      <c r="O863" s="63" t="s">
        <v>446</v>
      </c>
      <c r="P863" s="68">
        <v>29.0</v>
      </c>
      <c r="Q863" s="1" t="s">
        <v>2130</v>
      </c>
      <c r="R863" s="1" t="s">
        <v>13</v>
      </c>
      <c r="S863" s="1"/>
      <c r="T863" s="1"/>
      <c r="U863" s="1" t="s">
        <v>505</v>
      </c>
      <c r="V863" s="1" t="s">
        <v>505</v>
      </c>
      <c r="W863" s="145">
        <f t="shared" si="1"/>
        <v>0.0001959953669</v>
      </c>
      <c r="AC863" s="38"/>
    </row>
    <row r="864" ht="15.75" customHeight="1">
      <c r="A864" s="1" t="s">
        <v>1949</v>
      </c>
      <c r="B864" s="1" t="s">
        <v>2127</v>
      </c>
      <c r="C864" s="63">
        <v>46261.0</v>
      </c>
      <c r="D864" s="63" t="s">
        <v>130</v>
      </c>
      <c r="E864" s="68">
        <v>0.94990248</v>
      </c>
      <c r="F864" s="1"/>
      <c r="G864" s="23">
        <v>1.5E7</v>
      </c>
      <c r="H864" s="23">
        <v>1.424853727E7</v>
      </c>
      <c r="I864" s="23">
        <v>1.5E7</v>
      </c>
      <c r="J864" s="23">
        <v>1.424853727E7</v>
      </c>
      <c r="K864" s="24">
        <v>4268.0</v>
      </c>
      <c r="L864" s="1" t="s">
        <v>1776</v>
      </c>
      <c r="M864" s="1" t="s">
        <v>2128</v>
      </c>
      <c r="N864" s="63" t="s">
        <v>1230</v>
      </c>
      <c r="O864" s="63" t="s">
        <v>1230</v>
      </c>
      <c r="P864" s="68">
        <v>35.0</v>
      </c>
      <c r="Q864" s="1" t="s">
        <v>2130</v>
      </c>
      <c r="R864" s="1" t="s">
        <v>13</v>
      </c>
      <c r="S864" s="1"/>
      <c r="T864" s="1"/>
      <c r="U864" s="1" t="s">
        <v>1234</v>
      </c>
      <c r="V864" s="1" t="s">
        <v>1234</v>
      </c>
      <c r="W864" s="145">
        <f t="shared" si="1"/>
        <v>0.0002914682079</v>
      </c>
      <c r="AC864" s="38"/>
    </row>
    <row r="865" ht="15.75" customHeight="1">
      <c r="A865" s="1" t="s">
        <v>1991</v>
      </c>
      <c r="B865" s="1" t="s">
        <v>2127</v>
      </c>
      <c r="C865" s="63">
        <v>46261.0</v>
      </c>
      <c r="D865" s="63" t="s">
        <v>130</v>
      </c>
      <c r="E865" s="68">
        <v>0.95262965</v>
      </c>
      <c r="F865" s="1"/>
      <c r="G865" s="23">
        <v>2200000.0</v>
      </c>
      <c r="H865" s="23">
        <v>2095785.23</v>
      </c>
      <c r="I865" s="23">
        <v>2200000.0</v>
      </c>
      <c r="J865" s="23">
        <v>2095785.23</v>
      </c>
      <c r="K865" s="24">
        <v>6196.0</v>
      </c>
      <c r="L865" s="1" t="s">
        <v>1776</v>
      </c>
      <c r="M865" s="1" t="s">
        <v>2128</v>
      </c>
      <c r="N865" s="63" t="s">
        <v>1084</v>
      </c>
      <c r="O865" s="63" t="s">
        <v>1084</v>
      </c>
      <c r="P865" s="68">
        <v>33.0</v>
      </c>
      <c r="Q865" s="1" t="s">
        <v>2130</v>
      </c>
      <c r="R865" s="1" t="s">
        <v>13</v>
      </c>
      <c r="S865" s="1"/>
      <c r="T865" s="1"/>
      <c r="U865" s="1" t="s">
        <v>1104</v>
      </c>
      <c r="V865" s="1" t="s">
        <v>1104</v>
      </c>
      <c r="W865" s="145">
        <f t="shared" si="1"/>
        <v>0.00004287140171</v>
      </c>
    </row>
    <row r="866" ht="15.75" customHeight="1">
      <c r="A866" s="1" t="s">
        <v>1910</v>
      </c>
      <c r="B866" s="1" t="s">
        <v>2127</v>
      </c>
      <c r="C866" s="63">
        <v>46261.0</v>
      </c>
      <c r="D866" s="63" t="s">
        <v>130</v>
      </c>
      <c r="E866" s="68">
        <v>0.96369652</v>
      </c>
      <c r="F866" s="1"/>
      <c r="G866" s="23">
        <v>5.0E7</v>
      </c>
      <c r="H866" s="23">
        <v>4.818482597E7</v>
      </c>
      <c r="I866" s="23">
        <v>5.0E7</v>
      </c>
      <c r="J866" s="23">
        <v>4.818482597E7</v>
      </c>
      <c r="K866" s="24">
        <v>4901.0</v>
      </c>
      <c r="L866" s="1" t="s">
        <v>1776</v>
      </c>
      <c r="M866" s="1" t="s">
        <v>2128</v>
      </c>
      <c r="N866" s="63" t="s">
        <v>1428</v>
      </c>
      <c r="O866" s="63" t="s">
        <v>1428</v>
      </c>
      <c r="P866" s="68">
        <v>25.0</v>
      </c>
      <c r="Q866" s="1" t="s">
        <v>2130</v>
      </c>
      <c r="R866" s="1" t="s">
        <v>13</v>
      </c>
      <c r="S866" s="1"/>
      <c r="T866" s="1"/>
      <c r="U866" s="1" t="s">
        <v>1453</v>
      </c>
      <c r="V866" s="1" t="s">
        <v>1453</v>
      </c>
      <c r="W866" s="145">
        <f t="shared" si="1"/>
        <v>0.000985669238</v>
      </c>
      <c r="AC866" s="38"/>
    </row>
    <row r="867" ht="15.75" customHeight="1">
      <c r="A867" s="1" t="s">
        <v>1903</v>
      </c>
      <c r="B867" s="1" t="s">
        <v>2127</v>
      </c>
      <c r="C867" s="63">
        <v>46261.0</v>
      </c>
      <c r="D867" s="63" t="s">
        <v>130</v>
      </c>
      <c r="E867" s="68">
        <v>0.95813106</v>
      </c>
      <c r="F867" s="1"/>
      <c r="G867" s="23">
        <v>1.0E7</v>
      </c>
      <c r="H867" s="23">
        <v>9581310.58</v>
      </c>
      <c r="I867" s="23">
        <v>1.0E7</v>
      </c>
      <c r="J867" s="23">
        <v>9581310.58</v>
      </c>
      <c r="K867" s="24">
        <v>2155.0</v>
      </c>
      <c r="L867" s="1" t="s">
        <v>1776</v>
      </c>
      <c r="M867" s="1" t="s">
        <v>2128</v>
      </c>
      <c r="N867" s="63" t="s">
        <v>591</v>
      </c>
      <c r="O867" s="63" t="s">
        <v>591</v>
      </c>
      <c r="P867" s="68">
        <v>29.0</v>
      </c>
      <c r="Q867" s="1" t="s">
        <v>2130</v>
      </c>
      <c r="R867" s="1" t="s">
        <v>13</v>
      </c>
      <c r="S867" s="1"/>
      <c r="T867" s="1"/>
      <c r="U867" s="1" t="s">
        <v>599</v>
      </c>
      <c r="V867" s="1" t="s">
        <v>599</v>
      </c>
      <c r="W867" s="145">
        <f t="shared" si="1"/>
        <v>0.0001959953763</v>
      </c>
      <c r="AC867" s="38"/>
    </row>
    <row r="868" ht="15.75" customHeight="1">
      <c r="A868" s="1" t="s">
        <v>1939</v>
      </c>
      <c r="B868" s="1" t="s">
        <v>2127</v>
      </c>
      <c r="C868" s="63">
        <v>46261.0</v>
      </c>
      <c r="D868" s="63" t="s">
        <v>130</v>
      </c>
      <c r="E868" s="68">
        <v>0.95262954</v>
      </c>
      <c r="F868" s="1"/>
      <c r="G868" s="23">
        <v>1.25E7</v>
      </c>
      <c r="H868" s="23">
        <v>1.190786931E7</v>
      </c>
      <c r="I868" s="23">
        <v>1.25E7</v>
      </c>
      <c r="J868" s="23">
        <v>1.190786931E7</v>
      </c>
      <c r="K868" s="24">
        <v>1355.0</v>
      </c>
      <c r="L868" s="1" t="s">
        <v>1776</v>
      </c>
      <c r="M868" s="1" t="s">
        <v>2128</v>
      </c>
      <c r="N868" s="63" t="s">
        <v>863</v>
      </c>
      <c r="O868" s="63" t="s">
        <v>863</v>
      </c>
      <c r="P868" s="68">
        <v>33.0</v>
      </c>
      <c r="Q868" s="1" t="s">
        <v>2130</v>
      </c>
      <c r="R868" s="1" t="s">
        <v>13</v>
      </c>
      <c r="S868" s="1"/>
      <c r="T868" s="1"/>
      <c r="U868" s="1" t="s">
        <v>866</v>
      </c>
      <c r="V868" s="1" t="s">
        <v>866</v>
      </c>
      <c r="W868" s="145">
        <f t="shared" si="1"/>
        <v>0.0002435874828</v>
      </c>
      <c r="AC868" s="38"/>
    </row>
    <row r="869" ht="15.75" customHeight="1">
      <c r="A869" s="1" t="s">
        <v>1921</v>
      </c>
      <c r="B869" s="1" t="s">
        <v>2127</v>
      </c>
      <c r="C869" s="63">
        <v>46261.0</v>
      </c>
      <c r="D869" s="63" t="s">
        <v>130</v>
      </c>
      <c r="E869" s="68">
        <v>0.96369638</v>
      </c>
      <c r="F869" s="1"/>
      <c r="G869" s="23">
        <v>456527.78</v>
      </c>
      <c r="H869" s="23">
        <v>439954.17</v>
      </c>
      <c r="I869" s="23">
        <v>456527.78</v>
      </c>
      <c r="J869" s="23">
        <v>439954.17</v>
      </c>
      <c r="K869" s="24">
        <v>1.1341119E7</v>
      </c>
      <c r="L869" s="1" t="s">
        <v>1776</v>
      </c>
      <c r="M869" s="1" t="s">
        <v>2128</v>
      </c>
      <c r="N869" s="63" t="s">
        <v>1488</v>
      </c>
      <c r="O869" s="63" t="s">
        <v>1488</v>
      </c>
      <c r="P869" s="68">
        <v>25.0</v>
      </c>
      <c r="Q869" s="1" t="s">
        <v>2130</v>
      </c>
      <c r="R869" s="1" t="s">
        <v>13</v>
      </c>
      <c r="S869" s="1"/>
      <c r="T869" s="1"/>
      <c r="U869" s="1" t="s">
        <v>1519</v>
      </c>
      <c r="V869" s="1" t="s">
        <v>1519</v>
      </c>
      <c r="W869" s="145">
        <f t="shared" si="1"/>
        <v>0.0000089997065</v>
      </c>
      <c r="AC869" s="38"/>
    </row>
    <row r="870" ht="15.75" customHeight="1">
      <c r="A870" s="1" t="s">
        <v>1926</v>
      </c>
      <c r="B870" s="1" t="s">
        <v>2127</v>
      </c>
      <c r="C870" s="63">
        <v>46261.0</v>
      </c>
      <c r="D870" s="63" t="s">
        <v>130</v>
      </c>
      <c r="E870" s="68">
        <v>0.95813104</v>
      </c>
      <c r="F870" s="1"/>
      <c r="G870" s="23">
        <v>4.0E7</v>
      </c>
      <c r="H870" s="23">
        <v>3.832524147E7</v>
      </c>
      <c r="I870" s="23">
        <v>4.0E7</v>
      </c>
      <c r="J870" s="23">
        <v>3.832524147E7</v>
      </c>
      <c r="K870" s="24">
        <v>8.0939846E7</v>
      </c>
      <c r="L870" s="1" t="s">
        <v>1776</v>
      </c>
      <c r="M870" s="1" t="s">
        <v>2128</v>
      </c>
      <c r="N870" s="63" t="s">
        <v>628</v>
      </c>
      <c r="O870" s="63" t="s">
        <v>628</v>
      </c>
      <c r="P870" s="68">
        <v>29.0</v>
      </c>
      <c r="Q870" s="1" t="s">
        <v>2130</v>
      </c>
      <c r="R870" s="1" t="s">
        <v>13</v>
      </c>
      <c r="S870" s="1"/>
      <c r="T870" s="1"/>
      <c r="U870" s="1" t="s">
        <v>649</v>
      </c>
      <c r="V870" s="1" t="s">
        <v>649</v>
      </c>
      <c r="W870" s="145">
        <f t="shared" si="1"/>
        <v>0.0007839814878</v>
      </c>
      <c r="AC870" s="38"/>
    </row>
    <row r="871" ht="15.75" customHeight="1">
      <c r="A871" s="1" t="s">
        <v>1907</v>
      </c>
      <c r="B871" s="1" t="s">
        <v>2127</v>
      </c>
      <c r="C871" s="63">
        <v>46261.0</v>
      </c>
      <c r="D871" s="63" t="s">
        <v>130</v>
      </c>
      <c r="E871" s="68">
        <v>0.95813109</v>
      </c>
      <c r="F871" s="1"/>
      <c r="G871" s="23">
        <v>2.0E8</v>
      </c>
      <c r="H871" s="23">
        <v>1.9162621896E8</v>
      </c>
      <c r="I871" s="23">
        <v>2.0E8</v>
      </c>
      <c r="J871" s="23">
        <v>1.9162621896E8</v>
      </c>
      <c r="K871" s="24">
        <v>9.0003857E7</v>
      </c>
      <c r="L871" s="1" t="s">
        <v>1776</v>
      </c>
      <c r="M871" s="1" t="s">
        <v>2128</v>
      </c>
      <c r="N871" s="63" t="s">
        <v>1412</v>
      </c>
      <c r="O871" s="63" t="s">
        <v>1412</v>
      </c>
      <c r="P871" s="68">
        <v>29.0</v>
      </c>
      <c r="Q871" s="1" t="s">
        <v>2130</v>
      </c>
      <c r="R871" s="1" t="s">
        <v>13</v>
      </c>
      <c r="S871" s="1"/>
      <c r="T871" s="1"/>
      <c r="U871" s="1" t="s">
        <v>1424</v>
      </c>
      <c r="V871" s="1" t="s">
        <v>1424</v>
      </c>
      <c r="W871" s="145">
        <f t="shared" si="1"/>
        <v>0.003919907677</v>
      </c>
      <c r="AC871" s="38"/>
    </row>
    <row r="872" ht="15.75" customHeight="1">
      <c r="A872" s="1" t="s">
        <v>2047</v>
      </c>
      <c r="B872" s="1" t="s">
        <v>2127</v>
      </c>
      <c r="C872" s="63">
        <v>46261.0</v>
      </c>
      <c r="D872" s="63" t="s">
        <v>130</v>
      </c>
      <c r="E872" s="68">
        <v>0.95674972</v>
      </c>
      <c r="F872" s="1"/>
      <c r="G872" s="23">
        <v>1770042.53</v>
      </c>
      <c r="H872" s="23">
        <v>1693487.7</v>
      </c>
      <c r="I872" s="23">
        <v>1770042.53</v>
      </c>
      <c r="J872" s="23">
        <v>1693487.7</v>
      </c>
      <c r="K872" s="24">
        <v>250.0</v>
      </c>
      <c r="L872" s="1" t="s">
        <v>1776</v>
      </c>
      <c r="M872" s="1" t="s">
        <v>2128</v>
      </c>
      <c r="N872" s="63" t="s">
        <v>1302</v>
      </c>
      <c r="O872" s="63" t="s">
        <v>1302</v>
      </c>
      <c r="P872" s="68">
        <v>30.0</v>
      </c>
      <c r="Q872" s="1" t="s">
        <v>2130</v>
      </c>
      <c r="R872" s="1" t="s">
        <v>13</v>
      </c>
      <c r="S872" s="1"/>
      <c r="T872" s="1"/>
      <c r="U872" s="1" t="s">
        <v>1310</v>
      </c>
      <c r="V872" s="1" t="s">
        <v>1310</v>
      </c>
      <c r="W872" s="145">
        <f t="shared" si="1"/>
        <v>0.00003464199978</v>
      </c>
      <c r="AC872" s="38"/>
    </row>
    <row r="873" ht="15.75" customHeight="1">
      <c r="A873" s="1" t="s">
        <v>2000</v>
      </c>
      <c r="B873" s="1" t="s">
        <v>2127</v>
      </c>
      <c r="C873" s="63">
        <v>46261.0</v>
      </c>
      <c r="D873" s="63" t="s">
        <v>130</v>
      </c>
      <c r="E873" s="68">
        <v>0.9526298</v>
      </c>
      <c r="F873" s="1"/>
      <c r="G873" s="23">
        <v>1.0E7</v>
      </c>
      <c r="H873" s="23">
        <v>9526297.97</v>
      </c>
      <c r="I873" s="23">
        <v>1.0E7</v>
      </c>
      <c r="J873" s="23">
        <v>9526297.97</v>
      </c>
      <c r="K873" s="24">
        <v>5743951.0</v>
      </c>
      <c r="L873" s="1" t="s">
        <v>1776</v>
      </c>
      <c r="M873" s="1" t="s">
        <v>2128</v>
      </c>
      <c r="N873" s="63" t="s">
        <v>130</v>
      </c>
      <c r="O873" s="63" t="s">
        <v>130</v>
      </c>
      <c r="P873" s="68">
        <v>33.0</v>
      </c>
      <c r="Q873" s="1" t="s">
        <v>2130</v>
      </c>
      <c r="R873" s="1" t="s">
        <v>13</v>
      </c>
      <c r="S873" s="1"/>
      <c r="T873" s="1"/>
      <c r="U873" s="1" t="s">
        <v>1652</v>
      </c>
      <c r="V873" s="1" t="s">
        <v>1652</v>
      </c>
      <c r="W873" s="145">
        <f t="shared" si="1"/>
        <v>0.0001948700379</v>
      </c>
      <c r="AC873" s="38"/>
    </row>
    <row r="874" ht="15.75" customHeight="1">
      <c r="A874" s="1" t="s">
        <v>1940</v>
      </c>
      <c r="B874" s="1" t="s">
        <v>2127</v>
      </c>
      <c r="C874" s="63">
        <v>46262.0</v>
      </c>
      <c r="D874" s="63" t="s">
        <v>130</v>
      </c>
      <c r="E874" s="68">
        <v>0.9532019</v>
      </c>
      <c r="F874" s="1"/>
      <c r="G874" s="23">
        <v>6.5E7</v>
      </c>
      <c r="H874" s="23">
        <v>6.195812377E7</v>
      </c>
      <c r="I874" s="23">
        <v>6.5E7</v>
      </c>
      <c r="J874" s="23">
        <v>6.195812377E7</v>
      </c>
      <c r="K874" s="24">
        <v>335.0</v>
      </c>
      <c r="L874" s="1" t="s">
        <v>1776</v>
      </c>
      <c r="M874" s="1" t="s">
        <v>2128</v>
      </c>
      <c r="N874" s="63" t="s">
        <v>1458</v>
      </c>
      <c r="O874" s="63" t="s">
        <v>1458</v>
      </c>
      <c r="P874" s="68">
        <v>32.0</v>
      </c>
      <c r="Q874" s="1" t="s">
        <v>2130</v>
      </c>
      <c r="R874" s="1" t="s">
        <v>13</v>
      </c>
      <c r="S874" s="1"/>
      <c r="T874" s="1"/>
      <c r="U874" s="1" t="s">
        <v>1467</v>
      </c>
      <c r="V874" s="1" t="s">
        <v>1467</v>
      </c>
      <c r="W874" s="145">
        <f t="shared" si="1"/>
        <v>0.001267415943</v>
      </c>
      <c r="AC874" s="38"/>
    </row>
    <row r="875" ht="15.75" customHeight="1">
      <c r="A875" s="1" t="s">
        <v>1917</v>
      </c>
      <c r="B875" s="1" t="s">
        <v>2127</v>
      </c>
      <c r="C875" s="63">
        <v>46262.0</v>
      </c>
      <c r="D875" s="63" t="s">
        <v>130</v>
      </c>
      <c r="E875" s="68">
        <v>0.95599808</v>
      </c>
      <c r="F875" s="1"/>
      <c r="G875" s="23">
        <v>1.0E7</v>
      </c>
      <c r="H875" s="23">
        <v>9559980.84</v>
      </c>
      <c r="I875" s="23">
        <v>1.0E7</v>
      </c>
      <c r="J875" s="23">
        <v>9559980.84</v>
      </c>
      <c r="K875" s="24">
        <v>610.0</v>
      </c>
      <c r="L875" s="1" t="s">
        <v>1776</v>
      </c>
      <c r="M875" s="1" t="s">
        <v>2128</v>
      </c>
      <c r="N875" s="63" t="s">
        <v>1209</v>
      </c>
      <c r="O875" s="63" t="s">
        <v>1209</v>
      </c>
      <c r="P875" s="68">
        <v>30.0</v>
      </c>
      <c r="Q875" s="1" t="s">
        <v>2130</v>
      </c>
      <c r="R875" s="1" t="s">
        <v>13</v>
      </c>
      <c r="S875" s="1"/>
      <c r="T875" s="1"/>
      <c r="U875" s="1" t="s">
        <v>1213</v>
      </c>
      <c r="V875" s="1" t="s">
        <v>1213</v>
      </c>
      <c r="W875" s="145">
        <f t="shared" si="1"/>
        <v>0.0001955590549</v>
      </c>
      <c r="AC875" s="38"/>
    </row>
    <row r="876" ht="15.75" customHeight="1">
      <c r="A876" s="1" t="s">
        <v>1917</v>
      </c>
      <c r="B876" s="1" t="s">
        <v>2127</v>
      </c>
      <c r="C876" s="63">
        <v>46262.0</v>
      </c>
      <c r="D876" s="63" t="s">
        <v>130</v>
      </c>
      <c r="E876" s="68">
        <v>0.95599805</v>
      </c>
      <c r="F876" s="1"/>
      <c r="G876" s="23">
        <v>1.0E7</v>
      </c>
      <c r="H876" s="23">
        <v>9559980.48</v>
      </c>
      <c r="I876" s="23">
        <v>1.0E7</v>
      </c>
      <c r="J876" s="23">
        <v>9559980.48</v>
      </c>
      <c r="K876" s="24">
        <v>700.0</v>
      </c>
      <c r="L876" s="1" t="s">
        <v>1776</v>
      </c>
      <c r="M876" s="1" t="s">
        <v>2128</v>
      </c>
      <c r="N876" s="63" t="s">
        <v>1473</v>
      </c>
      <c r="O876" s="63" t="s">
        <v>1473</v>
      </c>
      <c r="P876" s="68">
        <v>30.0</v>
      </c>
      <c r="Q876" s="1" t="s">
        <v>2130</v>
      </c>
      <c r="R876" s="1" t="s">
        <v>13</v>
      </c>
      <c r="S876" s="1"/>
      <c r="T876" s="1"/>
      <c r="U876" s="1" t="s">
        <v>1476</v>
      </c>
      <c r="V876" s="1" t="s">
        <v>1476</v>
      </c>
      <c r="W876" s="145">
        <f t="shared" si="1"/>
        <v>0.0001955590476</v>
      </c>
      <c r="AC876" s="38"/>
    </row>
    <row r="877" ht="15.75" customHeight="1">
      <c r="A877" s="1" t="s">
        <v>1917</v>
      </c>
      <c r="B877" s="1" t="s">
        <v>2127</v>
      </c>
      <c r="C877" s="63">
        <v>46262.0</v>
      </c>
      <c r="D877" s="63" t="s">
        <v>130</v>
      </c>
      <c r="E877" s="68">
        <v>0.95599793</v>
      </c>
      <c r="F877" s="1"/>
      <c r="G877" s="23">
        <v>1.0E7</v>
      </c>
      <c r="H877" s="23">
        <v>9559979.34</v>
      </c>
      <c r="I877" s="23">
        <v>1.0E7</v>
      </c>
      <c r="J877" s="23">
        <v>9559979.34</v>
      </c>
      <c r="K877" s="24">
        <v>577.0</v>
      </c>
      <c r="L877" s="1" t="s">
        <v>1776</v>
      </c>
      <c r="M877" s="1" t="s">
        <v>2128</v>
      </c>
      <c r="N877" s="63" t="s">
        <v>1048</v>
      </c>
      <c r="O877" s="63" t="s">
        <v>1048</v>
      </c>
      <c r="P877" s="68">
        <v>30.0</v>
      </c>
      <c r="Q877" s="1" t="s">
        <v>2130</v>
      </c>
      <c r="R877" s="1" t="s">
        <v>13</v>
      </c>
      <c r="S877" s="1"/>
      <c r="T877" s="1"/>
      <c r="U877" s="1" t="s">
        <v>1051</v>
      </c>
      <c r="V877" s="1" t="s">
        <v>1051</v>
      </c>
      <c r="W877" s="145">
        <f t="shared" si="1"/>
        <v>0.0001955590243</v>
      </c>
      <c r="AC877" s="38"/>
    </row>
    <row r="878" ht="15.75" customHeight="1">
      <c r="A878" s="1" t="s">
        <v>1903</v>
      </c>
      <c r="B878" s="1" t="s">
        <v>2127</v>
      </c>
      <c r="C878" s="63">
        <v>46262.0</v>
      </c>
      <c r="D878" s="63" t="s">
        <v>130</v>
      </c>
      <c r="E878" s="68">
        <v>0.95740227</v>
      </c>
      <c r="F878" s="1"/>
      <c r="G878" s="23">
        <v>1.0E7</v>
      </c>
      <c r="H878" s="23">
        <v>9574022.7</v>
      </c>
      <c r="I878" s="23">
        <v>1.0E7</v>
      </c>
      <c r="J878" s="23">
        <v>9574022.7</v>
      </c>
      <c r="K878" s="24">
        <v>6.6412455E7</v>
      </c>
      <c r="L878" s="1" t="s">
        <v>1776</v>
      </c>
      <c r="M878" s="1" t="s">
        <v>2128</v>
      </c>
      <c r="N878" s="63" t="s">
        <v>446</v>
      </c>
      <c r="O878" s="63" t="s">
        <v>446</v>
      </c>
      <c r="P878" s="68">
        <v>29.0</v>
      </c>
      <c r="Q878" s="1" t="s">
        <v>2130</v>
      </c>
      <c r="R878" s="1" t="s">
        <v>13</v>
      </c>
      <c r="S878" s="1"/>
      <c r="T878" s="1"/>
      <c r="U878" s="1" t="s">
        <v>507</v>
      </c>
      <c r="V878" s="1" t="s">
        <v>507</v>
      </c>
      <c r="W878" s="145">
        <f t="shared" si="1"/>
        <v>0.0001958462954</v>
      </c>
      <c r="AC878" s="38"/>
    </row>
    <row r="879" ht="15.75" customHeight="1">
      <c r="A879" s="1" t="s">
        <v>1991</v>
      </c>
      <c r="B879" s="1" t="s">
        <v>2127</v>
      </c>
      <c r="C879" s="63">
        <v>46262.0</v>
      </c>
      <c r="D879" s="63" t="s">
        <v>130</v>
      </c>
      <c r="E879" s="68">
        <v>0.95180983</v>
      </c>
      <c r="F879" s="1"/>
      <c r="G879" s="23">
        <v>2200000.0</v>
      </c>
      <c r="H879" s="23">
        <v>2093981.62</v>
      </c>
      <c r="I879" s="23">
        <v>2200000.0</v>
      </c>
      <c r="J879" s="23">
        <v>2093981.62</v>
      </c>
      <c r="K879" s="24">
        <v>6197.0</v>
      </c>
      <c r="L879" s="1" t="s">
        <v>1776</v>
      </c>
      <c r="M879" s="1" t="s">
        <v>2128</v>
      </c>
      <c r="N879" s="63" t="s">
        <v>1084</v>
      </c>
      <c r="O879" s="63" t="s">
        <v>1084</v>
      </c>
      <c r="P879" s="68">
        <v>33.0</v>
      </c>
      <c r="Q879" s="1" t="s">
        <v>2130</v>
      </c>
      <c r="R879" s="1" t="s">
        <v>13</v>
      </c>
      <c r="S879" s="1"/>
      <c r="T879" s="1"/>
      <c r="U879" s="1" t="s">
        <v>1105</v>
      </c>
      <c r="V879" s="1" t="s">
        <v>1105</v>
      </c>
      <c r="W879" s="145">
        <f t="shared" si="1"/>
        <v>0.00004283450705</v>
      </c>
      <c r="AC879" s="38"/>
    </row>
    <row r="880" ht="15.75" customHeight="1">
      <c r="A880" s="1" t="s">
        <v>1903</v>
      </c>
      <c r="B880" s="1" t="s">
        <v>2127</v>
      </c>
      <c r="C880" s="63">
        <v>46262.0</v>
      </c>
      <c r="D880" s="63" t="s">
        <v>130</v>
      </c>
      <c r="E880" s="68">
        <v>0.9574022</v>
      </c>
      <c r="F880" s="1"/>
      <c r="G880" s="23">
        <v>1.0E7</v>
      </c>
      <c r="H880" s="23">
        <v>9574021.98</v>
      </c>
      <c r="I880" s="23">
        <v>1.0E7</v>
      </c>
      <c r="J880" s="23">
        <v>9574021.98</v>
      </c>
      <c r="K880" s="24">
        <v>2156.0</v>
      </c>
      <c r="L880" s="1" t="s">
        <v>1776</v>
      </c>
      <c r="M880" s="1" t="s">
        <v>2128</v>
      </c>
      <c r="N880" s="63" t="s">
        <v>591</v>
      </c>
      <c r="O880" s="63" t="s">
        <v>591</v>
      </c>
      <c r="P880" s="68">
        <v>29.0</v>
      </c>
      <c r="Q880" s="1" t="s">
        <v>2130</v>
      </c>
      <c r="R880" s="1" t="s">
        <v>13</v>
      </c>
      <c r="S880" s="1"/>
      <c r="T880" s="1"/>
      <c r="U880" s="1" t="s">
        <v>602</v>
      </c>
      <c r="V880" s="1" t="s">
        <v>602</v>
      </c>
      <c r="W880" s="145">
        <f t="shared" si="1"/>
        <v>0.0001958462806</v>
      </c>
      <c r="AC880" s="38"/>
    </row>
    <row r="881" ht="15.75" customHeight="1">
      <c r="A881" s="1" t="s">
        <v>1933</v>
      </c>
      <c r="B881" s="1" t="s">
        <v>2127</v>
      </c>
      <c r="C881" s="63">
        <v>46262.0</v>
      </c>
      <c r="D881" s="63" t="s">
        <v>130</v>
      </c>
      <c r="E881" s="68">
        <v>0.95320178</v>
      </c>
      <c r="F881" s="1"/>
      <c r="G881" s="23">
        <v>1.5E7</v>
      </c>
      <c r="H881" s="23">
        <v>1.429802672E7</v>
      </c>
      <c r="I881" s="23">
        <v>1.5E7</v>
      </c>
      <c r="J881" s="23">
        <v>1.429802672E7</v>
      </c>
      <c r="K881" s="24">
        <v>178.0</v>
      </c>
      <c r="L881" s="1" t="s">
        <v>1776</v>
      </c>
      <c r="M881" s="1" t="s">
        <v>2128</v>
      </c>
      <c r="N881" s="63" t="s">
        <v>307</v>
      </c>
      <c r="O881" s="63" t="s">
        <v>307</v>
      </c>
      <c r="P881" s="68">
        <v>32.0</v>
      </c>
      <c r="Q881" s="1" t="s">
        <v>2130</v>
      </c>
      <c r="R881" s="1" t="s">
        <v>13</v>
      </c>
      <c r="S881" s="1"/>
      <c r="T881" s="1"/>
      <c r="U881" s="1" t="s">
        <v>325</v>
      </c>
      <c r="V881" s="1" t="s">
        <v>325</v>
      </c>
      <c r="W881" s="145">
        <f t="shared" si="1"/>
        <v>0.0002924805645</v>
      </c>
      <c r="AC881" s="38"/>
    </row>
    <row r="882" ht="15.75" customHeight="1">
      <c r="A882" s="1" t="s">
        <v>1939</v>
      </c>
      <c r="B882" s="1" t="s">
        <v>2127</v>
      </c>
      <c r="C882" s="63">
        <v>46262.0</v>
      </c>
      <c r="D882" s="63" t="s">
        <v>130</v>
      </c>
      <c r="E882" s="68">
        <v>0.94903806</v>
      </c>
      <c r="F882" s="1"/>
      <c r="G882" s="23">
        <v>1.66E7</v>
      </c>
      <c r="H882" s="23">
        <v>1.575403174E7</v>
      </c>
      <c r="I882" s="23">
        <v>1.66E7</v>
      </c>
      <c r="J882" s="23">
        <v>1.575403174E7</v>
      </c>
      <c r="K882" s="24">
        <v>2.9088025E7</v>
      </c>
      <c r="L882" s="1" t="s">
        <v>1776</v>
      </c>
      <c r="M882" s="1" t="s">
        <v>2128</v>
      </c>
      <c r="N882" s="63" t="s">
        <v>256</v>
      </c>
      <c r="O882" s="63" t="s">
        <v>256</v>
      </c>
      <c r="P882" s="68">
        <v>35.0</v>
      </c>
      <c r="Q882" s="1" t="s">
        <v>2130</v>
      </c>
      <c r="R882" s="1" t="s">
        <v>13</v>
      </c>
      <c r="S882" s="1"/>
      <c r="T882" s="1"/>
      <c r="U882" s="1" t="s">
        <v>275</v>
      </c>
      <c r="V882" s="1" t="s">
        <v>275</v>
      </c>
      <c r="W882" s="145">
        <f t="shared" si="1"/>
        <v>0.0003222646164</v>
      </c>
      <c r="AC882" s="38"/>
    </row>
    <row r="883" ht="15.75" customHeight="1">
      <c r="A883" s="1" t="s">
        <v>1921</v>
      </c>
      <c r="B883" s="1" t="s">
        <v>2127</v>
      </c>
      <c r="C883" s="63">
        <v>46262.0</v>
      </c>
      <c r="D883" s="63" t="s">
        <v>130</v>
      </c>
      <c r="E883" s="68">
        <v>0.95881062</v>
      </c>
      <c r="F883" s="1"/>
      <c r="G883" s="23">
        <v>1.0E7</v>
      </c>
      <c r="H883" s="23">
        <v>9588106.23</v>
      </c>
      <c r="I883" s="23">
        <v>1.0E7</v>
      </c>
      <c r="J883" s="23">
        <v>9588106.23</v>
      </c>
      <c r="K883" s="24">
        <v>360559.0</v>
      </c>
      <c r="L883" s="1" t="s">
        <v>1776</v>
      </c>
      <c r="M883" s="1" t="s">
        <v>2128</v>
      </c>
      <c r="N883" s="63" t="s">
        <v>404</v>
      </c>
      <c r="O883" s="63" t="s">
        <v>404</v>
      </c>
      <c r="P883" s="68">
        <v>28.0</v>
      </c>
      <c r="Q883" s="1" t="s">
        <v>2130</v>
      </c>
      <c r="R883" s="1" t="s">
        <v>13</v>
      </c>
      <c r="S883" s="1"/>
      <c r="T883" s="1"/>
      <c r="U883" s="1" t="s">
        <v>431</v>
      </c>
      <c r="V883" s="1" t="s">
        <v>431</v>
      </c>
      <c r="W883" s="145">
        <f t="shared" si="1"/>
        <v>0.0001961343882</v>
      </c>
      <c r="AC883" s="38"/>
    </row>
    <row r="884" ht="15.75" customHeight="1">
      <c r="A884" s="1" t="s">
        <v>1926</v>
      </c>
      <c r="B884" s="1" t="s">
        <v>2127</v>
      </c>
      <c r="C884" s="63">
        <v>46262.0</v>
      </c>
      <c r="D884" s="63" t="s">
        <v>130</v>
      </c>
      <c r="E884" s="68">
        <v>0.95740218</v>
      </c>
      <c r="F884" s="1"/>
      <c r="G884" s="23">
        <v>4.0E7</v>
      </c>
      <c r="H884" s="23">
        <v>3.829608707E7</v>
      </c>
      <c r="I884" s="23">
        <v>4.0E7</v>
      </c>
      <c r="J884" s="23">
        <v>3.829608707E7</v>
      </c>
      <c r="K884" s="24">
        <v>8.0939845E7</v>
      </c>
      <c r="L884" s="1" t="s">
        <v>1776</v>
      </c>
      <c r="M884" s="1" t="s">
        <v>2128</v>
      </c>
      <c r="N884" s="63" t="s">
        <v>628</v>
      </c>
      <c r="O884" s="63" t="s">
        <v>628</v>
      </c>
      <c r="P884" s="68">
        <v>29.0</v>
      </c>
      <c r="Q884" s="1" t="s">
        <v>2130</v>
      </c>
      <c r="R884" s="1" t="s">
        <v>13</v>
      </c>
      <c r="S884" s="1"/>
      <c r="T884" s="1"/>
      <c r="U884" s="1" t="s">
        <v>648</v>
      </c>
      <c r="V884" s="1" t="s">
        <v>648</v>
      </c>
      <c r="W884" s="145">
        <f t="shared" si="1"/>
        <v>0.0007833851051</v>
      </c>
      <c r="AC884" s="38"/>
    </row>
    <row r="885" ht="15.75" customHeight="1">
      <c r="A885" s="1" t="s">
        <v>1907</v>
      </c>
      <c r="B885" s="1" t="s">
        <v>2127</v>
      </c>
      <c r="C885" s="63">
        <v>46262.0</v>
      </c>
      <c r="D885" s="63" t="s">
        <v>130</v>
      </c>
      <c r="E885" s="68">
        <v>0.95740221</v>
      </c>
      <c r="F885" s="1"/>
      <c r="G885" s="23">
        <v>2.0E8</v>
      </c>
      <c r="H885" s="23">
        <v>1.91480441E8</v>
      </c>
      <c r="I885" s="23">
        <v>2.0E8</v>
      </c>
      <c r="J885" s="23">
        <v>1.91480441E8</v>
      </c>
      <c r="K885" s="24">
        <v>9.0003858E7</v>
      </c>
      <c r="L885" s="1" t="s">
        <v>1776</v>
      </c>
      <c r="M885" s="1" t="s">
        <v>2128</v>
      </c>
      <c r="N885" s="63" t="s">
        <v>1412</v>
      </c>
      <c r="O885" s="63" t="s">
        <v>1412</v>
      </c>
      <c r="P885" s="68">
        <v>29.0</v>
      </c>
      <c r="Q885" s="1" t="s">
        <v>2130</v>
      </c>
      <c r="R885" s="1" t="s">
        <v>13</v>
      </c>
      <c r="S885" s="1"/>
      <c r="T885" s="1"/>
      <c r="U885" s="1" t="s">
        <v>1425</v>
      </c>
      <c r="V885" s="1" t="s">
        <v>1425</v>
      </c>
      <c r="W885" s="145">
        <f t="shared" si="1"/>
        <v>0.003916925641</v>
      </c>
      <c r="AC885" s="38"/>
    </row>
    <row r="886" ht="15.75" customHeight="1">
      <c r="A886" s="1" t="s">
        <v>2000</v>
      </c>
      <c r="B886" s="1" t="s">
        <v>2127</v>
      </c>
      <c r="C886" s="63">
        <v>46262.0</v>
      </c>
      <c r="D886" s="63" t="s">
        <v>130</v>
      </c>
      <c r="E886" s="68">
        <v>0.95180994</v>
      </c>
      <c r="F886" s="1"/>
      <c r="G886" s="23">
        <v>9000000.0</v>
      </c>
      <c r="H886" s="23">
        <v>8566289.44</v>
      </c>
      <c r="I886" s="23">
        <v>9000000.0</v>
      </c>
      <c r="J886" s="23">
        <v>8566289.44</v>
      </c>
      <c r="K886" s="24">
        <v>5743952.0</v>
      </c>
      <c r="L886" s="1" t="s">
        <v>1776</v>
      </c>
      <c r="M886" s="1" t="s">
        <v>2128</v>
      </c>
      <c r="N886" s="63" t="s">
        <v>130</v>
      </c>
      <c r="O886" s="63" t="s">
        <v>130</v>
      </c>
      <c r="P886" s="68">
        <v>33.0</v>
      </c>
      <c r="Q886" s="1" t="s">
        <v>2130</v>
      </c>
      <c r="R886" s="1" t="s">
        <v>13</v>
      </c>
      <c r="S886" s="1"/>
      <c r="T886" s="1"/>
      <c r="U886" s="1" t="s">
        <v>1653</v>
      </c>
      <c r="V886" s="1" t="s">
        <v>1653</v>
      </c>
      <c r="W886" s="145">
        <f t="shared" si="1"/>
        <v>0.0001752320946</v>
      </c>
      <c r="AC886" s="38"/>
    </row>
    <row r="887" ht="15.75" customHeight="1">
      <c r="A887" s="1" t="s">
        <v>1982</v>
      </c>
      <c r="B887" s="1" t="s">
        <v>2127</v>
      </c>
      <c r="C887" s="63">
        <v>46265.0</v>
      </c>
      <c r="D887" s="63" t="s">
        <v>130</v>
      </c>
      <c r="E887" s="68">
        <v>0.95374976</v>
      </c>
      <c r="F887" s="1"/>
      <c r="G887" s="23">
        <v>5000000.0</v>
      </c>
      <c r="H887" s="23">
        <v>4768748.81</v>
      </c>
      <c r="I887" s="23">
        <v>5000000.0</v>
      </c>
      <c r="J887" s="23">
        <v>4768748.81</v>
      </c>
      <c r="K887" s="24">
        <v>3495447.0</v>
      </c>
      <c r="L887" s="1" t="s">
        <v>1776</v>
      </c>
      <c r="M887" s="1" t="s">
        <v>2128</v>
      </c>
      <c r="N887" s="63" t="s">
        <v>307</v>
      </c>
      <c r="O887" s="63" t="s">
        <v>307</v>
      </c>
      <c r="P887" s="68">
        <v>30.0</v>
      </c>
      <c r="Q887" s="1" t="s">
        <v>2130</v>
      </c>
      <c r="R887" s="1" t="s">
        <v>13</v>
      </c>
      <c r="S887" s="1"/>
      <c r="T887" s="1"/>
      <c r="U887" s="1" t="s">
        <v>350</v>
      </c>
      <c r="V887" s="1" t="s">
        <v>350</v>
      </c>
      <c r="W887" s="145">
        <f t="shared" si="1"/>
        <v>0.000097549569</v>
      </c>
      <c r="AC887" s="38"/>
    </row>
    <row r="888" ht="15.75" customHeight="1">
      <c r="A888" s="1" t="s">
        <v>1982</v>
      </c>
      <c r="B888" s="1" t="s">
        <v>2127</v>
      </c>
      <c r="C888" s="63">
        <v>46265.0</v>
      </c>
      <c r="D888" s="63" t="s">
        <v>130</v>
      </c>
      <c r="E888" s="68">
        <v>0.94935895</v>
      </c>
      <c r="F888" s="1"/>
      <c r="G888" s="23">
        <v>5600000.0</v>
      </c>
      <c r="H888" s="23">
        <v>5316410.1</v>
      </c>
      <c r="I888" s="23">
        <v>5600000.0</v>
      </c>
      <c r="J888" s="23">
        <v>5316410.1</v>
      </c>
      <c r="K888" s="24">
        <v>3501252.0</v>
      </c>
      <c r="L888" s="1" t="s">
        <v>1776</v>
      </c>
      <c r="M888" s="1" t="s">
        <v>2128</v>
      </c>
      <c r="N888" s="63" t="s">
        <v>543</v>
      </c>
      <c r="O888" s="63" t="s">
        <v>543</v>
      </c>
      <c r="P888" s="68">
        <v>33.0</v>
      </c>
      <c r="Q888" s="1" t="s">
        <v>2130</v>
      </c>
      <c r="R888" s="1" t="s">
        <v>13</v>
      </c>
      <c r="S888" s="1"/>
      <c r="T888" s="1"/>
      <c r="U888" s="1" t="s">
        <v>550</v>
      </c>
      <c r="V888" s="1" t="s">
        <v>550</v>
      </c>
      <c r="W888" s="145">
        <f t="shared" si="1"/>
        <v>0.0001087525333</v>
      </c>
      <c r="AC888" s="38"/>
    </row>
    <row r="889" ht="15.75" customHeight="1">
      <c r="A889" s="1" t="s">
        <v>1917</v>
      </c>
      <c r="B889" s="1" t="s">
        <v>2127</v>
      </c>
      <c r="C889" s="63">
        <v>46265.0</v>
      </c>
      <c r="D889" s="63" t="s">
        <v>130</v>
      </c>
      <c r="E889" s="68">
        <v>0.9537497</v>
      </c>
      <c r="F889" s="1"/>
      <c r="G889" s="23">
        <v>1.0E7</v>
      </c>
      <c r="H889" s="23">
        <v>9537496.95</v>
      </c>
      <c r="I889" s="23">
        <v>1.0E7</v>
      </c>
      <c r="J889" s="23">
        <v>9537496.95</v>
      </c>
      <c r="K889" s="24">
        <v>671.0</v>
      </c>
      <c r="L889" s="1" t="s">
        <v>1776</v>
      </c>
      <c r="M889" s="1" t="s">
        <v>2128</v>
      </c>
      <c r="N889" s="63" t="s">
        <v>1399</v>
      </c>
      <c r="O889" s="63" t="s">
        <v>1399</v>
      </c>
      <c r="P889" s="68">
        <v>30.0</v>
      </c>
      <c r="Q889" s="1" t="s">
        <v>2130</v>
      </c>
      <c r="R889" s="1" t="s">
        <v>13</v>
      </c>
      <c r="S889" s="1"/>
      <c r="T889" s="1"/>
      <c r="U889" s="1" t="s">
        <v>1408</v>
      </c>
      <c r="V889" s="1" t="s">
        <v>1408</v>
      </c>
      <c r="W889" s="145">
        <f t="shared" si="1"/>
        <v>0.0001950991243</v>
      </c>
      <c r="AC889" s="38"/>
    </row>
    <row r="890" ht="15.75" customHeight="1">
      <c r="A890" s="1" t="s">
        <v>1917</v>
      </c>
      <c r="B890" s="1" t="s">
        <v>2127</v>
      </c>
      <c r="C890" s="63">
        <v>46265.0</v>
      </c>
      <c r="D890" s="63" t="s">
        <v>130</v>
      </c>
      <c r="E890" s="68">
        <v>0.95374971</v>
      </c>
      <c r="F890" s="1"/>
      <c r="G890" s="23">
        <v>7500000.0</v>
      </c>
      <c r="H890" s="23">
        <v>7153122.82</v>
      </c>
      <c r="I890" s="23">
        <v>7500000.0</v>
      </c>
      <c r="J890" s="23">
        <v>7153122.82</v>
      </c>
      <c r="K890" s="24">
        <v>511.0</v>
      </c>
      <c r="L890" s="1" t="s">
        <v>1776</v>
      </c>
      <c r="M890" s="1" t="s">
        <v>2128</v>
      </c>
      <c r="N890" s="63" t="s">
        <v>815</v>
      </c>
      <c r="O890" s="63" t="s">
        <v>815</v>
      </c>
      <c r="P890" s="68">
        <v>30.0</v>
      </c>
      <c r="Q890" s="1" t="s">
        <v>2130</v>
      </c>
      <c r="R890" s="1" t="s">
        <v>13</v>
      </c>
      <c r="S890" s="1"/>
      <c r="T890" s="1"/>
      <c r="U890" s="1" t="s">
        <v>824</v>
      </c>
      <c r="V890" s="1" t="s">
        <v>824</v>
      </c>
      <c r="W890" s="145">
        <f t="shared" si="1"/>
        <v>0.0001463243454</v>
      </c>
      <c r="AC890" s="38"/>
    </row>
    <row r="891" ht="15.75" customHeight="1">
      <c r="A891" s="1" t="s">
        <v>1903</v>
      </c>
      <c r="B891" s="1" t="s">
        <v>2127</v>
      </c>
      <c r="C891" s="63">
        <v>46265.0</v>
      </c>
      <c r="D891" s="63" t="s">
        <v>130</v>
      </c>
      <c r="E891" s="68">
        <v>0.95966781</v>
      </c>
      <c r="F891" s="1"/>
      <c r="G891" s="23">
        <v>2.7E7</v>
      </c>
      <c r="H891" s="23">
        <v>2.591103083E7</v>
      </c>
      <c r="I891" s="23">
        <v>2.7E7</v>
      </c>
      <c r="J891" s="23">
        <v>2.591103083E7</v>
      </c>
      <c r="K891" s="24">
        <v>1416.0</v>
      </c>
      <c r="L891" s="1" t="s">
        <v>1776</v>
      </c>
      <c r="M891" s="1" t="s">
        <v>2128</v>
      </c>
      <c r="N891" s="63" t="s">
        <v>1118</v>
      </c>
      <c r="O891" s="63" t="s">
        <v>1118</v>
      </c>
      <c r="P891" s="68">
        <v>26.0</v>
      </c>
      <c r="Q891" s="1" t="s">
        <v>2130</v>
      </c>
      <c r="R891" s="1" t="s">
        <v>13</v>
      </c>
      <c r="S891" s="1"/>
      <c r="T891" s="1"/>
      <c r="U891" s="1" t="s">
        <v>1136</v>
      </c>
      <c r="V891" s="1" t="s">
        <v>1136</v>
      </c>
      <c r="W891" s="145">
        <f t="shared" si="1"/>
        <v>0.0005300362821</v>
      </c>
      <c r="AA891" s="1"/>
      <c r="AB891" s="1"/>
      <c r="AC891" s="77"/>
      <c r="AD891" s="146"/>
    </row>
    <row r="892" ht="15.75" customHeight="1">
      <c r="A892" s="1" t="s">
        <v>1903</v>
      </c>
      <c r="B892" s="1" t="s">
        <v>2127</v>
      </c>
      <c r="C892" s="63">
        <v>46265.0</v>
      </c>
      <c r="D892" s="63" t="s">
        <v>130</v>
      </c>
      <c r="E892" s="68">
        <v>0.95522233</v>
      </c>
      <c r="F892" s="1"/>
      <c r="G892" s="23">
        <v>1.0E7</v>
      </c>
      <c r="H892" s="23">
        <v>9552223.32</v>
      </c>
      <c r="I892" s="23">
        <v>1.0E7</v>
      </c>
      <c r="J892" s="23">
        <v>9552223.32</v>
      </c>
      <c r="K892" s="24">
        <v>6.641248E7</v>
      </c>
      <c r="L892" s="1" t="s">
        <v>1776</v>
      </c>
      <c r="M892" s="1" t="s">
        <v>2128</v>
      </c>
      <c r="N892" s="63" t="s">
        <v>446</v>
      </c>
      <c r="O892" s="63" t="s">
        <v>446</v>
      </c>
      <c r="P892" s="68">
        <v>29.0</v>
      </c>
      <c r="Q892" s="1" t="s">
        <v>2130</v>
      </c>
      <c r="R892" s="1" t="s">
        <v>13</v>
      </c>
      <c r="S892" s="1"/>
      <c r="T892" s="1"/>
      <c r="U892" s="1" t="s">
        <v>508</v>
      </c>
      <c r="V892" s="1" t="s">
        <v>508</v>
      </c>
      <c r="W892" s="145">
        <f t="shared" si="1"/>
        <v>0.000195400367</v>
      </c>
      <c r="AC892" s="38"/>
    </row>
    <row r="893" ht="15.75" customHeight="1">
      <c r="A893" s="1" t="s">
        <v>1964</v>
      </c>
      <c r="B893" s="1" t="s">
        <v>2127</v>
      </c>
      <c r="C893" s="63">
        <v>46265.0</v>
      </c>
      <c r="D893" s="63" t="s">
        <v>130</v>
      </c>
      <c r="E893" s="68">
        <v>0.94645408</v>
      </c>
      <c r="F893" s="1"/>
      <c r="G893" s="23">
        <v>1.0E7</v>
      </c>
      <c r="H893" s="23">
        <v>9464540.84</v>
      </c>
      <c r="I893" s="23">
        <v>1.0E7</v>
      </c>
      <c r="J893" s="23">
        <v>9464540.84</v>
      </c>
      <c r="K893" s="24">
        <v>255.0</v>
      </c>
      <c r="L893" s="1" t="s">
        <v>1776</v>
      </c>
      <c r="M893" s="1" t="s">
        <v>2128</v>
      </c>
      <c r="N893" s="63" t="s">
        <v>628</v>
      </c>
      <c r="O893" s="63" t="s">
        <v>628</v>
      </c>
      <c r="P893" s="68">
        <v>35.0</v>
      </c>
      <c r="Q893" s="1" t="s">
        <v>2130</v>
      </c>
      <c r="R893" s="1" t="s">
        <v>13</v>
      </c>
      <c r="S893" s="1"/>
      <c r="T893" s="1"/>
      <c r="U893" s="1" t="s">
        <v>673</v>
      </c>
      <c r="V893" s="1" t="s">
        <v>673</v>
      </c>
      <c r="W893" s="145">
        <f t="shared" si="1"/>
        <v>0.0001936067334</v>
      </c>
      <c r="AC893" s="38"/>
    </row>
    <row r="894" ht="15.75" customHeight="1">
      <c r="A894" s="1" t="s">
        <v>1991</v>
      </c>
      <c r="B894" s="1" t="s">
        <v>2127</v>
      </c>
      <c r="C894" s="63">
        <v>46265.0</v>
      </c>
      <c r="D894" s="63" t="s">
        <v>130</v>
      </c>
      <c r="E894" s="68">
        <v>0.94935898</v>
      </c>
      <c r="F894" s="1"/>
      <c r="G894" s="23">
        <v>2200000.0</v>
      </c>
      <c r="H894" s="23">
        <v>2088589.76</v>
      </c>
      <c r="I894" s="23">
        <v>2200000.0</v>
      </c>
      <c r="J894" s="23">
        <v>2088589.76</v>
      </c>
      <c r="K894" s="24">
        <v>6198.0</v>
      </c>
      <c r="L894" s="1" t="s">
        <v>1776</v>
      </c>
      <c r="M894" s="1" t="s">
        <v>2128</v>
      </c>
      <c r="N894" s="63" t="s">
        <v>1084</v>
      </c>
      <c r="O894" s="63" t="s">
        <v>1084</v>
      </c>
      <c r="P894" s="68">
        <v>33.0</v>
      </c>
      <c r="Q894" s="1" t="s">
        <v>2130</v>
      </c>
      <c r="R894" s="1" t="s">
        <v>13</v>
      </c>
      <c r="S894" s="1"/>
      <c r="T894" s="1"/>
      <c r="U894" s="1" t="s">
        <v>1106</v>
      </c>
      <c r="V894" s="1" t="s">
        <v>1106</v>
      </c>
      <c r="W894" s="145">
        <f t="shared" si="1"/>
        <v>0.00004272421111</v>
      </c>
      <c r="AC894" s="38"/>
    </row>
    <row r="895" ht="15.75" customHeight="1">
      <c r="A895" s="1" t="s">
        <v>2058</v>
      </c>
      <c r="B895" s="1" t="s">
        <v>2127</v>
      </c>
      <c r="C895" s="63">
        <v>46265.0</v>
      </c>
      <c r="D895" s="63" t="s">
        <v>130</v>
      </c>
      <c r="E895" s="68">
        <v>0.95374971</v>
      </c>
      <c r="F895" s="1"/>
      <c r="G895" s="23">
        <v>1606134.0</v>
      </c>
      <c r="H895" s="23">
        <v>1531849.83</v>
      </c>
      <c r="I895" s="23">
        <v>1606134.0</v>
      </c>
      <c r="J895" s="23">
        <v>1531849.83</v>
      </c>
      <c r="K895" s="24">
        <v>6.7237112E7</v>
      </c>
      <c r="L895" s="1" t="s">
        <v>1776</v>
      </c>
      <c r="M895" s="1" t="s">
        <v>2128</v>
      </c>
      <c r="N895" s="63" t="s">
        <v>1302</v>
      </c>
      <c r="O895" s="63" t="s">
        <v>1302</v>
      </c>
      <c r="P895" s="68">
        <v>30.0</v>
      </c>
      <c r="Q895" s="1" t="s">
        <v>2130</v>
      </c>
      <c r="R895" s="1" t="s">
        <v>13</v>
      </c>
      <c r="S895" s="1"/>
      <c r="T895" s="1"/>
      <c r="U895" s="1" t="s">
        <v>1303</v>
      </c>
      <c r="V895" s="1" t="s">
        <v>1303</v>
      </c>
      <c r="W895" s="145">
        <f t="shared" si="1"/>
        <v>0.00003133553404</v>
      </c>
      <c r="AC895" s="38"/>
    </row>
    <row r="896" ht="15.75" customHeight="1">
      <c r="A896" s="1" t="s">
        <v>1934</v>
      </c>
      <c r="B896" s="1" t="s">
        <v>2127</v>
      </c>
      <c r="C896" s="63">
        <v>46265.0</v>
      </c>
      <c r="D896" s="63" t="s">
        <v>130</v>
      </c>
      <c r="E896" s="68">
        <v>0.95669955</v>
      </c>
      <c r="F896" s="1"/>
      <c r="G896" s="23">
        <v>3.5E7</v>
      </c>
      <c r="H896" s="23">
        <v>3.348448441E7</v>
      </c>
      <c r="I896" s="23">
        <v>3.5E7</v>
      </c>
      <c r="J896" s="23">
        <v>3.348448441E7</v>
      </c>
      <c r="K896" s="24">
        <v>3329632.0</v>
      </c>
      <c r="L896" s="1" t="s">
        <v>1776</v>
      </c>
      <c r="M896" s="1" t="s">
        <v>2128</v>
      </c>
      <c r="N896" s="63" t="s">
        <v>628</v>
      </c>
      <c r="O896" s="63" t="s">
        <v>628</v>
      </c>
      <c r="P896" s="68">
        <v>28.0</v>
      </c>
      <c r="Q896" s="1" t="s">
        <v>2130</v>
      </c>
      <c r="R896" s="1" t="s">
        <v>13</v>
      </c>
      <c r="S896" s="1"/>
      <c r="T896" s="1"/>
      <c r="U896" s="1" t="s">
        <v>656</v>
      </c>
      <c r="V896" s="1" t="s">
        <v>656</v>
      </c>
      <c r="W896" s="145">
        <f t="shared" si="1"/>
        <v>0.0006849589174</v>
      </c>
      <c r="AC896" s="38"/>
    </row>
    <row r="897" ht="15.75" customHeight="1">
      <c r="A897" s="1" t="s">
        <v>1989</v>
      </c>
      <c r="B897" s="1" t="s">
        <v>2127</v>
      </c>
      <c r="C897" s="63">
        <v>46265.0</v>
      </c>
      <c r="D897" s="63" t="s">
        <v>130</v>
      </c>
      <c r="E897" s="68">
        <v>0.95374977</v>
      </c>
      <c r="F897" s="1"/>
      <c r="G897" s="23">
        <v>2700000.0</v>
      </c>
      <c r="H897" s="23">
        <v>2575124.38</v>
      </c>
      <c r="I897" s="23">
        <v>2700000.0</v>
      </c>
      <c r="J897" s="23">
        <v>2575124.38</v>
      </c>
      <c r="K897" s="24">
        <v>6274.0</v>
      </c>
      <c r="L897" s="1" t="s">
        <v>1776</v>
      </c>
      <c r="M897" s="1" t="s">
        <v>2128</v>
      </c>
      <c r="N897" s="63" t="s">
        <v>1332</v>
      </c>
      <c r="O897" s="63" t="s">
        <v>1332</v>
      </c>
      <c r="P897" s="68">
        <v>30.0</v>
      </c>
      <c r="Q897" s="1" t="s">
        <v>2130</v>
      </c>
      <c r="R897" s="1" t="s">
        <v>13</v>
      </c>
      <c r="S897" s="1"/>
      <c r="T897" s="1"/>
      <c r="U897" s="1" t="s">
        <v>1345</v>
      </c>
      <c r="V897" s="1" t="s">
        <v>1345</v>
      </c>
      <c r="W897" s="145">
        <f t="shared" si="1"/>
        <v>0.00005267676772</v>
      </c>
      <c r="AC897" s="38"/>
    </row>
    <row r="898" ht="15.75" customHeight="1">
      <c r="A898" s="1" t="s">
        <v>1910</v>
      </c>
      <c r="B898" s="1" t="s">
        <v>2127</v>
      </c>
      <c r="C898" s="63">
        <v>46265.0</v>
      </c>
      <c r="D898" s="63" t="s">
        <v>130</v>
      </c>
      <c r="E898" s="68">
        <v>0.9581815</v>
      </c>
      <c r="F898" s="1"/>
      <c r="G898" s="23">
        <v>2.0E8</v>
      </c>
      <c r="H898" s="23">
        <v>1.916362993E8</v>
      </c>
      <c r="I898" s="23">
        <v>2.0E8</v>
      </c>
      <c r="J898" s="23">
        <v>1.916362993E8</v>
      </c>
      <c r="K898" s="24">
        <v>9.0003876E7</v>
      </c>
      <c r="L898" s="1" t="s">
        <v>1776</v>
      </c>
      <c r="M898" s="1" t="s">
        <v>2128</v>
      </c>
      <c r="N898" s="63" t="s">
        <v>1458</v>
      </c>
      <c r="O898" s="63" t="s">
        <v>1458</v>
      </c>
      <c r="P898" s="68">
        <v>27.0</v>
      </c>
      <c r="Q898" s="1" t="s">
        <v>2130</v>
      </c>
      <c r="R898" s="1" t="s">
        <v>13</v>
      </c>
      <c r="S898" s="1"/>
      <c r="T898" s="1"/>
      <c r="U898" s="1" t="s">
        <v>1469</v>
      </c>
      <c r="V898" s="1" t="s">
        <v>1469</v>
      </c>
      <c r="W898" s="145">
        <f t="shared" si="1"/>
        <v>0.00392011388</v>
      </c>
      <c r="AC898" s="38"/>
    </row>
    <row r="899" ht="15.75" customHeight="1">
      <c r="A899" s="1" t="s">
        <v>1903</v>
      </c>
      <c r="B899" s="1" t="s">
        <v>2127</v>
      </c>
      <c r="C899" s="63">
        <v>46265.0</v>
      </c>
      <c r="D899" s="63" t="s">
        <v>130</v>
      </c>
      <c r="E899" s="68">
        <v>0.95522238</v>
      </c>
      <c r="F899" s="1"/>
      <c r="G899" s="23">
        <v>1.0E7</v>
      </c>
      <c r="H899" s="23">
        <v>9552223.77</v>
      </c>
      <c r="I899" s="23">
        <v>1.0E7</v>
      </c>
      <c r="J899" s="23">
        <v>9552223.77</v>
      </c>
      <c r="K899" s="24">
        <v>2157.0</v>
      </c>
      <c r="L899" s="1" t="s">
        <v>1776</v>
      </c>
      <c r="M899" s="1" t="s">
        <v>2128</v>
      </c>
      <c r="N899" s="63" t="s">
        <v>591</v>
      </c>
      <c r="O899" s="63" t="s">
        <v>591</v>
      </c>
      <c r="P899" s="68">
        <v>29.0</v>
      </c>
      <c r="Q899" s="1" t="s">
        <v>2130</v>
      </c>
      <c r="R899" s="1" t="s">
        <v>13</v>
      </c>
      <c r="S899" s="1"/>
      <c r="T899" s="1"/>
      <c r="U899" s="1" t="s">
        <v>597</v>
      </c>
      <c r="V899" s="1" t="s">
        <v>597</v>
      </c>
      <c r="W899" s="145">
        <f t="shared" si="1"/>
        <v>0.0001954003763</v>
      </c>
      <c r="AC899" s="38"/>
    </row>
    <row r="900" ht="15.75" customHeight="1">
      <c r="A900" s="1" t="s">
        <v>2008</v>
      </c>
      <c r="B900" s="1" t="s">
        <v>2127</v>
      </c>
      <c r="C900" s="63">
        <v>46265.0</v>
      </c>
      <c r="D900" s="63" t="s">
        <v>130</v>
      </c>
      <c r="E900" s="68">
        <v>0.94935898</v>
      </c>
      <c r="F900" s="1"/>
      <c r="G900" s="23">
        <v>1.0E7</v>
      </c>
      <c r="H900" s="23">
        <v>9493589.8</v>
      </c>
      <c r="I900" s="23">
        <v>1.0E7</v>
      </c>
      <c r="J900" s="23">
        <v>9493589.8</v>
      </c>
      <c r="K900" s="24">
        <v>3222.0</v>
      </c>
      <c r="L900" s="1" t="s">
        <v>1776</v>
      </c>
      <c r="M900" s="1" t="s">
        <v>2128</v>
      </c>
      <c r="N900" s="63" t="s">
        <v>1084</v>
      </c>
      <c r="O900" s="63" t="s">
        <v>1084</v>
      </c>
      <c r="P900" s="68">
        <v>33.0</v>
      </c>
      <c r="Q900" s="1" t="s">
        <v>2130</v>
      </c>
      <c r="R900" s="1" t="s">
        <v>13</v>
      </c>
      <c r="S900" s="1"/>
      <c r="T900" s="1"/>
      <c r="U900" s="1" t="s">
        <v>1086</v>
      </c>
      <c r="V900" s="1" t="s">
        <v>1086</v>
      </c>
      <c r="W900" s="145">
        <f t="shared" si="1"/>
        <v>0.0001942009592</v>
      </c>
      <c r="AC900" s="38"/>
    </row>
    <row r="901" ht="15.75" customHeight="1">
      <c r="A901" s="1" t="s">
        <v>1953</v>
      </c>
      <c r="B901" s="1" t="s">
        <v>2127</v>
      </c>
      <c r="C901" s="63">
        <v>46266.0</v>
      </c>
      <c r="D901" s="63" t="s">
        <v>130</v>
      </c>
      <c r="E901" s="68">
        <v>0.96816987</v>
      </c>
      <c r="F901" s="1"/>
      <c r="G901" s="23">
        <v>2500000.0</v>
      </c>
      <c r="H901" s="23">
        <v>2420424.68</v>
      </c>
      <c r="I901" s="23">
        <v>2500000.0</v>
      </c>
      <c r="J901" s="23">
        <v>2420424.68</v>
      </c>
      <c r="K901" s="24">
        <v>6138.0</v>
      </c>
      <c r="L901" s="1" t="s">
        <v>1776</v>
      </c>
      <c r="M901" s="1" t="s">
        <v>2128</v>
      </c>
      <c r="N901" s="63" t="s">
        <v>946</v>
      </c>
      <c r="O901" s="63" t="s">
        <v>946</v>
      </c>
      <c r="P901" s="68">
        <v>20.0</v>
      </c>
      <c r="Q901" s="1" t="s">
        <v>2130</v>
      </c>
      <c r="R901" s="1" t="s">
        <v>13</v>
      </c>
      <c r="S901" s="1"/>
      <c r="T901" s="1"/>
      <c r="U901" s="1" t="s">
        <v>969</v>
      </c>
      <c r="V901" s="1" t="s">
        <v>969</v>
      </c>
      <c r="W901" s="145">
        <f t="shared" si="1"/>
        <v>0.00004951222925</v>
      </c>
      <c r="AC901" s="38"/>
    </row>
    <row r="902" ht="15.75" customHeight="1">
      <c r="A902" s="1" t="s">
        <v>1975</v>
      </c>
      <c r="B902" s="1" t="s">
        <v>2127</v>
      </c>
      <c r="C902" s="63">
        <v>46266.0</v>
      </c>
      <c r="D902" s="63" t="s">
        <v>130</v>
      </c>
      <c r="E902" s="68">
        <v>0.94120694</v>
      </c>
      <c r="F902" s="1"/>
      <c r="G902" s="23">
        <v>4500000.0</v>
      </c>
      <c r="H902" s="23">
        <v>4235431.22</v>
      </c>
      <c r="I902" s="23">
        <v>4500000.0</v>
      </c>
      <c r="J902" s="23">
        <v>4235431.22</v>
      </c>
      <c r="K902" s="24">
        <v>556.0</v>
      </c>
      <c r="L902" s="1" t="s">
        <v>1776</v>
      </c>
      <c r="M902" s="1" t="s">
        <v>2128</v>
      </c>
      <c r="N902" s="63" t="s">
        <v>446</v>
      </c>
      <c r="O902" s="63" t="s">
        <v>446</v>
      </c>
      <c r="P902" s="68">
        <v>38.0</v>
      </c>
      <c r="Q902" s="1" t="s">
        <v>2130</v>
      </c>
      <c r="R902" s="1" t="s">
        <v>13</v>
      </c>
      <c r="S902" s="1"/>
      <c r="T902" s="1"/>
      <c r="U902" s="1" t="s">
        <v>512</v>
      </c>
      <c r="V902" s="1" t="s">
        <v>512</v>
      </c>
      <c r="W902" s="145">
        <f t="shared" si="1"/>
        <v>0.00008664001953</v>
      </c>
      <c r="AC902" s="38"/>
    </row>
    <row r="903" ht="15.75" customHeight="1">
      <c r="A903" s="1" t="s">
        <v>2019</v>
      </c>
      <c r="B903" s="1" t="s">
        <v>2127</v>
      </c>
      <c r="C903" s="63">
        <v>46266.0</v>
      </c>
      <c r="D903" s="63" t="s">
        <v>130</v>
      </c>
      <c r="E903" s="68">
        <v>0.94854488</v>
      </c>
      <c r="F903" s="1"/>
      <c r="G903" s="23">
        <v>3000000.0</v>
      </c>
      <c r="H903" s="23">
        <v>2845634.63</v>
      </c>
      <c r="I903" s="23">
        <v>3000000.0</v>
      </c>
      <c r="J903" s="23">
        <v>2845634.63</v>
      </c>
      <c r="K903" s="24">
        <v>9.0015797E7</v>
      </c>
      <c r="L903" s="1" t="s">
        <v>1776</v>
      </c>
      <c r="M903" s="1" t="s">
        <v>2128</v>
      </c>
      <c r="N903" s="63" t="s">
        <v>946</v>
      </c>
      <c r="O903" s="63" t="s">
        <v>946</v>
      </c>
      <c r="P903" s="68">
        <v>33.0</v>
      </c>
      <c r="Q903" s="1" t="s">
        <v>2130</v>
      </c>
      <c r="R903" s="1" t="s">
        <v>13</v>
      </c>
      <c r="S903" s="1"/>
      <c r="T903" s="1"/>
      <c r="U903" s="1" t="s">
        <v>1011</v>
      </c>
      <c r="V903" s="1" t="s">
        <v>1011</v>
      </c>
      <c r="W903" s="145">
        <f t="shared" si="1"/>
        <v>0.00005821032785</v>
      </c>
      <c r="AC903" s="38"/>
    </row>
    <row r="904" ht="15.75" customHeight="1">
      <c r="A904" s="1" t="s">
        <v>1963</v>
      </c>
      <c r="B904" s="1" t="s">
        <v>2127</v>
      </c>
      <c r="C904" s="63">
        <v>46266.0</v>
      </c>
      <c r="D904" s="63" t="s">
        <v>130</v>
      </c>
      <c r="E904" s="68">
        <v>0.93830337</v>
      </c>
      <c r="F904" s="1"/>
      <c r="G904" s="23">
        <v>9972860.45</v>
      </c>
      <c r="H904" s="23">
        <v>9357568.58</v>
      </c>
      <c r="I904" s="23">
        <v>9972860.45</v>
      </c>
      <c r="J904" s="23">
        <v>9357568.58</v>
      </c>
      <c r="K904" s="24">
        <v>1179204.0</v>
      </c>
      <c r="L904" s="1" t="s">
        <v>1776</v>
      </c>
      <c r="M904" s="1" t="s">
        <v>2128</v>
      </c>
      <c r="N904" s="63" t="s">
        <v>283</v>
      </c>
      <c r="O904" s="63" t="s">
        <v>283</v>
      </c>
      <c r="P904" s="68">
        <v>40.0</v>
      </c>
      <c r="Q904" s="1" t="s">
        <v>2130</v>
      </c>
      <c r="R904" s="1" t="s">
        <v>13</v>
      </c>
      <c r="S904" s="1"/>
      <c r="T904" s="1"/>
      <c r="U904" s="1" t="s">
        <v>294</v>
      </c>
      <c r="V904" s="1" t="s">
        <v>294</v>
      </c>
      <c r="W904" s="145">
        <f t="shared" si="1"/>
        <v>0.0001914185079</v>
      </c>
      <c r="AC904" s="38"/>
    </row>
    <row r="905" ht="15.75" customHeight="1">
      <c r="A905" s="1" t="s">
        <v>1936</v>
      </c>
      <c r="B905" s="1" t="s">
        <v>2127</v>
      </c>
      <c r="C905" s="63">
        <v>46266.0</v>
      </c>
      <c r="D905" s="63" t="s">
        <v>130</v>
      </c>
      <c r="E905" s="68">
        <v>0.94854475</v>
      </c>
      <c r="F905" s="1"/>
      <c r="G905" s="23">
        <v>5.0E7</v>
      </c>
      <c r="H905" s="23">
        <v>4.742723767E7</v>
      </c>
      <c r="I905" s="23">
        <v>5.0E7</v>
      </c>
      <c r="J905" s="23">
        <v>4.742723767E7</v>
      </c>
      <c r="K905" s="24">
        <v>2.9030847E7</v>
      </c>
      <c r="L905" s="1" t="s">
        <v>1776</v>
      </c>
      <c r="M905" s="1" t="s">
        <v>2128</v>
      </c>
      <c r="N905" s="63" t="s">
        <v>234</v>
      </c>
      <c r="O905" s="63" t="s">
        <v>234</v>
      </c>
      <c r="P905" s="68">
        <v>33.0</v>
      </c>
      <c r="Q905" s="1" t="s">
        <v>2130</v>
      </c>
      <c r="R905" s="1" t="s">
        <v>13</v>
      </c>
      <c r="S905" s="1"/>
      <c r="T905" s="1"/>
      <c r="U905" s="1" t="s">
        <v>236</v>
      </c>
      <c r="V905" s="1" t="s">
        <v>236</v>
      </c>
      <c r="W905" s="145">
        <f t="shared" si="1"/>
        <v>0.0009701720048</v>
      </c>
      <c r="AC905" s="38"/>
    </row>
    <row r="906" ht="15.75" customHeight="1">
      <c r="A906" s="1" t="s">
        <v>1917</v>
      </c>
      <c r="B906" s="1" t="s">
        <v>2127</v>
      </c>
      <c r="C906" s="63">
        <v>46266.0</v>
      </c>
      <c r="D906" s="63" t="s">
        <v>130</v>
      </c>
      <c r="E906" s="68">
        <v>0.94854484</v>
      </c>
      <c r="F906" s="1"/>
      <c r="G906" s="23">
        <v>1.0E7</v>
      </c>
      <c r="H906" s="23">
        <v>9485448.36</v>
      </c>
      <c r="I906" s="23">
        <v>1.0E7</v>
      </c>
      <c r="J906" s="23">
        <v>9485448.36</v>
      </c>
      <c r="K906" s="24">
        <v>665.0</v>
      </c>
      <c r="L906" s="1" t="s">
        <v>1776</v>
      </c>
      <c r="M906" s="1" t="s">
        <v>2128</v>
      </c>
      <c r="N906" s="63" t="s">
        <v>1381</v>
      </c>
      <c r="O906" s="63" t="s">
        <v>1381</v>
      </c>
      <c r="P906" s="68">
        <v>33.0</v>
      </c>
      <c r="Q906" s="1" t="s">
        <v>2130</v>
      </c>
      <c r="R906" s="1" t="s">
        <v>13</v>
      </c>
      <c r="S906" s="1"/>
      <c r="T906" s="1"/>
      <c r="U906" s="1" t="s">
        <v>1395</v>
      </c>
      <c r="V906" s="1" t="s">
        <v>1395</v>
      </c>
      <c r="W906" s="145">
        <f t="shared" si="1"/>
        <v>0.0001940344179</v>
      </c>
      <c r="AC906" s="38"/>
    </row>
    <row r="907" ht="15.75" customHeight="1">
      <c r="A907" s="1" t="s">
        <v>1903</v>
      </c>
      <c r="B907" s="1" t="s">
        <v>2127</v>
      </c>
      <c r="C907" s="63">
        <v>46266.0</v>
      </c>
      <c r="D907" s="63" t="s">
        <v>130</v>
      </c>
      <c r="E907" s="68">
        <v>0.95901219</v>
      </c>
      <c r="F907" s="1"/>
      <c r="G907" s="23">
        <v>1.2E8</v>
      </c>
      <c r="H907" s="23">
        <v>1.1508146232E8</v>
      </c>
      <c r="I907" s="23">
        <v>1.2E8</v>
      </c>
      <c r="J907" s="23">
        <v>1.1508146232E8</v>
      </c>
      <c r="K907" s="24">
        <v>344.0</v>
      </c>
      <c r="L907" s="1" t="s">
        <v>1776</v>
      </c>
      <c r="M907" s="1" t="s">
        <v>2128</v>
      </c>
      <c r="N907" s="63" t="s">
        <v>1118</v>
      </c>
      <c r="O907" s="63" t="s">
        <v>1118</v>
      </c>
      <c r="P907" s="68">
        <v>26.0</v>
      </c>
      <c r="Q907" s="1" t="s">
        <v>2130</v>
      </c>
      <c r="R907" s="1" t="s">
        <v>13</v>
      </c>
      <c r="S907" s="1"/>
      <c r="T907" s="1"/>
      <c r="U907" s="1" t="s">
        <v>1135</v>
      </c>
      <c r="V907" s="1" t="s">
        <v>1135</v>
      </c>
      <c r="W907" s="145">
        <f t="shared" si="1"/>
        <v>0.002354107439</v>
      </c>
      <c r="AC907" s="38"/>
    </row>
    <row r="908" ht="15.75" customHeight="1">
      <c r="A908" s="1" t="s">
        <v>1903</v>
      </c>
      <c r="B908" s="1" t="s">
        <v>2127</v>
      </c>
      <c r="C908" s="63">
        <v>46266.0</v>
      </c>
      <c r="D908" s="63" t="s">
        <v>130</v>
      </c>
      <c r="E908" s="68">
        <v>0.95449801</v>
      </c>
      <c r="F908" s="1"/>
      <c r="G908" s="23">
        <v>1.0E7</v>
      </c>
      <c r="H908" s="23">
        <v>9544980.08</v>
      </c>
      <c r="I908" s="23">
        <v>1.0E7</v>
      </c>
      <c r="J908" s="23">
        <v>9544980.08</v>
      </c>
      <c r="K908" s="24">
        <v>6.641251E7</v>
      </c>
      <c r="L908" s="1" t="s">
        <v>1776</v>
      </c>
      <c r="M908" s="1" t="s">
        <v>2128</v>
      </c>
      <c r="N908" s="63" t="s">
        <v>446</v>
      </c>
      <c r="O908" s="63" t="s">
        <v>446</v>
      </c>
      <c r="P908" s="68">
        <v>29.0</v>
      </c>
      <c r="Q908" s="1" t="s">
        <v>2130</v>
      </c>
      <c r="R908" s="1" t="s">
        <v>13</v>
      </c>
      <c r="S908" s="1"/>
      <c r="T908" s="1"/>
      <c r="U908" s="1" t="s">
        <v>509</v>
      </c>
      <c r="V908" s="1" t="s">
        <v>509</v>
      </c>
      <c r="W908" s="145">
        <f t="shared" si="1"/>
        <v>0.0001952521993</v>
      </c>
      <c r="AC908" s="38"/>
    </row>
    <row r="909" ht="15.75" customHeight="1">
      <c r="A909" s="1" t="s">
        <v>1968</v>
      </c>
      <c r="B909" s="1" t="s">
        <v>2127</v>
      </c>
      <c r="C909" s="63">
        <v>46266.0</v>
      </c>
      <c r="D909" s="63" t="s">
        <v>130</v>
      </c>
      <c r="E909" s="68">
        <v>0.95750263</v>
      </c>
      <c r="F909" s="1"/>
      <c r="G909" s="23">
        <v>5.260273924E7</v>
      </c>
      <c r="H909" s="23">
        <v>5.036726097E7</v>
      </c>
      <c r="I909" s="23">
        <v>5.260273924E7</v>
      </c>
      <c r="J909" s="23">
        <v>5.036726097E7</v>
      </c>
      <c r="K909" s="24">
        <v>287.0</v>
      </c>
      <c r="L909" s="1" t="s">
        <v>1776</v>
      </c>
      <c r="M909" s="1" t="s">
        <v>2128</v>
      </c>
      <c r="N909" s="63" t="s">
        <v>1571</v>
      </c>
      <c r="O909" s="63" t="s">
        <v>1571</v>
      </c>
      <c r="P909" s="68">
        <v>27.0</v>
      </c>
      <c r="Q909" s="1" t="s">
        <v>2130</v>
      </c>
      <c r="R909" s="1" t="s">
        <v>13</v>
      </c>
      <c r="S909" s="1"/>
      <c r="T909" s="1"/>
      <c r="U909" s="1" t="s">
        <v>1572</v>
      </c>
      <c r="V909" s="1" t="s">
        <v>1572</v>
      </c>
      <c r="W909" s="145">
        <f t="shared" si="1"/>
        <v>0.001030313148</v>
      </c>
      <c r="AC909" s="38"/>
    </row>
    <row r="910" ht="15.75" customHeight="1">
      <c r="A910" s="1" t="s">
        <v>1828</v>
      </c>
      <c r="B910" s="1" t="s">
        <v>2127</v>
      </c>
      <c r="C910" s="63">
        <v>46266.0</v>
      </c>
      <c r="D910" s="63" t="s">
        <v>130</v>
      </c>
      <c r="E910" s="68">
        <v>0.88635265</v>
      </c>
      <c r="F910" s="1"/>
      <c r="G910" s="23">
        <v>1.0E7</v>
      </c>
      <c r="H910" s="23">
        <v>8863526.54</v>
      </c>
      <c r="I910" s="23">
        <v>1.0E7</v>
      </c>
      <c r="J910" s="23">
        <v>8863526.54</v>
      </c>
      <c r="K910" s="24">
        <v>3937.0</v>
      </c>
      <c r="L910" s="1" t="s">
        <v>1776</v>
      </c>
      <c r="M910" s="1" t="s">
        <v>2128</v>
      </c>
      <c r="N910" s="63" t="s">
        <v>144</v>
      </c>
      <c r="O910" s="63" t="s">
        <v>144</v>
      </c>
      <c r="P910" s="68">
        <v>78.0</v>
      </c>
      <c r="Q910" s="1" t="s">
        <v>2130</v>
      </c>
      <c r="R910" s="1" t="s">
        <v>13</v>
      </c>
      <c r="S910" s="1"/>
      <c r="T910" s="1"/>
      <c r="U910" s="1" t="s">
        <v>145</v>
      </c>
      <c r="V910" s="1" t="s">
        <v>145</v>
      </c>
      <c r="W910" s="145">
        <f t="shared" si="1"/>
        <v>0.0001813123795</v>
      </c>
      <c r="AC910" s="38"/>
    </row>
    <row r="911" ht="15.75" customHeight="1">
      <c r="A911" s="1" t="s">
        <v>2010</v>
      </c>
      <c r="B911" s="1" t="s">
        <v>2127</v>
      </c>
      <c r="C911" s="63">
        <v>46266.0</v>
      </c>
      <c r="D911" s="63" t="s">
        <v>130</v>
      </c>
      <c r="E911" s="68">
        <v>0.9500262</v>
      </c>
      <c r="F911" s="1"/>
      <c r="G911" s="23">
        <v>2.22666549E7</v>
      </c>
      <c r="H911" s="23">
        <v>2.115390555E7</v>
      </c>
      <c r="I911" s="23">
        <v>2.22666549E7</v>
      </c>
      <c r="J911" s="23">
        <v>2.115390555E7</v>
      </c>
      <c r="K911" s="24">
        <v>8292016.0</v>
      </c>
      <c r="L911" s="1" t="s">
        <v>1776</v>
      </c>
      <c r="M911" s="1" t="s">
        <v>2128</v>
      </c>
      <c r="N911" s="63" t="s">
        <v>1272</v>
      </c>
      <c r="O911" s="63" t="s">
        <v>1272</v>
      </c>
      <c r="P911" s="68">
        <v>32.0</v>
      </c>
      <c r="Q911" s="1" t="s">
        <v>2130</v>
      </c>
      <c r="R911" s="1" t="s">
        <v>13</v>
      </c>
      <c r="S911" s="1"/>
      <c r="T911" s="1"/>
      <c r="U911" s="1" t="s">
        <v>1284</v>
      </c>
      <c r="V911" s="1" t="s">
        <v>1284</v>
      </c>
      <c r="W911" s="145">
        <f t="shared" si="1"/>
        <v>0.0004327244842</v>
      </c>
      <c r="AC911" s="38"/>
    </row>
    <row r="912" ht="15.75" customHeight="1">
      <c r="A912" s="1" t="s">
        <v>1949</v>
      </c>
      <c r="B912" s="1" t="s">
        <v>2127</v>
      </c>
      <c r="C912" s="63">
        <v>46266.0</v>
      </c>
      <c r="D912" s="63" t="s">
        <v>130</v>
      </c>
      <c r="E912" s="68">
        <v>0.94559608</v>
      </c>
      <c r="F912" s="1"/>
      <c r="G912" s="23">
        <v>2.0E7</v>
      </c>
      <c r="H912" s="23">
        <v>1.891192151E7</v>
      </c>
      <c r="I912" s="23">
        <v>2.0E7</v>
      </c>
      <c r="J912" s="23">
        <v>1.891192151E7</v>
      </c>
      <c r="K912" s="24">
        <v>4269.0</v>
      </c>
      <c r="L912" s="1" t="s">
        <v>1776</v>
      </c>
      <c r="M912" s="1" t="s">
        <v>2128</v>
      </c>
      <c r="N912" s="63" t="s">
        <v>1230</v>
      </c>
      <c r="O912" s="63" t="s">
        <v>1230</v>
      </c>
      <c r="P912" s="68">
        <v>35.0</v>
      </c>
      <c r="Q912" s="1" t="s">
        <v>2130</v>
      </c>
      <c r="R912" s="1" t="s">
        <v>13</v>
      </c>
      <c r="S912" s="1"/>
      <c r="T912" s="1"/>
      <c r="U912" s="1" t="s">
        <v>1235</v>
      </c>
      <c r="V912" s="1" t="s">
        <v>1235</v>
      </c>
      <c r="W912" s="145">
        <f t="shared" si="1"/>
        <v>0.0003868624383</v>
      </c>
      <c r="AC912" s="38"/>
    </row>
    <row r="913" ht="15.75" customHeight="1">
      <c r="A913" s="1" t="s">
        <v>1991</v>
      </c>
      <c r="B913" s="1" t="s">
        <v>2127</v>
      </c>
      <c r="C913" s="63">
        <v>46266.0</v>
      </c>
      <c r="D913" s="63" t="s">
        <v>130</v>
      </c>
      <c r="E913" s="68">
        <v>0.94854476</v>
      </c>
      <c r="F913" s="1"/>
      <c r="G913" s="23">
        <v>2200000.0</v>
      </c>
      <c r="H913" s="23">
        <v>2086798.47</v>
      </c>
      <c r="I913" s="23">
        <v>2200000.0</v>
      </c>
      <c r="J913" s="23">
        <v>2086798.47</v>
      </c>
      <c r="K913" s="24">
        <v>6199.0</v>
      </c>
      <c r="L913" s="1" t="s">
        <v>1776</v>
      </c>
      <c r="M913" s="1" t="s">
        <v>2128</v>
      </c>
      <c r="N913" s="63" t="s">
        <v>1084</v>
      </c>
      <c r="O913" s="63" t="s">
        <v>1084</v>
      </c>
      <c r="P913" s="68">
        <v>33.0</v>
      </c>
      <c r="Q913" s="1" t="s">
        <v>2130</v>
      </c>
      <c r="R913" s="1" t="s">
        <v>13</v>
      </c>
      <c r="S913" s="1"/>
      <c r="T913" s="1"/>
      <c r="U913" s="1" t="s">
        <v>1107</v>
      </c>
      <c r="V913" s="1" t="s">
        <v>1107</v>
      </c>
      <c r="W913" s="145">
        <f t="shared" si="1"/>
        <v>0.00004268756847</v>
      </c>
      <c r="AC913" s="38"/>
    </row>
    <row r="914" ht="15.75" customHeight="1">
      <c r="A914" s="1" t="s">
        <v>1826</v>
      </c>
      <c r="B914" s="1" t="s">
        <v>2127</v>
      </c>
      <c r="C914" s="63">
        <v>46266.0</v>
      </c>
      <c r="D914" s="63" t="s">
        <v>130</v>
      </c>
      <c r="E914" s="68">
        <v>0.94120681</v>
      </c>
      <c r="F914" s="1"/>
      <c r="G914" s="23">
        <v>5450000.0</v>
      </c>
      <c r="H914" s="23">
        <v>5129577.09</v>
      </c>
      <c r="I914" s="23">
        <v>5450000.0</v>
      </c>
      <c r="J914" s="23">
        <v>5129577.09</v>
      </c>
      <c r="K914" s="24">
        <v>28518.0</v>
      </c>
      <c r="L914" s="1" t="s">
        <v>1776</v>
      </c>
      <c r="M914" s="1" t="s">
        <v>2128</v>
      </c>
      <c r="N914" s="63" t="s">
        <v>241</v>
      </c>
      <c r="O914" s="63" t="s">
        <v>241</v>
      </c>
      <c r="P914" s="68">
        <v>38.0</v>
      </c>
      <c r="Q914" s="1" t="s">
        <v>2130</v>
      </c>
      <c r="R914" s="1" t="s">
        <v>13</v>
      </c>
      <c r="S914" s="1"/>
      <c r="T914" s="1"/>
      <c r="U914" s="1" t="s">
        <v>243</v>
      </c>
      <c r="V914" s="1" t="s">
        <v>243</v>
      </c>
      <c r="W914" s="145">
        <f t="shared" si="1"/>
        <v>0.0001049306756</v>
      </c>
      <c r="AC914" s="38"/>
    </row>
    <row r="915" ht="15.75" customHeight="1">
      <c r="A915" s="1" t="s">
        <v>1910</v>
      </c>
      <c r="B915" s="1" t="s">
        <v>2127</v>
      </c>
      <c r="C915" s="63">
        <v>46266.0</v>
      </c>
      <c r="D915" s="63" t="s">
        <v>130</v>
      </c>
      <c r="E915" s="68">
        <v>0.95750277</v>
      </c>
      <c r="F915" s="1"/>
      <c r="G915" s="23">
        <v>2.0E8</v>
      </c>
      <c r="H915" s="23">
        <v>1.915005533E8</v>
      </c>
      <c r="I915" s="23">
        <v>2.0E8</v>
      </c>
      <c r="J915" s="23">
        <v>1.915005533E8</v>
      </c>
      <c r="K915" s="24">
        <v>9.0003877E7</v>
      </c>
      <c r="L915" s="1" t="s">
        <v>1776</v>
      </c>
      <c r="M915" s="1" t="s">
        <v>2128</v>
      </c>
      <c r="N915" s="63" t="s">
        <v>1458</v>
      </c>
      <c r="O915" s="63" t="s">
        <v>1458</v>
      </c>
      <c r="P915" s="68">
        <v>27.0</v>
      </c>
      <c r="Q915" s="1" t="s">
        <v>2130</v>
      </c>
      <c r="R915" s="1" t="s">
        <v>13</v>
      </c>
      <c r="S915" s="1"/>
      <c r="T915" s="1"/>
      <c r="U915" s="1" t="s">
        <v>1470</v>
      </c>
      <c r="V915" s="1" t="s">
        <v>1470</v>
      </c>
      <c r="W915" s="145">
        <f t="shared" si="1"/>
        <v>0.003917337059</v>
      </c>
      <c r="AC915" s="38"/>
    </row>
    <row r="916" ht="15.75" customHeight="1">
      <c r="A916" s="1" t="s">
        <v>1903</v>
      </c>
      <c r="B916" s="1" t="s">
        <v>2127</v>
      </c>
      <c r="C916" s="63">
        <v>46266.0</v>
      </c>
      <c r="D916" s="63" t="s">
        <v>130</v>
      </c>
      <c r="E916" s="68">
        <v>0.95449793</v>
      </c>
      <c r="F916" s="1"/>
      <c r="G916" s="23">
        <v>1.0E7</v>
      </c>
      <c r="H916" s="23">
        <v>9544979.33</v>
      </c>
      <c r="I916" s="23">
        <v>1.0E7</v>
      </c>
      <c r="J916" s="23">
        <v>9544979.33</v>
      </c>
      <c r="K916" s="24">
        <v>2158.0</v>
      </c>
      <c r="L916" s="1" t="s">
        <v>1776</v>
      </c>
      <c r="M916" s="1" t="s">
        <v>2128</v>
      </c>
      <c r="N916" s="63" t="s">
        <v>591</v>
      </c>
      <c r="O916" s="63" t="s">
        <v>591</v>
      </c>
      <c r="P916" s="68">
        <v>29.0</v>
      </c>
      <c r="Q916" s="1" t="s">
        <v>2130</v>
      </c>
      <c r="R916" s="1" t="s">
        <v>13</v>
      </c>
      <c r="S916" s="1"/>
      <c r="T916" s="1"/>
      <c r="U916" s="1" t="s">
        <v>596</v>
      </c>
      <c r="V916" s="1" t="s">
        <v>596</v>
      </c>
      <c r="W916" s="145">
        <f t="shared" si="1"/>
        <v>0.0001952521839</v>
      </c>
      <c r="AC916" s="38"/>
    </row>
    <row r="917" ht="15.75" customHeight="1">
      <c r="A917" s="1" t="s">
        <v>1965</v>
      </c>
      <c r="B917" s="1" t="s">
        <v>2127</v>
      </c>
      <c r="C917" s="63">
        <v>46266.0</v>
      </c>
      <c r="D917" s="63" t="s">
        <v>130</v>
      </c>
      <c r="E917" s="68">
        <v>0.95300267</v>
      </c>
      <c r="F917" s="1"/>
      <c r="G917" s="23">
        <v>2.5E7</v>
      </c>
      <c r="H917" s="23">
        <v>2.382506666E7</v>
      </c>
      <c r="I917" s="23">
        <v>2.5E7</v>
      </c>
      <c r="J917" s="23">
        <v>2.382506666E7</v>
      </c>
      <c r="K917" s="24">
        <v>718978.0</v>
      </c>
      <c r="L917" s="1" t="s">
        <v>1776</v>
      </c>
      <c r="M917" s="1" t="s">
        <v>2128</v>
      </c>
      <c r="N917" s="63" t="s">
        <v>307</v>
      </c>
      <c r="O917" s="63" t="s">
        <v>307</v>
      </c>
      <c r="P917" s="68">
        <v>30.0</v>
      </c>
      <c r="Q917" s="1" t="s">
        <v>2130</v>
      </c>
      <c r="R917" s="1" t="s">
        <v>13</v>
      </c>
      <c r="S917" s="1"/>
      <c r="T917" s="1"/>
      <c r="U917" s="1" t="s">
        <v>313</v>
      </c>
      <c r="V917" s="1" t="s">
        <v>313</v>
      </c>
      <c r="W917" s="145">
        <f t="shared" si="1"/>
        <v>0.0004873657801</v>
      </c>
      <c r="AC917" s="38"/>
    </row>
    <row r="918" ht="15.75" customHeight="1">
      <c r="A918" s="1" t="s">
        <v>1933</v>
      </c>
      <c r="B918" s="1" t="s">
        <v>2127</v>
      </c>
      <c r="C918" s="63">
        <v>46266.0</v>
      </c>
      <c r="D918" s="63" t="s">
        <v>130</v>
      </c>
      <c r="E918" s="68">
        <v>0.94854474</v>
      </c>
      <c r="F918" s="1"/>
      <c r="G918" s="23">
        <v>2.139575E7</v>
      </c>
      <c r="H918" s="23">
        <v>2.029482606E7</v>
      </c>
      <c r="I918" s="23">
        <v>2.139575E7</v>
      </c>
      <c r="J918" s="23">
        <v>2.029482606E7</v>
      </c>
      <c r="K918" s="24">
        <v>3233102.0</v>
      </c>
      <c r="L918" s="1" t="s">
        <v>1776</v>
      </c>
      <c r="M918" s="1" t="s">
        <v>2128</v>
      </c>
      <c r="N918" s="63" t="s">
        <v>360</v>
      </c>
      <c r="O918" s="63" t="s">
        <v>360</v>
      </c>
      <c r="P918" s="68">
        <v>33.0</v>
      </c>
      <c r="Q918" s="1" t="s">
        <v>2130</v>
      </c>
      <c r="R918" s="1" t="s">
        <v>13</v>
      </c>
      <c r="S918" s="1"/>
      <c r="T918" s="1"/>
      <c r="U918" s="1" t="s">
        <v>379</v>
      </c>
      <c r="V918" s="1" t="s">
        <v>379</v>
      </c>
      <c r="W918" s="145">
        <f t="shared" si="1"/>
        <v>0.0004151511463</v>
      </c>
      <c r="AC918" s="38"/>
    </row>
    <row r="919" ht="15.75" customHeight="1">
      <c r="A919" s="1" t="s">
        <v>1933</v>
      </c>
      <c r="B919" s="1" t="s">
        <v>2127</v>
      </c>
      <c r="C919" s="63">
        <v>46266.0</v>
      </c>
      <c r="D919" s="63" t="s">
        <v>130</v>
      </c>
      <c r="E919" s="68">
        <v>0.94854474</v>
      </c>
      <c r="F919" s="1"/>
      <c r="G919" s="23">
        <v>2.139575E7</v>
      </c>
      <c r="H919" s="23">
        <v>2.029482606E7</v>
      </c>
      <c r="I919" s="23">
        <v>2.139575E7</v>
      </c>
      <c r="J919" s="23">
        <v>2.029482606E7</v>
      </c>
      <c r="K919" s="24">
        <v>3233103.0</v>
      </c>
      <c r="L919" s="1" t="s">
        <v>1776</v>
      </c>
      <c r="M919" s="1" t="s">
        <v>2128</v>
      </c>
      <c r="N919" s="63" t="s">
        <v>360</v>
      </c>
      <c r="O919" s="63" t="s">
        <v>360</v>
      </c>
      <c r="P919" s="68">
        <v>33.0</v>
      </c>
      <c r="Q919" s="1" t="s">
        <v>2130</v>
      </c>
      <c r="R919" s="1" t="s">
        <v>13</v>
      </c>
      <c r="S919" s="1"/>
      <c r="T919" s="1"/>
      <c r="U919" s="1" t="s">
        <v>380</v>
      </c>
      <c r="V919" s="1" t="s">
        <v>380</v>
      </c>
      <c r="W919" s="145">
        <f t="shared" si="1"/>
        <v>0.0004151511463</v>
      </c>
      <c r="AC919" s="38"/>
    </row>
    <row r="920" ht="15.75" customHeight="1">
      <c r="A920" s="1" t="s">
        <v>1921</v>
      </c>
      <c r="B920" s="1" t="s">
        <v>2127</v>
      </c>
      <c r="C920" s="63">
        <v>46266.0</v>
      </c>
      <c r="D920" s="63" t="s">
        <v>130</v>
      </c>
      <c r="E920" s="68">
        <v>0.95449796</v>
      </c>
      <c r="F920" s="1"/>
      <c r="G920" s="23">
        <v>2500000.0</v>
      </c>
      <c r="H920" s="23">
        <v>2386244.9</v>
      </c>
      <c r="I920" s="23">
        <v>2500000.0</v>
      </c>
      <c r="J920" s="23">
        <v>2386244.9</v>
      </c>
      <c r="K920" s="24">
        <v>367.0</v>
      </c>
      <c r="L920" s="1" t="s">
        <v>1776</v>
      </c>
      <c r="M920" s="1" t="s">
        <v>2128</v>
      </c>
      <c r="N920" s="63" t="s">
        <v>307</v>
      </c>
      <c r="O920" s="63" t="s">
        <v>307</v>
      </c>
      <c r="P920" s="68">
        <v>29.0</v>
      </c>
      <c r="Q920" s="1" t="s">
        <v>2130</v>
      </c>
      <c r="R920" s="1" t="s">
        <v>13</v>
      </c>
      <c r="S920" s="1"/>
      <c r="T920" s="1"/>
      <c r="U920" s="1" t="s">
        <v>311</v>
      </c>
      <c r="V920" s="1" t="s">
        <v>311</v>
      </c>
      <c r="W920" s="145">
        <f t="shared" si="1"/>
        <v>0.00004881304736</v>
      </c>
      <c r="AC920" s="38"/>
    </row>
    <row r="921" ht="15.75" customHeight="1">
      <c r="A921" s="1" t="s">
        <v>1921</v>
      </c>
      <c r="B921" s="1" t="s">
        <v>2127</v>
      </c>
      <c r="C921" s="63">
        <v>46266.0</v>
      </c>
      <c r="D921" s="63" t="s">
        <v>130</v>
      </c>
      <c r="E921" s="68">
        <v>0.95599797</v>
      </c>
      <c r="F921" s="1"/>
      <c r="G921" s="23">
        <v>1.0E7</v>
      </c>
      <c r="H921" s="23">
        <v>9559979.69</v>
      </c>
      <c r="I921" s="23">
        <v>1.0E7</v>
      </c>
      <c r="J921" s="23">
        <v>9559979.69</v>
      </c>
      <c r="K921" s="24">
        <v>360560.0</v>
      </c>
      <c r="L921" s="1" t="s">
        <v>1776</v>
      </c>
      <c r="M921" s="1" t="s">
        <v>2128</v>
      </c>
      <c r="N921" s="63" t="s">
        <v>404</v>
      </c>
      <c r="O921" s="63" t="s">
        <v>404</v>
      </c>
      <c r="P921" s="68">
        <v>28.0</v>
      </c>
      <c r="Q921" s="1" t="s">
        <v>2130</v>
      </c>
      <c r="R921" s="1" t="s">
        <v>13</v>
      </c>
      <c r="S921" s="1"/>
      <c r="T921" s="1"/>
      <c r="U921" s="1" t="s">
        <v>434</v>
      </c>
      <c r="V921" s="1" t="s">
        <v>434</v>
      </c>
      <c r="W921" s="145">
        <f t="shared" si="1"/>
        <v>0.0001955590314</v>
      </c>
      <c r="AC921" s="38"/>
    </row>
    <row r="922" ht="15.75" customHeight="1">
      <c r="A922" s="1" t="s">
        <v>2027</v>
      </c>
      <c r="B922" s="1" t="s">
        <v>2127</v>
      </c>
      <c r="C922" s="63">
        <v>46266.0</v>
      </c>
      <c r="D922" s="63" t="s">
        <v>130</v>
      </c>
      <c r="E922" s="68">
        <v>0.95002615</v>
      </c>
      <c r="F922" s="1"/>
      <c r="G922" s="23">
        <v>1000000.0</v>
      </c>
      <c r="H922" s="23">
        <v>950026.15</v>
      </c>
      <c r="I922" s="23">
        <v>1000000.0</v>
      </c>
      <c r="J922" s="23">
        <v>950026.15</v>
      </c>
      <c r="K922" s="24">
        <v>6.73815E7</v>
      </c>
      <c r="L922" s="1" t="s">
        <v>1776</v>
      </c>
      <c r="M922" s="1" t="s">
        <v>2128</v>
      </c>
      <c r="N922" s="63" t="s">
        <v>1118</v>
      </c>
      <c r="O922" s="63" t="s">
        <v>1118</v>
      </c>
      <c r="P922" s="68">
        <v>32.0</v>
      </c>
      <c r="Q922" s="1" t="s">
        <v>2130</v>
      </c>
      <c r="R922" s="1" t="s">
        <v>13</v>
      </c>
      <c r="S922" s="1"/>
      <c r="T922" s="1"/>
      <c r="U922" s="1" t="s">
        <v>1175</v>
      </c>
      <c r="V922" s="1" t="s">
        <v>1175</v>
      </c>
      <c r="W922" s="145">
        <f t="shared" si="1"/>
        <v>0.00001943374356</v>
      </c>
      <c r="AC922" s="38"/>
    </row>
    <row r="923" ht="15.75" customHeight="1">
      <c r="A923" s="1" t="s">
        <v>1966</v>
      </c>
      <c r="B923" s="1" t="s">
        <v>2127</v>
      </c>
      <c r="C923" s="63">
        <v>46267.0</v>
      </c>
      <c r="D923" s="63" t="s">
        <v>130</v>
      </c>
      <c r="E923" s="68">
        <v>0.94473923</v>
      </c>
      <c r="F923" s="1"/>
      <c r="G923" s="23">
        <v>1.9999999E7</v>
      </c>
      <c r="H923" s="23">
        <v>1.889478361E7</v>
      </c>
      <c r="I923" s="23">
        <v>1.9999999E7</v>
      </c>
      <c r="J923" s="23">
        <v>1.889478361E7</v>
      </c>
      <c r="K923" s="24">
        <v>43.0</v>
      </c>
      <c r="L923" s="1" t="s">
        <v>1776</v>
      </c>
      <c r="M923" s="1" t="s">
        <v>2128</v>
      </c>
      <c r="N923" s="63" t="s">
        <v>360</v>
      </c>
      <c r="O923" s="63" t="s">
        <v>360</v>
      </c>
      <c r="P923" s="68">
        <v>35.0</v>
      </c>
      <c r="Q923" s="1" t="s">
        <v>2130</v>
      </c>
      <c r="R923" s="1" t="s">
        <v>13</v>
      </c>
      <c r="S923" s="1"/>
      <c r="T923" s="1"/>
      <c r="U923" s="1" t="s">
        <v>397</v>
      </c>
      <c r="V923" s="1" t="s">
        <v>397</v>
      </c>
      <c r="W923" s="145">
        <f t="shared" si="1"/>
        <v>0.0003865118652</v>
      </c>
      <c r="AC923" s="38"/>
    </row>
    <row r="924" ht="15.75" customHeight="1">
      <c r="A924" s="1" t="s">
        <v>1962</v>
      </c>
      <c r="B924" s="1" t="s">
        <v>2127</v>
      </c>
      <c r="C924" s="63">
        <v>46267.0</v>
      </c>
      <c r="D924" s="63" t="s">
        <v>130</v>
      </c>
      <c r="E924" s="68">
        <v>0.95225683</v>
      </c>
      <c r="F924" s="1"/>
      <c r="G924" s="23">
        <v>5.0E7</v>
      </c>
      <c r="H924" s="23">
        <v>4.761284174E7</v>
      </c>
      <c r="I924" s="23">
        <v>5.0E7</v>
      </c>
      <c r="J924" s="23">
        <v>4.761284174E7</v>
      </c>
      <c r="K924" s="24">
        <v>5491.0</v>
      </c>
      <c r="L924" s="1" t="s">
        <v>1776</v>
      </c>
      <c r="M924" s="1" t="s">
        <v>2128</v>
      </c>
      <c r="N924" s="63" t="s">
        <v>676</v>
      </c>
      <c r="O924" s="63" t="s">
        <v>676</v>
      </c>
      <c r="P924" s="68">
        <v>30.0</v>
      </c>
      <c r="Q924" s="1" t="s">
        <v>2130</v>
      </c>
      <c r="R924" s="1" t="s">
        <v>13</v>
      </c>
      <c r="S924" s="1"/>
      <c r="T924" s="1"/>
      <c r="U924" s="1" t="s">
        <v>701</v>
      </c>
      <c r="V924" s="1" t="s">
        <v>701</v>
      </c>
      <c r="W924" s="145">
        <f t="shared" si="1"/>
        <v>0.0009739687233</v>
      </c>
      <c r="AC924" s="38"/>
    </row>
    <row r="925" ht="15.75" customHeight="1">
      <c r="A925" s="1" t="s">
        <v>1962</v>
      </c>
      <c r="B925" s="1" t="s">
        <v>2127</v>
      </c>
      <c r="C925" s="63">
        <v>46267.0</v>
      </c>
      <c r="D925" s="63" t="s">
        <v>130</v>
      </c>
      <c r="E925" s="68">
        <v>0.95225683</v>
      </c>
      <c r="F925" s="1"/>
      <c r="G925" s="23">
        <v>5.0E7</v>
      </c>
      <c r="H925" s="23">
        <v>4.761284174E7</v>
      </c>
      <c r="I925" s="23">
        <v>5.0E7</v>
      </c>
      <c r="J925" s="23">
        <v>4.761284174E7</v>
      </c>
      <c r="K925" s="24">
        <v>5490.0</v>
      </c>
      <c r="L925" s="1" t="s">
        <v>1776</v>
      </c>
      <c r="M925" s="1" t="s">
        <v>2128</v>
      </c>
      <c r="N925" s="63" t="s">
        <v>676</v>
      </c>
      <c r="O925" s="63" t="s">
        <v>676</v>
      </c>
      <c r="P925" s="68">
        <v>30.0</v>
      </c>
      <c r="Q925" s="1" t="s">
        <v>2130</v>
      </c>
      <c r="R925" s="1" t="s">
        <v>13</v>
      </c>
      <c r="S925" s="1"/>
      <c r="T925" s="1"/>
      <c r="U925" s="1" t="s">
        <v>702</v>
      </c>
      <c r="V925" s="1" t="s">
        <v>702</v>
      </c>
      <c r="W925" s="145">
        <f t="shared" si="1"/>
        <v>0.0009739687233</v>
      </c>
      <c r="AC925" s="38"/>
    </row>
    <row r="926" ht="15.75" customHeight="1">
      <c r="A926" s="1" t="s">
        <v>2022</v>
      </c>
      <c r="B926" s="1" t="s">
        <v>2127</v>
      </c>
      <c r="C926" s="63">
        <v>46267.0</v>
      </c>
      <c r="D926" s="63" t="s">
        <v>130</v>
      </c>
      <c r="E926" s="68">
        <v>0.94773196</v>
      </c>
      <c r="F926" s="1"/>
      <c r="G926" s="23">
        <v>3812810.4</v>
      </c>
      <c r="H926" s="23">
        <v>3613522.27</v>
      </c>
      <c r="I926" s="23">
        <v>3812810.4</v>
      </c>
      <c r="J926" s="23">
        <v>3613522.27</v>
      </c>
      <c r="K926" s="24">
        <v>286.0</v>
      </c>
      <c r="L926" s="1" t="s">
        <v>1776</v>
      </c>
      <c r="M926" s="1" t="s">
        <v>2128</v>
      </c>
      <c r="N926" s="63" t="s">
        <v>902</v>
      </c>
      <c r="O926" s="63" t="s">
        <v>902</v>
      </c>
      <c r="P926" s="68">
        <v>33.0</v>
      </c>
      <c r="Q926" s="1" t="s">
        <v>2130</v>
      </c>
      <c r="R926" s="1" t="s">
        <v>13</v>
      </c>
      <c r="S926" s="1"/>
      <c r="T926" s="1"/>
      <c r="U926" s="1" t="s">
        <v>920</v>
      </c>
      <c r="V926" s="1" t="s">
        <v>920</v>
      </c>
      <c r="W926" s="145">
        <f t="shared" si="1"/>
        <v>0.0000739182444</v>
      </c>
      <c r="AC926" s="38"/>
    </row>
    <row r="927" ht="15.75" customHeight="1">
      <c r="A927" s="1" t="s">
        <v>1917</v>
      </c>
      <c r="B927" s="1" t="s">
        <v>2127</v>
      </c>
      <c r="C927" s="63">
        <v>46267.0</v>
      </c>
      <c r="D927" s="63" t="s">
        <v>130</v>
      </c>
      <c r="E927" s="68">
        <v>0.95225681</v>
      </c>
      <c r="F927" s="1"/>
      <c r="G927" s="23">
        <v>1.0E7</v>
      </c>
      <c r="H927" s="23">
        <v>9522568.06</v>
      </c>
      <c r="I927" s="23">
        <v>1.0E7</v>
      </c>
      <c r="J927" s="23">
        <v>9522568.06</v>
      </c>
      <c r="K927" s="24">
        <v>503.0</v>
      </c>
      <c r="L927" s="1" t="s">
        <v>1776</v>
      </c>
      <c r="M927" s="1" t="s">
        <v>2128</v>
      </c>
      <c r="N927" s="63" t="s">
        <v>798</v>
      </c>
      <c r="O927" s="63" t="s">
        <v>798</v>
      </c>
      <c r="P927" s="68">
        <v>30.0</v>
      </c>
      <c r="Q927" s="1" t="s">
        <v>2130</v>
      </c>
      <c r="R927" s="1" t="s">
        <v>13</v>
      </c>
      <c r="S927" s="1"/>
      <c r="T927" s="1"/>
      <c r="U927" s="1" t="s">
        <v>800</v>
      </c>
      <c r="V927" s="1" t="s">
        <v>800</v>
      </c>
      <c r="W927" s="145">
        <f t="shared" si="1"/>
        <v>0.0001947937388</v>
      </c>
      <c r="AC927" s="38"/>
    </row>
    <row r="928" ht="15.75" customHeight="1">
      <c r="A928" s="1" t="s">
        <v>1917</v>
      </c>
      <c r="B928" s="1" t="s">
        <v>2127</v>
      </c>
      <c r="C928" s="63">
        <v>46267.0</v>
      </c>
      <c r="D928" s="63" t="s">
        <v>130</v>
      </c>
      <c r="E928" s="68">
        <v>0.95225677</v>
      </c>
      <c r="F928" s="1"/>
      <c r="G928" s="23">
        <v>1.0E7</v>
      </c>
      <c r="H928" s="23">
        <v>9522567.65</v>
      </c>
      <c r="I928" s="23">
        <v>1.0E7</v>
      </c>
      <c r="J928" s="23">
        <v>9522567.65</v>
      </c>
      <c r="K928" s="24">
        <v>493.0</v>
      </c>
      <c r="L928" s="1" t="s">
        <v>1776</v>
      </c>
      <c r="M928" s="1" t="s">
        <v>2128</v>
      </c>
      <c r="N928" s="63" t="s">
        <v>765</v>
      </c>
      <c r="O928" s="63" t="s">
        <v>765</v>
      </c>
      <c r="P928" s="68">
        <v>30.0</v>
      </c>
      <c r="Q928" s="1" t="s">
        <v>2130</v>
      </c>
      <c r="R928" s="1" t="s">
        <v>13</v>
      </c>
      <c r="S928" s="1"/>
      <c r="T928" s="1"/>
      <c r="U928" s="1" t="s">
        <v>766</v>
      </c>
      <c r="V928" s="1" t="s">
        <v>766</v>
      </c>
      <c r="W928" s="145">
        <f t="shared" si="1"/>
        <v>0.0001947937304</v>
      </c>
      <c r="AC928" s="38"/>
    </row>
    <row r="929" ht="15.75" customHeight="1">
      <c r="A929" s="1" t="s">
        <v>1906</v>
      </c>
      <c r="B929" s="1" t="s">
        <v>2127</v>
      </c>
      <c r="C929" s="63">
        <v>46267.0</v>
      </c>
      <c r="D929" s="63" t="s">
        <v>130</v>
      </c>
      <c r="E929" s="68">
        <v>0.94028544</v>
      </c>
      <c r="F929" s="1"/>
      <c r="G929" s="23">
        <v>1.5E7</v>
      </c>
      <c r="H929" s="23">
        <v>1.410428159E7</v>
      </c>
      <c r="I929" s="23">
        <v>1.5E7</v>
      </c>
      <c r="J929" s="23">
        <v>1.410428159E7</v>
      </c>
      <c r="K929" s="24">
        <v>7.0219552E7</v>
      </c>
      <c r="L929" s="1" t="s">
        <v>1776</v>
      </c>
      <c r="M929" s="1" t="s">
        <v>2128</v>
      </c>
      <c r="N929" s="63" t="s">
        <v>1589</v>
      </c>
      <c r="O929" s="63" t="s">
        <v>1589</v>
      </c>
      <c r="P929" s="68">
        <v>38.0</v>
      </c>
      <c r="Q929" s="1" t="s">
        <v>2130</v>
      </c>
      <c r="R929" s="1" t="s">
        <v>13</v>
      </c>
      <c r="S929" s="1"/>
      <c r="T929" s="1"/>
      <c r="U929" s="1" t="s">
        <v>1605</v>
      </c>
      <c r="V929" s="1" t="s">
        <v>1605</v>
      </c>
      <c r="W929" s="145">
        <f t="shared" si="1"/>
        <v>0.0002885173124</v>
      </c>
      <c r="AC929" s="38"/>
    </row>
    <row r="930" ht="15.75" customHeight="1">
      <c r="A930" s="1" t="s">
        <v>1906</v>
      </c>
      <c r="B930" s="1" t="s">
        <v>2127</v>
      </c>
      <c r="C930" s="63">
        <v>46267.0</v>
      </c>
      <c r="D930" s="63" t="s">
        <v>130</v>
      </c>
      <c r="E930" s="68">
        <v>0.94028544</v>
      </c>
      <c r="F930" s="1"/>
      <c r="G930" s="23">
        <v>2.5E7</v>
      </c>
      <c r="H930" s="23">
        <v>2.350713598E7</v>
      </c>
      <c r="I930" s="23">
        <v>2.5E7</v>
      </c>
      <c r="J930" s="23">
        <v>2.350713598E7</v>
      </c>
      <c r="K930" s="24">
        <v>7.0219551E7</v>
      </c>
      <c r="L930" s="1" t="s">
        <v>1776</v>
      </c>
      <c r="M930" s="1" t="s">
        <v>2128</v>
      </c>
      <c r="N930" s="63" t="s">
        <v>1589</v>
      </c>
      <c r="O930" s="63" t="s">
        <v>1589</v>
      </c>
      <c r="P930" s="68">
        <v>38.0</v>
      </c>
      <c r="Q930" s="1" t="s">
        <v>2130</v>
      </c>
      <c r="R930" s="1" t="s">
        <v>13</v>
      </c>
      <c r="S930" s="1"/>
      <c r="T930" s="1"/>
      <c r="U930" s="1" t="s">
        <v>1606</v>
      </c>
      <c r="V930" s="1" t="s">
        <v>1606</v>
      </c>
      <c r="W930" s="145">
        <f t="shared" si="1"/>
        <v>0.0004808621872</v>
      </c>
      <c r="AC930" s="38"/>
    </row>
    <row r="931" ht="15.75" customHeight="1">
      <c r="A931" s="1" t="s">
        <v>1994</v>
      </c>
      <c r="B931" s="1" t="s">
        <v>2127</v>
      </c>
      <c r="C931" s="63">
        <v>46267.0</v>
      </c>
      <c r="D931" s="63" t="s">
        <v>130</v>
      </c>
      <c r="E931" s="68">
        <v>0.93733953</v>
      </c>
      <c r="F931" s="1"/>
      <c r="G931" s="23">
        <v>2000000.0</v>
      </c>
      <c r="H931" s="23">
        <v>1874679.07</v>
      </c>
      <c r="I931" s="23">
        <v>2000000.0</v>
      </c>
      <c r="J931" s="23">
        <v>1874679.07</v>
      </c>
      <c r="K931" s="24">
        <v>39.0</v>
      </c>
      <c r="L931" s="1" t="s">
        <v>1776</v>
      </c>
      <c r="M931" s="1" t="s">
        <v>2128</v>
      </c>
      <c r="N931" s="63" t="s">
        <v>205</v>
      </c>
      <c r="O931" s="63" t="s">
        <v>205</v>
      </c>
      <c r="P931" s="68">
        <v>40.0</v>
      </c>
      <c r="Q931" s="1" t="s">
        <v>2130</v>
      </c>
      <c r="R931" s="1" t="s">
        <v>13</v>
      </c>
      <c r="S931" s="1"/>
      <c r="T931" s="1"/>
      <c r="U931" s="1" t="s">
        <v>203</v>
      </c>
      <c r="V931" s="1" t="s">
        <v>203</v>
      </c>
      <c r="W931" s="145">
        <f t="shared" si="1"/>
        <v>0.00003834845209</v>
      </c>
      <c r="AC931" s="38"/>
    </row>
    <row r="932" ht="15.75" customHeight="1">
      <c r="A932" s="1" t="s">
        <v>1963</v>
      </c>
      <c r="B932" s="1" t="s">
        <v>2127</v>
      </c>
      <c r="C932" s="63">
        <v>46267.0</v>
      </c>
      <c r="D932" s="63" t="s">
        <v>130</v>
      </c>
      <c r="E932" s="68">
        <v>0.93733964</v>
      </c>
      <c r="F932" s="1"/>
      <c r="G932" s="23">
        <v>9972570.82</v>
      </c>
      <c r="H932" s="23">
        <v>9347685.92</v>
      </c>
      <c r="I932" s="23">
        <v>9972570.82</v>
      </c>
      <c r="J932" s="23">
        <v>9347685.92</v>
      </c>
      <c r="K932" s="24">
        <v>1179207.0</v>
      </c>
      <c r="L932" s="1" t="s">
        <v>1776</v>
      </c>
      <c r="M932" s="1" t="s">
        <v>2128</v>
      </c>
      <c r="N932" s="63" t="s">
        <v>283</v>
      </c>
      <c r="O932" s="63" t="s">
        <v>283</v>
      </c>
      <c r="P932" s="68">
        <v>40.0</v>
      </c>
      <c r="Q932" s="1" t="s">
        <v>2130</v>
      </c>
      <c r="R932" s="1" t="s">
        <v>13</v>
      </c>
      <c r="S932" s="1"/>
      <c r="T932" s="1"/>
      <c r="U932" s="1" t="s">
        <v>291</v>
      </c>
      <c r="V932" s="1" t="s">
        <v>291</v>
      </c>
      <c r="W932" s="145">
        <f t="shared" si="1"/>
        <v>0.0001912163481</v>
      </c>
      <c r="AC932" s="38"/>
    </row>
    <row r="933" ht="15.75" customHeight="1">
      <c r="A933" s="1" t="s">
        <v>1963</v>
      </c>
      <c r="B933" s="1" t="s">
        <v>2127</v>
      </c>
      <c r="C933" s="63">
        <v>46267.0</v>
      </c>
      <c r="D933" s="63" t="s">
        <v>130</v>
      </c>
      <c r="E933" s="68">
        <v>0.93733964</v>
      </c>
      <c r="F933" s="1"/>
      <c r="G933" s="23">
        <v>9972350.78</v>
      </c>
      <c r="H933" s="23">
        <v>9347479.67</v>
      </c>
      <c r="I933" s="23">
        <v>9972350.78</v>
      </c>
      <c r="J933" s="23">
        <v>9347479.67</v>
      </c>
      <c r="K933" s="24">
        <v>1179206.0</v>
      </c>
      <c r="L933" s="1" t="s">
        <v>1776</v>
      </c>
      <c r="M933" s="1" t="s">
        <v>2128</v>
      </c>
      <c r="N933" s="63" t="s">
        <v>283</v>
      </c>
      <c r="O933" s="63" t="s">
        <v>283</v>
      </c>
      <c r="P933" s="68">
        <v>40.0</v>
      </c>
      <c r="Q933" s="1" t="s">
        <v>2130</v>
      </c>
      <c r="R933" s="1" t="s">
        <v>13</v>
      </c>
      <c r="S933" s="1"/>
      <c r="T933" s="1"/>
      <c r="U933" s="1" t="s">
        <v>292</v>
      </c>
      <c r="V933" s="1" t="s">
        <v>292</v>
      </c>
      <c r="W933" s="145">
        <f t="shared" si="1"/>
        <v>0.0001912121291</v>
      </c>
      <c r="AC933" s="38"/>
    </row>
    <row r="934" ht="15.75" customHeight="1">
      <c r="A934" s="1" t="s">
        <v>1963</v>
      </c>
      <c r="B934" s="1" t="s">
        <v>2127</v>
      </c>
      <c r="C934" s="63">
        <v>46267.0</v>
      </c>
      <c r="D934" s="63" t="s">
        <v>130</v>
      </c>
      <c r="E934" s="68">
        <v>0.93733964</v>
      </c>
      <c r="F934" s="1"/>
      <c r="G934" s="23">
        <v>9973200.0</v>
      </c>
      <c r="H934" s="23">
        <v>9348275.67</v>
      </c>
      <c r="I934" s="23">
        <v>9973200.0</v>
      </c>
      <c r="J934" s="23">
        <v>9348275.67</v>
      </c>
      <c r="K934" s="24">
        <v>1179205.0</v>
      </c>
      <c r="L934" s="1" t="s">
        <v>1776</v>
      </c>
      <c r="M934" s="1" t="s">
        <v>2128</v>
      </c>
      <c r="N934" s="63" t="s">
        <v>283</v>
      </c>
      <c r="O934" s="63" t="s">
        <v>283</v>
      </c>
      <c r="P934" s="68">
        <v>40.0</v>
      </c>
      <c r="Q934" s="1" t="s">
        <v>2130</v>
      </c>
      <c r="R934" s="1" t="s">
        <v>13</v>
      </c>
      <c r="S934" s="1"/>
      <c r="T934" s="1"/>
      <c r="U934" s="1" t="s">
        <v>293</v>
      </c>
      <c r="V934" s="1" t="s">
        <v>293</v>
      </c>
      <c r="W934" s="145">
        <f t="shared" si="1"/>
        <v>0.0001912284121</v>
      </c>
      <c r="AC934" s="38"/>
    </row>
    <row r="935" ht="15.75" customHeight="1">
      <c r="A935" s="1" t="s">
        <v>2017</v>
      </c>
      <c r="B935" s="1" t="s">
        <v>2127</v>
      </c>
      <c r="C935" s="63">
        <v>46267.0</v>
      </c>
      <c r="D935" s="63" t="s">
        <v>130</v>
      </c>
      <c r="E935" s="68">
        <v>0.95225674</v>
      </c>
      <c r="F935" s="1"/>
      <c r="G935" s="23">
        <v>1.0E7</v>
      </c>
      <c r="H935" s="23">
        <v>9522567.41</v>
      </c>
      <c r="I935" s="23">
        <v>1.0E7</v>
      </c>
      <c r="J935" s="23">
        <v>9522567.41</v>
      </c>
      <c r="K935" s="24">
        <v>3463103.0</v>
      </c>
      <c r="L935" s="1" t="s">
        <v>1776</v>
      </c>
      <c r="M935" s="1" t="s">
        <v>2128</v>
      </c>
      <c r="N935" s="63" t="s">
        <v>307</v>
      </c>
      <c r="O935" s="63" t="s">
        <v>307</v>
      </c>
      <c r="P935" s="68">
        <v>30.0</v>
      </c>
      <c r="Q935" s="1" t="s">
        <v>2130</v>
      </c>
      <c r="R935" s="1" t="s">
        <v>13</v>
      </c>
      <c r="S935" s="1"/>
      <c r="T935" s="1"/>
      <c r="U935" s="1" t="s">
        <v>346</v>
      </c>
      <c r="V935" s="1" t="s">
        <v>346</v>
      </c>
      <c r="W935" s="145">
        <f t="shared" si="1"/>
        <v>0.0001947937255</v>
      </c>
      <c r="AC935" s="38"/>
    </row>
    <row r="936" ht="15.75" customHeight="1">
      <c r="A936" s="1" t="s">
        <v>1917</v>
      </c>
      <c r="B936" s="1" t="s">
        <v>2127</v>
      </c>
      <c r="C936" s="63">
        <v>46267.0</v>
      </c>
      <c r="D936" s="63" t="s">
        <v>130</v>
      </c>
      <c r="E936" s="68">
        <v>0.95225686</v>
      </c>
      <c r="F936" s="1"/>
      <c r="G936" s="23">
        <v>1.0E7</v>
      </c>
      <c r="H936" s="23">
        <v>9522568.62</v>
      </c>
      <c r="I936" s="23">
        <v>1.0E7</v>
      </c>
      <c r="J936" s="23">
        <v>9522568.62</v>
      </c>
      <c r="K936" s="24">
        <v>578.0</v>
      </c>
      <c r="L936" s="1" t="s">
        <v>1776</v>
      </c>
      <c r="M936" s="1" t="s">
        <v>2128</v>
      </c>
      <c r="N936" s="63" t="s">
        <v>1048</v>
      </c>
      <c r="O936" s="63" t="s">
        <v>1048</v>
      </c>
      <c r="P936" s="68">
        <v>30.0</v>
      </c>
      <c r="Q936" s="1" t="s">
        <v>2130</v>
      </c>
      <c r="R936" s="1" t="s">
        <v>13</v>
      </c>
      <c r="S936" s="1"/>
      <c r="T936" s="1"/>
      <c r="U936" s="1" t="s">
        <v>1053</v>
      </c>
      <c r="V936" s="1" t="s">
        <v>1053</v>
      </c>
      <c r="W936" s="145">
        <f t="shared" si="1"/>
        <v>0.0001947937502</v>
      </c>
      <c r="AC936" s="38"/>
    </row>
    <row r="937" ht="15.75" customHeight="1">
      <c r="A937" s="1" t="s">
        <v>1929</v>
      </c>
      <c r="B937" s="1" t="s">
        <v>2127</v>
      </c>
      <c r="C937" s="63">
        <v>46267.0</v>
      </c>
      <c r="D937" s="63" t="s">
        <v>130</v>
      </c>
      <c r="E937" s="68">
        <v>0.94773195</v>
      </c>
      <c r="F937" s="1"/>
      <c r="G937" s="23">
        <v>5.0E7</v>
      </c>
      <c r="H937" s="23">
        <v>4.738659741E7</v>
      </c>
      <c r="I937" s="23">
        <v>5.0E7</v>
      </c>
      <c r="J937" s="23">
        <v>4.738659741E7</v>
      </c>
      <c r="K937" s="24">
        <v>2834.0</v>
      </c>
      <c r="L937" s="1" t="s">
        <v>1776</v>
      </c>
      <c r="M937" s="1" t="s">
        <v>2128</v>
      </c>
      <c r="N937" s="63" t="s">
        <v>1084</v>
      </c>
      <c r="O937" s="63" t="s">
        <v>1084</v>
      </c>
      <c r="P937" s="68">
        <v>33.0</v>
      </c>
      <c r="Q937" s="1" t="s">
        <v>2130</v>
      </c>
      <c r="R937" s="1" t="s">
        <v>13</v>
      </c>
      <c r="S937" s="1"/>
      <c r="T937" s="1"/>
      <c r="U937" s="1" t="s">
        <v>1099</v>
      </c>
      <c r="V937" s="1" t="s">
        <v>1099</v>
      </c>
      <c r="W937" s="145">
        <f t="shared" si="1"/>
        <v>0.0009693406673</v>
      </c>
      <c r="AC937" s="38"/>
    </row>
    <row r="938" ht="15.75" customHeight="1">
      <c r="A938" s="1" t="s">
        <v>1964</v>
      </c>
      <c r="B938" s="1" t="s">
        <v>2127</v>
      </c>
      <c r="C938" s="63">
        <v>46267.0</v>
      </c>
      <c r="D938" s="63" t="s">
        <v>130</v>
      </c>
      <c r="E938" s="68">
        <v>0.94473935</v>
      </c>
      <c r="F938" s="1"/>
      <c r="G938" s="23">
        <v>1.0E7</v>
      </c>
      <c r="H938" s="23">
        <v>9447393.47</v>
      </c>
      <c r="I938" s="23">
        <v>1.0E7</v>
      </c>
      <c r="J938" s="23">
        <v>9447393.47</v>
      </c>
      <c r="K938" s="24">
        <v>162.0</v>
      </c>
      <c r="L938" s="1" t="s">
        <v>1776</v>
      </c>
      <c r="M938" s="1" t="s">
        <v>2128</v>
      </c>
      <c r="N938" s="63" t="s">
        <v>532</v>
      </c>
      <c r="O938" s="63" t="s">
        <v>532</v>
      </c>
      <c r="P938" s="68">
        <v>35.0</v>
      </c>
      <c r="Q938" s="1" t="s">
        <v>2130</v>
      </c>
      <c r="R938" s="1" t="s">
        <v>13</v>
      </c>
      <c r="S938" s="1"/>
      <c r="T938" s="1"/>
      <c r="U938" s="1" t="s">
        <v>540</v>
      </c>
      <c r="V938" s="1" t="s">
        <v>540</v>
      </c>
      <c r="W938" s="145">
        <f t="shared" si="1"/>
        <v>0.0001932559667</v>
      </c>
      <c r="AC938" s="38"/>
    </row>
    <row r="939" ht="15.75" customHeight="1">
      <c r="A939" s="1" t="s">
        <v>1979</v>
      </c>
      <c r="B939" s="1" t="s">
        <v>2127</v>
      </c>
      <c r="C939" s="63">
        <v>46267.0</v>
      </c>
      <c r="D939" s="63" t="s">
        <v>130</v>
      </c>
      <c r="E939" s="68">
        <v>0.9477321</v>
      </c>
      <c r="F939" s="1"/>
      <c r="G939" s="23">
        <v>2500000.0</v>
      </c>
      <c r="H939" s="23">
        <v>2369330.25</v>
      </c>
      <c r="I939" s="23">
        <v>2500000.0</v>
      </c>
      <c r="J939" s="23">
        <v>2369330.25</v>
      </c>
      <c r="K939" s="24">
        <v>1199.0</v>
      </c>
      <c r="L939" s="1" t="s">
        <v>1776</v>
      </c>
      <c r="M939" s="1" t="s">
        <v>2128</v>
      </c>
      <c r="N939" s="63" t="s">
        <v>827</v>
      </c>
      <c r="O939" s="63" t="s">
        <v>827</v>
      </c>
      <c r="P939" s="68">
        <v>33.0</v>
      </c>
      <c r="Q939" s="1" t="s">
        <v>2130</v>
      </c>
      <c r="R939" s="1" t="s">
        <v>13</v>
      </c>
      <c r="S939" s="1"/>
      <c r="T939" s="1"/>
      <c r="U939" s="1" t="s">
        <v>847</v>
      </c>
      <c r="V939" s="1" t="s">
        <v>847</v>
      </c>
      <c r="W939" s="145">
        <f t="shared" si="1"/>
        <v>0.00004846704113</v>
      </c>
      <c r="AC939" s="38"/>
    </row>
    <row r="940" ht="15.75" customHeight="1">
      <c r="A940" s="1" t="s">
        <v>1991</v>
      </c>
      <c r="B940" s="1" t="s">
        <v>2127</v>
      </c>
      <c r="C940" s="63">
        <v>46267.0</v>
      </c>
      <c r="D940" s="63" t="s">
        <v>130</v>
      </c>
      <c r="E940" s="68">
        <v>0.94773195</v>
      </c>
      <c r="F940" s="1"/>
      <c r="G940" s="23">
        <v>2200000.0</v>
      </c>
      <c r="H940" s="23">
        <v>2085010.28</v>
      </c>
      <c r="I940" s="23">
        <v>2200000.0</v>
      </c>
      <c r="J940" s="23">
        <v>2085010.28</v>
      </c>
      <c r="K940" s="24">
        <v>6200.0</v>
      </c>
      <c r="L940" s="1" t="s">
        <v>1776</v>
      </c>
      <c r="M940" s="1" t="s">
        <v>2128</v>
      </c>
      <c r="N940" s="63" t="s">
        <v>1084</v>
      </c>
      <c r="O940" s="63" t="s">
        <v>1084</v>
      </c>
      <c r="P940" s="68">
        <v>33.0</v>
      </c>
      <c r="Q940" s="1" t="s">
        <v>2130</v>
      </c>
      <c r="R940" s="1" t="s">
        <v>13</v>
      </c>
      <c r="S940" s="1"/>
      <c r="T940" s="1"/>
      <c r="U940" s="1" t="s">
        <v>1108</v>
      </c>
      <c r="V940" s="1" t="s">
        <v>1108</v>
      </c>
      <c r="W940" s="145">
        <f t="shared" si="1"/>
        <v>0.00004265098924</v>
      </c>
      <c r="AC940" s="38"/>
    </row>
    <row r="941" ht="15.75" customHeight="1">
      <c r="A941" s="1" t="s">
        <v>1910</v>
      </c>
      <c r="B941" s="1" t="s">
        <v>2127</v>
      </c>
      <c r="C941" s="63">
        <v>46267.0</v>
      </c>
      <c r="D941" s="63" t="s">
        <v>130</v>
      </c>
      <c r="E941" s="68">
        <v>0.956825</v>
      </c>
      <c r="F941" s="1"/>
      <c r="G941" s="23">
        <v>2.0E8</v>
      </c>
      <c r="H941" s="23">
        <v>1.9136499936E8</v>
      </c>
      <c r="I941" s="23">
        <v>2.0E8</v>
      </c>
      <c r="J941" s="23">
        <v>1.9136499936E8</v>
      </c>
      <c r="K941" s="24">
        <v>9.0003878E7</v>
      </c>
      <c r="L941" s="1" t="s">
        <v>1776</v>
      </c>
      <c r="M941" s="1" t="s">
        <v>2128</v>
      </c>
      <c r="N941" s="63" t="s">
        <v>1458</v>
      </c>
      <c r="O941" s="63" t="s">
        <v>1458</v>
      </c>
      <c r="P941" s="68">
        <v>27.0</v>
      </c>
      <c r="Q941" s="1" t="s">
        <v>2130</v>
      </c>
      <c r="R941" s="1" t="s">
        <v>13</v>
      </c>
      <c r="S941" s="1"/>
      <c r="T941" s="1"/>
      <c r="U941" s="1" t="s">
        <v>1471</v>
      </c>
      <c r="V941" s="1" t="s">
        <v>1471</v>
      </c>
      <c r="W941" s="145">
        <f t="shared" si="1"/>
        <v>0.003914564166</v>
      </c>
      <c r="AC941" s="38"/>
    </row>
    <row r="942" ht="15.75" customHeight="1">
      <c r="A942" s="1" t="s">
        <v>1903</v>
      </c>
      <c r="B942" s="1" t="s">
        <v>2127</v>
      </c>
      <c r="C942" s="63">
        <v>46267.0</v>
      </c>
      <c r="D942" s="63" t="s">
        <v>130</v>
      </c>
      <c r="E942" s="68">
        <v>0.95682494</v>
      </c>
      <c r="F942" s="1"/>
      <c r="G942" s="23">
        <v>6250000.0</v>
      </c>
      <c r="H942" s="23">
        <v>5980155.85</v>
      </c>
      <c r="I942" s="23">
        <v>6250000.0</v>
      </c>
      <c r="J942" s="23">
        <v>5980155.85</v>
      </c>
      <c r="K942" s="24">
        <v>1382.0</v>
      </c>
      <c r="L942" s="1" t="s">
        <v>1776</v>
      </c>
      <c r="M942" s="1" t="s">
        <v>2128</v>
      </c>
      <c r="N942" s="63" t="s">
        <v>1428</v>
      </c>
      <c r="O942" s="63" t="s">
        <v>1428</v>
      </c>
      <c r="P942" s="68">
        <v>27.0</v>
      </c>
      <c r="Q942" s="1" t="s">
        <v>2130</v>
      </c>
      <c r="R942" s="1" t="s">
        <v>13</v>
      </c>
      <c r="S942" s="1"/>
      <c r="T942" s="1"/>
      <c r="U942" s="1" t="s">
        <v>1443</v>
      </c>
      <c r="V942" s="1" t="s">
        <v>1443</v>
      </c>
      <c r="W942" s="145">
        <f t="shared" si="1"/>
        <v>0.0001223301224</v>
      </c>
      <c r="AC942" s="38"/>
    </row>
    <row r="943" ht="15.75" customHeight="1">
      <c r="A943" s="1" t="s">
        <v>1903</v>
      </c>
      <c r="B943" s="1" t="s">
        <v>2127</v>
      </c>
      <c r="C943" s="63">
        <v>46267.0</v>
      </c>
      <c r="D943" s="63" t="s">
        <v>130</v>
      </c>
      <c r="E943" s="68">
        <v>0.95682494</v>
      </c>
      <c r="F943" s="1"/>
      <c r="G943" s="23">
        <v>6250000.0</v>
      </c>
      <c r="H943" s="23">
        <v>5980155.85</v>
      </c>
      <c r="I943" s="23">
        <v>6250000.0</v>
      </c>
      <c r="J943" s="23">
        <v>5980155.85</v>
      </c>
      <c r="K943" s="24">
        <v>1379.0</v>
      </c>
      <c r="L943" s="1" t="s">
        <v>1776</v>
      </c>
      <c r="M943" s="1" t="s">
        <v>2128</v>
      </c>
      <c r="N943" s="63" t="s">
        <v>1428</v>
      </c>
      <c r="O943" s="63" t="s">
        <v>1428</v>
      </c>
      <c r="P943" s="68">
        <v>27.0</v>
      </c>
      <c r="Q943" s="1" t="s">
        <v>2130</v>
      </c>
      <c r="R943" s="1" t="s">
        <v>13</v>
      </c>
      <c r="S943" s="1"/>
      <c r="T943" s="1"/>
      <c r="U943" s="1" t="s">
        <v>1444</v>
      </c>
      <c r="V943" s="1" t="s">
        <v>1444</v>
      </c>
      <c r="W943" s="145">
        <f t="shared" si="1"/>
        <v>0.0001223301224</v>
      </c>
      <c r="AC943" s="38"/>
    </row>
    <row r="944" ht="15.75" customHeight="1">
      <c r="A944" s="1" t="s">
        <v>1903</v>
      </c>
      <c r="B944" s="1" t="s">
        <v>2127</v>
      </c>
      <c r="C944" s="63">
        <v>46267.0</v>
      </c>
      <c r="D944" s="63" t="s">
        <v>130</v>
      </c>
      <c r="E944" s="68">
        <v>0.95682494</v>
      </c>
      <c r="F944" s="1"/>
      <c r="G944" s="23">
        <v>6250000.0</v>
      </c>
      <c r="H944" s="23">
        <v>5980155.85</v>
      </c>
      <c r="I944" s="23">
        <v>6250000.0</v>
      </c>
      <c r="J944" s="23">
        <v>5980155.85</v>
      </c>
      <c r="K944" s="24">
        <v>1381.0</v>
      </c>
      <c r="L944" s="1" t="s">
        <v>1776</v>
      </c>
      <c r="M944" s="1" t="s">
        <v>2128</v>
      </c>
      <c r="N944" s="63" t="s">
        <v>1428</v>
      </c>
      <c r="O944" s="63" t="s">
        <v>1428</v>
      </c>
      <c r="P944" s="68">
        <v>27.0</v>
      </c>
      <c r="Q944" s="1" t="s">
        <v>2130</v>
      </c>
      <c r="R944" s="1" t="s">
        <v>13</v>
      </c>
      <c r="S944" s="1"/>
      <c r="T944" s="1"/>
      <c r="U944" s="1" t="s">
        <v>1445</v>
      </c>
      <c r="V944" s="1" t="s">
        <v>1445</v>
      </c>
      <c r="W944" s="145">
        <f t="shared" si="1"/>
        <v>0.0001223301224</v>
      </c>
      <c r="AC944" s="38"/>
    </row>
    <row r="945" ht="15.75" customHeight="1">
      <c r="A945" s="1" t="s">
        <v>1903</v>
      </c>
      <c r="B945" s="1" t="s">
        <v>2127</v>
      </c>
      <c r="C945" s="63">
        <v>46267.0</v>
      </c>
      <c r="D945" s="63" t="s">
        <v>130</v>
      </c>
      <c r="E945" s="68">
        <v>0.95682494</v>
      </c>
      <c r="F945" s="1"/>
      <c r="G945" s="23">
        <v>6250000.0</v>
      </c>
      <c r="H945" s="23">
        <v>5980155.85</v>
      </c>
      <c r="I945" s="23">
        <v>6250000.0</v>
      </c>
      <c r="J945" s="23">
        <v>5980155.85</v>
      </c>
      <c r="K945" s="24">
        <v>1380.0</v>
      </c>
      <c r="L945" s="1" t="s">
        <v>1776</v>
      </c>
      <c r="M945" s="1" t="s">
        <v>2128</v>
      </c>
      <c r="N945" s="63" t="s">
        <v>1428</v>
      </c>
      <c r="O945" s="63" t="s">
        <v>1428</v>
      </c>
      <c r="P945" s="68">
        <v>27.0</v>
      </c>
      <c r="Q945" s="1" t="s">
        <v>2130</v>
      </c>
      <c r="R945" s="1" t="s">
        <v>13</v>
      </c>
      <c r="S945" s="1"/>
      <c r="T945" s="1"/>
      <c r="U945" s="1" t="s">
        <v>1446</v>
      </c>
      <c r="V945" s="1" t="s">
        <v>1446</v>
      </c>
      <c r="W945" s="145">
        <f t="shared" si="1"/>
        <v>0.0001223301224</v>
      </c>
      <c r="AC945" s="38"/>
    </row>
    <row r="946" ht="15.75" customHeight="1">
      <c r="A946" s="1" t="s">
        <v>1965</v>
      </c>
      <c r="B946" s="1" t="s">
        <v>2127</v>
      </c>
      <c r="C946" s="63">
        <v>46267.0</v>
      </c>
      <c r="D946" s="63" t="s">
        <v>130</v>
      </c>
      <c r="E946" s="68">
        <v>0.95225674</v>
      </c>
      <c r="F946" s="1"/>
      <c r="G946" s="23">
        <v>2.5E7</v>
      </c>
      <c r="H946" s="23">
        <v>2.380641852E7</v>
      </c>
      <c r="I946" s="23">
        <v>2.5E7</v>
      </c>
      <c r="J946" s="23">
        <v>2.380641852E7</v>
      </c>
      <c r="K946" s="24">
        <v>718979.0</v>
      </c>
      <c r="L946" s="1" t="s">
        <v>1776</v>
      </c>
      <c r="M946" s="1" t="s">
        <v>2128</v>
      </c>
      <c r="N946" s="63" t="s">
        <v>307</v>
      </c>
      <c r="O946" s="63" t="s">
        <v>307</v>
      </c>
      <c r="P946" s="68">
        <v>30.0</v>
      </c>
      <c r="Q946" s="1" t="s">
        <v>2130</v>
      </c>
      <c r="R946" s="1" t="s">
        <v>13</v>
      </c>
      <c r="S946" s="1"/>
      <c r="T946" s="1"/>
      <c r="U946" s="1" t="s">
        <v>316</v>
      </c>
      <c r="V946" s="1" t="s">
        <v>316</v>
      </c>
      <c r="W946" s="145">
        <f t="shared" si="1"/>
        <v>0.0004869843136</v>
      </c>
      <c r="AC946" s="38"/>
    </row>
    <row r="947" ht="15.75" customHeight="1">
      <c r="A947" s="1" t="s">
        <v>1933</v>
      </c>
      <c r="B947" s="1" t="s">
        <v>2127</v>
      </c>
      <c r="C947" s="63">
        <v>46267.0</v>
      </c>
      <c r="D947" s="63" t="s">
        <v>130</v>
      </c>
      <c r="E947" s="68">
        <v>0.94923543</v>
      </c>
      <c r="F947" s="1"/>
      <c r="G947" s="23">
        <v>1.5E7</v>
      </c>
      <c r="H947" s="23">
        <v>1.423853152E7</v>
      </c>
      <c r="I947" s="23">
        <v>1.5E7</v>
      </c>
      <c r="J947" s="23">
        <v>1.423853152E7</v>
      </c>
      <c r="K947" s="24">
        <v>179.0</v>
      </c>
      <c r="L947" s="1" t="s">
        <v>1776</v>
      </c>
      <c r="M947" s="1" t="s">
        <v>2128</v>
      </c>
      <c r="N947" s="63" t="s">
        <v>307</v>
      </c>
      <c r="O947" s="63" t="s">
        <v>307</v>
      </c>
      <c r="P947" s="68">
        <v>32.0</v>
      </c>
      <c r="Q947" s="1" t="s">
        <v>2130</v>
      </c>
      <c r="R947" s="1" t="s">
        <v>13</v>
      </c>
      <c r="S947" s="1"/>
      <c r="T947" s="1"/>
      <c r="U947" s="1" t="s">
        <v>323</v>
      </c>
      <c r="V947" s="1" t="s">
        <v>323</v>
      </c>
      <c r="W947" s="145">
        <f t="shared" si="1"/>
        <v>0.0002912635302</v>
      </c>
      <c r="AC947" s="38"/>
    </row>
    <row r="948" ht="15.75" customHeight="1">
      <c r="A948" s="1" t="s">
        <v>1933</v>
      </c>
      <c r="B948" s="1" t="s">
        <v>2127</v>
      </c>
      <c r="C948" s="63">
        <v>46267.0</v>
      </c>
      <c r="D948" s="63" t="s">
        <v>130</v>
      </c>
      <c r="E948" s="68">
        <v>0.95225672</v>
      </c>
      <c r="F948" s="1"/>
      <c r="G948" s="23">
        <v>6000000.0</v>
      </c>
      <c r="H948" s="23">
        <v>5713540.31</v>
      </c>
      <c r="I948" s="23">
        <v>6000000.0</v>
      </c>
      <c r="J948" s="23">
        <v>5713540.31</v>
      </c>
      <c r="K948" s="24">
        <v>1.0926495E7</v>
      </c>
      <c r="L948" s="1" t="s">
        <v>1776</v>
      </c>
      <c r="M948" s="1" t="s">
        <v>2128</v>
      </c>
      <c r="N948" s="63" t="s">
        <v>360</v>
      </c>
      <c r="O948" s="63" t="s">
        <v>360</v>
      </c>
      <c r="P948" s="68">
        <v>30.0</v>
      </c>
      <c r="Q948" s="1" t="s">
        <v>2130</v>
      </c>
      <c r="R948" s="1" t="s">
        <v>13</v>
      </c>
      <c r="S948" s="1"/>
      <c r="T948" s="1"/>
      <c r="U948" s="1" t="s">
        <v>376</v>
      </c>
      <c r="V948" s="1" t="s">
        <v>376</v>
      </c>
      <c r="W948" s="145">
        <f t="shared" si="1"/>
        <v>0.0001168762325</v>
      </c>
      <c r="AC948" s="38"/>
    </row>
    <row r="949" ht="15.75" customHeight="1">
      <c r="A949" s="1" t="s">
        <v>2034</v>
      </c>
      <c r="B949" s="1" t="s">
        <v>2127</v>
      </c>
      <c r="C949" s="63">
        <v>46267.0</v>
      </c>
      <c r="D949" s="63" t="s">
        <v>130</v>
      </c>
      <c r="E949" s="68">
        <v>0.94325001</v>
      </c>
      <c r="F949" s="1"/>
      <c r="G949" s="23">
        <v>5000000.0</v>
      </c>
      <c r="H949" s="23">
        <v>4716250.06</v>
      </c>
      <c r="I949" s="23">
        <v>5000000.0</v>
      </c>
      <c r="J949" s="23">
        <v>4716250.06</v>
      </c>
      <c r="K949" s="24">
        <v>6.7542727E7</v>
      </c>
      <c r="L949" s="1" t="s">
        <v>1776</v>
      </c>
      <c r="M949" s="1" t="s">
        <v>2128</v>
      </c>
      <c r="N949" s="63" t="s">
        <v>1245</v>
      </c>
      <c r="O949" s="63" t="s">
        <v>1245</v>
      </c>
      <c r="P949" s="68">
        <v>36.0</v>
      </c>
      <c r="Q949" s="1" t="s">
        <v>2130</v>
      </c>
      <c r="R949" s="1" t="s">
        <v>13</v>
      </c>
      <c r="S949" s="1"/>
      <c r="T949" s="1"/>
      <c r="U949" s="1" t="s">
        <v>1254</v>
      </c>
      <c r="V949" s="1" t="s">
        <v>1254</v>
      </c>
      <c r="W949" s="145">
        <f t="shared" si="1"/>
        <v>0.00009647565409</v>
      </c>
      <c r="AC949" s="38"/>
    </row>
    <row r="950" ht="15.75" customHeight="1">
      <c r="A950" s="1" t="s">
        <v>1943</v>
      </c>
      <c r="B950" s="1" t="s">
        <v>2127</v>
      </c>
      <c r="C950" s="63">
        <v>46267.0</v>
      </c>
      <c r="D950" s="63" t="s">
        <v>130</v>
      </c>
      <c r="E950" s="68">
        <v>0.94028551</v>
      </c>
      <c r="F950" s="1"/>
      <c r="G950" s="23">
        <v>4.0E7</v>
      </c>
      <c r="H950" s="23">
        <v>3.761142052E7</v>
      </c>
      <c r="I950" s="23">
        <v>4.0E7</v>
      </c>
      <c r="J950" s="23">
        <v>3.761142052E7</v>
      </c>
      <c r="K950" s="24">
        <v>7.0379073E7</v>
      </c>
      <c r="L950" s="1" t="s">
        <v>1776</v>
      </c>
      <c r="M950" s="1" t="s">
        <v>2128</v>
      </c>
      <c r="N950" s="63" t="s">
        <v>1381</v>
      </c>
      <c r="O950" s="63" t="s">
        <v>1381</v>
      </c>
      <c r="P950" s="68">
        <v>38.0</v>
      </c>
      <c r="Q950" s="1" t="s">
        <v>2130</v>
      </c>
      <c r="R950" s="1" t="s">
        <v>13</v>
      </c>
      <c r="S950" s="1"/>
      <c r="T950" s="1"/>
      <c r="U950" s="1" t="s">
        <v>1391</v>
      </c>
      <c r="V950" s="1" t="s">
        <v>1391</v>
      </c>
      <c r="W950" s="145">
        <f t="shared" si="1"/>
        <v>0.00076937956</v>
      </c>
      <c r="AC950" s="38"/>
    </row>
    <row r="951" ht="15.75" customHeight="1">
      <c r="A951" s="1" t="s">
        <v>1921</v>
      </c>
      <c r="B951" s="1" t="s">
        <v>2127</v>
      </c>
      <c r="C951" s="63">
        <v>46267.0</v>
      </c>
      <c r="D951" s="63" t="s">
        <v>130</v>
      </c>
      <c r="E951" s="68">
        <v>0.95529735</v>
      </c>
      <c r="F951" s="1"/>
      <c r="G951" s="23">
        <v>1.0E7</v>
      </c>
      <c r="H951" s="23">
        <v>9552973.54</v>
      </c>
      <c r="I951" s="23">
        <v>1.0E7</v>
      </c>
      <c r="J951" s="23">
        <v>9552973.54</v>
      </c>
      <c r="K951" s="24">
        <v>360561.0</v>
      </c>
      <c r="L951" s="1" t="s">
        <v>1776</v>
      </c>
      <c r="M951" s="1" t="s">
        <v>2128</v>
      </c>
      <c r="N951" s="63" t="s">
        <v>404</v>
      </c>
      <c r="O951" s="63" t="s">
        <v>404</v>
      </c>
      <c r="P951" s="68">
        <v>28.0</v>
      </c>
      <c r="Q951" s="1" t="s">
        <v>2130</v>
      </c>
      <c r="R951" s="1" t="s">
        <v>13</v>
      </c>
      <c r="S951" s="1"/>
      <c r="T951" s="1"/>
      <c r="U951" s="1" t="s">
        <v>433</v>
      </c>
      <c r="V951" s="1" t="s">
        <v>433</v>
      </c>
      <c r="W951" s="145">
        <f t="shared" si="1"/>
        <v>0.0001954157136</v>
      </c>
      <c r="AC951" s="38"/>
    </row>
    <row r="952" ht="15.75" customHeight="1">
      <c r="A952" s="1" t="s">
        <v>1981</v>
      </c>
      <c r="B952" s="1" t="s">
        <v>2127</v>
      </c>
      <c r="C952" s="63">
        <v>46267.0</v>
      </c>
      <c r="D952" s="63" t="s">
        <v>130</v>
      </c>
      <c r="E952" s="68">
        <v>0.94923548</v>
      </c>
      <c r="F952" s="1"/>
      <c r="G952" s="23">
        <v>1.3E7</v>
      </c>
      <c r="H952" s="23">
        <v>1.23400612E7</v>
      </c>
      <c r="I952" s="23">
        <v>1.3E7</v>
      </c>
      <c r="J952" s="23">
        <v>1.23400612E7</v>
      </c>
      <c r="K952" s="24">
        <v>546.0</v>
      </c>
      <c r="L952" s="1" t="s">
        <v>1776</v>
      </c>
      <c r="M952" s="1" t="s">
        <v>2128</v>
      </c>
      <c r="N952" s="63" t="s">
        <v>1118</v>
      </c>
      <c r="O952" s="63" t="s">
        <v>1118</v>
      </c>
      <c r="P952" s="68">
        <v>32.0</v>
      </c>
      <c r="Q952" s="1" t="s">
        <v>2130</v>
      </c>
      <c r="R952" s="1" t="s">
        <v>13</v>
      </c>
      <c r="S952" s="1"/>
      <c r="T952" s="1"/>
      <c r="U952" s="1" t="s">
        <v>1162</v>
      </c>
      <c r="V952" s="1" t="s">
        <v>1162</v>
      </c>
      <c r="W952" s="145">
        <f t="shared" si="1"/>
        <v>0.0002524284041</v>
      </c>
      <c r="AC952" s="38"/>
    </row>
    <row r="953" ht="15.75" customHeight="1">
      <c r="A953" s="1" t="s">
        <v>2027</v>
      </c>
      <c r="B953" s="1" t="s">
        <v>2127</v>
      </c>
      <c r="C953" s="63">
        <v>46267.0</v>
      </c>
      <c r="D953" s="63" t="s">
        <v>130</v>
      </c>
      <c r="E953" s="68">
        <v>0.94923546</v>
      </c>
      <c r="F953" s="1"/>
      <c r="G953" s="23">
        <v>1000000.0</v>
      </c>
      <c r="H953" s="23">
        <v>949235.46</v>
      </c>
      <c r="I953" s="23">
        <v>1000000.0</v>
      </c>
      <c r="J953" s="23">
        <v>949235.46</v>
      </c>
      <c r="K953" s="24">
        <v>6.7277956E7</v>
      </c>
      <c r="L953" s="1" t="s">
        <v>1776</v>
      </c>
      <c r="M953" s="1" t="s">
        <v>2128</v>
      </c>
      <c r="N953" s="63" t="s">
        <v>1118</v>
      </c>
      <c r="O953" s="63" t="s">
        <v>1118</v>
      </c>
      <c r="P953" s="68">
        <v>32.0</v>
      </c>
      <c r="Q953" s="1" t="s">
        <v>2130</v>
      </c>
      <c r="R953" s="1" t="s">
        <v>13</v>
      </c>
      <c r="S953" s="1"/>
      <c r="T953" s="1"/>
      <c r="U953" s="1" t="s">
        <v>1169</v>
      </c>
      <c r="V953" s="1" t="s">
        <v>1169</v>
      </c>
      <c r="W953" s="145">
        <f t="shared" si="1"/>
        <v>0.0000194175692</v>
      </c>
      <c r="AC953" s="38"/>
    </row>
    <row r="954" ht="15.75" customHeight="1">
      <c r="A954" s="1" t="s">
        <v>1932</v>
      </c>
      <c r="B954" s="1" t="s">
        <v>2127</v>
      </c>
      <c r="C954" s="63">
        <v>46268.0</v>
      </c>
      <c r="D954" s="63" t="s">
        <v>130</v>
      </c>
      <c r="E954" s="68">
        <v>0.94692073</v>
      </c>
      <c r="F954" s="1"/>
      <c r="G954" s="23">
        <v>1.600557567E7</v>
      </c>
      <c r="H954" s="23">
        <v>1.515601132E7</v>
      </c>
      <c r="I954" s="23">
        <v>1.600557567E7</v>
      </c>
      <c r="J954" s="23">
        <v>1.515601132E7</v>
      </c>
      <c r="K954" s="24">
        <v>30712.0</v>
      </c>
      <c r="L954" s="1" t="s">
        <v>1776</v>
      </c>
      <c r="M954" s="1" t="s">
        <v>2128</v>
      </c>
      <c r="N954" s="63" t="s">
        <v>902</v>
      </c>
      <c r="O954" s="63" t="s">
        <v>902</v>
      </c>
      <c r="P954" s="68">
        <v>33.0</v>
      </c>
      <c r="Q954" s="1" t="s">
        <v>2130</v>
      </c>
      <c r="R954" s="1" t="s">
        <v>13</v>
      </c>
      <c r="S954" s="1"/>
      <c r="T954" s="1"/>
      <c r="U954" s="1" t="s">
        <v>904</v>
      </c>
      <c r="V954" s="1" t="s">
        <v>904</v>
      </c>
      <c r="W954" s="145">
        <f t="shared" si="1"/>
        <v>0.0003100315053</v>
      </c>
      <c r="AC954" s="38"/>
    </row>
    <row r="955" ht="15.75" customHeight="1">
      <c r="A955" s="1" t="s">
        <v>1932</v>
      </c>
      <c r="B955" s="1" t="s">
        <v>2127</v>
      </c>
      <c r="C955" s="63">
        <v>46268.0</v>
      </c>
      <c r="D955" s="63" t="s">
        <v>130</v>
      </c>
      <c r="E955" s="68">
        <v>0.94692073</v>
      </c>
      <c r="F955" s="1"/>
      <c r="G955" s="23">
        <v>1.208021571E7</v>
      </c>
      <c r="H955" s="23">
        <v>1.143900662E7</v>
      </c>
      <c r="I955" s="23">
        <v>1.208021571E7</v>
      </c>
      <c r="J955" s="23">
        <v>1.143900662E7</v>
      </c>
      <c r="K955" s="24">
        <v>30702.0</v>
      </c>
      <c r="L955" s="1" t="s">
        <v>1776</v>
      </c>
      <c r="M955" s="1" t="s">
        <v>2128</v>
      </c>
      <c r="N955" s="63" t="s">
        <v>902</v>
      </c>
      <c r="O955" s="63" t="s">
        <v>902</v>
      </c>
      <c r="P955" s="68">
        <v>33.0</v>
      </c>
      <c r="Q955" s="1" t="s">
        <v>2130</v>
      </c>
      <c r="R955" s="1" t="s">
        <v>13</v>
      </c>
      <c r="S955" s="1"/>
      <c r="T955" s="1"/>
      <c r="U955" s="1" t="s">
        <v>905</v>
      </c>
      <c r="V955" s="1" t="s">
        <v>905</v>
      </c>
      <c r="W955" s="145">
        <f t="shared" si="1"/>
        <v>0.0002339964234</v>
      </c>
      <c r="AC955" s="38"/>
    </row>
    <row r="956" ht="15.75" customHeight="1">
      <c r="A956" s="1" t="s">
        <v>1932</v>
      </c>
      <c r="B956" s="1" t="s">
        <v>2127</v>
      </c>
      <c r="C956" s="63">
        <v>46268.0</v>
      </c>
      <c r="D956" s="63" t="s">
        <v>130</v>
      </c>
      <c r="E956" s="68">
        <v>0.94692073</v>
      </c>
      <c r="F956" s="1"/>
      <c r="G956" s="23">
        <v>1.523033594E7</v>
      </c>
      <c r="H956" s="23">
        <v>1.442192076E7</v>
      </c>
      <c r="I956" s="23">
        <v>1.523033594E7</v>
      </c>
      <c r="J956" s="23">
        <v>1.442192076E7</v>
      </c>
      <c r="K956" s="24">
        <v>30690.0</v>
      </c>
      <c r="L956" s="1" t="s">
        <v>1776</v>
      </c>
      <c r="M956" s="1" t="s">
        <v>2128</v>
      </c>
      <c r="N956" s="63" t="s">
        <v>902</v>
      </c>
      <c r="O956" s="63" t="s">
        <v>902</v>
      </c>
      <c r="P956" s="68">
        <v>33.0</v>
      </c>
      <c r="Q956" s="1" t="s">
        <v>2130</v>
      </c>
      <c r="R956" s="1" t="s">
        <v>13</v>
      </c>
      <c r="S956" s="1"/>
      <c r="T956" s="1"/>
      <c r="U956" s="1" t="s">
        <v>916</v>
      </c>
      <c r="V956" s="1" t="s">
        <v>916</v>
      </c>
      <c r="W956" s="145">
        <f t="shared" si="1"/>
        <v>0.0002950149421</v>
      </c>
      <c r="AC956" s="38"/>
    </row>
    <row r="957" ht="15.75" customHeight="1">
      <c r="A957" s="1" t="s">
        <v>1978</v>
      </c>
      <c r="B957" s="1" t="s">
        <v>2127</v>
      </c>
      <c r="C957" s="63">
        <v>46268.0</v>
      </c>
      <c r="D957" s="63" t="s">
        <v>130</v>
      </c>
      <c r="E957" s="68">
        <v>0.93637778</v>
      </c>
      <c r="F957" s="1"/>
      <c r="G957" s="23">
        <v>1.2166667E7</v>
      </c>
      <c r="H957" s="23">
        <v>1.139259658E7</v>
      </c>
      <c r="I957" s="23">
        <v>1.2166667E7</v>
      </c>
      <c r="J957" s="23">
        <v>1.139259658E7</v>
      </c>
      <c r="K957" s="24">
        <v>9.002055E7</v>
      </c>
      <c r="L957" s="1" t="s">
        <v>1776</v>
      </c>
      <c r="M957" s="1" t="s">
        <v>2128</v>
      </c>
      <c r="N957" s="63" t="s">
        <v>748</v>
      </c>
      <c r="O957" s="63" t="s">
        <v>748</v>
      </c>
      <c r="P957" s="68">
        <v>40.0</v>
      </c>
      <c r="Q957" s="1" t="s">
        <v>2130</v>
      </c>
      <c r="R957" s="1" t="s">
        <v>13</v>
      </c>
      <c r="S957" s="1"/>
      <c r="T957" s="1"/>
      <c r="U957" s="1" t="s">
        <v>753</v>
      </c>
      <c r="V957" s="1" t="s">
        <v>753</v>
      </c>
      <c r="W957" s="145">
        <f t="shared" si="1"/>
        <v>0.0002330470592</v>
      </c>
      <c r="AC957" s="38"/>
    </row>
    <row r="958" ht="15.75" customHeight="1">
      <c r="A958" s="1" t="s">
        <v>2044</v>
      </c>
      <c r="B958" s="1" t="s">
        <v>2127</v>
      </c>
      <c r="C958" s="63">
        <v>46268.0</v>
      </c>
      <c r="D958" s="63" t="s">
        <v>130</v>
      </c>
      <c r="E958" s="68">
        <v>0.9423734</v>
      </c>
      <c r="F958" s="1"/>
      <c r="G958" s="23">
        <v>2067824.35</v>
      </c>
      <c r="H958" s="23">
        <v>1948662.67</v>
      </c>
      <c r="I958" s="23">
        <v>2067824.35</v>
      </c>
      <c r="J958" s="23">
        <v>1948662.67</v>
      </c>
      <c r="K958" s="24">
        <v>2201.0</v>
      </c>
      <c r="L958" s="1" t="s">
        <v>1776</v>
      </c>
      <c r="M958" s="1" t="s">
        <v>2128</v>
      </c>
      <c r="N958" s="63" t="s">
        <v>902</v>
      </c>
      <c r="O958" s="63" t="s">
        <v>902</v>
      </c>
      <c r="P958" s="68">
        <v>36.0</v>
      </c>
      <c r="Q958" s="1" t="s">
        <v>2130</v>
      </c>
      <c r="R958" s="1" t="s">
        <v>13</v>
      </c>
      <c r="S958" s="1"/>
      <c r="T958" s="1"/>
      <c r="U958" s="1" t="s">
        <v>932</v>
      </c>
      <c r="V958" s="1" t="s">
        <v>932</v>
      </c>
      <c r="W958" s="145">
        <f t="shared" si="1"/>
        <v>0.00003986186129</v>
      </c>
      <c r="AC958" s="38"/>
    </row>
    <row r="959" ht="15.75" customHeight="1">
      <c r="A959" s="1" t="s">
        <v>1906</v>
      </c>
      <c r="B959" s="1" t="s">
        <v>2127</v>
      </c>
      <c r="C959" s="63">
        <v>46268.0</v>
      </c>
      <c r="D959" s="63" t="s">
        <v>130</v>
      </c>
      <c r="E959" s="68">
        <v>0.93936611</v>
      </c>
      <c r="F959" s="1"/>
      <c r="G959" s="23">
        <v>4.35E7</v>
      </c>
      <c r="H959" s="23">
        <v>4.08624257E7</v>
      </c>
      <c r="I959" s="23">
        <v>4.35E7</v>
      </c>
      <c r="J959" s="23">
        <v>4.08624257E7</v>
      </c>
      <c r="K959" s="24">
        <v>155472.0</v>
      </c>
      <c r="L959" s="1" t="s">
        <v>1776</v>
      </c>
      <c r="M959" s="1" t="s">
        <v>2128</v>
      </c>
      <c r="N959" s="63" t="s">
        <v>1589</v>
      </c>
      <c r="O959" s="63" t="s">
        <v>1589</v>
      </c>
      <c r="P959" s="68">
        <v>38.0</v>
      </c>
      <c r="Q959" s="1" t="s">
        <v>2130</v>
      </c>
      <c r="R959" s="1" t="s">
        <v>13</v>
      </c>
      <c r="S959" s="1"/>
      <c r="T959" s="1"/>
      <c r="U959" s="1" t="s">
        <v>1609</v>
      </c>
      <c r="V959" s="1" t="s">
        <v>1609</v>
      </c>
      <c r="W959" s="145">
        <f t="shared" si="1"/>
        <v>0.0008358821515</v>
      </c>
      <c r="AC959" s="38"/>
    </row>
    <row r="960" ht="15.75" customHeight="1">
      <c r="A960" s="1" t="s">
        <v>1963</v>
      </c>
      <c r="B960" s="1" t="s">
        <v>2127</v>
      </c>
      <c r="C960" s="63">
        <v>46268.0</v>
      </c>
      <c r="D960" s="63" t="s">
        <v>130</v>
      </c>
      <c r="E960" s="68">
        <v>0.93637773</v>
      </c>
      <c r="F960" s="1"/>
      <c r="G960" s="23">
        <v>9972890.55</v>
      </c>
      <c r="H960" s="23">
        <v>9338392.61</v>
      </c>
      <c r="I960" s="23">
        <v>9972890.55</v>
      </c>
      <c r="J960" s="23">
        <v>9338392.61</v>
      </c>
      <c r="K960" s="24">
        <v>1179208.0</v>
      </c>
      <c r="L960" s="1" t="s">
        <v>1776</v>
      </c>
      <c r="M960" s="1" t="s">
        <v>2128</v>
      </c>
      <c r="N960" s="63" t="s">
        <v>283</v>
      </c>
      <c r="O960" s="63" t="s">
        <v>283</v>
      </c>
      <c r="P960" s="68">
        <v>40.0</v>
      </c>
      <c r="Q960" s="1" t="s">
        <v>2130</v>
      </c>
      <c r="R960" s="1" t="s">
        <v>13</v>
      </c>
      <c r="S960" s="1"/>
      <c r="T960" s="1"/>
      <c r="U960" s="1" t="s">
        <v>284</v>
      </c>
      <c r="V960" s="1" t="s">
        <v>284</v>
      </c>
      <c r="W960" s="145">
        <f t="shared" si="1"/>
        <v>0.0001910262441</v>
      </c>
      <c r="AC960" s="38"/>
    </row>
    <row r="961" ht="15.75" customHeight="1">
      <c r="A961" s="1" t="s">
        <v>1968</v>
      </c>
      <c r="B961" s="1" t="s">
        <v>2127</v>
      </c>
      <c r="C961" s="63">
        <v>46268.0</v>
      </c>
      <c r="D961" s="63" t="s">
        <v>130</v>
      </c>
      <c r="E961" s="68">
        <v>0.95614828</v>
      </c>
      <c r="F961" s="1"/>
      <c r="G961" s="23">
        <v>2.508888433E7</v>
      </c>
      <c r="H961" s="23">
        <v>2.398869349E7</v>
      </c>
      <c r="I961" s="23">
        <v>2.508888433E7</v>
      </c>
      <c r="J961" s="23">
        <v>2.398869349E7</v>
      </c>
      <c r="K961" s="24">
        <v>288.0</v>
      </c>
      <c r="L961" s="1" t="s">
        <v>1776</v>
      </c>
      <c r="M961" s="1" t="s">
        <v>2128</v>
      </c>
      <c r="N961" s="63" t="s">
        <v>1571</v>
      </c>
      <c r="O961" s="63" t="s">
        <v>1571</v>
      </c>
      <c r="P961" s="68">
        <v>27.0</v>
      </c>
      <c r="Q961" s="1" t="s">
        <v>2130</v>
      </c>
      <c r="R961" s="1" t="s">
        <v>13</v>
      </c>
      <c r="S961" s="1"/>
      <c r="T961" s="1"/>
      <c r="U961" s="1" t="s">
        <v>1570</v>
      </c>
      <c r="V961" s="1" t="s">
        <v>1570</v>
      </c>
      <c r="W961" s="145">
        <f t="shared" si="1"/>
        <v>0.000490712932</v>
      </c>
      <c r="AC961" s="38"/>
    </row>
    <row r="962" ht="15.75" customHeight="1">
      <c r="A962" s="1" t="s">
        <v>1949</v>
      </c>
      <c r="B962" s="1" t="s">
        <v>2127</v>
      </c>
      <c r="C962" s="63">
        <v>46268.0</v>
      </c>
      <c r="D962" s="63" t="s">
        <v>130</v>
      </c>
      <c r="E962" s="68">
        <v>0.93786954</v>
      </c>
      <c r="F962" s="1"/>
      <c r="G962" s="23">
        <v>2.0E7</v>
      </c>
      <c r="H962" s="23">
        <v>1.875739076E7</v>
      </c>
      <c r="I962" s="23">
        <v>2.0E7</v>
      </c>
      <c r="J962" s="23">
        <v>1.875739076E7</v>
      </c>
      <c r="K962" s="24">
        <v>4318.0</v>
      </c>
      <c r="L962" s="1" t="s">
        <v>1776</v>
      </c>
      <c r="M962" s="1" t="s">
        <v>2128</v>
      </c>
      <c r="N962" s="63" t="s">
        <v>1332</v>
      </c>
      <c r="O962" s="63" t="s">
        <v>1332</v>
      </c>
      <c r="P962" s="68">
        <v>39.0</v>
      </c>
      <c r="Q962" s="1" t="s">
        <v>2130</v>
      </c>
      <c r="R962" s="1" t="s">
        <v>13</v>
      </c>
      <c r="S962" s="1"/>
      <c r="T962" s="1"/>
      <c r="U962" s="1" t="s">
        <v>1331</v>
      </c>
      <c r="V962" s="1" t="s">
        <v>1331</v>
      </c>
      <c r="W962" s="145">
        <f t="shared" si="1"/>
        <v>0.0003837013559</v>
      </c>
      <c r="AC962" s="38"/>
    </row>
    <row r="963" ht="15.75" customHeight="1">
      <c r="A963" s="1" t="s">
        <v>1991</v>
      </c>
      <c r="B963" s="1" t="s">
        <v>2127</v>
      </c>
      <c r="C963" s="63">
        <v>46268.0</v>
      </c>
      <c r="D963" s="63" t="s">
        <v>130</v>
      </c>
      <c r="E963" s="68">
        <v>0.94692072</v>
      </c>
      <c r="F963" s="1"/>
      <c r="G963" s="23">
        <v>2200000.0</v>
      </c>
      <c r="H963" s="23">
        <v>2083225.59</v>
      </c>
      <c r="I963" s="23">
        <v>2200000.0</v>
      </c>
      <c r="J963" s="23">
        <v>2083225.59</v>
      </c>
      <c r="K963" s="24">
        <v>6201.0</v>
      </c>
      <c r="L963" s="1" t="s">
        <v>1776</v>
      </c>
      <c r="M963" s="1" t="s">
        <v>2128</v>
      </c>
      <c r="N963" s="63" t="s">
        <v>1084</v>
      </c>
      <c r="O963" s="63" t="s">
        <v>1084</v>
      </c>
      <c r="P963" s="68">
        <v>33.0</v>
      </c>
      <c r="Q963" s="1" t="s">
        <v>2130</v>
      </c>
      <c r="R963" s="1" t="s">
        <v>13</v>
      </c>
      <c r="S963" s="1"/>
      <c r="T963" s="1"/>
      <c r="U963" s="1" t="s">
        <v>1102</v>
      </c>
      <c r="V963" s="1" t="s">
        <v>1102</v>
      </c>
      <c r="W963" s="145">
        <f t="shared" si="1"/>
        <v>0.0000426144816</v>
      </c>
      <c r="AC963" s="38"/>
    </row>
    <row r="964" ht="15.75" customHeight="1">
      <c r="A964" s="1" t="s">
        <v>1989</v>
      </c>
      <c r="B964" s="1" t="s">
        <v>2127</v>
      </c>
      <c r="C964" s="63">
        <v>46268.0</v>
      </c>
      <c r="D964" s="63" t="s">
        <v>130</v>
      </c>
      <c r="E964" s="68">
        <v>0.95151213</v>
      </c>
      <c r="F964" s="1"/>
      <c r="G964" s="23">
        <v>2700000.0</v>
      </c>
      <c r="H964" s="23">
        <v>2569082.75</v>
      </c>
      <c r="I964" s="23">
        <v>2700000.0</v>
      </c>
      <c r="J964" s="23">
        <v>2569082.75</v>
      </c>
      <c r="K964" s="24">
        <v>6275.0</v>
      </c>
      <c r="L964" s="1" t="s">
        <v>1776</v>
      </c>
      <c r="M964" s="1" t="s">
        <v>2128</v>
      </c>
      <c r="N964" s="63" t="s">
        <v>1332</v>
      </c>
      <c r="O964" s="63" t="s">
        <v>1332</v>
      </c>
      <c r="P964" s="68">
        <v>30.0</v>
      </c>
      <c r="Q964" s="1" t="s">
        <v>2130</v>
      </c>
      <c r="R964" s="1" t="s">
        <v>13</v>
      </c>
      <c r="S964" s="1"/>
      <c r="T964" s="1"/>
      <c r="U964" s="1" t="s">
        <v>1334</v>
      </c>
      <c r="V964" s="1" t="s">
        <v>1334</v>
      </c>
      <c r="W964" s="145">
        <f t="shared" si="1"/>
        <v>0.00005255318008</v>
      </c>
      <c r="AC964" s="38"/>
    </row>
    <row r="965" ht="15.75" customHeight="1">
      <c r="A965" s="1" t="s">
        <v>1971</v>
      </c>
      <c r="B965" s="1"/>
      <c r="C965" s="63"/>
      <c r="D965" s="63"/>
      <c r="E965" s="68"/>
      <c r="F965" s="1"/>
      <c r="G965" s="23"/>
      <c r="H965" s="23"/>
      <c r="I965" s="23"/>
      <c r="J965" s="23"/>
      <c r="K965" s="24"/>
      <c r="L965" s="1"/>
      <c r="M965" s="1"/>
      <c r="N965" s="63"/>
      <c r="O965" s="63"/>
      <c r="P965" s="68"/>
      <c r="Q965" s="1"/>
      <c r="R965" s="1"/>
      <c r="S965" s="1"/>
      <c r="T965" s="1"/>
      <c r="U965" s="1" t="s">
        <v>1694</v>
      </c>
      <c r="V965" s="1" t="s">
        <v>1694</v>
      </c>
      <c r="W965" s="145">
        <f t="shared" si="1"/>
        <v>0</v>
      </c>
      <c r="AC965" s="38"/>
    </row>
    <row r="966" ht="15.75" customHeight="1">
      <c r="A966" s="1" t="s">
        <v>2104</v>
      </c>
      <c r="B966" s="1"/>
      <c r="C966" s="63"/>
      <c r="D966" s="63"/>
      <c r="E966" s="68"/>
      <c r="F966" s="1"/>
      <c r="G966" s="23"/>
      <c r="H966" s="23"/>
      <c r="I966" s="23"/>
      <c r="J966" s="23"/>
      <c r="K966" s="24"/>
      <c r="L966" s="1"/>
      <c r="M966" s="1"/>
      <c r="N966" s="63"/>
      <c r="O966" s="63"/>
      <c r="P966" s="68"/>
      <c r="Q966" s="1"/>
      <c r="R966" s="1"/>
      <c r="S966" s="1"/>
      <c r="T966" s="1"/>
      <c r="U966" s="1" t="s">
        <v>1696</v>
      </c>
      <c r="V966" s="1" t="s">
        <v>1696</v>
      </c>
      <c r="W966" s="145">
        <f t="shared" si="1"/>
        <v>0</v>
      </c>
      <c r="AC966" s="38"/>
    </row>
    <row r="967" ht="15.75" customHeight="1">
      <c r="A967" s="1" t="s">
        <v>2103</v>
      </c>
      <c r="B967" s="1"/>
      <c r="C967" s="63"/>
      <c r="D967" s="63"/>
      <c r="E967" s="68"/>
      <c r="F967" s="1"/>
      <c r="G967" s="23"/>
      <c r="H967" s="23"/>
      <c r="I967" s="23"/>
      <c r="J967" s="23"/>
      <c r="K967" s="24"/>
      <c r="L967" s="1"/>
      <c r="M967" s="1"/>
      <c r="N967" s="63"/>
      <c r="O967" s="63"/>
      <c r="P967" s="68"/>
      <c r="Q967" s="1"/>
      <c r="R967" s="1"/>
      <c r="S967" s="1"/>
      <c r="T967" s="1"/>
      <c r="U967" s="1" t="s">
        <v>1689</v>
      </c>
      <c r="V967" s="1" t="s">
        <v>1689</v>
      </c>
      <c r="W967" s="145">
        <f t="shared" si="1"/>
        <v>0</v>
      </c>
      <c r="AC967" s="38"/>
    </row>
    <row r="968" ht="15.75" customHeight="1">
      <c r="A968" s="1" t="s">
        <v>2103</v>
      </c>
      <c r="B968" s="1"/>
      <c r="C968" s="63"/>
      <c r="D968" s="63"/>
      <c r="E968" s="68"/>
      <c r="F968" s="1"/>
      <c r="G968" s="23"/>
      <c r="H968" s="23"/>
      <c r="I968" s="23"/>
      <c r="J968" s="23"/>
      <c r="K968" s="24"/>
      <c r="L968" s="1"/>
      <c r="M968" s="1"/>
      <c r="N968" s="63"/>
      <c r="O968" s="63"/>
      <c r="P968" s="68"/>
      <c r="Q968" s="1"/>
      <c r="R968" s="1"/>
      <c r="S968" s="1"/>
      <c r="T968" s="1"/>
      <c r="U968" s="1" t="s">
        <v>1692</v>
      </c>
      <c r="V968" s="1" t="s">
        <v>1692</v>
      </c>
      <c r="W968" s="145">
        <f t="shared" si="1"/>
        <v>0</v>
      </c>
      <c r="AC968" s="38"/>
    </row>
    <row r="969" ht="15.75" customHeight="1">
      <c r="A969" s="1" t="s">
        <v>1939</v>
      </c>
      <c r="B969" s="1" t="s">
        <v>2127</v>
      </c>
      <c r="C969" s="63">
        <v>46268.0</v>
      </c>
      <c r="D969" s="63" t="s">
        <v>130</v>
      </c>
      <c r="E969" s="68">
        <v>0.9469206</v>
      </c>
      <c r="F969" s="1"/>
      <c r="G969" s="23">
        <v>1.25E7</v>
      </c>
      <c r="H969" s="23">
        <v>1.183650755E7</v>
      </c>
      <c r="I969" s="23">
        <v>1.25E7</v>
      </c>
      <c r="J969" s="23">
        <v>1.183650755E7</v>
      </c>
      <c r="K969" s="24">
        <v>1357.0</v>
      </c>
      <c r="L969" s="1" t="s">
        <v>1776</v>
      </c>
      <c r="M969" s="1" t="s">
        <v>2128</v>
      </c>
      <c r="N969" s="63" t="s">
        <v>863</v>
      </c>
      <c r="O969" s="63" t="s">
        <v>863</v>
      </c>
      <c r="P969" s="68">
        <v>33.0</v>
      </c>
      <c r="Q969" s="1" t="s">
        <v>2130</v>
      </c>
      <c r="R969" s="1" t="s">
        <v>13</v>
      </c>
      <c r="S969" s="1"/>
      <c r="T969" s="1"/>
      <c r="U969" s="1" t="s">
        <v>862</v>
      </c>
      <c r="V969" s="1" t="s">
        <v>862</v>
      </c>
      <c r="W969" s="145">
        <f t="shared" si="1"/>
        <v>0.000242127706</v>
      </c>
      <c r="AC969" s="38"/>
    </row>
    <row r="970" ht="15.75" customHeight="1">
      <c r="A970" s="1" t="s">
        <v>2015</v>
      </c>
      <c r="B970" s="1" t="s">
        <v>2127</v>
      </c>
      <c r="C970" s="63">
        <v>46268.0</v>
      </c>
      <c r="D970" s="63" t="s">
        <v>130</v>
      </c>
      <c r="E970" s="68">
        <v>0.96634994</v>
      </c>
      <c r="F970" s="1"/>
      <c r="G970" s="23">
        <v>248941.88</v>
      </c>
      <c r="H970" s="23">
        <v>240564.97</v>
      </c>
      <c r="I970" s="23">
        <v>248941.88</v>
      </c>
      <c r="J970" s="23">
        <v>240564.97</v>
      </c>
      <c r="K970" s="24">
        <v>4.0013131E7</v>
      </c>
      <c r="L970" s="1" t="s">
        <v>1776</v>
      </c>
      <c r="M970" s="1" t="s">
        <v>2128</v>
      </c>
      <c r="N970" s="63" t="s">
        <v>1412</v>
      </c>
      <c r="O970" s="63" t="s">
        <v>1412</v>
      </c>
      <c r="P970" s="68">
        <v>20.5</v>
      </c>
      <c r="Q970" s="1" t="s">
        <v>2130</v>
      </c>
      <c r="R970" s="1" t="s">
        <v>13</v>
      </c>
      <c r="S970" s="1"/>
      <c r="T970" s="1"/>
      <c r="U970" s="1" t="s">
        <v>1411</v>
      </c>
      <c r="V970" s="1" t="s">
        <v>1411</v>
      </c>
      <c r="W970" s="145">
        <f t="shared" si="1"/>
        <v>0.000004920999213</v>
      </c>
      <c r="AC970" s="38"/>
    </row>
    <row r="971" ht="15.75" customHeight="1">
      <c r="A971" s="1" t="s">
        <v>2015</v>
      </c>
      <c r="B971" s="1" t="s">
        <v>2127</v>
      </c>
      <c r="C971" s="63">
        <v>46268.0</v>
      </c>
      <c r="D971" s="63" t="s">
        <v>130</v>
      </c>
      <c r="E971" s="68">
        <v>0.96634993</v>
      </c>
      <c r="F971" s="1"/>
      <c r="G971" s="23">
        <v>1236587.72</v>
      </c>
      <c r="H971" s="23">
        <v>1194976.46</v>
      </c>
      <c r="I971" s="23">
        <v>1236587.72</v>
      </c>
      <c r="J971" s="23">
        <v>1194976.46</v>
      </c>
      <c r="K971" s="24">
        <v>4.0013042E7</v>
      </c>
      <c r="L971" s="1" t="s">
        <v>1776</v>
      </c>
      <c r="M971" s="1" t="s">
        <v>2128</v>
      </c>
      <c r="N971" s="63" t="s">
        <v>1412</v>
      </c>
      <c r="O971" s="63" t="s">
        <v>1412</v>
      </c>
      <c r="P971" s="68">
        <v>20.5</v>
      </c>
      <c r="Q971" s="1" t="s">
        <v>2130</v>
      </c>
      <c r="R971" s="1" t="s">
        <v>13</v>
      </c>
      <c r="S971" s="1"/>
      <c r="T971" s="1"/>
      <c r="U971" s="1" t="s">
        <v>1413</v>
      </c>
      <c r="V971" s="1" t="s">
        <v>1413</v>
      </c>
      <c r="W971" s="145">
        <f t="shared" si="1"/>
        <v>0.00002444444933</v>
      </c>
      <c r="AC971" s="38"/>
    </row>
    <row r="972" ht="15.75" customHeight="1">
      <c r="A972" s="1" t="s">
        <v>2009</v>
      </c>
      <c r="B972" s="1" t="s">
        <v>2127</v>
      </c>
      <c r="C972" s="63">
        <v>46268.0</v>
      </c>
      <c r="D972" s="63" t="s">
        <v>130</v>
      </c>
      <c r="E972" s="68">
        <v>0.94692057</v>
      </c>
      <c r="F972" s="1"/>
      <c r="G972" s="23">
        <v>2.5E7</v>
      </c>
      <c r="H972" s="23">
        <v>2.367301418E7</v>
      </c>
      <c r="I972" s="23">
        <v>2.5E7</v>
      </c>
      <c r="J972" s="23">
        <v>2.367301418E7</v>
      </c>
      <c r="K972" s="24">
        <v>40.0</v>
      </c>
      <c r="L972" s="1" t="s">
        <v>1776</v>
      </c>
      <c r="M972" s="1" t="s">
        <v>2128</v>
      </c>
      <c r="N972" s="63" t="s">
        <v>130</v>
      </c>
      <c r="O972" s="63" t="s">
        <v>130</v>
      </c>
      <c r="P972" s="68">
        <v>33.0</v>
      </c>
      <c r="Q972" s="1" t="s">
        <v>2130</v>
      </c>
      <c r="R972" s="1" t="s">
        <v>13</v>
      </c>
      <c r="S972" s="1"/>
      <c r="T972" s="1"/>
      <c r="U972" s="1" t="s">
        <v>1657</v>
      </c>
      <c r="V972" s="1" t="s">
        <v>1657</v>
      </c>
      <c r="W972" s="145">
        <f t="shared" si="1"/>
        <v>0.0004842553932</v>
      </c>
      <c r="AC972" s="38"/>
    </row>
    <row r="973" ht="15.75" customHeight="1">
      <c r="A973" s="1" t="s">
        <v>1932</v>
      </c>
      <c r="B973" s="1" t="s">
        <v>2127</v>
      </c>
      <c r="C973" s="63">
        <v>46269.0</v>
      </c>
      <c r="D973" s="63" t="s">
        <v>130</v>
      </c>
      <c r="E973" s="68">
        <v>0.94611069</v>
      </c>
      <c r="F973" s="1"/>
      <c r="G973" s="23">
        <v>1.600557568E7</v>
      </c>
      <c r="H973" s="23">
        <v>1.514304627E7</v>
      </c>
      <c r="I973" s="23">
        <v>1.600557568E7</v>
      </c>
      <c r="J973" s="23">
        <v>1.514304627E7</v>
      </c>
      <c r="K973" s="24">
        <v>30713.0</v>
      </c>
      <c r="L973" s="1" t="s">
        <v>1776</v>
      </c>
      <c r="M973" s="1" t="s">
        <v>2128</v>
      </c>
      <c r="N973" s="63" t="s">
        <v>902</v>
      </c>
      <c r="O973" s="63" t="s">
        <v>902</v>
      </c>
      <c r="P973" s="68">
        <v>33.0</v>
      </c>
      <c r="Q973" s="1" t="s">
        <v>2130</v>
      </c>
      <c r="R973" s="1" t="s">
        <v>13</v>
      </c>
      <c r="S973" s="1"/>
      <c r="T973" s="1"/>
      <c r="U973" s="1" t="s">
        <v>909</v>
      </c>
      <c r="V973" s="1" t="s">
        <v>909</v>
      </c>
      <c r="W973" s="145">
        <f t="shared" si="1"/>
        <v>0.0003097662921</v>
      </c>
      <c r="AC973" s="38"/>
    </row>
    <row r="974" ht="15.75" customHeight="1">
      <c r="A974" s="1" t="s">
        <v>1978</v>
      </c>
      <c r="B974" s="1" t="s">
        <v>2127</v>
      </c>
      <c r="C974" s="63">
        <v>46269.0</v>
      </c>
      <c r="D974" s="63" t="s">
        <v>130</v>
      </c>
      <c r="E974" s="68">
        <v>0.93541783</v>
      </c>
      <c r="F974" s="1"/>
      <c r="G974" s="23">
        <v>1.5166667E7</v>
      </c>
      <c r="H974" s="23">
        <v>1.418717073E7</v>
      </c>
      <c r="I974" s="23">
        <v>1.5166667E7</v>
      </c>
      <c r="J974" s="23">
        <v>1.418717073E7</v>
      </c>
      <c r="K974" s="24">
        <v>9.0020551E7</v>
      </c>
      <c r="L974" s="1" t="s">
        <v>1776</v>
      </c>
      <c r="M974" s="1" t="s">
        <v>2128</v>
      </c>
      <c r="N974" s="63" t="s">
        <v>748</v>
      </c>
      <c r="O974" s="63" t="s">
        <v>748</v>
      </c>
      <c r="P974" s="68">
        <v>40.0</v>
      </c>
      <c r="Q974" s="1" t="s">
        <v>2130</v>
      </c>
      <c r="R974" s="1" t="s">
        <v>13</v>
      </c>
      <c r="S974" s="1"/>
      <c r="T974" s="1"/>
      <c r="U974" s="1" t="s">
        <v>754</v>
      </c>
      <c r="V974" s="1" t="s">
        <v>754</v>
      </c>
      <c r="W974" s="145">
        <f t="shared" si="1"/>
        <v>0.0002902128934</v>
      </c>
      <c r="AC974" s="38"/>
    </row>
    <row r="975" ht="15.75" customHeight="1">
      <c r="A975" s="1" t="s">
        <v>1976</v>
      </c>
      <c r="B975" s="1" t="s">
        <v>2127</v>
      </c>
      <c r="C975" s="63">
        <v>46269.0</v>
      </c>
      <c r="D975" s="63" t="s">
        <v>130</v>
      </c>
      <c r="E975" s="68">
        <v>0.94149831</v>
      </c>
      <c r="F975" s="1"/>
      <c r="G975" s="23">
        <v>6000000.0</v>
      </c>
      <c r="H975" s="23">
        <v>5648989.87</v>
      </c>
      <c r="I975" s="23">
        <v>6000000.0</v>
      </c>
      <c r="J975" s="23">
        <v>5648989.87</v>
      </c>
      <c r="K975" s="24">
        <v>160.0</v>
      </c>
      <c r="L975" s="1" t="s">
        <v>1776</v>
      </c>
      <c r="M975" s="1" t="s">
        <v>2128</v>
      </c>
      <c r="N975" s="63" t="s">
        <v>1245</v>
      </c>
      <c r="O975" s="63" t="s">
        <v>1245</v>
      </c>
      <c r="P975" s="68">
        <v>36.0</v>
      </c>
      <c r="Q975" s="1" t="s">
        <v>2130</v>
      </c>
      <c r="R975" s="1" t="s">
        <v>13</v>
      </c>
      <c r="S975" s="1"/>
      <c r="T975" s="1"/>
      <c r="U975" s="1" t="s">
        <v>1255</v>
      </c>
      <c r="V975" s="1" t="s">
        <v>1255</v>
      </c>
      <c r="W975" s="145">
        <f t="shared" si="1"/>
        <v>0.0001155557881</v>
      </c>
      <c r="AC975" s="38"/>
    </row>
    <row r="976" ht="15.75" customHeight="1">
      <c r="A976" s="1" t="s">
        <v>2044</v>
      </c>
      <c r="B976" s="1" t="s">
        <v>2127</v>
      </c>
      <c r="C976" s="63">
        <v>46269.0</v>
      </c>
      <c r="D976" s="63" t="s">
        <v>130</v>
      </c>
      <c r="E976" s="68">
        <v>0.94149826</v>
      </c>
      <c r="F976" s="1"/>
      <c r="G976" s="23">
        <v>2067824.35</v>
      </c>
      <c r="H976" s="23">
        <v>1946853.03</v>
      </c>
      <c r="I976" s="23">
        <v>2067824.35</v>
      </c>
      <c r="J976" s="23">
        <v>1946853.03</v>
      </c>
      <c r="K976" s="24">
        <v>2202.0</v>
      </c>
      <c r="L976" s="1" t="s">
        <v>1776</v>
      </c>
      <c r="M976" s="1" t="s">
        <v>2128</v>
      </c>
      <c r="N976" s="63" t="s">
        <v>902</v>
      </c>
      <c r="O976" s="63" t="s">
        <v>902</v>
      </c>
      <c r="P976" s="68">
        <v>36.0</v>
      </c>
      <c r="Q976" s="1" t="s">
        <v>2130</v>
      </c>
      <c r="R976" s="1" t="s">
        <v>13</v>
      </c>
      <c r="S976" s="1"/>
      <c r="T976" s="1"/>
      <c r="U976" s="1" t="s">
        <v>933</v>
      </c>
      <c r="V976" s="1" t="s">
        <v>933</v>
      </c>
      <c r="W976" s="145">
        <f t="shared" si="1"/>
        <v>0.00003982484327</v>
      </c>
      <c r="AC976" s="38"/>
    </row>
    <row r="977" ht="15.75" customHeight="1">
      <c r="A977" s="1" t="s">
        <v>1906</v>
      </c>
      <c r="B977" s="1" t="s">
        <v>2127</v>
      </c>
      <c r="C977" s="63">
        <v>46269.0</v>
      </c>
      <c r="D977" s="63" t="s">
        <v>130</v>
      </c>
      <c r="E977" s="68">
        <v>0.93844824</v>
      </c>
      <c r="F977" s="1"/>
      <c r="G977" s="23">
        <v>4.2E7</v>
      </c>
      <c r="H977" s="23">
        <v>3.941482621E7</v>
      </c>
      <c r="I977" s="23">
        <v>4.2E7</v>
      </c>
      <c r="J977" s="23">
        <v>3.941482621E7</v>
      </c>
      <c r="K977" s="24">
        <v>155473.0</v>
      </c>
      <c r="L977" s="1" t="s">
        <v>1776</v>
      </c>
      <c r="M977" s="1" t="s">
        <v>2128</v>
      </c>
      <c r="N977" s="63" t="s">
        <v>1589</v>
      </c>
      <c r="O977" s="63" t="s">
        <v>1589</v>
      </c>
      <c r="P977" s="68">
        <v>38.0</v>
      </c>
      <c r="Q977" s="1" t="s">
        <v>2130</v>
      </c>
      <c r="R977" s="1" t="s">
        <v>13</v>
      </c>
      <c r="S977" s="1"/>
      <c r="T977" s="1"/>
      <c r="U977" s="1" t="s">
        <v>1608</v>
      </c>
      <c r="V977" s="1" t="s">
        <v>1608</v>
      </c>
      <c r="W977" s="145">
        <f t="shared" si="1"/>
        <v>0.0008062700432</v>
      </c>
      <c r="AC977" s="38"/>
    </row>
    <row r="978" ht="15.75" customHeight="1">
      <c r="A978" s="1" t="s">
        <v>1903</v>
      </c>
      <c r="B978" s="1" t="s">
        <v>2127</v>
      </c>
      <c r="C978" s="63">
        <v>46269.0</v>
      </c>
      <c r="D978" s="63" t="s">
        <v>130</v>
      </c>
      <c r="E978" s="68">
        <v>0.95233128</v>
      </c>
      <c r="F978" s="1"/>
      <c r="G978" s="23">
        <v>1.0E7</v>
      </c>
      <c r="H978" s="23">
        <v>9523312.81</v>
      </c>
      <c r="I978" s="23">
        <v>1.0E7</v>
      </c>
      <c r="J978" s="23">
        <v>9523312.81</v>
      </c>
      <c r="K978" s="24">
        <v>6.6613066E7</v>
      </c>
      <c r="L978" s="1" t="s">
        <v>1776</v>
      </c>
      <c r="M978" s="1" t="s">
        <v>2128</v>
      </c>
      <c r="N978" s="63" t="s">
        <v>628</v>
      </c>
      <c r="O978" s="63" t="s">
        <v>628</v>
      </c>
      <c r="P978" s="68">
        <v>29.0</v>
      </c>
      <c r="Q978" s="1" t="s">
        <v>2130</v>
      </c>
      <c r="R978" s="1" t="s">
        <v>13</v>
      </c>
      <c r="S978" s="1"/>
      <c r="T978" s="1"/>
      <c r="U978" s="1" t="s">
        <v>668</v>
      </c>
      <c r="V978" s="1" t="s">
        <v>668</v>
      </c>
      <c r="W978" s="145">
        <f t="shared" si="1"/>
        <v>0.0001948089734</v>
      </c>
      <c r="AC978" s="38"/>
    </row>
    <row r="979" ht="15.75" customHeight="1">
      <c r="A979" s="1" t="s">
        <v>1933</v>
      </c>
      <c r="B979" s="1" t="s">
        <v>2127</v>
      </c>
      <c r="C979" s="63">
        <v>46269.0</v>
      </c>
      <c r="D979" s="63" t="s">
        <v>130</v>
      </c>
      <c r="E979" s="68">
        <v>0.95705086</v>
      </c>
      <c r="F979" s="1"/>
      <c r="G979" s="23">
        <v>1.0E7</v>
      </c>
      <c r="H979" s="23">
        <v>9570508.58</v>
      </c>
      <c r="I979" s="23">
        <v>1.0E7</v>
      </c>
      <c r="J979" s="23">
        <v>9570508.58</v>
      </c>
      <c r="K979" s="24">
        <v>9825610.0</v>
      </c>
      <c r="L979" s="1" t="s">
        <v>1776</v>
      </c>
      <c r="M979" s="1" t="s">
        <v>2128</v>
      </c>
      <c r="N979" s="63" t="s">
        <v>1381</v>
      </c>
      <c r="O979" s="63" t="s">
        <v>1381</v>
      </c>
      <c r="P979" s="68">
        <v>26.0</v>
      </c>
      <c r="Q979" s="1" t="s">
        <v>2130</v>
      </c>
      <c r="R979" s="1" t="s">
        <v>13</v>
      </c>
      <c r="S979" s="1"/>
      <c r="T979" s="1"/>
      <c r="U979" s="1" t="s">
        <v>1380</v>
      </c>
      <c r="V979" s="1" t="s">
        <v>1380</v>
      </c>
      <c r="W979" s="145">
        <f t="shared" si="1"/>
        <v>0.0001957744105</v>
      </c>
      <c r="AC979" s="38"/>
    </row>
    <row r="980" ht="15.75" customHeight="1">
      <c r="A980" s="1" t="s">
        <v>1939</v>
      </c>
      <c r="B980" s="1" t="s">
        <v>2127</v>
      </c>
      <c r="C980" s="63">
        <v>46269.0</v>
      </c>
      <c r="D980" s="63" t="s">
        <v>130</v>
      </c>
      <c r="E980" s="68">
        <v>0.94303073</v>
      </c>
      <c r="F980" s="1"/>
      <c r="G980" s="23">
        <v>1.66E7</v>
      </c>
      <c r="H980" s="23">
        <v>1.565431009E7</v>
      </c>
      <c r="I980" s="23">
        <v>1.66E7</v>
      </c>
      <c r="J980" s="23">
        <v>1.565431009E7</v>
      </c>
      <c r="K980" s="24">
        <v>2.9088027E7</v>
      </c>
      <c r="L980" s="1" t="s">
        <v>1776</v>
      </c>
      <c r="M980" s="1" t="s">
        <v>2128</v>
      </c>
      <c r="N980" s="63" t="s">
        <v>256</v>
      </c>
      <c r="O980" s="63" t="s">
        <v>256</v>
      </c>
      <c r="P980" s="68">
        <v>35.0</v>
      </c>
      <c r="Q980" s="1" t="s">
        <v>2130</v>
      </c>
      <c r="R980" s="1" t="s">
        <v>13</v>
      </c>
      <c r="S980" s="1"/>
      <c r="T980" s="1"/>
      <c r="U980" s="1" t="s">
        <v>270</v>
      </c>
      <c r="V980" s="1" t="s">
        <v>270</v>
      </c>
      <c r="W980" s="145">
        <f t="shared" si="1"/>
        <v>0.0003202247095</v>
      </c>
      <c r="AC980" s="38"/>
    </row>
    <row r="981" ht="15.75" customHeight="1">
      <c r="A981" s="1" t="s">
        <v>1926</v>
      </c>
      <c r="B981" s="1" t="s">
        <v>2127</v>
      </c>
      <c r="C981" s="63">
        <v>46269.0</v>
      </c>
      <c r="D981" s="63" t="s">
        <v>130</v>
      </c>
      <c r="E981" s="68">
        <v>0.95076846</v>
      </c>
      <c r="F981" s="1"/>
      <c r="G981" s="23">
        <v>5000000.0</v>
      </c>
      <c r="H981" s="23">
        <v>4753842.29</v>
      </c>
      <c r="I981" s="23">
        <v>5000000.0</v>
      </c>
      <c r="J981" s="23">
        <v>4753842.29</v>
      </c>
      <c r="K981" s="24">
        <v>58.0</v>
      </c>
      <c r="L981" s="1" t="s">
        <v>1776</v>
      </c>
      <c r="M981" s="1" t="s">
        <v>2128</v>
      </c>
      <c r="N981" s="63" t="s">
        <v>628</v>
      </c>
      <c r="O981" s="63" t="s">
        <v>628</v>
      </c>
      <c r="P981" s="68">
        <v>30.0</v>
      </c>
      <c r="Q981" s="1" t="s">
        <v>2130</v>
      </c>
      <c r="R981" s="1" t="s">
        <v>13</v>
      </c>
      <c r="S981" s="1"/>
      <c r="T981" s="1"/>
      <c r="U981" s="1" t="s">
        <v>647</v>
      </c>
      <c r="V981" s="1" t="s">
        <v>647</v>
      </c>
      <c r="W981" s="145">
        <f t="shared" si="1"/>
        <v>0.00009724464109</v>
      </c>
      <c r="AC981" s="38"/>
    </row>
    <row r="982" ht="15.75" customHeight="1">
      <c r="A982" s="1" t="s">
        <v>1932</v>
      </c>
      <c r="B982" s="1" t="s">
        <v>2127</v>
      </c>
      <c r="C982" s="63">
        <v>46272.0</v>
      </c>
      <c r="D982" s="63" t="s">
        <v>130</v>
      </c>
      <c r="E982" s="68">
        <v>0.94368907</v>
      </c>
      <c r="F982" s="1"/>
      <c r="G982" s="23">
        <v>1.600557568E7</v>
      </c>
      <c r="H982" s="23">
        <v>1.510428675E7</v>
      </c>
      <c r="I982" s="23">
        <v>1.600557568E7</v>
      </c>
      <c r="J982" s="23">
        <v>1.510428675E7</v>
      </c>
      <c r="K982" s="24">
        <v>30714.0</v>
      </c>
      <c r="L982" s="1" t="s">
        <v>1776</v>
      </c>
      <c r="M982" s="1" t="s">
        <v>2128</v>
      </c>
      <c r="N982" s="63" t="s">
        <v>902</v>
      </c>
      <c r="O982" s="63" t="s">
        <v>902</v>
      </c>
      <c r="P982" s="68">
        <v>33.0</v>
      </c>
      <c r="Q982" s="1" t="s">
        <v>2130</v>
      </c>
      <c r="R982" s="1" t="s">
        <v>13</v>
      </c>
      <c r="S982" s="1"/>
      <c r="T982" s="1"/>
      <c r="U982" s="1" t="s">
        <v>908</v>
      </c>
      <c r="V982" s="1" t="s">
        <v>908</v>
      </c>
      <c r="W982" s="145">
        <f t="shared" si="1"/>
        <v>0.000308973427</v>
      </c>
      <c r="AC982" s="38"/>
    </row>
    <row r="983" ht="15.75" customHeight="1">
      <c r="A983" s="1" t="s">
        <v>1918</v>
      </c>
      <c r="B983" s="1" t="s">
        <v>2127</v>
      </c>
      <c r="C983" s="63">
        <v>46272.0</v>
      </c>
      <c r="D983" s="63" t="s">
        <v>130</v>
      </c>
      <c r="E983" s="68">
        <v>0.94368919</v>
      </c>
      <c r="F983" s="1"/>
      <c r="G983" s="23">
        <v>1.75E8</v>
      </c>
      <c r="H983" s="23">
        <v>1.6514560785E8</v>
      </c>
      <c r="I983" s="23">
        <v>1.75E8</v>
      </c>
      <c r="J983" s="23">
        <v>1.6514560785E8</v>
      </c>
      <c r="K983" s="24">
        <v>7.0389146E7</v>
      </c>
      <c r="L983" s="1" t="s">
        <v>1776</v>
      </c>
      <c r="M983" s="1" t="s">
        <v>2128</v>
      </c>
      <c r="N983" s="63" t="s">
        <v>130</v>
      </c>
      <c r="O983" s="63" t="s">
        <v>130</v>
      </c>
      <c r="P983" s="68">
        <v>33.0</v>
      </c>
      <c r="Q983" s="1" t="s">
        <v>2130</v>
      </c>
      <c r="R983" s="1" t="s">
        <v>13</v>
      </c>
      <c r="S983" s="1"/>
      <c r="T983" s="1"/>
      <c r="U983" s="1" t="s">
        <v>1659</v>
      </c>
      <c r="V983" s="1" t="s">
        <v>1659</v>
      </c>
      <c r="W983" s="145">
        <f t="shared" si="1"/>
        <v>0.003378220055</v>
      </c>
      <c r="AC983" s="38"/>
    </row>
    <row r="984" ht="15.75" customHeight="1">
      <c r="A984" s="1" t="s">
        <v>2044</v>
      </c>
      <c r="B984" s="1" t="s">
        <v>2127</v>
      </c>
      <c r="C984" s="63">
        <v>46272.0</v>
      </c>
      <c r="D984" s="63" t="s">
        <v>130</v>
      </c>
      <c r="E984" s="68">
        <v>0.93888277</v>
      </c>
      <c r="F984" s="1"/>
      <c r="G984" s="23">
        <v>2067824.35</v>
      </c>
      <c r="H984" s="23">
        <v>1941444.65</v>
      </c>
      <c r="I984" s="23">
        <v>2067824.35</v>
      </c>
      <c r="J984" s="23">
        <v>1941444.65</v>
      </c>
      <c r="K984" s="24">
        <v>2203.0</v>
      </c>
      <c r="L984" s="1" t="s">
        <v>1776</v>
      </c>
      <c r="M984" s="1" t="s">
        <v>2128</v>
      </c>
      <c r="N984" s="63" t="s">
        <v>902</v>
      </c>
      <c r="O984" s="63" t="s">
        <v>902</v>
      </c>
      <c r="P984" s="68">
        <v>36.0</v>
      </c>
      <c r="Q984" s="1" t="s">
        <v>2130</v>
      </c>
      <c r="R984" s="1" t="s">
        <v>13</v>
      </c>
      <c r="S984" s="1"/>
      <c r="T984" s="1"/>
      <c r="U984" s="1" t="s">
        <v>934</v>
      </c>
      <c r="V984" s="1" t="s">
        <v>934</v>
      </c>
      <c r="W984" s="145">
        <f t="shared" si="1"/>
        <v>0.0000397142094</v>
      </c>
      <c r="AC984" s="38"/>
    </row>
    <row r="985" ht="15.75" customHeight="1">
      <c r="A985" s="1" t="s">
        <v>1954</v>
      </c>
      <c r="B985" s="1" t="s">
        <v>2127</v>
      </c>
      <c r="C985" s="63">
        <v>46272.0</v>
      </c>
      <c r="D985" s="63" t="s">
        <v>130</v>
      </c>
      <c r="E985" s="68">
        <v>0.94047927</v>
      </c>
      <c r="F985" s="1"/>
      <c r="G985" s="23">
        <v>3.0E7</v>
      </c>
      <c r="H985" s="23">
        <v>2.821437807E7</v>
      </c>
      <c r="I985" s="23">
        <v>3.0E7</v>
      </c>
      <c r="J985" s="23">
        <v>2.821437807E7</v>
      </c>
      <c r="K985" s="24">
        <v>451.0</v>
      </c>
      <c r="L985" s="1" t="s">
        <v>1776</v>
      </c>
      <c r="M985" s="1" t="s">
        <v>2128</v>
      </c>
      <c r="N985" s="63" t="s">
        <v>940</v>
      </c>
      <c r="O985" s="63" t="s">
        <v>940</v>
      </c>
      <c r="P985" s="68">
        <v>35.0</v>
      </c>
      <c r="Q985" s="1" t="s">
        <v>2130</v>
      </c>
      <c r="R985" s="1" t="s">
        <v>13</v>
      </c>
      <c r="S985" s="1"/>
      <c r="T985" s="1"/>
      <c r="U985" s="1" t="s">
        <v>944</v>
      </c>
      <c r="V985" s="1" t="s">
        <v>944</v>
      </c>
      <c r="W985" s="145">
        <f t="shared" si="1"/>
        <v>0.0005771535742</v>
      </c>
      <c r="AC985" s="38"/>
    </row>
    <row r="986" ht="15.75" customHeight="1">
      <c r="A986" s="1" t="s">
        <v>1975</v>
      </c>
      <c r="B986" s="1" t="s">
        <v>2127</v>
      </c>
      <c r="C986" s="63">
        <v>46272.0</v>
      </c>
      <c r="D986" s="63" t="s">
        <v>130</v>
      </c>
      <c r="E986" s="68">
        <v>0.93570561</v>
      </c>
      <c r="F986" s="1"/>
      <c r="G986" s="23">
        <v>4957711.81</v>
      </c>
      <c r="H986" s="23">
        <v>4638958.77</v>
      </c>
      <c r="I986" s="23">
        <v>4957711.81</v>
      </c>
      <c r="J986" s="23">
        <v>4638958.77</v>
      </c>
      <c r="K986" s="24">
        <v>598.0</v>
      </c>
      <c r="L986" s="1" t="s">
        <v>1776</v>
      </c>
      <c r="M986" s="1" t="s">
        <v>2128</v>
      </c>
      <c r="N986" s="63" t="s">
        <v>543</v>
      </c>
      <c r="O986" s="63" t="s">
        <v>543</v>
      </c>
      <c r="P986" s="68">
        <v>38.0</v>
      </c>
      <c r="Q986" s="1" t="s">
        <v>2130</v>
      </c>
      <c r="R986" s="1" t="s">
        <v>13</v>
      </c>
      <c r="S986" s="1"/>
      <c r="T986" s="1"/>
      <c r="U986" s="1" t="s">
        <v>559</v>
      </c>
      <c r="V986" s="1" t="s">
        <v>559</v>
      </c>
      <c r="W986" s="145">
        <f t="shared" si="1"/>
        <v>0.00009489458276</v>
      </c>
      <c r="AC986" s="38"/>
    </row>
    <row r="987" ht="15.75" customHeight="1">
      <c r="A987" s="1" t="s">
        <v>1961</v>
      </c>
      <c r="B987" s="1" t="s">
        <v>2127</v>
      </c>
      <c r="C987" s="63">
        <v>46272.0</v>
      </c>
      <c r="D987" s="63" t="s">
        <v>130</v>
      </c>
      <c r="E987" s="68">
        <v>0.93888276</v>
      </c>
      <c r="F987" s="1"/>
      <c r="G987" s="23">
        <v>2333401.22</v>
      </c>
      <c r="H987" s="23">
        <v>2190790.18</v>
      </c>
      <c r="I987" s="23">
        <v>2333401.22</v>
      </c>
      <c r="J987" s="23">
        <v>2190790.18</v>
      </c>
      <c r="K987" s="24">
        <v>2665.0</v>
      </c>
      <c r="L987" s="1" t="s">
        <v>1776</v>
      </c>
      <c r="M987" s="1" t="s">
        <v>2128</v>
      </c>
      <c r="N987" s="63" t="s">
        <v>902</v>
      </c>
      <c r="O987" s="63" t="s">
        <v>902</v>
      </c>
      <c r="P987" s="68">
        <v>36.0</v>
      </c>
      <c r="Q987" s="1" t="s">
        <v>2130</v>
      </c>
      <c r="R987" s="1" t="s">
        <v>13</v>
      </c>
      <c r="S987" s="1"/>
      <c r="T987" s="1"/>
      <c r="U987" s="1" t="s">
        <v>931</v>
      </c>
      <c r="V987" s="1" t="s">
        <v>931</v>
      </c>
      <c r="W987" s="145">
        <f t="shared" si="1"/>
        <v>0.00004481482383</v>
      </c>
      <c r="AC987" s="38"/>
    </row>
    <row r="988" ht="15.75" customHeight="1">
      <c r="A988" s="1" t="s">
        <v>1932</v>
      </c>
      <c r="B988" s="1" t="s">
        <v>2127</v>
      </c>
      <c r="C988" s="63">
        <v>46273.0</v>
      </c>
      <c r="D988" s="63" t="s">
        <v>130</v>
      </c>
      <c r="E988" s="68">
        <v>0.94288455</v>
      </c>
      <c r="F988" s="1"/>
      <c r="G988" s="23">
        <v>1.600557568E7</v>
      </c>
      <c r="H988" s="23">
        <v>1.509140999E7</v>
      </c>
      <c r="I988" s="23">
        <v>1.600557568E7</v>
      </c>
      <c r="J988" s="23">
        <v>1.509140999E7</v>
      </c>
      <c r="K988" s="24">
        <v>30715.0</v>
      </c>
      <c r="L988" s="1" t="s">
        <v>1776</v>
      </c>
      <c r="M988" s="1" t="s">
        <v>2128</v>
      </c>
      <c r="N988" s="63" t="s">
        <v>902</v>
      </c>
      <c r="O988" s="63" t="s">
        <v>902</v>
      </c>
      <c r="P988" s="68">
        <v>33.0</v>
      </c>
      <c r="Q988" s="1" t="s">
        <v>2130</v>
      </c>
      <c r="R988" s="1" t="s">
        <v>13</v>
      </c>
      <c r="S988" s="1"/>
      <c r="T988" s="1"/>
      <c r="U988" s="1" t="s">
        <v>907</v>
      </c>
      <c r="V988" s="1" t="s">
        <v>907</v>
      </c>
      <c r="W988" s="145">
        <f t="shared" si="1"/>
        <v>0.0003087100199</v>
      </c>
      <c r="AC988" s="38"/>
    </row>
    <row r="989" ht="15.75" customHeight="1">
      <c r="A989" s="1" t="s">
        <v>2003</v>
      </c>
      <c r="B989" s="1" t="s">
        <v>2127</v>
      </c>
      <c r="C989" s="63">
        <v>46273.0</v>
      </c>
      <c r="D989" s="63" t="s">
        <v>130</v>
      </c>
      <c r="E989" s="68">
        <v>0.934795</v>
      </c>
      <c r="F989" s="1"/>
      <c r="G989" s="23">
        <v>7162509.15</v>
      </c>
      <c r="H989" s="23">
        <v>6695477.78</v>
      </c>
      <c r="I989" s="23">
        <v>7162509.15</v>
      </c>
      <c r="J989" s="23">
        <v>6695477.78</v>
      </c>
      <c r="K989" s="24">
        <v>6.5964541E7</v>
      </c>
      <c r="L989" s="1" t="s">
        <v>1776</v>
      </c>
      <c r="M989" s="1" t="s">
        <v>2128</v>
      </c>
      <c r="N989" s="63" t="s">
        <v>446</v>
      </c>
      <c r="O989" s="63" t="s">
        <v>446</v>
      </c>
      <c r="P989" s="68">
        <v>38.0</v>
      </c>
      <c r="Q989" s="1" t="s">
        <v>2130</v>
      </c>
      <c r="R989" s="1" t="s">
        <v>13</v>
      </c>
      <c r="S989" s="1"/>
      <c r="T989" s="1"/>
      <c r="U989" s="1" t="s">
        <v>519</v>
      </c>
      <c r="V989" s="1" t="s">
        <v>519</v>
      </c>
      <c r="W989" s="145">
        <f t="shared" si="1"/>
        <v>0.0001369627543</v>
      </c>
      <c r="AC989" s="38"/>
    </row>
    <row r="990" ht="15.75" customHeight="1">
      <c r="A990" s="1" t="s">
        <v>1978</v>
      </c>
      <c r="B990" s="1" t="s">
        <v>2127</v>
      </c>
      <c r="C990" s="63">
        <v>46273.0</v>
      </c>
      <c r="D990" s="63" t="s">
        <v>130</v>
      </c>
      <c r="E990" s="68">
        <v>0.93159783</v>
      </c>
      <c r="F990" s="1"/>
      <c r="G990" s="23">
        <v>1.2166667E7</v>
      </c>
      <c r="H990" s="23">
        <v>1.13344406E7</v>
      </c>
      <c r="I990" s="23">
        <v>1.2166667E7</v>
      </c>
      <c r="J990" s="23">
        <v>1.13344406E7</v>
      </c>
      <c r="K990" s="24">
        <v>9.0020552E7</v>
      </c>
      <c r="L990" s="1" t="s">
        <v>1776</v>
      </c>
      <c r="M990" s="1" t="s">
        <v>2128</v>
      </c>
      <c r="N990" s="63" t="s">
        <v>748</v>
      </c>
      <c r="O990" s="63" t="s">
        <v>748</v>
      </c>
      <c r="P990" s="68">
        <v>40.0</v>
      </c>
      <c r="Q990" s="1" t="s">
        <v>2130</v>
      </c>
      <c r="R990" s="1" t="s">
        <v>13</v>
      </c>
      <c r="S990" s="1"/>
      <c r="T990" s="1"/>
      <c r="U990" s="1" t="s">
        <v>751</v>
      </c>
      <c r="V990" s="1" t="s">
        <v>751</v>
      </c>
      <c r="W990" s="145">
        <f t="shared" si="1"/>
        <v>0.0002318574199</v>
      </c>
      <c r="AC990" s="38"/>
    </row>
    <row r="991" ht="15.75" customHeight="1">
      <c r="A991" s="1" t="s">
        <v>2044</v>
      </c>
      <c r="B991" s="1" t="s">
        <v>2127</v>
      </c>
      <c r="C991" s="63">
        <v>46273.0</v>
      </c>
      <c r="D991" s="63" t="s">
        <v>130</v>
      </c>
      <c r="E991" s="68">
        <v>0.9380141</v>
      </c>
      <c r="F991" s="1"/>
      <c r="G991" s="23">
        <v>2067824.35</v>
      </c>
      <c r="H991" s="23">
        <v>1939648.39</v>
      </c>
      <c r="I991" s="23">
        <v>2067824.35</v>
      </c>
      <c r="J991" s="23">
        <v>1939648.39</v>
      </c>
      <c r="K991" s="24">
        <v>2204.0</v>
      </c>
      <c r="L991" s="1" t="s">
        <v>1776</v>
      </c>
      <c r="M991" s="1" t="s">
        <v>2128</v>
      </c>
      <c r="N991" s="63" t="s">
        <v>902</v>
      </c>
      <c r="O991" s="63" t="s">
        <v>902</v>
      </c>
      <c r="P991" s="68">
        <v>36.0</v>
      </c>
      <c r="Q991" s="1" t="s">
        <v>2130</v>
      </c>
      <c r="R991" s="1" t="s">
        <v>13</v>
      </c>
      <c r="S991" s="1"/>
      <c r="T991" s="1"/>
      <c r="U991" s="1" t="s">
        <v>935</v>
      </c>
      <c r="V991" s="1" t="s">
        <v>935</v>
      </c>
      <c r="W991" s="145">
        <f t="shared" si="1"/>
        <v>0.00003967746509</v>
      </c>
      <c r="AC991" s="77"/>
      <c r="AD991" s="38"/>
      <c r="AE991" s="77"/>
      <c r="AF991" s="1"/>
    </row>
    <row r="992" ht="15.75" customHeight="1">
      <c r="A992" s="1" t="s">
        <v>1961</v>
      </c>
      <c r="B992" s="1" t="s">
        <v>2127</v>
      </c>
      <c r="C992" s="63">
        <v>46273.0</v>
      </c>
      <c r="D992" s="63" t="s">
        <v>130</v>
      </c>
      <c r="E992" s="68">
        <v>0.93801409</v>
      </c>
      <c r="F992" s="1"/>
      <c r="G992" s="23">
        <v>2333401.22</v>
      </c>
      <c r="H992" s="23">
        <v>2188763.21</v>
      </c>
      <c r="I992" s="23">
        <v>2333401.22</v>
      </c>
      <c r="J992" s="23">
        <v>2188763.21</v>
      </c>
      <c r="K992" s="24">
        <v>2664.0</v>
      </c>
      <c r="L992" s="1" t="s">
        <v>1776</v>
      </c>
      <c r="M992" s="1" t="s">
        <v>2128</v>
      </c>
      <c r="N992" s="63" t="s">
        <v>902</v>
      </c>
      <c r="O992" s="63" t="s">
        <v>902</v>
      </c>
      <c r="P992" s="68">
        <v>36.0</v>
      </c>
      <c r="Q992" s="1" t="s">
        <v>2130</v>
      </c>
      <c r="R992" s="1" t="s">
        <v>13</v>
      </c>
      <c r="S992" s="1"/>
      <c r="T992" s="1"/>
      <c r="U992" s="1" t="s">
        <v>927</v>
      </c>
      <c r="V992" s="1" t="s">
        <v>927</v>
      </c>
      <c r="W992" s="145">
        <f t="shared" si="1"/>
        <v>0.00004477336012</v>
      </c>
      <c r="AC992" s="38"/>
    </row>
    <row r="993" ht="15.75" customHeight="1">
      <c r="A993" s="1" t="s">
        <v>1903</v>
      </c>
      <c r="B993" s="1" t="s">
        <v>2127</v>
      </c>
      <c r="C993" s="63">
        <v>46273.0</v>
      </c>
      <c r="D993" s="63" t="s">
        <v>130</v>
      </c>
      <c r="E993" s="68">
        <v>0.94780583</v>
      </c>
      <c r="F993" s="1"/>
      <c r="G993" s="23">
        <v>6.0E7</v>
      </c>
      <c r="H993" s="23">
        <v>5.686835004E7</v>
      </c>
      <c r="I993" s="23">
        <v>6.0E7</v>
      </c>
      <c r="J993" s="23">
        <v>5.686835004E7</v>
      </c>
      <c r="K993" s="24">
        <v>61.0</v>
      </c>
      <c r="L993" s="1" t="s">
        <v>1776</v>
      </c>
      <c r="M993" s="1" t="s">
        <v>2128</v>
      </c>
      <c r="N993" s="63" t="s">
        <v>704</v>
      </c>
      <c r="O993" s="63" t="s">
        <v>704</v>
      </c>
      <c r="P993" s="68">
        <v>30.0</v>
      </c>
      <c r="Q993" s="1" t="s">
        <v>2130</v>
      </c>
      <c r="R993" s="1" t="s">
        <v>13</v>
      </c>
      <c r="S993" s="1"/>
      <c r="T993" s="1"/>
      <c r="U993" s="1" t="s">
        <v>714</v>
      </c>
      <c r="V993" s="1" t="s">
        <v>714</v>
      </c>
      <c r="W993" s="145">
        <f t="shared" si="1"/>
        <v>0.001163299485</v>
      </c>
      <c r="AC993" s="38"/>
    </row>
    <row r="994" ht="15.75" customHeight="1">
      <c r="A994" s="1" t="s">
        <v>1965</v>
      </c>
      <c r="B994" s="1" t="s">
        <v>2127</v>
      </c>
      <c r="C994" s="63">
        <v>46273.0</v>
      </c>
      <c r="D994" s="63" t="s">
        <v>130</v>
      </c>
      <c r="E994" s="68">
        <v>0.94780583</v>
      </c>
      <c r="F994" s="1"/>
      <c r="G994" s="23">
        <v>2.4E7</v>
      </c>
      <c r="H994" s="23">
        <v>2.274734002E7</v>
      </c>
      <c r="I994" s="23">
        <v>2.4E7</v>
      </c>
      <c r="J994" s="23">
        <v>2.274734002E7</v>
      </c>
      <c r="K994" s="24">
        <v>718980.0</v>
      </c>
      <c r="L994" s="1" t="s">
        <v>1776</v>
      </c>
      <c r="M994" s="1" t="s">
        <v>2128</v>
      </c>
      <c r="N994" s="63" t="s">
        <v>307</v>
      </c>
      <c r="O994" s="63" t="s">
        <v>307</v>
      </c>
      <c r="P994" s="68">
        <v>30.0</v>
      </c>
      <c r="Q994" s="1" t="s">
        <v>2130</v>
      </c>
      <c r="R994" s="1" t="s">
        <v>13</v>
      </c>
      <c r="S994" s="1"/>
      <c r="T994" s="1"/>
      <c r="U994" s="1" t="s">
        <v>314</v>
      </c>
      <c r="V994" s="1" t="s">
        <v>314</v>
      </c>
      <c r="W994" s="145">
        <f t="shared" si="1"/>
        <v>0.0004653197942</v>
      </c>
      <c r="AC994" s="38"/>
    </row>
    <row r="995" ht="15.75" customHeight="1">
      <c r="A995" s="1" t="s">
        <v>1903</v>
      </c>
      <c r="B995" s="1" t="s">
        <v>2127</v>
      </c>
      <c r="C995" s="63">
        <v>46273.0</v>
      </c>
      <c r="D995" s="63" t="s">
        <v>130</v>
      </c>
      <c r="E995" s="68">
        <v>0.94945765</v>
      </c>
      <c r="F995" s="1"/>
      <c r="G995" s="23">
        <v>1.0E7</v>
      </c>
      <c r="H995" s="23">
        <v>9494576.54</v>
      </c>
      <c r="I995" s="23">
        <v>1.0E7</v>
      </c>
      <c r="J995" s="23">
        <v>9494576.54</v>
      </c>
      <c r="K995" s="24">
        <v>6.6613291E7</v>
      </c>
      <c r="L995" s="1" t="s">
        <v>1776</v>
      </c>
      <c r="M995" s="1" t="s">
        <v>2128</v>
      </c>
      <c r="N995" s="63" t="s">
        <v>628</v>
      </c>
      <c r="O995" s="63" t="s">
        <v>628</v>
      </c>
      <c r="P995" s="68">
        <v>29.0</v>
      </c>
      <c r="Q995" s="1" t="s">
        <v>2130</v>
      </c>
      <c r="R995" s="1" t="s">
        <v>13</v>
      </c>
      <c r="S995" s="1"/>
      <c r="T995" s="1"/>
      <c r="U995" s="1" t="s">
        <v>669</v>
      </c>
      <c r="V995" s="1" t="s">
        <v>669</v>
      </c>
      <c r="W995" s="145">
        <f t="shared" si="1"/>
        <v>0.000194221144</v>
      </c>
      <c r="AC995" s="38"/>
    </row>
    <row r="996" ht="15.75" customHeight="1">
      <c r="A996" s="1" t="s">
        <v>1938</v>
      </c>
      <c r="B996" s="1" t="s">
        <v>2127</v>
      </c>
      <c r="C996" s="63">
        <v>46273.0</v>
      </c>
      <c r="D996" s="63" t="s">
        <v>130</v>
      </c>
      <c r="E996" s="68">
        <v>0.9428845</v>
      </c>
      <c r="F996" s="1"/>
      <c r="G996" s="23">
        <v>2.5E7</v>
      </c>
      <c r="H996" s="23">
        <v>2.357211239E7</v>
      </c>
      <c r="I996" s="23">
        <v>2.5E7</v>
      </c>
      <c r="J996" s="23">
        <v>2.357211239E7</v>
      </c>
      <c r="K996" s="24">
        <v>475880.0</v>
      </c>
      <c r="L996" s="1" t="s">
        <v>1776</v>
      </c>
      <c r="M996" s="1" t="s">
        <v>2128</v>
      </c>
      <c r="N996" s="63" t="s">
        <v>886</v>
      </c>
      <c r="O996" s="63" t="s">
        <v>886</v>
      </c>
      <c r="P996" s="68">
        <v>33.0</v>
      </c>
      <c r="Q996" s="1" t="s">
        <v>2130</v>
      </c>
      <c r="R996" s="1" t="s">
        <v>13</v>
      </c>
      <c r="S996" s="1"/>
      <c r="T996" s="1"/>
      <c r="U996" s="1" t="s">
        <v>898</v>
      </c>
      <c r="V996" s="1" t="s">
        <v>898</v>
      </c>
      <c r="W996" s="145">
        <f t="shared" si="1"/>
        <v>0.0004821913453</v>
      </c>
      <c r="AC996" s="38"/>
    </row>
    <row r="997" ht="15.75" customHeight="1">
      <c r="A997" s="1" t="s">
        <v>1943</v>
      </c>
      <c r="B997" s="1" t="s">
        <v>2127</v>
      </c>
      <c r="C997" s="63">
        <v>46273.0</v>
      </c>
      <c r="D997" s="63" t="s">
        <v>130</v>
      </c>
      <c r="E997" s="68">
        <v>0.93479504</v>
      </c>
      <c r="F997" s="1"/>
      <c r="G997" s="23">
        <v>6.0E7</v>
      </c>
      <c r="H997" s="23">
        <v>5.608770222E7</v>
      </c>
      <c r="I997" s="23">
        <v>6.0E7</v>
      </c>
      <c r="J997" s="23">
        <v>5.608770222E7</v>
      </c>
      <c r="K997" s="24">
        <v>7.0379068E7</v>
      </c>
      <c r="L997" s="1" t="s">
        <v>1776</v>
      </c>
      <c r="M997" s="1" t="s">
        <v>2128</v>
      </c>
      <c r="N997" s="63" t="s">
        <v>1381</v>
      </c>
      <c r="O997" s="63" t="s">
        <v>1381</v>
      </c>
      <c r="P997" s="68">
        <v>38.0</v>
      </c>
      <c r="Q997" s="1" t="s">
        <v>2130</v>
      </c>
      <c r="R997" s="1" t="s">
        <v>13</v>
      </c>
      <c r="S997" s="1"/>
      <c r="T997" s="1"/>
      <c r="U997" s="1" t="s">
        <v>1388</v>
      </c>
      <c r="V997" s="1" t="s">
        <v>1388</v>
      </c>
      <c r="W997" s="145">
        <f t="shared" si="1"/>
        <v>0.001147330546</v>
      </c>
      <c r="AC997" s="38"/>
    </row>
    <row r="998" ht="15.75" customHeight="1">
      <c r="A998" s="1" t="s">
        <v>1921</v>
      </c>
      <c r="B998" s="1" t="s">
        <v>2127</v>
      </c>
      <c r="C998" s="63">
        <v>46273.0</v>
      </c>
      <c r="D998" s="63" t="s">
        <v>130</v>
      </c>
      <c r="E998" s="68">
        <v>0.95111536</v>
      </c>
      <c r="F998" s="1"/>
      <c r="G998" s="23">
        <v>1.0E7</v>
      </c>
      <c r="H998" s="23">
        <v>9511153.58</v>
      </c>
      <c r="I998" s="23">
        <v>1.0E7</v>
      </c>
      <c r="J998" s="23">
        <v>9511153.58</v>
      </c>
      <c r="K998" s="24">
        <v>360562.0</v>
      </c>
      <c r="L998" s="1" t="s">
        <v>1776</v>
      </c>
      <c r="M998" s="1" t="s">
        <v>2128</v>
      </c>
      <c r="N998" s="63" t="s">
        <v>404</v>
      </c>
      <c r="O998" s="63" t="s">
        <v>404</v>
      </c>
      <c r="P998" s="68">
        <v>28.0</v>
      </c>
      <c r="Q998" s="1" t="s">
        <v>2130</v>
      </c>
      <c r="R998" s="1" t="s">
        <v>13</v>
      </c>
      <c r="S998" s="1"/>
      <c r="T998" s="1"/>
      <c r="U998" s="1" t="s">
        <v>412</v>
      </c>
      <c r="V998" s="1" t="s">
        <v>412</v>
      </c>
      <c r="W998" s="145">
        <f t="shared" si="1"/>
        <v>0.0001945602441</v>
      </c>
      <c r="AC998" s="38"/>
    </row>
    <row r="999" ht="15.75" customHeight="1">
      <c r="A999" s="1" t="s">
        <v>1926</v>
      </c>
      <c r="B999" s="1" t="s">
        <v>2127</v>
      </c>
      <c r="C999" s="63">
        <v>46273.0</v>
      </c>
      <c r="D999" s="63" t="s">
        <v>130</v>
      </c>
      <c r="E999" s="68">
        <v>0.94945765</v>
      </c>
      <c r="F999" s="1"/>
      <c r="G999" s="23">
        <v>1.192307692E7</v>
      </c>
      <c r="H999" s="23">
        <v>1.132045663E7</v>
      </c>
      <c r="I999" s="23">
        <v>1.192307692E7</v>
      </c>
      <c r="J999" s="23">
        <v>1.132045663E7</v>
      </c>
      <c r="K999" s="24">
        <v>9.0021986E7</v>
      </c>
      <c r="L999" s="1" t="s">
        <v>1776</v>
      </c>
      <c r="M999" s="1" t="s">
        <v>2128</v>
      </c>
      <c r="N999" s="63" t="s">
        <v>628</v>
      </c>
      <c r="O999" s="63" t="s">
        <v>628</v>
      </c>
      <c r="P999" s="68">
        <v>29.0</v>
      </c>
      <c r="Q999" s="1" t="s">
        <v>2130</v>
      </c>
      <c r="R999" s="1" t="s">
        <v>13</v>
      </c>
      <c r="S999" s="1"/>
      <c r="T999" s="1"/>
      <c r="U999" s="1" t="s">
        <v>651</v>
      </c>
      <c r="V999" s="1" t="s">
        <v>651</v>
      </c>
      <c r="W999" s="145">
        <f t="shared" si="1"/>
        <v>0.0002315713637</v>
      </c>
      <c r="AC999" s="38"/>
    </row>
    <row r="1000" ht="15.75" customHeight="1">
      <c r="A1000" s="1" t="s">
        <v>1955</v>
      </c>
      <c r="B1000" s="1" t="s">
        <v>2127</v>
      </c>
      <c r="C1000" s="63">
        <v>46273.0</v>
      </c>
      <c r="D1000" s="63" t="s">
        <v>130</v>
      </c>
      <c r="E1000" s="68">
        <v>0.93963201</v>
      </c>
      <c r="F1000" s="1"/>
      <c r="G1000" s="23">
        <v>3.0E7</v>
      </c>
      <c r="H1000" s="23">
        <v>2.818896039E7</v>
      </c>
      <c r="I1000" s="23">
        <v>3.0E7</v>
      </c>
      <c r="J1000" s="23">
        <v>2.818896039E7</v>
      </c>
      <c r="K1000" s="24">
        <v>306.0</v>
      </c>
      <c r="L1000" s="1" t="s">
        <v>1776</v>
      </c>
      <c r="M1000" s="1" t="s">
        <v>2128</v>
      </c>
      <c r="N1000" s="63" t="s">
        <v>1245</v>
      </c>
      <c r="O1000" s="63" t="s">
        <v>1245</v>
      </c>
      <c r="P1000" s="68">
        <v>35.0</v>
      </c>
      <c r="Q1000" s="1" t="s">
        <v>2130</v>
      </c>
      <c r="R1000" s="1" t="s">
        <v>13</v>
      </c>
      <c r="S1000" s="1"/>
      <c r="T1000" s="1"/>
      <c r="U1000" s="1" t="s">
        <v>1258</v>
      </c>
      <c r="V1000" s="1" t="s">
        <v>1258</v>
      </c>
      <c r="W1000" s="145">
        <f t="shared" si="1"/>
        <v>0.0005766336299</v>
      </c>
      <c r="AC1000" s="38"/>
    </row>
    <row r="1001" ht="15.75" customHeight="1">
      <c r="A1001" s="1" t="s">
        <v>1916</v>
      </c>
      <c r="B1001" s="1" t="s">
        <v>2127</v>
      </c>
      <c r="C1001" s="63">
        <v>46274.0</v>
      </c>
      <c r="D1001" s="63" t="s">
        <v>130</v>
      </c>
      <c r="E1001" s="68">
        <v>0.95210774</v>
      </c>
      <c r="F1001" s="1"/>
      <c r="G1001" s="23">
        <v>1.0E7</v>
      </c>
      <c r="H1001" s="23">
        <v>9521077.42</v>
      </c>
      <c r="I1001" s="23">
        <v>1.0E7</v>
      </c>
      <c r="J1001" s="23">
        <v>9521077.42</v>
      </c>
      <c r="K1001" s="24">
        <v>6.7936427E7</v>
      </c>
      <c r="L1001" s="1" t="s">
        <v>1776</v>
      </c>
      <c r="M1001" s="1" t="s">
        <v>2128</v>
      </c>
      <c r="N1001" s="63" t="s">
        <v>1473</v>
      </c>
      <c r="O1001" s="63" t="s">
        <v>1473</v>
      </c>
      <c r="P1001" s="68">
        <v>27.0</v>
      </c>
      <c r="Q1001" s="1" t="s">
        <v>2130</v>
      </c>
      <c r="R1001" s="1" t="s">
        <v>13</v>
      </c>
      <c r="S1001" s="1"/>
      <c r="T1001" s="1"/>
      <c r="U1001" s="1" t="s">
        <v>1483</v>
      </c>
      <c r="V1001" s="1" t="s">
        <v>1483</v>
      </c>
      <c r="W1001" s="145">
        <f t="shared" si="1"/>
        <v>0.0001947632462</v>
      </c>
      <c r="AC1001" s="38"/>
    </row>
    <row r="1002" ht="15.75" customHeight="1">
      <c r="A1002" s="1" t="s">
        <v>1932</v>
      </c>
      <c r="B1002" s="1" t="s">
        <v>2127</v>
      </c>
      <c r="C1002" s="63">
        <v>46274.0</v>
      </c>
      <c r="D1002" s="63" t="s">
        <v>130</v>
      </c>
      <c r="E1002" s="68">
        <v>0.9420814</v>
      </c>
      <c r="F1002" s="1"/>
      <c r="G1002" s="23">
        <v>1.600557568E7</v>
      </c>
      <c r="H1002" s="23">
        <v>1.507855513E7</v>
      </c>
      <c r="I1002" s="23">
        <v>1.600557568E7</v>
      </c>
      <c r="J1002" s="23">
        <v>1.507855513E7</v>
      </c>
      <c r="K1002" s="24">
        <v>30716.0</v>
      </c>
      <c r="L1002" s="1" t="s">
        <v>1776</v>
      </c>
      <c r="M1002" s="1" t="s">
        <v>2128</v>
      </c>
      <c r="N1002" s="63" t="s">
        <v>902</v>
      </c>
      <c r="O1002" s="63" t="s">
        <v>902</v>
      </c>
      <c r="P1002" s="68">
        <v>33.0</v>
      </c>
      <c r="Q1002" s="1" t="s">
        <v>2130</v>
      </c>
      <c r="R1002" s="1" t="s">
        <v>13</v>
      </c>
      <c r="S1002" s="1"/>
      <c r="T1002" s="1"/>
      <c r="U1002" s="1" t="s">
        <v>906</v>
      </c>
      <c r="V1002" s="1" t="s">
        <v>906</v>
      </c>
      <c r="W1002" s="145">
        <f t="shared" si="1"/>
        <v>0.0003084470608</v>
      </c>
      <c r="AC1002" s="38"/>
    </row>
    <row r="1003" ht="15.75" customHeight="1">
      <c r="A1003" s="1" t="s">
        <v>2012</v>
      </c>
      <c r="B1003" s="1" t="s">
        <v>2127</v>
      </c>
      <c r="C1003" s="63">
        <v>46274.0</v>
      </c>
      <c r="D1003" s="63" t="s">
        <v>130</v>
      </c>
      <c r="E1003" s="68">
        <v>0.93388609</v>
      </c>
      <c r="F1003" s="1"/>
      <c r="G1003" s="23">
        <v>7133529.14</v>
      </c>
      <c r="H1003" s="23">
        <v>6661903.66</v>
      </c>
      <c r="I1003" s="23">
        <v>7133529.14</v>
      </c>
      <c r="J1003" s="23">
        <v>6661903.66</v>
      </c>
      <c r="K1003" s="24">
        <v>9.0000168E7</v>
      </c>
      <c r="L1003" s="1" t="s">
        <v>1776</v>
      </c>
      <c r="M1003" s="1" t="s">
        <v>2128</v>
      </c>
      <c r="N1003" s="63" t="s">
        <v>446</v>
      </c>
      <c r="O1003" s="63" t="s">
        <v>446</v>
      </c>
      <c r="P1003" s="68">
        <v>38.0</v>
      </c>
      <c r="Q1003" s="1" t="s">
        <v>2130</v>
      </c>
      <c r="R1003" s="1" t="s">
        <v>13</v>
      </c>
      <c r="S1003" s="1"/>
      <c r="T1003" s="1"/>
      <c r="U1003" s="1" t="s">
        <v>522</v>
      </c>
      <c r="V1003" s="1" t="s">
        <v>522</v>
      </c>
      <c r="W1003" s="145">
        <f t="shared" si="1"/>
        <v>0.0001362759618</v>
      </c>
      <c r="AC1003" s="38"/>
    </row>
    <row r="1004" ht="15.75" customHeight="1">
      <c r="A1004" s="1" t="s">
        <v>1978</v>
      </c>
      <c r="B1004" s="1" t="s">
        <v>2127</v>
      </c>
      <c r="C1004" s="63">
        <v>46274.0</v>
      </c>
      <c r="D1004" s="63" t="s">
        <v>130</v>
      </c>
      <c r="E1004" s="68">
        <v>0.93064765</v>
      </c>
      <c r="F1004" s="1"/>
      <c r="G1004" s="23">
        <v>1.5166667E7</v>
      </c>
      <c r="H1004" s="23">
        <v>1.411482305E7</v>
      </c>
      <c r="I1004" s="23">
        <v>1.5166667E7</v>
      </c>
      <c r="J1004" s="23">
        <v>1.411482305E7</v>
      </c>
      <c r="K1004" s="24">
        <v>9.0020553E7</v>
      </c>
      <c r="L1004" s="1" t="s">
        <v>1776</v>
      </c>
      <c r="M1004" s="1" t="s">
        <v>2128</v>
      </c>
      <c r="N1004" s="63" t="s">
        <v>748</v>
      </c>
      <c r="O1004" s="63" t="s">
        <v>739</v>
      </c>
      <c r="P1004" s="68">
        <v>40.0</v>
      </c>
      <c r="Q1004" s="1" t="s">
        <v>2130</v>
      </c>
      <c r="R1004" s="1" t="s">
        <v>13</v>
      </c>
      <c r="S1004" s="1"/>
      <c r="T1004" s="1"/>
      <c r="U1004" s="1" t="s">
        <v>752</v>
      </c>
      <c r="V1004" s="1" t="s">
        <v>752</v>
      </c>
      <c r="W1004" s="145">
        <f t="shared" si="1"/>
        <v>0.0002887329486</v>
      </c>
      <c r="AC1004" s="38"/>
    </row>
    <row r="1005" ht="15.75" customHeight="1">
      <c r="A1005" s="1" t="s">
        <v>1961</v>
      </c>
      <c r="B1005" s="1" t="s">
        <v>2127</v>
      </c>
      <c r="C1005" s="63">
        <v>46274.0</v>
      </c>
      <c r="D1005" s="63" t="s">
        <v>130</v>
      </c>
      <c r="E1005" s="68">
        <v>0.93714701</v>
      </c>
      <c r="F1005" s="1"/>
      <c r="G1005" s="23">
        <v>2333401.22</v>
      </c>
      <c r="H1005" s="23">
        <v>2186739.98</v>
      </c>
      <c r="I1005" s="23">
        <v>2333401.22</v>
      </c>
      <c r="J1005" s="23">
        <v>2186739.98</v>
      </c>
      <c r="K1005" s="24">
        <v>2663.0</v>
      </c>
      <c r="L1005" s="1" t="s">
        <v>1776</v>
      </c>
      <c r="M1005" s="1" t="s">
        <v>2128</v>
      </c>
      <c r="N1005" s="63" t="s">
        <v>902</v>
      </c>
      <c r="O1005" s="63" t="s">
        <v>902</v>
      </c>
      <c r="P1005" s="68">
        <v>36.0</v>
      </c>
      <c r="Q1005" s="1" t="s">
        <v>2130</v>
      </c>
      <c r="R1005" s="1" t="s">
        <v>13</v>
      </c>
      <c r="S1005" s="1"/>
      <c r="T1005" s="1"/>
      <c r="U1005" s="1" t="s">
        <v>928</v>
      </c>
      <c r="V1005" s="1" t="s">
        <v>928</v>
      </c>
      <c r="W1005" s="145">
        <f t="shared" si="1"/>
        <v>0.0000447319729</v>
      </c>
      <c r="AC1005" s="38"/>
    </row>
    <row r="1006" ht="15.75" customHeight="1">
      <c r="A1006" s="1" t="s">
        <v>1917</v>
      </c>
      <c r="B1006" s="1" t="s">
        <v>2127</v>
      </c>
      <c r="C1006" s="63">
        <v>46274.0</v>
      </c>
      <c r="D1006" s="63" t="s">
        <v>130</v>
      </c>
      <c r="E1006" s="68">
        <v>0.94706809</v>
      </c>
      <c r="F1006" s="1"/>
      <c r="G1006" s="23">
        <v>5000000.0</v>
      </c>
      <c r="H1006" s="23">
        <v>4735340.46</v>
      </c>
      <c r="I1006" s="23">
        <v>5000000.0</v>
      </c>
      <c r="J1006" s="23">
        <v>4735340.46</v>
      </c>
      <c r="K1006" s="24">
        <v>682.0</v>
      </c>
      <c r="L1006" s="1" t="s">
        <v>1776</v>
      </c>
      <c r="M1006" s="1" t="s">
        <v>2128</v>
      </c>
      <c r="N1006" s="63" t="s">
        <v>1458</v>
      </c>
      <c r="O1006" s="63" t="s">
        <v>1458</v>
      </c>
      <c r="P1006" s="68">
        <v>30.0</v>
      </c>
      <c r="Q1006" s="1" t="s">
        <v>2130</v>
      </c>
      <c r="R1006" s="1" t="s">
        <v>13</v>
      </c>
      <c r="S1006" s="1"/>
      <c r="T1006" s="1"/>
      <c r="U1006" s="1" t="s">
        <v>1462</v>
      </c>
      <c r="V1006" s="1" t="s">
        <v>1462</v>
      </c>
      <c r="W1006" s="145">
        <f t="shared" si="1"/>
        <v>0.00009686616749</v>
      </c>
      <c r="AC1006" s="38"/>
    </row>
    <row r="1007" ht="15.75" customHeight="1">
      <c r="A1007" s="1" t="s">
        <v>1989</v>
      </c>
      <c r="B1007" s="1" t="s">
        <v>2127</v>
      </c>
      <c r="C1007" s="63">
        <v>46274.0</v>
      </c>
      <c r="D1007" s="63" t="s">
        <v>130</v>
      </c>
      <c r="E1007" s="68">
        <v>0.9470682</v>
      </c>
      <c r="F1007" s="1"/>
      <c r="G1007" s="23">
        <v>2700000.0</v>
      </c>
      <c r="H1007" s="23">
        <v>2557084.14</v>
      </c>
      <c r="I1007" s="23">
        <v>2700000.0</v>
      </c>
      <c r="J1007" s="23">
        <v>2557084.14</v>
      </c>
      <c r="K1007" s="24">
        <v>6276.0</v>
      </c>
      <c r="L1007" s="1" t="s">
        <v>1776</v>
      </c>
      <c r="M1007" s="1" t="s">
        <v>2128</v>
      </c>
      <c r="N1007" s="63" t="s">
        <v>1332</v>
      </c>
      <c r="O1007" s="63" t="s">
        <v>1332</v>
      </c>
      <c r="P1007" s="68">
        <v>30.0</v>
      </c>
      <c r="Q1007" s="1" t="s">
        <v>2130</v>
      </c>
      <c r="R1007" s="1" t="s">
        <v>13</v>
      </c>
      <c r="S1007" s="1"/>
      <c r="T1007" s="1"/>
      <c r="U1007" s="1" t="s">
        <v>1336</v>
      </c>
      <c r="V1007" s="1" t="s">
        <v>1336</v>
      </c>
      <c r="W1007" s="145">
        <f t="shared" si="1"/>
        <v>0.00005230773641</v>
      </c>
      <c r="AC1007" s="38"/>
    </row>
    <row r="1008" ht="15.75" customHeight="1">
      <c r="A1008" s="1" t="s">
        <v>1903</v>
      </c>
      <c r="B1008" s="1" t="s">
        <v>2127</v>
      </c>
      <c r="C1008" s="63">
        <v>46274.0</v>
      </c>
      <c r="D1008" s="63" t="s">
        <v>130</v>
      </c>
      <c r="E1008" s="68">
        <v>0.94874205</v>
      </c>
      <c r="F1008" s="1"/>
      <c r="G1008" s="23">
        <v>1.0E7</v>
      </c>
      <c r="H1008" s="23">
        <v>9487420.55</v>
      </c>
      <c r="I1008" s="23">
        <v>1.0E7</v>
      </c>
      <c r="J1008" s="23">
        <v>9487420.55</v>
      </c>
      <c r="K1008" s="24">
        <v>6.6613416E7</v>
      </c>
      <c r="L1008" s="1" t="s">
        <v>1776</v>
      </c>
      <c r="M1008" s="1" t="s">
        <v>2128</v>
      </c>
      <c r="N1008" s="63" t="s">
        <v>628</v>
      </c>
      <c r="O1008" s="63" t="s">
        <v>628</v>
      </c>
      <c r="P1008" s="68">
        <v>29.0</v>
      </c>
      <c r="Q1008" s="1" t="s">
        <v>2130</v>
      </c>
      <c r="R1008" s="1" t="s">
        <v>13</v>
      </c>
      <c r="S1008" s="1"/>
      <c r="T1008" s="1"/>
      <c r="U1008" s="1" t="s">
        <v>670</v>
      </c>
      <c r="V1008" s="1" t="s">
        <v>670</v>
      </c>
      <c r="W1008" s="145">
        <f t="shared" si="1"/>
        <v>0.000194074761</v>
      </c>
      <c r="AC1008" s="38"/>
    </row>
    <row r="1009" ht="15.75" customHeight="1">
      <c r="A1009" s="1" t="s">
        <v>1938</v>
      </c>
      <c r="B1009" s="1" t="s">
        <v>2127</v>
      </c>
      <c r="C1009" s="63">
        <v>46274.0</v>
      </c>
      <c r="D1009" s="63" t="s">
        <v>130</v>
      </c>
      <c r="E1009" s="68">
        <v>0.94373772</v>
      </c>
      <c r="F1009" s="1"/>
      <c r="G1009" s="23">
        <v>2.5E7</v>
      </c>
      <c r="H1009" s="23">
        <v>2.359344309E7</v>
      </c>
      <c r="I1009" s="23">
        <v>2.5E7</v>
      </c>
      <c r="J1009" s="23">
        <v>2.359344309E7</v>
      </c>
      <c r="K1009" s="24">
        <v>475878.0</v>
      </c>
      <c r="L1009" s="1" t="s">
        <v>1776</v>
      </c>
      <c r="M1009" s="1" t="s">
        <v>2128</v>
      </c>
      <c r="N1009" s="63" t="s">
        <v>733</v>
      </c>
      <c r="O1009" s="63" t="s">
        <v>733</v>
      </c>
      <c r="P1009" s="68">
        <v>32.0</v>
      </c>
      <c r="Q1009" s="1" t="s">
        <v>2130</v>
      </c>
      <c r="R1009" s="1" t="s">
        <v>13</v>
      </c>
      <c r="S1009" s="1"/>
      <c r="T1009" s="1"/>
      <c r="U1009" s="1" t="s">
        <v>732</v>
      </c>
      <c r="V1009" s="1" t="s">
        <v>732</v>
      </c>
      <c r="W1009" s="145">
        <f t="shared" si="1"/>
        <v>0.0004826276863</v>
      </c>
      <c r="AC1009" s="38"/>
    </row>
    <row r="1010" ht="15.75" customHeight="1">
      <c r="A1010" s="1" t="s">
        <v>1932</v>
      </c>
      <c r="B1010" s="1" t="s">
        <v>2127</v>
      </c>
      <c r="C1010" s="63">
        <v>46275.0</v>
      </c>
      <c r="D1010" s="63" t="s">
        <v>130</v>
      </c>
      <c r="E1010" s="68">
        <v>0.94127981</v>
      </c>
      <c r="F1010" s="1"/>
      <c r="G1010" s="23">
        <v>1.600557568E7</v>
      </c>
      <c r="H1010" s="23">
        <v>1.506572519E7</v>
      </c>
      <c r="I1010" s="23">
        <v>1.600557568E7</v>
      </c>
      <c r="J1010" s="23">
        <v>1.506572519E7</v>
      </c>
      <c r="K1010" s="24">
        <v>30717.0</v>
      </c>
      <c r="L1010" s="1" t="s">
        <v>1776</v>
      </c>
      <c r="M1010" s="1" t="s">
        <v>2128</v>
      </c>
      <c r="N1010" s="63" t="s">
        <v>902</v>
      </c>
      <c r="O1010" s="63" t="s">
        <v>902</v>
      </c>
      <c r="P1010" s="68">
        <v>33.0</v>
      </c>
      <c r="Q1010" s="1" t="s">
        <v>2130</v>
      </c>
      <c r="R1010" s="1" t="s">
        <v>13</v>
      </c>
      <c r="S1010" s="1"/>
      <c r="T1010" s="1"/>
      <c r="U1010" s="1" t="s">
        <v>915</v>
      </c>
      <c r="V1010" s="1" t="s">
        <v>915</v>
      </c>
      <c r="W1010" s="145">
        <f t="shared" si="1"/>
        <v>0.0003081846114</v>
      </c>
      <c r="AC1010" s="38"/>
    </row>
    <row r="1011" ht="15.75" customHeight="1">
      <c r="A1011" s="1" t="s">
        <v>1906</v>
      </c>
      <c r="B1011" s="1" t="s">
        <v>2127</v>
      </c>
      <c r="C1011" s="63">
        <v>46275.0</v>
      </c>
      <c r="D1011" s="63" t="s">
        <v>130</v>
      </c>
      <c r="E1011" s="68">
        <v>0.93297915</v>
      </c>
      <c r="F1011" s="1"/>
      <c r="G1011" s="23">
        <v>2.5E7</v>
      </c>
      <c r="H1011" s="23">
        <v>2.332447887E7</v>
      </c>
      <c r="I1011" s="23">
        <v>2.5E7</v>
      </c>
      <c r="J1011" s="23">
        <v>2.332447887E7</v>
      </c>
      <c r="K1011" s="24">
        <v>7.0219553E7</v>
      </c>
      <c r="L1011" s="1" t="s">
        <v>1776</v>
      </c>
      <c r="M1011" s="1" t="s">
        <v>2128</v>
      </c>
      <c r="N1011" s="63" t="s">
        <v>1589</v>
      </c>
      <c r="O1011" s="63" t="s">
        <v>1589</v>
      </c>
      <c r="P1011" s="68">
        <v>38.0</v>
      </c>
      <c r="Q1011" s="1" t="s">
        <v>2130</v>
      </c>
      <c r="R1011" s="1" t="s">
        <v>13</v>
      </c>
      <c r="S1011" s="1"/>
      <c r="T1011" s="1"/>
      <c r="U1011" s="1" t="s">
        <v>1607</v>
      </c>
      <c r="V1011" s="1" t="s">
        <v>1607</v>
      </c>
      <c r="W1011" s="145">
        <f t="shared" si="1"/>
        <v>0.0004771257517</v>
      </c>
      <c r="AC1011" s="38"/>
    </row>
    <row r="1012" ht="15.75" customHeight="1">
      <c r="A1012" s="1" t="s">
        <v>1961</v>
      </c>
      <c r="B1012" s="1" t="s">
        <v>2127</v>
      </c>
      <c r="C1012" s="63">
        <v>46275.0</v>
      </c>
      <c r="D1012" s="63" t="s">
        <v>130</v>
      </c>
      <c r="E1012" s="68">
        <v>0.93628175</v>
      </c>
      <c r="F1012" s="1"/>
      <c r="G1012" s="23">
        <v>2333401.22</v>
      </c>
      <c r="H1012" s="23">
        <v>2184720.97</v>
      </c>
      <c r="I1012" s="23">
        <v>2333401.22</v>
      </c>
      <c r="J1012" s="23">
        <v>2184720.97</v>
      </c>
      <c r="K1012" s="24">
        <v>2662.0</v>
      </c>
      <c r="L1012" s="1" t="s">
        <v>1776</v>
      </c>
      <c r="M1012" s="1" t="s">
        <v>2128</v>
      </c>
      <c r="N1012" s="63" t="s">
        <v>902</v>
      </c>
      <c r="O1012" s="63" t="s">
        <v>902</v>
      </c>
      <c r="P1012" s="68">
        <v>36.0</v>
      </c>
      <c r="Q1012" s="1" t="s">
        <v>2130</v>
      </c>
      <c r="R1012" s="1" t="s">
        <v>13</v>
      </c>
      <c r="S1012" s="1"/>
      <c r="T1012" s="1"/>
      <c r="U1012" s="1" t="s">
        <v>929</v>
      </c>
      <c r="V1012" s="1" t="s">
        <v>929</v>
      </c>
      <c r="W1012" s="145">
        <f t="shared" si="1"/>
        <v>0.00004469067202</v>
      </c>
      <c r="AC1012" s="38"/>
    </row>
    <row r="1013" ht="15.75" customHeight="1">
      <c r="A1013" s="1" t="s">
        <v>1917</v>
      </c>
      <c r="B1013" s="1" t="s">
        <v>2127</v>
      </c>
      <c r="C1013" s="63">
        <v>46275.0</v>
      </c>
      <c r="D1013" s="63" t="s">
        <v>130</v>
      </c>
      <c r="E1013" s="68">
        <v>0.94633143</v>
      </c>
      <c r="F1013" s="1"/>
      <c r="G1013" s="23">
        <v>1.0E7</v>
      </c>
      <c r="H1013" s="23">
        <v>9463314.29</v>
      </c>
      <c r="I1013" s="23">
        <v>1.0E7</v>
      </c>
      <c r="J1013" s="23">
        <v>9463314.29</v>
      </c>
      <c r="K1013" s="24">
        <v>672.0</v>
      </c>
      <c r="L1013" s="1" t="s">
        <v>1776</v>
      </c>
      <c r="M1013" s="1" t="s">
        <v>2128</v>
      </c>
      <c r="N1013" s="63" t="s">
        <v>1399</v>
      </c>
      <c r="O1013" s="63" t="s">
        <v>1399</v>
      </c>
      <c r="P1013" s="68">
        <v>30.0</v>
      </c>
      <c r="Q1013" s="1" t="s">
        <v>2130</v>
      </c>
      <c r="R1013" s="1" t="s">
        <v>13</v>
      </c>
      <c r="S1013" s="1"/>
      <c r="T1013" s="1"/>
      <c r="U1013" s="1" t="s">
        <v>1401</v>
      </c>
      <c r="V1013" s="1" t="s">
        <v>1401</v>
      </c>
      <c r="W1013" s="145">
        <f t="shared" si="1"/>
        <v>0.0001935816431</v>
      </c>
      <c r="AC1013" s="38"/>
    </row>
    <row r="1014" ht="15.75" customHeight="1">
      <c r="A1014" s="1" t="s">
        <v>1917</v>
      </c>
      <c r="B1014" s="1" t="s">
        <v>2127</v>
      </c>
      <c r="C1014" s="63">
        <v>46275.0</v>
      </c>
      <c r="D1014" s="63" t="s">
        <v>130</v>
      </c>
      <c r="E1014" s="68">
        <v>0.94633144</v>
      </c>
      <c r="F1014" s="1"/>
      <c r="G1014" s="23">
        <v>1.0E7</v>
      </c>
      <c r="H1014" s="23">
        <v>9463314.4</v>
      </c>
      <c r="I1014" s="23">
        <v>1.0E7</v>
      </c>
      <c r="J1014" s="23">
        <v>9463314.4</v>
      </c>
      <c r="K1014" s="24">
        <v>637.0</v>
      </c>
      <c r="L1014" s="1" t="s">
        <v>1776</v>
      </c>
      <c r="M1014" s="1" t="s">
        <v>2128</v>
      </c>
      <c r="N1014" s="63" t="s">
        <v>1302</v>
      </c>
      <c r="O1014" s="63" t="s">
        <v>1302</v>
      </c>
      <c r="P1014" s="68">
        <v>30.0</v>
      </c>
      <c r="Q1014" s="1" t="s">
        <v>2130</v>
      </c>
      <c r="R1014" s="1" t="s">
        <v>13</v>
      </c>
      <c r="S1014" s="1"/>
      <c r="T1014" s="1"/>
      <c r="U1014" s="1" t="s">
        <v>1316</v>
      </c>
      <c r="V1014" s="1" t="s">
        <v>1316</v>
      </c>
      <c r="W1014" s="145">
        <f t="shared" si="1"/>
        <v>0.0001935816454</v>
      </c>
      <c r="AC1014" s="38"/>
    </row>
    <row r="1015" ht="15.75" customHeight="1">
      <c r="A1015" s="1" t="s">
        <v>1937</v>
      </c>
      <c r="B1015" s="1" t="s">
        <v>2127</v>
      </c>
      <c r="C1015" s="63">
        <v>46275.0</v>
      </c>
      <c r="D1015" s="63" t="s">
        <v>130</v>
      </c>
      <c r="E1015" s="68">
        <v>0.94295756</v>
      </c>
      <c r="F1015" s="1"/>
      <c r="G1015" s="23">
        <v>5.0E7</v>
      </c>
      <c r="H1015" s="23">
        <v>4.714787792E7</v>
      </c>
      <c r="I1015" s="23">
        <v>5.0E7</v>
      </c>
      <c r="J1015" s="23">
        <v>4.714787792E7</v>
      </c>
      <c r="K1015" s="24">
        <v>4774.0</v>
      </c>
      <c r="L1015" s="1" t="s">
        <v>1776</v>
      </c>
      <c r="M1015" s="1" t="s">
        <v>2128</v>
      </c>
      <c r="N1015" s="63" t="s">
        <v>1118</v>
      </c>
      <c r="O1015" s="63" t="s">
        <v>1118</v>
      </c>
      <c r="P1015" s="68">
        <v>32.0</v>
      </c>
      <c r="Q1015" s="1" t="s">
        <v>2130</v>
      </c>
      <c r="R1015" s="1" t="s">
        <v>13</v>
      </c>
      <c r="S1015" s="1"/>
      <c r="T1015" s="1"/>
      <c r="U1015" s="1" t="s">
        <v>1206</v>
      </c>
      <c r="V1015" s="1" t="s">
        <v>1206</v>
      </c>
      <c r="W1015" s="145">
        <f t="shared" si="1"/>
        <v>0.0009644574192</v>
      </c>
      <c r="AC1015" s="38"/>
    </row>
    <row r="1016" ht="15.75" customHeight="1">
      <c r="A1016" s="1" t="s">
        <v>1964</v>
      </c>
      <c r="B1016" s="1" t="s">
        <v>2127</v>
      </c>
      <c r="C1016" s="63">
        <v>46275.0</v>
      </c>
      <c r="D1016" s="63" t="s">
        <v>130</v>
      </c>
      <c r="E1016" s="68">
        <v>0.94127969</v>
      </c>
      <c r="F1016" s="1"/>
      <c r="G1016" s="23">
        <v>1.0E7</v>
      </c>
      <c r="H1016" s="23">
        <v>9412796.92</v>
      </c>
      <c r="I1016" s="23">
        <v>1.0E7</v>
      </c>
      <c r="J1016" s="23">
        <v>9412796.92</v>
      </c>
      <c r="K1016" s="24">
        <v>326.0</v>
      </c>
      <c r="L1016" s="1" t="s">
        <v>1776</v>
      </c>
      <c r="M1016" s="1" t="s">
        <v>2128</v>
      </c>
      <c r="N1016" s="63" t="s">
        <v>798</v>
      </c>
      <c r="O1016" s="63" t="s">
        <v>798</v>
      </c>
      <c r="P1016" s="68">
        <v>33.0</v>
      </c>
      <c r="Q1016" s="1" t="s">
        <v>2130</v>
      </c>
      <c r="R1016" s="1" t="s">
        <v>13</v>
      </c>
      <c r="S1016" s="1"/>
      <c r="T1016" s="1"/>
      <c r="U1016" s="1" t="s">
        <v>804</v>
      </c>
      <c r="V1016" s="1" t="s">
        <v>804</v>
      </c>
      <c r="W1016" s="145">
        <f t="shared" si="1"/>
        <v>0.0001925482593</v>
      </c>
      <c r="AC1016" s="38"/>
    </row>
    <row r="1017" ht="15.75" customHeight="1">
      <c r="A1017" s="1" t="s">
        <v>1949</v>
      </c>
      <c r="B1017" s="1" t="s">
        <v>2127</v>
      </c>
      <c r="C1017" s="63">
        <v>46275.0</v>
      </c>
      <c r="D1017" s="63" t="s">
        <v>130</v>
      </c>
      <c r="E1017" s="68">
        <v>0.93133647</v>
      </c>
      <c r="F1017" s="1"/>
      <c r="G1017" s="23">
        <v>2.0E7</v>
      </c>
      <c r="H1017" s="23">
        <v>1.862672943E7</v>
      </c>
      <c r="I1017" s="23">
        <v>2.0E7</v>
      </c>
      <c r="J1017" s="23">
        <v>1.862672943E7</v>
      </c>
      <c r="K1017" s="24">
        <v>4319.0</v>
      </c>
      <c r="L1017" s="1" t="s">
        <v>1776</v>
      </c>
      <c r="M1017" s="1" t="s">
        <v>2128</v>
      </c>
      <c r="N1017" s="63" t="s">
        <v>1332</v>
      </c>
      <c r="O1017" s="63" t="s">
        <v>1332</v>
      </c>
      <c r="P1017" s="68">
        <v>39.0</v>
      </c>
      <c r="Q1017" s="1" t="s">
        <v>2130</v>
      </c>
      <c r="R1017" s="1" t="s">
        <v>13</v>
      </c>
      <c r="S1017" s="1"/>
      <c r="T1017" s="1"/>
      <c r="U1017" s="1" t="s">
        <v>1333</v>
      </c>
      <c r="V1017" s="1" t="s">
        <v>1333</v>
      </c>
      <c r="W1017" s="145">
        <f t="shared" si="1"/>
        <v>0.0003810285465</v>
      </c>
      <c r="AC1017" s="38"/>
    </row>
    <row r="1018" ht="15.75" customHeight="1">
      <c r="A1018" s="1" t="s">
        <v>1903</v>
      </c>
      <c r="B1018" s="1" t="s">
        <v>2127</v>
      </c>
      <c r="C1018" s="63">
        <v>46275.0</v>
      </c>
      <c r="D1018" s="63" t="s">
        <v>130</v>
      </c>
      <c r="E1018" s="68">
        <v>0.94802733</v>
      </c>
      <c r="F1018" s="1"/>
      <c r="G1018" s="23">
        <v>5500000.0</v>
      </c>
      <c r="H1018" s="23">
        <v>5214150.29</v>
      </c>
      <c r="I1018" s="23">
        <v>5500000.0</v>
      </c>
      <c r="J1018" s="23">
        <v>5214150.29</v>
      </c>
      <c r="K1018" s="24">
        <v>6.6554093E7</v>
      </c>
      <c r="L1018" s="1" t="s">
        <v>1776</v>
      </c>
      <c r="M1018" s="1" t="s">
        <v>2128</v>
      </c>
      <c r="N1018" s="63" t="s">
        <v>608</v>
      </c>
      <c r="O1018" s="63" t="s">
        <v>608</v>
      </c>
      <c r="P1018" s="68">
        <v>29.0</v>
      </c>
      <c r="Q1018" s="1" t="s">
        <v>2130</v>
      </c>
      <c r="R1018" s="1" t="s">
        <v>13</v>
      </c>
      <c r="S1018" s="1"/>
      <c r="T1018" s="1"/>
      <c r="U1018" s="1" t="s">
        <v>607</v>
      </c>
      <c r="V1018" s="1" t="s">
        <v>607</v>
      </c>
      <c r="W1018" s="145">
        <f t="shared" si="1"/>
        <v>0.0001066607057</v>
      </c>
      <c r="AC1018" s="38"/>
    </row>
    <row r="1019" ht="15.75" customHeight="1">
      <c r="A1019" s="1" t="s">
        <v>1933</v>
      </c>
      <c r="B1019" s="1" t="s">
        <v>2127</v>
      </c>
      <c r="C1019" s="63">
        <v>46275.0</v>
      </c>
      <c r="D1019" s="63" t="s">
        <v>130</v>
      </c>
      <c r="E1019" s="68">
        <v>0.94633143</v>
      </c>
      <c r="F1019" s="1"/>
      <c r="G1019" s="23">
        <v>1.0E7</v>
      </c>
      <c r="H1019" s="23">
        <v>9463314.32</v>
      </c>
      <c r="I1019" s="23">
        <v>1.0E7</v>
      </c>
      <c r="J1019" s="23">
        <v>9463314.32</v>
      </c>
      <c r="K1019" s="24">
        <v>3435967.0</v>
      </c>
      <c r="L1019" s="1" t="s">
        <v>1776</v>
      </c>
      <c r="M1019" s="1" t="s">
        <v>2128</v>
      </c>
      <c r="N1019" s="63" t="s">
        <v>739</v>
      </c>
      <c r="O1019" s="63" t="s">
        <v>739</v>
      </c>
      <c r="P1019" s="68">
        <v>30.0</v>
      </c>
      <c r="Q1019" s="1" t="s">
        <v>2130</v>
      </c>
      <c r="R1019" s="1" t="s">
        <v>13</v>
      </c>
      <c r="S1019" s="1"/>
      <c r="T1019" s="1"/>
      <c r="U1019" s="1" t="s">
        <v>742</v>
      </c>
      <c r="V1019" s="1" t="s">
        <v>742</v>
      </c>
      <c r="W1019" s="145">
        <f t="shared" si="1"/>
        <v>0.0001935816437</v>
      </c>
      <c r="AC1019" s="38"/>
    </row>
    <row r="1020" ht="15.75" customHeight="1">
      <c r="A1020" s="1" t="s">
        <v>1939</v>
      </c>
      <c r="B1020" s="1" t="s">
        <v>2127</v>
      </c>
      <c r="C1020" s="63">
        <v>46275.0</v>
      </c>
      <c r="D1020" s="63" t="s">
        <v>130</v>
      </c>
      <c r="E1020" s="68">
        <v>0.94127968</v>
      </c>
      <c r="F1020" s="1"/>
      <c r="G1020" s="23">
        <v>1.25E7</v>
      </c>
      <c r="H1020" s="23">
        <v>1.176599602E7</v>
      </c>
      <c r="I1020" s="23">
        <v>1.25E7</v>
      </c>
      <c r="J1020" s="23">
        <v>1.176599602E7</v>
      </c>
      <c r="K1020" s="24">
        <v>1358.0</v>
      </c>
      <c r="L1020" s="1" t="s">
        <v>1776</v>
      </c>
      <c r="M1020" s="1" t="s">
        <v>2128</v>
      </c>
      <c r="N1020" s="63" t="s">
        <v>863</v>
      </c>
      <c r="O1020" s="63" t="s">
        <v>863</v>
      </c>
      <c r="P1020" s="68">
        <v>33.0</v>
      </c>
      <c r="Q1020" s="1" t="s">
        <v>2130</v>
      </c>
      <c r="R1020" s="1" t="s">
        <v>13</v>
      </c>
      <c r="S1020" s="1"/>
      <c r="T1020" s="1"/>
      <c r="U1020" s="1" t="s">
        <v>864</v>
      </c>
      <c r="V1020" s="1" t="s">
        <v>864</v>
      </c>
      <c r="W1020" s="145">
        <f t="shared" si="1"/>
        <v>0.0002406853215</v>
      </c>
      <c r="AC1020" s="38"/>
    </row>
    <row r="1021" ht="15.75" customHeight="1">
      <c r="A1021" s="1" t="s">
        <v>1943</v>
      </c>
      <c r="B1021" s="1" t="s">
        <v>2127</v>
      </c>
      <c r="C1021" s="63">
        <v>46275.0</v>
      </c>
      <c r="D1021" s="63" t="s">
        <v>130</v>
      </c>
      <c r="E1021" s="68">
        <v>0.93297891</v>
      </c>
      <c r="F1021" s="1"/>
      <c r="G1021" s="23">
        <v>6.0E7</v>
      </c>
      <c r="H1021" s="23">
        <v>5.597873458E7</v>
      </c>
      <c r="I1021" s="23">
        <v>6.0E7</v>
      </c>
      <c r="J1021" s="23">
        <v>5.597873458E7</v>
      </c>
      <c r="K1021" s="24">
        <v>7.0379069E7</v>
      </c>
      <c r="L1021" s="1" t="s">
        <v>1776</v>
      </c>
      <c r="M1021" s="1" t="s">
        <v>2128</v>
      </c>
      <c r="N1021" s="63" t="s">
        <v>1381</v>
      </c>
      <c r="O1021" s="63" t="s">
        <v>1381</v>
      </c>
      <c r="P1021" s="68">
        <v>38.0</v>
      </c>
      <c r="Q1021" s="1" t="s">
        <v>2130</v>
      </c>
      <c r="R1021" s="1" t="s">
        <v>13</v>
      </c>
      <c r="S1021" s="1"/>
      <c r="T1021" s="1"/>
      <c r="U1021" s="1" t="s">
        <v>1389</v>
      </c>
      <c r="V1021" s="1" t="s">
        <v>1389</v>
      </c>
      <c r="W1021" s="145">
        <f t="shared" si="1"/>
        <v>0.001145101503</v>
      </c>
      <c r="AC1021" s="38"/>
    </row>
    <row r="1022" ht="15.75" customHeight="1">
      <c r="A1022" s="1" t="s">
        <v>2005</v>
      </c>
      <c r="B1022" s="1" t="s">
        <v>2127</v>
      </c>
      <c r="C1022" s="63">
        <v>46275.0</v>
      </c>
      <c r="D1022" s="63" t="s">
        <v>130</v>
      </c>
      <c r="E1022" s="68">
        <v>0.93794179</v>
      </c>
      <c r="F1022" s="1"/>
      <c r="G1022" s="23">
        <v>4250000.0</v>
      </c>
      <c r="H1022" s="23">
        <v>3986252.6</v>
      </c>
      <c r="I1022" s="23">
        <v>4250000.0</v>
      </c>
      <c r="J1022" s="23">
        <v>3986252.6</v>
      </c>
      <c r="K1022" s="24">
        <v>6839.0</v>
      </c>
      <c r="L1022" s="1" t="s">
        <v>1776</v>
      </c>
      <c r="M1022" s="1" t="s">
        <v>2128</v>
      </c>
      <c r="N1022" s="63" t="s">
        <v>360</v>
      </c>
      <c r="O1022" s="63" t="s">
        <v>360</v>
      </c>
      <c r="P1022" s="68">
        <v>35.0</v>
      </c>
      <c r="Q1022" s="1" t="s">
        <v>2130</v>
      </c>
      <c r="R1022" s="1" t="s">
        <v>13</v>
      </c>
      <c r="S1022" s="1"/>
      <c r="T1022" s="1"/>
      <c r="U1022" s="1" t="s">
        <v>393</v>
      </c>
      <c r="V1022" s="1" t="s">
        <v>393</v>
      </c>
      <c r="W1022" s="145">
        <f t="shared" si="1"/>
        <v>0.00008154281941</v>
      </c>
      <c r="AC1022" s="38"/>
    </row>
    <row r="1023" ht="15.75" customHeight="1">
      <c r="A1023" s="1" t="s">
        <v>1916</v>
      </c>
      <c r="B1023" s="1" t="s">
        <v>2127</v>
      </c>
      <c r="C1023" s="63">
        <v>46276.0</v>
      </c>
      <c r="D1023" s="63" t="s">
        <v>130</v>
      </c>
      <c r="E1023" s="68">
        <v>0.9507686</v>
      </c>
      <c r="F1023" s="1"/>
      <c r="G1023" s="23">
        <v>1.0E7</v>
      </c>
      <c r="H1023" s="23">
        <v>9507685.97</v>
      </c>
      <c r="I1023" s="23">
        <v>1.0E7</v>
      </c>
      <c r="J1023" s="23">
        <v>9507685.97</v>
      </c>
      <c r="K1023" s="24">
        <v>6.793646E7</v>
      </c>
      <c r="L1023" s="1" t="s">
        <v>1776</v>
      </c>
      <c r="M1023" s="1" t="s">
        <v>2128</v>
      </c>
      <c r="N1023" s="63" t="s">
        <v>1473</v>
      </c>
      <c r="O1023" s="63" t="s">
        <v>1473</v>
      </c>
      <c r="P1023" s="68">
        <v>27.0</v>
      </c>
      <c r="Q1023" s="1" t="s">
        <v>2130</v>
      </c>
      <c r="R1023" s="1" t="s">
        <v>13</v>
      </c>
      <c r="S1023" s="1"/>
      <c r="T1023" s="1"/>
      <c r="U1023" s="1" t="s">
        <v>1484</v>
      </c>
      <c r="V1023" s="1" t="s">
        <v>1484</v>
      </c>
      <c r="W1023" s="145">
        <f t="shared" si="1"/>
        <v>0.0001944893106</v>
      </c>
      <c r="AC1023" s="38"/>
    </row>
    <row r="1024" ht="15.75" customHeight="1">
      <c r="A1024" s="1" t="s">
        <v>1932</v>
      </c>
      <c r="B1024" s="1" t="s">
        <v>2127</v>
      </c>
      <c r="C1024" s="63">
        <v>46276.0</v>
      </c>
      <c r="D1024" s="63" t="s">
        <v>130</v>
      </c>
      <c r="E1024" s="68">
        <v>0.94047939</v>
      </c>
      <c r="F1024" s="1"/>
      <c r="G1024" s="23">
        <v>1.600557568E7</v>
      </c>
      <c r="H1024" s="23">
        <v>1.505291403E7</v>
      </c>
      <c r="I1024" s="23">
        <v>1.600557568E7</v>
      </c>
      <c r="J1024" s="23">
        <v>1.505291403E7</v>
      </c>
      <c r="K1024" s="24">
        <v>30718.0</v>
      </c>
      <c r="L1024" s="1" t="s">
        <v>1776</v>
      </c>
      <c r="M1024" s="1" t="s">
        <v>2128</v>
      </c>
      <c r="N1024" s="63" t="s">
        <v>902</v>
      </c>
      <c r="O1024" s="63" t="s">
        <v>902</v>
      </c>
      <c r="P1024" s="68">
        <v>33.0</v>
      </c>
      <c r="Q1024" s="1" t="s">
        <v>2130</v>
      </c>
      <c r="R1024" s="1" t="s">
        <v>13</v>
      </c>
      <c r="S1024" s="1"/>
      <c r="T1024" s="1"/>
      <c r="U1024" s="1" t="s">
        <v>914</v>
      </c>
      <c r="V1024" s="1" t="s">
        <v>914</v>
      </c>
      <c r="W1024" s="145">
        <f t="shared" si="1"/>
        <v>0.0003079225462</v>
      </c>
      <c r="AC1024" s="38"/>
    </row>
    <row r="1025" ht="15.75" customHeight="1">
      <c r="A1025" s="1" t="s">
        <v>1932</v>
      </c>
      <c r="B1025" s="1" t="s">
        <v>2127</v>
      </c>
      <c r="C1025" s="63">
        <v>46276.0</v>
      </c>
      <c r="D1025" s="63" t="s">
        <v>130</v>
      </c>
      <c r="E1025" s="68">
        <v>0.9421788</v>
      </c>
      <c r="F1025" s="1"/>
      <c r="G1025" s="23">
        <v>1.535531045E7</v>
      </c>
      <c r="H1025" s="23">
        <v>1.446744801E7</v>
      </c>
      <c r="I1025" s="23">
        <v>1.535531045E7</v>
      </c>
      <c r="J1025" s="23">
        <v>1.446744801E7</v>
      </c>
      <c r="K1025" s="24">
        <v>30742.0</v>
      </c>
      <c r="L1025" s="1" t="s">
        <v>1776</v>
      </c>
      <c r="M1025" s="1" t="s">
        <v>2128</v>
      </c>
      <c r="N1025" s="63" t="s">
        <v>1118</v>
      </c>
      <c r="O1025" s="63" t="s">
        <v>1118</v>
      </c>
      <c r="P1025" s="68">
        <v>32.0</v>
      </c>
      <c r="Q1025" s="1" t="s">
        <v>2130</v>
      </c>
      <c r="R1025" s="1" t="s">
        <v>13</v>
      </c>
      <c r="S1025" s="1"/>
      <c r="T1025" s="1"/>
      <c r="U1025" s="1" t="s">
        <v>1191</v>
      </c>
      <c r="V1025" s="1" t="s">
        <v>1191</v>
      </c>
      <c r="W1025" s="145">
        <f t="shared" si="1"/>
        <v>0.000295946248</v>
      </c>
      <c r="AC1025" s="38"/>
    </row>
    <row r="1026" ht="15.75" customHeight="1">
      <c r="A1026" s="1" t="s">
        <v>1919</v>
      </c>
      <c r="B1026" s="1" t="s">
        <v>2127</v>
      </c>
      <c r="C1026" s="63">
        <v>46276.0</v>
      </c>
      <c r="D1026" s="63" t="s">
        <v>130</v>
      </c>
      <c r="E1026" s="68">
        <v>0.9525053</v>
      </c>
      <c r="F1026" s="1"/>
      <c r="G1026" s="23">
        <v>1.000467046E8</v>
      </c>
      <c r="H1026" s="23">
        <v>9.529501596E7</v>
      </c>
      <c r="I1026" s="23">
        <v>1.000467046E8</v>
      </c>
      <c r="J1026" s="23">
        <v>9.529501596E7</v>
      </c>
      <c r="K1026" s="24">
        <v>568280.0</v>
      </c>
      <c r="L1026" s="1" t="s">
        <v>1776</v>
      </c>
      <c r="M1026" s="1" t="s">
        <v>2128</v>
      </c>
      <c r="N1026" s="63" t="s">
        <v>543</v>
      </c>
      <c r="O1026" s="63" t="s">
        <v>543</v>
      </c>
      <c r="P1026" s="68">
        <v>26.0</v>
      </c>
      <c r="Q1026" s="1" t="s">
        <v>2130</v>
      </c>
      <c r="R1026" s="1" t="s">
        <v>13</v>
      </c>
      <c r="S1026" s="1"/>
      <c r="T1026" s="1"/>
      <c r="U1026" s="1" t="s">
        <v>565</v>
      </c>
      <c r="V1026" s="1" t="s">
        <v>565</v>
      </c>
      <c r="W1026" s="145">
        <f t="shared" si="1"/>
        <v>0.001949355713</v>
      </c>
      <c r="AC1026" s="38"/>
    </row>
    <row r="1027" ht="15.75" customHeight="1">
      <c r="A1027" s="1" t="s">
        <v>1975</v>
      </c>
      <c r="B1027" s="1" t="s">
        <v>2127</v>
      </c>
      <c r="C1027" s="63">
        <v>46276.0</v>
      </c>
      <c r="D1027" s="63" t="s">
        <v>130</v>
      </c>
      <c r="E1027" s="68">
        <v>0.93207365</v>
      </c>
      <c r="F1027" s="1"/>
      <c r="G1027" s="23">
        <v>4957711.81</v>
      </c>
      <c r="H1027" s="23">
        <v>4620952.54</v>
      </c>
      <c r="I1027" s="23">
        <v>4957711.81</v>
      </c>
      <c r="J1027" s="23">
        <v>4620952.54</v>
      </c>
      <c r="K1027" s="24">
        <v>600.0</v>
      </c>
      <c r="L1027" s="1" t="s">
        <v>1776</v>
      </c>
      <c r="M1027" s="1" t="s">
        <v>2128</v>
      </c>
      <c r="N1027" s="63" t="s">
        <v>543</v>
      </c>
      <c r="O1027" s="63" t="s">
        <v>543</v>
      </c>
      <c r="P1027" s="68">
        <v>38.0</v>
      </c>
      <c r="Q1027" s="1" t="s">
        <v>2130</v>
      </c>
      <c r="R1027" s="1" t="s">
        <v>13</v>
      </c>
      <c r="S1027" s="1"/>
      <c r="T1027" s="1"/>
      <c r="U1027" s="1" t="s">
        <v>562</v>
      </c>
      <c r="V1027" s="1" t="s">
        <v>562</v>
      </c>
      <c r="W1027" s="145">
        <f t="shared" si="1"/>
        <v>0.00009452624715</v>
      </c>
      <c r="AC1027" s="38"/>
    </row>
    <row r="1028" ht="15.75" customHeight="1">
      <c r="A1028" s="1" t="s">
        <v>1917</v>
      </c>
      <c r="B1028" s="1" t="s">
        <v>2127</v>
      </c>
      <c r="C1028" s="63">
        <v>46276.0</v>
      </c>
      <c r="D1028" s="63" t="s">
        <v>130</v>
      </c>
      <c r="E1028" s="68">
        <v>0.94559587</v>
      </c>
      <c r="F1028" s="1"/>
      <c r="G1028" s="23">
        <v>1.0E7</v>
      </c>
      <c r="H1028" s="23">
        <v>9455958.74</v>
      </c>
      <c r="I1028" s="23">
        <v>1.0E7</v>
      </c>
      <c r="J1028" s="23">
        <v>9455958.74</v>
      </c>
      <c r="K1028" s="24">
        <v>504.0</v>
      </c>
      <c r="L1028" s="1" t="s">
        <v>1776</v>
      </c>
      <c r="M1028" s="1" t="s">
        <v>2128</v>
      </c>
      <c r="N1028" s="63" t="s">
        <v>798</v>
      </c>
      <c r="O1028" s="63" t="s">
        <v>798</v>
      </c>
      <c r="P1028" s="68">
        <v>30.0</v>
      </c>
      <c r="Q1028" s="1" t="s">
        <v>2130</v>
      </c>
      <c r="R1028" s="1" t="s">
        <v>13</v>
      </c>
      <c r="S1028" s="1"/>
      <c r="T1028" s="1"/>
      <c r="U1028" s="1" t="s">
        <v>797</v>
      </c>
      <c r="V1028" s="1" t="s">
        <v>797</v>
      </c>
      <c r="W1028" s="145">
        <f t="shared" si="1"/>
        <v>0.0001934311779</v>
      </c>
      <c r="AC1028" s="38"/>
    </row>
    <row r="1029" ht="15.75" customHeight="1">
      <c r="A1029" s="1" t="s">
        <v>1961</v>
      </c>
      <c r="B1029" s="1" t="s">
        <v>2127</v>
      </c>
      <c r="C1029" s="63">
        <v>46276.0</v>
      </c>
      <c r="D1029" s="63" t="s">
        <v>130</v>
      </c>
      <c r="E1029" s="68">
        <v>0.93541788</v>
      </c>
      <c r="F1029" s="1"/>
      <c r="G1029" s="23">
        <v>2333401.22</v>
      </c>
      <c r="H1029" s="23">
        <v>2182705.21</v>
      </c>
      <c r="I1029" s="23">
        <v>2333401.22</v>
      </c>
      <c r="J1029" s="23">
        <v>2182705.21</v>
      </c>
      <c r="K1029" s="24">
        <v>2661.0</v>
      </c>
      <c r="L1029" s="1" t="s">
        <v>1776</v>
      </c>
      <c r="M1029" s="1" t="s">
        <v>2128</v>
      </c>
      <c r="N1029" s="63" t="s">
        <v>902</v>
      </c>
      <c r="O1029" s="63" t="s">
        <v>902</v>
      </c>
      <c r="P1029" s="68">
        <v>36.0</v>
      </c>
      <c r="Q1029" s="1" t="s">
        <v>2130</v>
      </c>
      <c r="R1029" s="1" t="s">
        <v>13</v>
      </c>
      <c r="S1029" s="1"/>
      <c r="T1029" s="1"/>
      <c r="U1029" s="1" t="s">
        <v>930</v>
      </c>
      <c r="V1029" s="1" t="s">
        <v>930</v>
      </c>
      <c r="W1029" s="145">
        <f t="shared" si="1"/>
        <v>0.00004464943761</v>
      </c>
      <c r="AC1029" s="38"/>
    </row>
    <row r="1030" ht="15.75" customHeight="1">
      <c r="A1030" s="1" t="s">
        <v>1917</v>
      </c>
      <c r="B1030" s="1" t="s">
        <v>2127</v>
      </c>
      <c r="C1030" s="63">
        <v>46276.0</v>
      </c>
      <c r="D1030" s="63" t="s">
        <v>130</v>
      </c>
      <c r="E1030" s="68">
        <v>0.94047946</v>
      </c>
      <c r="F1030" s="1"/>
      <c r="G1030" s="23">
        <v>1.0E7</v>
      </c>
      <c r="H1030" s="23">
        <v>9404794.62</v>
      </c>
      <c r="I1030" s="23">
        <v>1.0E7</v>
      </c>
      <c r="J1030" s="23">
        <v>9404794.62</v>
      </c>
      <c r="K1030" s="24">
        <v>666.0</v>
      </c>
      <c r="L1030" s="1" t="s">
        <v>1776</v>
      </c>
      <c r="M1030" s="1" t="s">
        <v>2128</v>
      </c>
      <c r="N1030" s="63" t="s">
        <v>1381</v>
      </c>
      <c r="O1030" s="63" t="s">
        <v>1381</v>
      </c>
      <c r="P1030" s="68">
        <v>33.0</v>
      </c>
      <c r="Q1030" s="1" t="s">
        <v>2130</v>
      </c>
      <c r="R1030" s="1" t="s">
        <v>13</v>
      </c>
      <c r="S1030" s="1"/>
      <c r="T1030" s="1"/>
      <c r="U1030" s="1" t="s">
        <v>1392</v>
      </c>
      <c r="V1030" s="1" t="s">
        <v>1392</v>
      </c>
      <c r="W1030" s="145">
        <f t="shared" si="1"/>
        <v>0.0001923845642</v>
      </c>
      <c r="AC1030" s="38"/>
    </row>
    <row r="1031" ht="15.75" customHeight="1">
      <c r="A1031" s="1" t="s">
        <v>2027</v>
      </c>
      <c r="B1031" s="1" t="s">
        <v>2127</v>
      </c>
      <c r="C1031" s="63">
        <v>46276.0</v>
      </c>
      <c r="D1031" s="63" t="s">
        <v>130</v>
      </c>
      <c r="E1031" s="68">
        <v>0.94217879</v>
      </c>
      <c r="F1031" s="1"/>
      <c r="G1031" s="23">
        <v>1000000.0</v>
      </c>
      <c r="H1031" s="23">
        <v>942178.79</v>
      </c>
      <c r="I1031" s="23">
        <v>1000000.0</v>
      </c>
      <c r="J1031" s="23">
        <v>942178.79</v>
      </c>
      <c r="K1031" s="24">
        <v>6.738167E7</v>
      </c>
      <c r="L1031" s="1" t="s">
        <v>1776</v>
      </c>
      <c r="M1031" s="1" t="s">
        <v>2128</v>
      </c>
      <c r="N1031" s="63" t="s">
        <v>1118</v>
      </c>
      <c r="O1031" s="63" t="s">
        <v>1118</v>
      </c>
      <c r="P1031" s="68">
        <v>32.0</v>
      </c>
      <c r="Q1031" s="1" t="s">
        <v>2130</v>
      </c>
      <c r="R1031" s="1" t="s">
        <v>13</v>
      </c>
      <c r="S1031" s="1"/>
      <c r="T1031" s="1"/>
      <c r="U1031" s="1" t="s">
        <v>1172</v>
      </c>
      <c r="V1031" s="1" t="s">
        <v>1172</v>
      </c>
      <c r="W1031" s="145">
        <f t="shared" si="1"/>
        <v>0.00001927321789</v>
      </c>
      <c r="AC1031" s="38"/>
    </row>
    <row r="1032" ht="15.75" customHeight="1">
      <c r="A1032" s="1" t="s">
        <v>1916</v>
      </c>
      <c r="B1032" s="1" t="s">
        <v>2127</v>
      </c>
      <c r="C1032" s="63">
        <v>46279.0</v>
      </c>
      <c r="D1032" s="63" t="s">
        <v>130</v>
      </c>
      <c r="E1032" s="68">
        <v>0.94876681</v>
      </c>
      <c r="F1032" s="1"/>
      <c r="G1032" s="23">
        <v>1.0E7</v>
      </c>
      <c r="H1032" s="23">
        <v>9487668.12</v>
      </c>
      <c r="I1032" s="23">
        <v>1.0E7</v>
      </c>
      <c r="J1032" s="23">
        <v>9487668.12</v>
      </c>
      <c r="K1032" s="24">
        <v>6.7936475E7</v>
      </c>
      <c r="L1032" s="1" t="s">
        <v>1776</v>
      </c>
      <c r="M1032" s="1" t="s">
        <v>2128</v>
      </c>
      <c r="N1032" s="63" t="s">
        <v>1473</v>
      </c>
      <c r="O1032" s="63" t="s">
        <v>1473</v>
      </c>
      <c r="P1032" s="68">
        <v>27.0</v>
      </c>
      <c r="Q1032" s="1" t="s">
        <v>2130</v>
      </c>
      <c r="R1032" s="1" t="s">
        <v>13</v>
      </c>
      <c r="S1032" s="1"/>
      <c r="T1032" s="1"/>
      <c r="U1032" s="1" t="s">
        <v>1485</v>
      </c>
      <c r="V1032" s="1" t="s">
        <v>1485</v>
      </c>
      <c r="W1032" s="145">
        <f t="shared" si="1"/>
        <v>0.0001940798253</v>
      </c>
      <c r="AC1032" s="38"/>
    </row>
    <row r="1033" ht="15.75" customHeight="1">
      <c r="A1033" s="1" t="s">
        <v>1932</v>
      </c>
      <c r="B1033" s="1" t="s">
        <v>2127</v>
      </c>
      <c r="C1033" s="63">
        <v>46279.0</v>
      </c>
      <c r="D1033" s="63" t="s">
        <v>130</v>
      </c>
      <c r="E1033" s="68">
        <v>0.93808647</v>
      </c>
      <c r="F1033" s="1"/>
      <c r="G1033" s="23">
        <v>1.600557568E7</v>
      </c>
      <c r="H1033" s="23">
        <v>1.501461398E7</v>
      </c>
      <c r="I1033" s="23">
        <v>1.600557568E7</v>
      </c>
      <c r="J1033" s="23">
        <v>1.501461398E7</v>
      </c>
      <c r="K1033" s="24">
        <v>30719.0</v>
      </c>
      <c r="L1033" s="1" t="s">
        <v>1776</v>
      </c>
      <c r="M1033" s="1" t="s">
        <v>2128</v>
      </c>
      <c r="N1033" s="63" t="s">
        <v>902</v>
      </c>
      <c r="O1033" s="63" t="s">
        <v>902</v>
      </c>
      <c r="P1033" s="68">
        <v>33.0</v>
      </c>
      <c r="Q1033" s="1" t="s">
        <v>2130</v>
      </c>
      <c r="R1033" s="1" t="s">
        <v>13</v>
      </c>
      <c r="S1033" s="1"/>
      <c r="T1033" s="1"/>
      <c r="U1033" s="1" t="s">
        <v>913</v>
      </c>
      <c r="V1033" s="1" t="s">
        <v>913</v>
      </c>
      <c r="W1033" s="145">
        <f t="shared" si="1"/>
        <v>0.00030713908</v>
      </c>
      <c r="AC1033" s="38"/>
    </row>
    <row r="1034" ht="15.75" customHeight="1">
      <c r="A1034" s="1" t="s">
        <v>1932</v>
      </c>
      <c r="B1034" s="1" t="s">
        <v>2127</v>
      </c>
      <c r="C1034" s="63">
        <v>46279.0</v>
      </c>
      <c r="D1034" s="63" t="s">
        <v>130</v>
      </c>
      <c r="E1034" s="68">
        <v>0.93984963</v>
      </c>
      <c r="F1034" s="1"/>
      <c r="G1034" s="23">
        <v>1.535531045E7</v>
      </c>
      <c r="H1034" s="23">
        <v>1.443168292E7</v>
      </c>
      <c r="I1034" s="23">
        <v>1.535531045E7</v>
      </c>
      <c r="J1034" s="23">
        <v>1.443168292E7</v>
      </c>
      <c r="K1034" s="24">
        <v>30743.0</v>
      </c>
      <c r="L1034" s="1" t="s">
        <v>1776</v>
      </c>
      <c r="M1034" s="1" t="s">
        <v>2128</v>
      </c>
      <c r="N1034" s="63" t="s">
        <v>1118</v>
      </c>
      <c r="O1034" s="63" t="s">
        <v>1118</v>
      </c>
      <c r="P1034" s="68">
        <v>32.0</v>
      </c>
      <c r="Q1034" s="1" t="s">
        <v>2130</v>
      </c>
      <c r="R1034" s="1" t="s">
        <v>13</v>
      </c>
      <c r="S1034" s="1"/>
      <c r="T1034" s="1"/>
      <c r="U1034" s="1" t="s">
        <v>1189</v>
      </c>
      <c r="V1034" s="1" t="s">
        <v>1189</v>
      </c>
      <c r="W1034" s="145">
        <f t="shared" si="1"/>
        <v>0.000295214637</v>
      </c>
      <c r="AC1034" s="38"/>
    </row>
    <row r="1035" ht="15.75" customHeight="1">
      <c r="A1035" s="1" t="s">
        <v>2083</v>
      </c>
      <c r="B1035" s="1" t="s">
        <v>2127</v>
      </c>
      <c r="C1035" s="63">
        <v>46279.0</v>
      </c>
      <c r="D1035" s="63" t="s">
        <v>130</v>
      </c>
      <c r="E1035" s="68">
        <v>0.93808646</v>
      </c>
      <c r="F1035" s="1"/>
      <c r="G1035" s="23">
        <v>1524900.0</v>
      </c>
      <c r="H1035" s="23">
        <v>1430488.04</v>
      </c>
      <c r="I1035" s="23">
        <v>1524900.0</v>
      </c>
      <c r="J1035" s="23">
        <v>1430488.04</v>
      </c>
      <c r="K1035" s="24">
        <v>179.0</v>
      </c>
      <c r="L1035" s="1" t="s">
        <v>1776</v>
      </c>
      <c r="M1035" s="1" t="s">
        <v>2128</v>
      </c>
      <c r="N1035" s="63" t="s">
        <v>902</v>
      </c>
      <c r="O1035" s="63" t="s">
        <v>902</v>
      </c>
      <c r="P1035" s="68">
        <v>33.0</v>
      </c>
      <c r="Q1035" s="1" t="s">
        <v>2130</v>
      </c>
      <c r="R1035" s="1" t="s">
        <v>13</v>
      </c>
      <c r="S1035" s="1"/>
      <c r="T1035" s="1"/>
      <c r="U1035" s="1" t="s">
        <v>925</v>
      </c>
      <c r="V1035" s="1" t="s">
        <v>925</v>
      </c>
      <c r="W1035" s="145">
        <f t="shared" si="1"/>
        <v>0.00002926207635</v>
      </c>
      <c r="AC1035" s="38"/>
    </row>
    <row r="1036" ht="15.75" customHeight="1">
      <c r="A1036" s="1" t="s">
        <v>1961</v>
      </c>
      <c r="B1036" s="1" t="s">
        <v>2127</v>
      </c>
      <c r="C1036" s="63">
        <v>46279.0</v>
      </c>
      <c r="D1036" s="63" t="s">
        <v>130</v>
      </c>
      <c r="E1036" s="68">
        <v>0.932836</v>
      </c>
      <c r="F1036" s="1"/>
      <c r="G1036" s="23">
        <v>2333401.22</v>
      </c>
      <c r="H1036" s="23">
        <v>2176680.67</v>
      </c>
      <c r="I1036" s="23">
        <v>2333401.22</v>
      </c>
      <c r="J1036" s="23">
        <v>2176680.67</v>
      </c>
      <c r="K1036" s="24">
        <v>2660.0</v>
      </c>
      <c r="L1036" s="1" t="s">
        <v>1776</v>
      </c>
      <c r="M1036" s="1" t="s">
        <v>2128</v>
      </c>
      <c r="N1036" s="63" t="s">
        <v>902</v>
      </c>
      <c r="O1036" s="63" t="s">
        <v>902</v>
      </c>
      <c r="P1036" s="68">
        <v>36.0</v>
      </c>
      <c r="Q1036" s="1" t="s">
        <v>2130</v>
      </c>
      <c r="R1036" s="1" t="s">
        <v>13</v>
      </c>
      <c r="S1036" s="1"/>
      <c r="T1036" s="1"/>
      <c r="U1036" s="1" t="s">
        <v>926</v>
      </c>
      <c r="V1036" s="1" t="s">
        <v>926</v>
      </c>
      <c r="W1036" s="145">
        <f t="shared" si="1"/>
        <v>0.00004452619957</v>
      </c>
      <c r="AC1036" s="38"/>
    </row>
    <row r="1037" ht="15.75" customHeight="1">
      <c r="A1037" s="1" t="s">
        <v>1961</v>
      </c>
      <c r="B1037" s="1" t="s">
        <v>2127</v>
      </c>
      <c r="C1037" s="63">
        <v>46279.0</v>
      </c>
      <c r="D1037" s="63" t="s">
        <v>130</v>
      </c>
      <c r="E1037" s="68">
        <v>0.93109892</v>
      </c>
      <c r="F1037" s="1"/>
      <c r="G1037" s="23">
        <v>2687954.26</v>
      </c>
      <c r="H1037" s="23">
        <v>2502751.32</v>
      </c>
      <c r="I1037" s="23">
        <v>2687954.26</v>
      </c>
      <c r="J1037" s="23">
        <v>2502751.32</v>
      </c>
      <c r="K1037" s="24">
        <v>2817.0</v>
      </c>
      <c r="L1037" s="1" t="s">
        <v>1776</v>
      </c>
      <c r="M1037" s="1" t="s">
        <v>2128</v>
      </c>
      <c r="N1037" s="63" t="s">
        <v>1589</v>
      </c>
      <c r="O1037" s="63" t="s">
        <v>1589</v>
      </c>
      <c r="P1037" s="68">
        <v>37.0</v>
      </c>
      <c r="Q1037" s="1" t="s">
        <v>2130</v>
      </c>
      <c r="R1037" s="1" t="s">
        <v>13</v>
      </c>
      <c r="S1037" s="1"/>
      <c r="T1037" s="1"/>
      <c r="U1037" s="1" t="s">
        <v>1614</v>
      </c>
      <c r="V1037" s="1" t="s">
        <v>1614</v>
      </c>
      <c r="W1037" s="145">
        <f t="shared" si="1"/>
        <v>0.00005119630375</v>
      </c>
      <c r="AC1037" s="38"/>
    </row>
    <row r="1038" ht="15.75" customHeight="1">
      <c r="A1038" s="1" t="s">
        <v>1930</v>
      </c>
      <c r="B1038" s="1" t="s">
        <v>2127</v>
      </c>
      <c r="C1038" s="63">
        <v>46279.0</v>
      </c>
      <c r="D1038" s="63" t="s">
        <v>130</v>
      </c>
      <c r="E1038" s="68">
        <v>0.93632975</v>
      </c>
      <c r="F1038" s="1"/>
      <c r="G1038" s="23">
        <v>4.4E8</v>
      </c>
      <c r="H1038" s="23">
        <v>4.1198508815E8</v>
      </c>
      <c r="I1038" s="23">
        <v>4.4E8</v>
      </c>
      <c r="J1038" s="23">
        <v>4.1198508815E8</v>
      </c>
      <c r="K1038" s="24">
        <v>178.0</v>
      </c>
      <c r="L1038" s="1" t="s">
        <v>1776</v>
      </c>
      <c r="M1038" s="1" t="s">
        <v>2128</v>
      </c>
      <c r="N1038" s="63" t="s">
        <v>1238</v>
      </c>
      <c r="O1038" s="63" t="s">
        <v>1238</v>
      </c>
      <c r="P1038" s="68">
        <v>34.0</v>
      </c>
      <c r="Q1038" s="1" t="s">
        <v>2130</v>
      </c>
      <c r="R1038" s="1" t="s">
        <v>13</v>
      </c>
      <c r="S1038" s="1"/>
      <c r="T1038" s="1"/>
      <c r="U1038" s="1" t="s">
        <v>1237</v>
      </c>
      <c r="V1038" s="1" t="s">
        <v>1237</v>
      </c>
      <c r="W1038" s="145">
        <f t="shared" si="1"/>
        <v>0.008427570707</v>
      </c>
      <c r="AC1038" s="38"/>
    </row>
    <row r="1039" ht="15.75" customHeight="1">
      <c r="A1039" s="1" t="s">
        <v>1917</v>
      </c>
      <c r="B1039" s="1" t="s">
        <v>2127</v>
      </c>
      <c r="C1039" s="63">
        <v>46279.0</v>
      </c>
      <c r="D1039" s="63" t="s">
        <v>130</v>
      </c>
      <c r="E1039" s="68">
        <v>0.94339646</v>
      </c>
      <c r="F1039" s="1"/>
      <c r="G1039" s="23">
        <v>1.0E7</v>
      </c>
      <c r="H1039" s="23">
        <v>9433964.56</v>
      </c>
      <c r="I1039" s="23">
        <v>1.0E7</v>
      </c>
      <c r="J1039" s="23">
        <v>9433964.56</v>
      </c>
      <c r="K1039" s="24">
        <v>701.0</v>
      </c>
      <c r="L1039" s="1" t="s">
        <v>1776</v>
      </c>
      <c r="M1039" s="1" t="s">
        <v>2128</v>
      </c>
      <c r="N1039" s="63" t="s">
        <v>1473</v>
      </c>
      <c r="O1039" s="63" t="s">
        <v>1473</v>
      </c>
      <c r="P1039" s="68">
        <v>30.0</v>
      </c>
      <c r="Q1039" s="1" t="s">
        <v>2130</v>
      </c>
      <c r="R1039" s="1" t="s">
        <v>13</v>
      </c>
      <c r="S1039" s="1"/>
      <c r="T1039" s="1"/>
      <c r="U1039" s="1" t="s">
        <v>1477</v>
      </c>
      <c r="V1039" s="1" t="s">
        <v>1477</v>
      </c>
      <c r="W1039" s="145">
        <f t="shared" si="1"/>
        <v>0.0001929812648</v>
      </c>
      <c r="AC1039" s="38"/>
    </row>
    <row r="1040" ht="15.75" customHeight="1">
      <c r="A1040" s="1" t="s">
        <v>1917</v>
      </c>
      <c r="B1040" s="1" t="s">
        <v>2127</v>
      </c>
      <c r="C1040" s="63">
        <v>46279.0</v>
      </c>
      <c r="D1040" s="63" t="s">
        <v>130</v>
      </c>
      <c r="E1040" s="68">
        <v>0.94339627</v>
      </c>
      <c r="F1040" s="1"/>
      <c r="G1040" s="23">
        <v>1.0E7</v>
      </c>
      <c r="H1040" s="23">
        <v>9433962.73</v>
      </c>
      <c r="I1040" s="23">
        <v>1.0E7</v>
      </c>
      <c r="J1040" s="23">
        <v>9433962.73</v>
      </c>
      <c r="K1040" s="24">
        <v>723.0</v>
      </c>
      <c r="L1040" s="1" t="s">
        <v>1776</v>
      </c>
      <c r="M1040" s="1" t="s">
        <v>2128</v>
      </c>
      <c r="N1040" s="63" t="s">
        <v>1488</v>
      </c>
      <c r="O1040" s="63" t="s">
        <v>1488</v>
      </c>
      <c r="P1040" s="68">
        <v>30.0</v>
      </c>
      <c r="Q1040" s="1" t="s">
        <v>2130</v>
      </c>
      <c r="R1040" s="1" t="s">
        <v>13</v>
      </c>
      <c r="S1040" s="1"/>
      <c r="T1040" s="1"/>
      <c r="U1040" s="1" t="s">
        <v>1561</v>
      </c>
      <c r="V1040" s="1" t="s">
        <v>1561</v>
      </c>
      <c r="W1040" s="145">
        <f t="shared" si="1"/>
        <v>0.0001929812273</v>
      </c>
      <c r="AC1040" s="38"/>
    </row>
    <row r="1041" ht="15.75" customHeight="1">
      <c r="A1041" s="1" t="s">
        <v>1920</v>
      </c>
      <c r="B1041" s="1" t="s">
        <v>2127</v>
      </c>
      <c r="C1041" s="63">
        <v>46279.0</v>
      </c>
      <c r="D1041" s="63" t="s">
        <v>130</v>
      </c>
      <c r="E1041" s="68">
        <v>0.93457967</v>
      </c>
      <c r="F1041" s="1"/>
      <c r="G1041" s="23">
        <v>1.15E8</v>
      </c>
      <c r="H1041" s="23">
        <v>1.0747666183E8</v>
      </c>
      <c r="I1041" s="23">
        <v>1.15E8</v>
      </c>
      <c r="J1041" s="23">
        <v>1.0747666183E8</v>
      </c>
      <c r="K1041" s="24">
        <v>8427.0</v>
      </c>
      <c r="L1041" s="1" t="s">
        <v>1776</v>
      </c>
      <c r="M1041" s="1" t="s">
        <v>2128</v>
      </c>
      <c r="N1041" s="63" t="s">
        <v>1245</v>
      </c>
      <c r="O1041" s="63" t="s">
        <v>1245</v>
      </c>
      <c r="P1041" s="68">
        <v>35.0</v>
      </c>
      <c r="Q1041" s="1" t="s">
        <v>2130</v>
      </c>
      <c r="R1041" s="1" t="s">
        <v>13</v>
      </c>
      <c r="S1041" s="1"/>
      <c r="T1041" s="1"/>
      <c r="U1041" s="1" t="s">
        <v>1244</v>
      </c>
      <c r="V1041" s="1" t="s">
        <v>1244</v>
      </c>
      <c r="W1041" s="145">
        <f t="shared" si="1"/>
        <v>0.002198543571</v>
      </c>
      <c r="AC1041" s="38"/>
    </row>
    <row r="1042" ht="15.75" customHeight="1">
      <c r="A1042" s="1" t="s">
        <v>1903</v>
      </c>
      <c r="B1042" s="1" t="s">
        <v>2127</v>
      </c>
      <c r="C1042" s="63">
        <v>46279.0</v>
      </c>
      <c r="D1042" s="63" t="s">
        <v>130</v>
      </c>
      <c r="E1042" s="68">
        <v>0.94876678</v>
      </c>
      <c r="F1042" s="1"/>
      <c r="G1042" s="23">
        <v>1.25E7</v>
      </c>
      <c r="H1042" s="23">
        <v>1.185958475E7</v>
      </c>
      <c r="I1042" s="23">
        <v>1.25E7</v>
      </c>
      <c r="J1042" s="23">
        <v>1.185958475E7</v>
      </c>
      <c r="K1042" s="24">
        <v>6.7924258E7</v>
      </c>
      <c r="L1042" s="1" t="s">
        <v>1776</v>
      </c>
      <c r="M1042" s="1" t="s">
        <v>2128</v>
      </c>
      <c r="N1042" s="63" t="s">
        <v>1428</v>
      </c>
      <c r="O1042" s="63" t="s">
        <v>1428</v>
      </c>
      <c r="P1042" s="68">
        <v>27.0</v>
      </c>
      <c r="Q1042" s="1" t="s">
        <v>2130</v>
      </c>
      <c r="R1042" s="1" t="s">
        <v>13</v>
      </c>
      <c r="S1042" s="1"/>
      <c r="T1042" s="1"/>
      <c r="U1042" s="1" t="s">
        <v>1447</v>
      </c>
      <c r="V1042" s="1" t="s">
        <v>1447</v>
      </c>
      <c r="W1042" s="145">
        <f t="shared" si="1"/>
        <v>0.0002425997734</v>
      </c>
      <c r="AC1042" s="38"/>
    </row>
    <row r="1043" ht="15.75" customHeight="1">
      <c r="A1043" s="1" t="s">
        <v>1921</v>
      </c>
      <c r="B1043" s="1" t="s">
        <v>2127</v>
      </c>
      <c r="C1043" s="63">
        <v>46279.0</v>
      </c>
      <c r="D1043" s="63" t="s">
        <v>130</v>
      </c>
      <c r="E1043" s="68">
        <v>0.9469697</v>
      </c>
      <c r="F1043" s="1"/>
      <c r="G1043" s="23">
        <v>1.0E7</v>
      </c>
      <c r="H1043" s="23">
        <v>9469696.97</v>
      </c>
      <c r="I1043" s="23">
        <v>1.0E7</v>
      </c>
      <c r="J1043" s="23">
        <v>9469696.97</v>
      </c>
      <c r="K1043" s="24">
        <v>360563.0</v>
      </c>
      <c r="L1043" s="1" t="s">
        <v>1776</v>
      </c>
      <c r="M1043" s="1" t="s">
        <v>2128</v>
      </c>
      <c r="N1043" s="63" t="s">
        <v>404</v>
      </c>
      <c r="O1043" s="63" t="s">
        <v>404</v>
      </c>
      <c r="P1043" s="68">
        <v>28.0</v>
      </c>
      <c r="Q1043" s="1" t="s">
        <v>2130</v>
      </c>
      <c r="R1043" s="1" t="s">
        <v>13</v>
      </c>
      <c r="S1043" s="1"/>
      <c r="T1043" s="1"/>
      <c r="U1043" s="1" t="s">
        <v>415</v>
      </c>
      <c r="V1043" s="1" t="s">
        <v>415</v>
      </c>
      <c r="W1043" s="145">
        <f t="shared" si="1"/>
        <v>0.0001937122073</v>
      </c>
      <c r="AC1043" s="38"/>
    </row>
    <row r="1044" ht="15.75" customHeight="1">
      <c r="A1044" s="1" t="s">
        <v>1951</v>
      </c>
      <c r="B1044" s="1" t="s">
        <v>2127</v>
      </c>
      <c r="C1044" s="63">
        <v>46279.0</v>
      </c>
      <c r="D1044" s="63" t="s">
        <v>130</v>
      </c>
      <c r="E1044" s="68">
        <v>0.952381</v>
      </c>
      <c r="F1044" s="1"/>
      <c r="G1044" s="23">
        <v>9600000.0</v>
      </c>
      <c r="H1044" s="23">
        <v>9142857.56</v>
      </c>
      <c r="I1044" s="23">
        <v>9600000.0</v>
      </c>
      <c r="J1044" s="23">
        <v>9142857.56</v>
      </c>
      <c r="K1044" s="24">
        <v>33949.0</v>
      </c>
      <c r="L1044" s="1" t="s">
        <v>1776</v>
      </c>
      <c r="M1044" s="1" t="s">
        <v>2128</v>
      </c>
      <c r="N1044" s="63" t="s">
        <v>1272</v>
      </c>
      <c r="O1044" s="63" t="s">
        <v>1272</v>
      </c>
      <c r="P1044" s="68">
        <v>25.0</v>
      </c>
      <c r="Q1044" s="1" t="s">
        <v>2130</v>
      </c>
      <c r="R1044" s="1" t="s">
        <v>13</v>
      </c>
      <c r="S1044" s="1"/>
      <c r="T1044" s="1"/>
      <c r="U1044" s="1" t="s">
        <v>1298</v>
      </c>
      <c r="V1044" s="1" t="s">
        <v>1298</v>
      </c>
      <c r="W1044" s="145">
        <f t="shared" si="1"/>
        <v>0.0001870263773</v>
      </c>
      <c r="AC1044" s="38"/>
    </row>
    <row r="1045" ht="15.75" customHeight="1">
      <c r="A1045" s="1" t="s">
        <v>1953</v>
      </c>
      <c r="B1045" s="1" t="s">
        <v>2127</v>
      </c>
      <c r="C1045" s="63">
        <v>46280.0</v>
      </c>
      <c r="D1045" s="63" t="s">
        <v>130</v>
      </c>
      <c r="E1045" s="68">
        <v>0.94447038</v>
      </c>
      <c r="F1045" s="1"/>
      <c r="G1045" s="23">
        <v>4.2E7</v>
      </c>
      <c r="H1045" s="23">
        <v>3.966775588E7</v>
      </c>
      <c r="I1045" s="23">
        <v>4.2E7</v>
      </c>
      <c r="J1045" s="23">
        <v>3.966775588E7</v>
      </c>
      <c r="K1045" s="24">
        <v>7579.0</v>
      </c>
      <c r="L1045" s="1" t="s">
        <v>1776</v>
      </c>
      <c r="M1045" s="1" t="s">
        <v>2128</v>
      </c>
      <c r="N1045" s="63" t="s">
        <v>360</v>
      </c>
      <c r="O1045" s="63" t="s">
        <v>360</v>
      </c>
      <c r="P1045" s="68">
        <v>29.0</v>
      </c>
      <c r="Q1045" s="1" t="s">
        <v>2130</v>
      </c>
      <c r="R1045" s="1" t="s">
        <v>13</v>
      </c>
      <c r="S1045" s="1"/>
      <c r="T1045" s="1"/>
      <c r="U1045" s="1" t="s">
        <v>371</v>
      </c>
      <c r="V1045" s="1" t="s">
        <v>371</v>
      </c>
      <c r="W1045" s="145">
        <f t="shared" si="1"/>
        <v>0.0008114439748</v>
      </c>
      <c r="AC1045" s="38"/>
    </row>
    <row r="1046" ht="15.75" customHeight="1">
      <c r="A1046" s="1" t="s">
        <v>1916</v>
      </c>
      <c r="B1046" s="1" t="s">
        <v>2127</v>
      </c>
      <c r="C1046" s="63">
        <v>46280.0</v>
      </c>
      <c r="D1046" s="63" t="s">
        <v>130</v>
      </c>
      <c r="E1046" s="68">
        <v>0.94810135</v>
      </c>
      <c r="F1046" s="1"/>
      <c r="G1046" s="23">
        <v>2.0E7</v>
      </c>
      <c r="H1046" s="23">
        <v>1.896202692E7</v>
      </c>
      <c r="I1046" s="23">
        <v>2.0E7</v>
      </c>
      <c r="J1046" s="23">
        <v>1.896202692E7</v>
      </c>
      <c r="K1046" s="24">
        <v>6.7970034E7</v>
      </c>
      <c r="L1046" s="1" t="s">
        <v>1776</v>
      </c>
      <c r="M1046" s="1" t="s">
        <v>2128</v>
      </c>
      <c r="N1046" s="63" t="s">
        <v>1473</v>
      </c>
      <c r="O1046" s="63" t="s">
        <v>1473</v>
      </c>
      <c r="P1046" s="68">
        <v>27.0</v>
      </c>
      <c r="Q1046" s="1" t="s">
        <v>2130</v>
      </c>
      <c r="R1046" s="1" t="s">
        <v>13</v>
      </c>
      <c r="S1046" s="1"/>
      <c r="T1046" s="1"/>
      <c r="U1046" s="1" t="s">
        <v>1480</v>
      </c>
      <c r="V1046" s="1" t="s">
        <v>1480</v>
      </c>
      <c r="W1046" s="145">
        <f t="shared" si="1"/>
        <v>0.000387887395</v>
      </c>
      <c r="AC1046" s="38"/>
    </row>
    <row r="1047" ht="15.75" customHeight="1">
      <c r="A1047" s="1" t="s">
        <v>1916</v>
      </c>
      <c r="B1047" s="1" t="s">
        <v>2127</v>
      </c>
      <c r="C1047" s="63">
        <v>46280.0</v>
      </c>
      <c r="D1047" s="63" t="s">
        <v>130</v>
      </c>
      <c r="E1047" s="68">
        <v>0.94810135</v>
      </c>
      <c r="F1047" s="1"/>
      <c r="G1047" s="23">
        <v>1.0E7</v>
      </c>
      <c r="H1047" s="23">
        <v>9481013.46</v>
      </c>
      <c r="I1047" s="23">
        <v>1.0E7</v>
      </c>
      <c r="J1047" s="23">
        <v>9481013.46</v>
      </c>
      <c r="K1047" s="24">
        <v>6.7936487E7</v>
      </c>
      <c r="L1047" s="1" t="s">
        <v>1776</v>
      </c>
      <c r="M1047" s="1" t="s">
        <v>2128</v>
      </c>
      <c r="N1047" s="63" t="s">
        <v>1473</v>
      </c>
      <c r="O1047" s="63" t="s">
        <v>1473</v>
      </c>
      <c r="P1047" s="68">
        <v>27.0</v>
      </c>
      <c r="Q1047" s="1" t="s">
        <v>2130</v>
      </c>
      <c r="R1047" s="1" t="s">
        <v>13</v>
      </c>
      <c r="S1047" s="1"/>
      <c r="T1047" s="1"/>
      <c r="U1047" s="1" t="s">
        <v>1486</v>
      </c>
      <c r="V1047" s="1" t="s">
        <v>1486</v>
      </c>
      <c r="W1047" s="145">
        <f t="shared" si="1"/>
        <v>0.0001939436975</v>
      </c>
      <c r="AC1047" s="38"/>
    </row>
    <row r="1048" ht="15.75" customHeight="1">
      <c r="A1048" s="1" t="s">
        <v>1932</v>
      </c>
      <c r="B1048" s="1" t="s">
        <v>2127</v>
      </c>
      <c r="C1048" s="63">
        <v>46280.0</v>
      </c>
      <c r="D1048" s="63" t="s">
        <v>130</v>
      </c>
      <c r="E1048" s="68">
        <v>0.93729147</v>
      </c>
      <c r="F1048" s="1"/>
      <c r="G1048" s="23">
        <v>1.600557568E7</v>
      </c>
      <c r="H1048" s="23">
        <v>1.500188956E7</v>
      </c>
      <c r="I1048" s="23">
        <v>1.600557568E7</v>
      </c>
      <c r="J1048" s="23">
        <v>1.500188956E7</v>
      </c>
      <c r="K1048" s="24">
        <v>30720.0</v>
      </c>
      <c r="L1048" s="1" t="s">
        <v>1776</v>
      </c>
      <c r="M1048" s="1" t="s">
        <v>2128</v>
      </c>
      <c r="N1048" s="63" t="s">
        <v>902</v>
      </c>
      <c r="O1048" s="63" t="s">
        <v>902</v>
      </c>
      <c r="P1048" s="68">
        <v>33.0</v>
      </c>
      <c r="Q1048" s="1" t="s">
        <v>2130</v>
      </c>
      <c r="R1048" s="1" t="s">
        <v>13</v>
      </c>
      <c r="S1048" s="1"/>
      <c r="T1048" s="1"/>
      <c r="U1048" s="1" t="s">
        <v>912</v>
      </c>
      <c r="V1048" s="1" t="s">
        <v>912</v>
      </c>
      <c r="W1048" s="145">
        <f t="shared" si="1"/>
        <v>0.0003068787892</v>
      </c>
      <c r="AC1048" s="38"/>
    </row>
    <row r="1049" ht="15.75" customHeight="1">
      <c r="A1049" s="1" t="s">
        <v>1932</v>
      </c>
      <c r="B1049" s="1" t="s">
        <v>2127</v>
      </c>
      <c r="C1049" s="63">
        <v>46280.0</v>
      </c>
      <c r="D1049" s="63" t="s">
        <v>130</v>
      </c>
      <c r="E1049" s="68">
        <v>0.939076</v>
      </c>
      <c r="F1049" s="1"/>
      <c r="G1049" s="23">
        <v>1.535531045E7</v>
      </c>
      <c r="H1049" s="23">
        <v>1.441980357E7</v>
      </c>
      <c r="I1049" s="23">
        <v>1.535531045E7</v>
      </c>
      <c r="J1049" s="23">
        <v>1.441980357E7</v>
      </c>
      <c r="K1049" s="24">
        <v>30744.0</v>
      </c>
      <c r="L1049" s="1" t="s">
        <v>1776</v>
      </c>
      <c r="M1049" s="1" t="s">
        <v>2128</v>
      </c>
      <c r="N1049" s="63" t="s">
        <v>1118</v>
      </c>
      <c r="O1049" s="63" t="s">
        <v>1118</v>
      </c>
      <c r="P1049" s="68">
        <v>32.0</v>
      </c>
      <c r="Q1049" s="1" t="s">
        <v>2130</v>
      </c>
      <c r="R1049" s="1" t="s">
        <v>13</v>
      </c>
      <c r="S1049" s="1"/>
      <c r="T1049" s="1"/>
      <c r="U1049" s="1" t="s">
        <v>1190</v>
      </c>
      <c r="V1049" s="1" t="s">
        <v>1190</v>
      </c>
      <c r="W1049" s="145">
        <f t="shared" si="1"/>
        <v>0.0002949716329</v>
      </c>
      <c r="AC1049" s="38"/>
    </row>
    <row r="1050" ht="15.75" customHeight="1">
      <c r="A1050" s="1" t="s">
        <v>1963</v>
      </c>
      <c r="B1050" s="1" t="s">
        <v>2127</v>
      </c>
      <c r="C1050" s="63">
        <v>46280.0</v>
      </c>
      <c r="D1050" s="63" t="s">
        <v>130</v>
      </c>
      <c r="E1050" s="68">
        <v>0.92498739</v>
      </c>
      <c r="F1050" s="1"/>
      <c r="G1050" s="23">
        <v>9975100.8</v>
      </c>
      <c r="H1050" s="23">
        <v>9226842.43</v>
      </c>
      <c r="I1050" s="23">
        <v>9975100.8</v>
      </c>
      <c r="J1050" s="23">
        <v>9226842.43</v>
      </c>
      <c r="K1050" s="24">
        <v>1179209.0</v>
      </c>
      <c r="L1050" s="1" t="s">
        <v>1776</v>
      </c>
      <c r="M1050" s="1" t="s">
        <v>2128</v>
      </c>
      <c r="N1050" s="63" t="s">
        <v>283</v>
      </c>
      <c r="O1050" s="63" t="s">
        <v>283</v>
      </c>
      <c r="P1050" s="68">
        <v>40.0</v>
      </c>
      <c r="Q1050" s="1" t="s">
        <v>2130</v>
      </c>
      <c r="R1050" s="1" t="s">
        <v>13</v>
      </c>
      <c r="S1050" s="1"/>
      <c r="T1050" s="1"/>
      <c r="U1050" s="1" t="s">
        <v>288</v>
      </c>
      <c r="V1050" s="1" t="s">
        <v>288</v>
      </c>
      <c r="W1050" s="145">
        <f t="shared" si="1"/>
        <v>0.0001887443726</v>
      </c>
      <c r="AC1050" s="38"/>
    </row>
    <row r="1051" ht="15.75" customHeight="1">
      <c r="A1051" s="1" t="s">
        <v>1961</v>
      </c>
      <c r="B1051" s="1" t="s">
        <v>2127</v>
      </c>
      <c r="C1051" s="63">
        <v>46280.0</v>
      </c>
      <c r="D1051" s="63" t="s">
        <v>130</v>
      </c>
      <c r="E1051" s="68">
        <v>0.93022085</v>
      </c>
      <c r="F1051" s="1"/>
      <c r="G1051" s="23">
        <v>2687954.26</v>
      </c>
      <c r="H1051" s="23">
        <v>2500391.09</v>
      </c>
      <c r="I1051" s="23">
        <v>2687954.26</v>
      </c>
      <c r="J1051" s="23">
        <v>2500391.09</v>
      </c>
      <c r="K1051" s="24">
        <v>2818.0</v>
      </c>
      <c r="L1051" s="1" t="s">
        <v>1776</v>
      </c>
      <c r="M1051" s="1" t="s">
        <v>2128</v>
      </c>
      <c r="N1051" s="63" t="s">
        <v>1589</v>
      </c>
      <c r="O1051" s="63" t="s">
        <v>1589</v>
      </c>
      <c r="P1051" s="68">
        <v>37.0</v>
      </c>
      <c r="Q1051" s="1" t="s">
        <v>2130</v>
      </c>
      <c r="R1051" s="1" t="s">
        <v>13</v>
      </c>
      <c r="S1051" s="1"/>
      <c r="T1051" s="1"/>
      <c r="U1051" s="1" t="s">
        <v>1612</v>
      </c>
      <c r="V1051" s="1" t="s">
        <v>1612</v>
      </c>
      <c r="W1051" s="145">
        <f t="shared" si="1"/>
        <v>0.00005114802286</v>
      </c>
      <c r="AC1051" s="38"/>
    </row>
    <row r="1052" ht="15.75" customHeight="1">
      <c r="A1052" s="1" t="s">
        <v>1930</v>
      </c>
      <c r="B1052" s="1" t="s">
        <v>2127</v>
      </c>
      <c r="C1052" s="63">
        <v>46280.0</v>
      </c>
      <c r="D1052" s="63" t="s">
        <v>130</v>
      </c>
      <c r="E1052" s="68">
        <v>0.9355138</v>
      </c>
      <c r="F1052" s="1"/>
      <c r="G1052" s="23">
        <v>4.2E7</v>
      </c>
      <c r="H1052" s="23">
        <v>3.929157939E7</v>
      </c>
      <c r="I1052" s="23">
        <v>4.2E7</v>
      </c>
      <c r="J1052" s="23">
        <v>3.929157939E7</v>
      </c>
      <c r="K1052" s="24">
        <v>179.0</v>
      </c>
      <c r="L1052" s="1" t="s">
        <v>1776</v>
      </c>
      <c r="M1052" s="1" t="s">
        <v>2128</v>
      </c>
      <c r="N1052" s="63" t="s">
        <v>1245</v>
      </c>
      <c r="O1052" s="63" t="s">
        <v>1245</v>
      </c>
      <c r="P1052" s="68">
        <v>34.0</v>
      </c>
      <c r="Q1052" s="1" t="s">
        <v>2130</v>
      </c>
      <c r="R1052" s="1" t="s">
        <v>13</v>
      </c>
      <c r="S1052" s="1"/>
      <c r="T1052" s="1"/>
      <c r="U1052" s="1" t="s">
        <v>1253</v>
      </c>
      <c r="V1052" s="1" t="s">
        <v>1253</v>
      </c>
      <c r="W1052" s="145">
        <f t="shared" si="1"/>
        <v>0.0008037489051</v>
      </c>
      <c r="AC1052" s="38"/>
    </row>
    <row r="1053" ht="15.75" customHeight="1">
      <c r="A1053" s="1" t="s">
        <v>1917</v>
      </c>
      <c r="B1053" s="1" t="s">
        <v>2127</v>
      </c>
      <c r="C1053" s="63">
        <v>46280.0</v>
      </c>
      <c r="D1053" s="63" t="s">
        <v>130</v>
      </c>
      <c r="E1053" s="68">
        <v>0.9426653</v>
      </c>
      <c r="F1053" s="1"/>
      <c r="G1053" s="23">
        <v>1.0E7</v>
      </c>
      <c r="H1053" s="23">
        <v>9426653.04</v>
      </c>
      <c r="I1053" s="23">
        <v>1.0E7</v>
      </c>
      <c r="J1053" s="23">
        <v>9426653.04</v>
      </c>
      <c r="K1053" s="24">
        <v>638.0</v>
      </c>
      <c r="L1053" s="1" t="s">
        <v>1776</v>
      </c>
      <c r="M1053" s="1" t="s">
        <v>2128</v>
      </c>
      <c r="N1053" s="63" t="s">
        <v>1302</v>
      </c>
      <c r="O1053" s="63" t="s">
        <v>1302</v>
      </c>
      <c r="P1053" s="68">
        <v>30.0</v>
      </c>
      <c r="Q1053" s="1" t="s">
        <v>2130</v>
      </c>
      <c r="R1053" s="1" t="s">
        <v>13</v>
      </c>
      <c r="S1053" s="1"/>
      <c r="T1053" s="1"/>
      <c r="U1053" s="1" t="s">
        <v>1317</v>
      </c>
      <c r="V1053" s="1" t="s">
        <v>1317</v>
      </c>
      <c r="W1053" s="145">
        <f t="shared" si="1"/>
        <v>0.0001928317003</v>
      </c>
      <c r="AC1053" s="38"/>
    </row>
    <row r="1054" ht="15.75" customHeight="1">
      <c r="A1054" s="1" t="s">
        <v>1989</v>
      </c>
      <c r="B1054" s="1" t="s">
        <v>2127</v>
      </c>
      <c r="C1054" s="63">
        <v>46280.0</v>
      </c>
      <c r="D1054" s="63" t="s">
        <v>130</v>
      </c>
      <c r="E1054" s="68">
        <v>0.94266536</v>
      </c>
      <c r="F1054" s="1"/>
      <c r="G1054" s="23">
        <v>2700000.0</v>
      </c>
      <c r="H1054" s="23">
        <v>2545196.47</v>
      </c>
      <c r="I1054" s="23">
        <v>2700000.0</v>
      </c>
      <c r="J1054" s="23">
        <v>2545196.47</v>
      </c>
      <c r="K1054" s="24">
        <v>6277.0</v>
      </c>
      <c r="L1054" s="1" t="s">
        <v>1776</v>
      </c>
      <c r="M1054" s="1" t="s">
        <v>2128</v>
      </c>
      <c r="N1054" s="63" t="s">
        <v>1332</v>
      </c>
      <c r="O1054" s="63" t="s">
        <v>1332</v>
      </c>
      <c r="P1054" s="68">
        <v>30.0</v>
      </c>
      <c r="Q1054" s="1" t="s">
        <v>2130</v>
      </c>
      <c r="R1054" s="1" t="s">
        <v>13</v>
      </c>
      <c r="S1054" s="1"/>
      <c r="T1054" s="1"/>
      <c r="U1054" s="1" t="s">
        <v>1338</v>
      </c>
      <c r="V1054" s="1" t="s">
        <v>1338</v>
      </c>
      <c r="W1054" s="145">
        <f t="shared" si="1"/>
        <v>0.00005206456212</v>
      </c>
      <c r="AC1054" s="38"/>
    </row>
    <row r="1055" ht="15.75" customHeight="1">
      <c r="A1055" s="1" t="s">
        <v>1969</v>
      </c>
      <c r="B1055" s="1" t="s">
        <v>2127</v>
      </c>
      <c r="C1055" s="63">
        <v>46280.0</v>
      </c>
      <c r="D1055" s="63" t="s">
        <v>130</v>
      </c>
      <c r="E1055" s="68">
        <v>0.93729137</v>
      </c>
      <c r="F1055" s="1"/>
      <c r="G1055" s="23">
        <v>1.9470985E7</v>
      </c>
      <c r="H1055" s="23">
        <v>1.824998625E7</v>
      </c>
      <c r="I1055" s="23">
        <v>1.9470985E7</v>
      </c>
      <c r="J1055" s="23">
        <v>1.824998625E7</v>
      </c>
      <c r="K1055" s="24">
        <v>1064.0</v>
      </c>
      <c r="L1055" s="1" t="s">
        <v>1776</v>
      </c>
      <c r="M1055" s="1" t="s">
        <v>2128</v>
      </c>
      <c r="N1055" s="63" t="s">
        <v>1302</v>
      </c>
      <c r="O1055" s="63" t="s">
        <v>1302</v>
      </c>
      <c r="P1055" s="68">
        <v>33.0</v>
      </c>
      <c r="Q1055" s="1" t="s">
        <v>2130</v>
      </c>
      <c r="R1055" s="1" t="s">
        <v>13</v>
      </c>
      <c r="S1055" s="1"/>
      <c r="T1055" s="1"/>
      <c r="U1055" s="1" t="s">
        <v>1324</v>
      </c>
      <c r="V1055" s="1" t="s">
        <v>1324</v>
      </c>
      <c r="W1055" s="145">
        <f t="shared" si="1"/>
        <v>0.0003733218846</v>
      </c>
      <c r="AC1055" s="38"/>
    </row>
    <row r="1056" ht="15.75" customHeight="1">
      <c r="A1056" s="1" t="s">
        <v>1943</v>
      </c>
      <c r="B1056" s="1" t="s">
        <v>2127</v>
      </c>
      <c r="C1056" s="63">
        <v>46280.0</v>
      </c>
      <c r="D1056" s="63" t="s">
        <v>130</v>
      </c>
      <c r="E1056" s="68">
        <v>0.92846988</v>
      </c>
      <c r="F1056" s="1"/>
      <c r="G1056" s="23">
        <v>6.0E7</v>
      </c>
      <c r="H1056" s="23">
        <v>5.570819287E7</v>
      </c>
      <c r="I1056" s="23">
        <v>6.0E7</v>
      </c>
      <c r="J1056" s="23">
        <v>5.570819287E7</v>
      </c>
      <c r="K1056" s="24">
        <v>7.0379071E7</v>
      </c>
      <c r="L1056" s="1" t="s">
        <v>1776</v>
      </c>
      <c r="M1056" s="1" t="s">
        <v>2128</v>
      </c>
      <c r="N1056" s="63" t="s">
        <v>1381</v>
      </c>
      <c r="O1056" s="63" t="s">
        <v>1381</v>
      </c>
      <c r="P1056" s="68">
        <v>38.0</v>
      </c>
      <c r="Q1056" s="1" t="s">
        <v>2130</v>
      </c>
      <c r="R1056" s="1" t="s">
        <v>13</v>
      </c>
      <c r="S1056" s="1"/>
      <c r="T1056" s="1"/>
      <c r="U1056" s="1" t="s">
        <v>1387</v>
      </c>
      <c r="V1056" s="1" t="s">
        <v>1387</v>
      </c>
      <c r="W1056" s="145">
        <f t="shared" si="1"/>
        <v>0.0011395673</v>
      </c>
      <c r="AC1056" s="38"/>
    </row>
    <row r="1057" ht="15.75" customHeight="1">
      <c r="A1057" s="1" t="s">
        <v>1942</v>
      </c>
      <c r="B1057" s="1" t="s">
        <v>2127</v>
      </c>
      <c r="C1057" s="63">
        <v>46280.0</v>
      </c>
      <c r="D1057" s="63" t="s">
        <v>130</v>
      </c>
      <c r="E1057" s="68">
        <v>0.94810127</v>
      </c>
      <c r="F1057" s="1"/>
      <c r="G1057" s="23">
        <v>1.5E8</v>
      </c>
      <c r="H1057" s="23">
        <v>1.4221519013E8</v>
      </c>
      <c r="I1057" s="23">
        <v>1.5E8</v>
      </c>
      <c r="J1057" s="23">
        <v>1.4221519013E8</v>
      </c>
      <c r="K1057" s="24">
        <v>67980.0</v>
      </c>
      <c r="L1057" s="1" t="s">
        <v>1776</v>
      </c>
      <c r="M1057" s="1" t="s">
        <v>2128</v>
      </c>
      <c r="N1057" s="63" t="s">
        <v>748</v>
      </c>
      <c r="O1057" s="63" t="s">
        <v>748</v>
      </c>
      <c r="P1057" s="68">
        <v>27.0</v>
      </c>
      <c r="Q1057" s="1" t="s">
        <v>2130</v>
      </c>
      <c r="R1057" s="1" t="s">
        <v>13</v>
      </c>
      <c r="S1057" s="1"/>
      <c r="T1057" s="1"/>
      <c r="U1057" s="1" t="s">
        <v>747</v>
      </c>
      <c r="V1057" s="1" t="s">
        <v>747</v>
      </c>
      <c r="W1057" s="145">
        <f t="shared" si="1"/>
        <v>0.002909155222</v>
      </c>
      <c r="AC1057" s="38"/>
    </row>
    <row r="1058" ht="15.75" customHeight="1">
      <c r="A1058" s="1" t="s">
        <v>2027</v>
      </c>
      <c r="B1058" s="1" t="s">
        <v>2127</v>
      </c>
      <c r="C1058" s="63">
        <v>46280.0</v>
      </c>
      <c r="D1058" s="63" t="s">
        <v>130</v>
      </c>
      <c r="E1058" s="68">
        <v>0.93907599</v>
      </c>
      <c r="F1058" s="1"/>
      <c r="G1058" s="23">
        <v>1000000.0</v>
      </c>
      <c r="H1058" s="23">
        <v>939075.99</v>
      </c>
      <c r="I1058" s="23">
        <v>1000000.0</v>
      </c>
      <c r="J1058" s="23">
        <v>939075.99</v>
      </c>
      <c r="K1058" s="24">
        <v>6.7381897E7</v>
      </c>
      <c r="L1058" s="1" t="s">
        <v>1776</v>
      </c>
      <c r="M1058" s="1" t="s">
        <v>2128</v>
      </c>
      <c r="N1058" s="63" t="s">
        <v>1118</v>
      </c>
      <c r="O1058" s="63" t="s">
        <v>1118</v>
      </c>
      <c r="P1058" s="68">
        <v>32.0</v>
      </c>
      <c r="Q1058" s="1" t="s">
        <v>2130</v>
      </c>
      <c r="R1058" s="1" t="s">
        <v>13</v>
      </c>
      <c r="S1058" s="1"/>
      <c r="T1058" s="1"/>
      <c r="U1058" s="1" t="s">
        <v>1164</v>
      </c>
      <c r="V1058" s="1" t="s">
        <v>1164</v>
      </c>
      <c r="W1058" s="145">
        <f t="shared" si="1"/>
        <v>0.00001920974699</v>
      </c>
      <c r="AC1058" s="38"/>
    </row>
    <row r="1059" ht="15.75" customHeight="1">
      <c r="A1059" s="1" t="s">
        <v>1932</v>
      </c>
      <c r="B1059" s="1" t="s">
        <v>2127</v>
      </c>
      <c r="C1059" s="63">
        <v>46281.0</v>
      </c>
      <c r="D1059" s="63" t="s">
        <v>130</v>
      </c>
      <c r="E1059" s="68">
        <v>0.93649782</v>
      </c>
      <c r="F1059" s="1"/>
      <c r="G1059" s="23">
        <v>1.600557568E7</v>
      </c>
      <c r="H1059" s="23">
        <v>1.498918667E7</v>
      </c>
      <c r="I1059" s="23">
        <v>1.600557568E7</v>
      </c>
      <c r="J1059" s="23">
        <v>1.498918667E7</v>
      </c>
      <c r="K1059" s="24">
        <v>30721.0</v>
      </c>
      <c r="L1059" s="1" t="s">
        <v>1776</v>
      </c>
      <c r="M1059" s="1" t="s">
        <v>2128</v>
      </c>
      <c r="N1059" s="63" t="s">
        <v>902</v>
      </c>
      <c r="O1059" s="63" t="s">
        <v>902</v>
      </c>
      <c r="P1059" s="68">
        <v>33.0</v>
      </c>
      <c r="Q1059" s="1" t="s">
        <v>2130</v>
      </c>
      <c r="R1059" s="1" t="s">
        <v>13</v>
      </c>
      <c r="S1059" s="1"/>
      <c r="T1059" s="1"/>
      <c r="U1059" s="1" t="s">
        <v>911</v>
      </c>
      <c r="V1059" s="1" t="s">
        <v>911</v>
      </c>
      <c r="W1059" s="145">
        <f t="shared" si="1"/>
        <v>0.0003066189387</v>
      </c>
      <c r="AC1059" s="38"/>
    </row>
    <row r="1060" ht="15.75" customHeight="1">
      <c r="A1060" s="1" t="s">
        <v>1932</v>
      </c>
      <c r="B1060" s="1" t="s">
        <v>2127</v>
      </c>
      <c r="C1060" s="63">
        <v>46281.0</v>
      </c>
      <c r="D1060" s="63" t="s">
        <v>130</v>
      </c>
      <c r="E1060" s="68">
        <v>0.93830345</v>
      </c>
      <c r="F1060" s="1"/>
      <c r="G1060" s="23">
        <v>1.535531045E7</v>
      </c>
      <c r="H1060" s="23">
        <v>1.440794069E7</v>
      </c>
      <c r="I1060" s="23">
        <v>1.535531045E7</v>
      </c>
      <c r="J1060" s="23">
        <v>1.440794069E7</v>
      </c>
      <c r="K1060" s="24">
        <v>30745.0</v>
      </c>
      <c r="L1060" s="1" t="s">
        <v>1776</v>
      </c>
      <c r="M1060" s="1" t="s">
        <v>2128</v>
      </c>
      <c r="N1060" s="63" t="s">
        <v>1118</v>
      </c>
      <c r="O1060" s="63" t="s">
        <v>1118</v>
      </c>
      <c r="P1060" s="68">
        <v>32.0</v>
      </c>
      <c r="Q1060" s="1" t="s">
        <v>2130</v>
      </c>
      <c r="R1060" s="1" t="s">
        <v>13</v>
      </c>
      <c r="S1060" s="1"/>
      <c r="T1060" s="1"/>
      <c r="U1060" s="1" t="s">
        <v>1182</v>
      </c>
      <c r="V1060" s="1" t="s">
        <v>1182</v>
      </c>
      <c r="W1060" s="145">
        <f t="shared" si="1"/>
        <v>0.0002947289657</v>
      </c>
      <c r="AC1060" s="38"/>
    </row>
    <row r="1061" ht="15.75" customHeight="1">
      <c r="A1061" s="1" t="s">
        <v>1931</v>
      </c>
      <c r="B1061" s="1" t="s">
        <v>2127</v>
      </c>
      <c r="C1061" s="63">
        <v>46281.0</v>
      </c>
      <c r="D1061" s="63" t="s">
        <v>130</v>
      </c>
      <c r="E1061" s="68">
        <v>0.93830345</v>
      </c>
      <c r="F1061" s="1"/>
      <c r="G1061" s="23">
        <v>1.0E7</v>
      </c>
      <c r="H1061" s="23">
        <v>9383034.45</v>
      </c>
      <c r="I1061" s="23">
        <v>1.0E7</v>
      </c>
      <c r="J1061" s="23">
        <v>9383034.45</v>
      </c>
      <c r="K1061" s="24">
        <v>1.3795877E7</v>
      </c>
      <c r="L1061" s="1" t="s">
        <v>1776</v>
      </c>
      <c r="M1061" s="1" t="s">
        <v>2128</v>
      </c>
      <c r="N1061" s="63" t="s">
        <v>1118</v>
      </c>
      <c r="O1061" s="63" t="s">
        <v>1118</v>
      </c>
      <c r="P1061" s="68">
        <v>32.0</v>
      </c>
      <c r="Q1061" s="1" t="s">
        <v>2130</v>
      </c>
      <c r="R1061" s="1" t="s">
        <v>13</v>
      </c>
      <c r="S1061" s="1"/>
      <c r="T1061" s="1"/>
      <c r="U1061" s="1" t="s">
        <v>1149</v>
      </c>
      <c r="V1061" s="1" t="s">
        <v>1149</v>
      </c>
      <c r="W1061" s="145">
        <f t="shared" si="1"/>
        <v>0.000191939438</v>
      </c>
      <c r="AC1061" s="38"/>
    </row>
    <row r="1062" ht="15.75" customHeight="1">
      <c r="A1062" s="1" t="s">
        <v>1931</v>
      </c>
      <c r="B1062" s="1" t="s">
        <v>2127</v>
      </c>
      <c r="C1062" s="63">
        <v>46281.0</v>
      </c>
      <c r="D1062" s="63" t="s">
        <v>130</v>
      </c>
      <c r="E1062" s="68">
        <v>0.93649793</v>
      </c>
      <c r="F1062" s="1"/>
      <c r="G1062" s="23">
        <v>4.0E7</v>
      </c>
      <c r="H1062" s="23">
        <v>3.745991705E7</v>
      </c>
      <c r="I1062" s="23">
        <v>4.0E7</v>
      </c>
      <c r="J1062" s="23">
        <v>3.745991705E7</v>
      </c>
      <c r="K1062" s="24">
        <v>1.3662782E7</v>
      </c>
      <c r="L1062" s="1" t="s">
        <v>1776</v>
      </c>
      <c r="M1062" s="1" t="s">
        <v>2128</v>
      </c>
      <c r="N1062" s="63" t="s">
        <v>946</v>
      </c>
      <c r="O1062" s="63" t="s">
        <v>946</v>
      </c>
      <c r="P1062" s="68">
        <v>33.0</v>
      </c>
      <c r="Q1062" s="1" t="s">
        <v>2130</v>
      </c>
      <c r="R1062" s="1" t="s">
        <v>13</v>
      </c>
      <c r="S1062" s="1"/>
      <c r="T1062" s="1"/>
      <c r="U1062" s="1" t="s">
        <v>1027</v>
      </c>
      <c r="V1062" s="1" t="s">
        <v>1027</v>
      </c>
      <c r="W1062" s="145">
        <f t="shared" si="1"/>
        <v>0.0007662804036</v>
      </c>
      <c r="AC1062" s="38"/>
    </row>
    <row r="1063" ht="15.75" customHeight="1">
      <c r="A1063" s="1" t="s">
        <v>2065</v>
      </c>
      <c r="B1063" s="1" t="s">
        <v>2127</v>
      </c>
      <c r="C1063" s="63">
        <v>46281.0</v>
      </c>
      <c r="D1063" s="63" t="s">
        <v>130</v>
      </c>
      <c r="E1063" s="68">
        <v>0.93649781</v>
      </c>
      <c r="F1063" s="1"/>
      <c r="G1063" s="23">
        <v>3424300.0</v>
      </c>
      <c r="H1063" s="23">
        <v>3206849.45</v>
      </c>
      <c r="I1063" s="23">
        <v>3424300.0</v>
      </c>
      <c r="J1063" s="23">
        <v>3206849.45</v>
      </c>
      <c r="K1063" s="24">
        <v>1391.0</v>
      </c>
      <c r="L1063" s="1" t="s">
        <v>1776</v>
      </c>
      <c r="M1063" s="1" t="s">
        <v>2128</v>
      </c>
      <c r="N1063" s="63" t="s">
        <v>902</v>
      </c>
      <c r="O1063" s="63" t="s">
        <v>902</v>
      </c>
      <c r="P1063" s="68">
        <v>33.0</v>
      </c>
      <c r="Q1063" s="1" t="s">
        <v>2130</v>
      </c>
      <c r="R1063" s="1" t="s">
        <v>13</v>
      </c>
      <c r="S1063" s="1"/>
      <c r="T1063" s="1"/>
      <c r="U1063" s="1" t="s">
        <v>923</v>
      </c>
      <c r="V1063" s="1" t="s">
        <v>923</v>
      </c>
      <c r="W1063" s="145">
        <f t="shared" si="1"/>
        <v>0.00006559934149</v>
      </c>
      <c r="AC1063" s="38"/>
    </row>
    <row r="1064" ht="15.75" customHeight="1">
      <c r="A1064" s="1" t="s">
        <v>1963</v>
      </c>
      <c r="B1064" s="1" t="s">
        <v>2127</v>
      </c>
      <c r="C1064" s="63">
        <v>46281.0</v>
      </c>
      <c r="D1064" s="63" t="s">
        <v>130</v>
      </c>
      <c r="E1064" s="68">
        <v>0.92405065</v>
      </c>
      <c r="F1064" s="1"/>
      <c r="G1064" s="23">
        <v>9974100.0</v>
      </c>
      <c r="H1064" s="23">
        <v>9216573.56</v>
      </c>
      <c r="I1064" s="23">
        <v>9974100.0</v>
      </c>
      <c r="J1064" s="23">
        <v>9216573.56</v>
      </c>
      <c r="K1064" s="24">
        <v>1179211.0</v>
      </c>
      <c r="L1064" s="1" t="s">
        <v>1776</v>
      </c>
      <c r="M1064" s="1" t="s">
        <v>2128</v>
      </c>
      <c r="N1064" s="63" t="s">
        <v>283</v>
      </c>
      <c r="O1064" s="63" t="s">
        <v>283</v>
      </c>
      <c r="P1064" s="68">
        <v>40.0</v>
      </c>
      <c r="Q1064" s="1" t="s">
        <v>2130</v>
      </c>
      <c r="R1064" s="1" t="s">
        <v>13</v>
      </c>
      <c r="S1064" s="1"/>
      <c r="T1064" s="1"/>
      <c r="U1064" s="1" t="s">
        <v>281</v>
      </c>
      <c r="V1064" s="1" t="s">
        <v>281</v>
      </c>
      <c r="W1064" s="145">
        <f t="shared" si="1"/>
        <v>0.0001885343125</v>
      </c>
      <c r="AC1064" s="38"/>
    </row>
    <row r="1065" ht="15.75" customHeight="1">
      <c r="A1065" s="1" t="s">
        <v>1963</v>
      </c>
      <c r="B1065" s="1" t="s">
        <v>2127</v>
      </c>
      <c r="C1065" s="63">
        <v>46281.0</v>
      </c>
      <c r="D1065" s="63" t="s">
        <v>130</v>
      </c>
      <c r="E1065" s="68">
        <v>0.92405065</v>
      </c>
      <c r="F1065" s="1"/>
      <c r="G1065" s="23">
        <v>9973400.0</v>
      </c>
      <c r="H1065" s="23">
        <v>9215926.72</v>
      </c>
      <c r="I1065" s="23">
        <v>9973400.0</v>
      </c>
      <c r="J1065" s="23">
        <v>9215926.72</v>
      </c>
      <c r="K1065" s="24">
        <v>1179210.0</v>
      </c>
      <c r="L1065" s="1" t="s">
        <v>1776</v>
      </c>
      <c r="M1065" s="1" t="s">
        <v>2128</v>
      </c>
      <c r="N1065" s="63" t="s">
        <v>283</v>
      </c>
      <c r="O1065" s="63" t="s">
        <v>283</v>
      </c>
      <c r="P1065" s="68">
        <v>40.0</v>
      </c>
      <c r="Q1065" s="1" t="s">
        <v>2130</v>
      </c>
      <c r="R1065" s="1" t="s">
        <v>13</v>
      </c>
      <c r="S1065" s="1"/>
      <c r="T1065" s="1"/>
      <c r="U1065" s="1" t="s">
        <v>290</v>
      </c>
      <c r="V1065" s="1" t="s">
        <v>290</v>
      </c>
      <c r="W1065" s="145">
        <f t="shared" si="1"/>
        <v>0.0001885210807</v>
      </c>
      <c r="AC1065" s="38"/>
    </row>
    <row r="1066" ht="15.75" customHeight="1">
      <c r="A1066" s="1" t="s">
        <v>1963</v>
      </c>
      <c r="B1066" s="1" t="s">
        <v>2127</v>
      </c>
      <c r="C1066" s="63">
        <v>46281.0</v>
      </c>
      <c r="D1066" s="63" t="s">
        <v>130</v>
      </c>
      <c r="E1066" s="68">
        <v>0.92405065</v>
      </c>
      <c r="F1066" s="1"/>
      <c r="G1066" s="23">
        <v>9973360.47</v>
      </c>
      <c r="H1066" s="23">
        <v>9215890.19</v>
      </c>
      <c r="I1066" s="23">
        <v>9973360.47</v>
      </c>
      <c r="J1066" s="23">
        <v>9215890.19</v>
      </c>
      <c r="K1066" s="24">
        <v>1179212.0</v>
      </c>
      <c r="L1066" s="1" t="s">
        <v>1776</v>
      </c>
      <c r="M1066" s="1" t="s">
        <v>2128</v>
      </c>
      <c r="N1066" s="63" t="s">
        <v>283</v>
      </c>
      <c r="O1066" s="63" t="s">
        <v>283</v>
      </c>
      <c r="P1066" s="68">
        <v>40.0</v>
      </c>
      <c r="Q1066" s="1" t="s">
        <v>2130</v>
      </c>
      <c r="R1066" s="1" t="s">
        <v>13</v>
      </c>
      <c r="S1066" s="1"/>
      <c r="T1066" s="1"/>
      <c r="U1066" s="1" t="s">
        <v>295</v>
      </c>
      <c r="V1066" s="1" t="s">
        <v>295</v>
      </c>
      <c r="W1066" s="145">
        <f t="shared" si="1"/>
        <v>0.0001885203335</v>
      </c>
      <c r="AC1066" s="38"/>
    </row>
    <row r="1067" ht="15.75" customHeight="1">
      <c r="A1067" s="1" t="s">
        <v>1917</v>
      </c>
      <c r="B1067" s="1" t="s">
        <v>2127</v>
      </c>
      <c r="C1067" s="63">
        <v>46281.0</v>
      </c>
      <c r="D1067" s="63" t="s">
        <v>130</v>
      </c>
      <c r="E1067" s="68">
        <v>0.94193566</v>
      </c>
      <c r="F1067" s="1"/>
      <c r="G1067" s="23">
        <v>1.0E7</v>
      </c>
      <c r="H1067" s="23">
        <v>9419356.64</v>
      </c>
      <c r="I1067" s="23">
        <v>1.0E7</v>
      </c>
      <c r="J1067" s="23">
        <v>9419356.64</v>
      </c>
      <c r="K1067" s="24">
        <v>579.0</v>
      </c>
      <c r="L1067" s="1" t="s">
        <v>1776</v>
      </c>
      <c r="M1067" s="1" t="s">
        <v>2128</v>
      </c>
      <c r="N1067" s="63" t="s">
        <v>1048</v>
      </c>
      <c r="O1067" s="63" t="s">
        <v>1048</v>
      </c>
      <c r="P1067" s="68">
        <v>30.0</v>
      </c>
      <c r="Q1067" s="1" t="s">
        <v>2130</v>
      </c>
      <c r="R1067" s="1" t="s">
        <v>13</v>
      </c>
      <c r="S1067" s="1"/>
      <c r="T1067" s="1"/>
      <c r="U1067" s="1" t="s">
        <v>1049</v>
      </c>
      <c r="V1067" s="1" t="s">
        <v>1049</v>
      </c>
      <c r="W1067" s="145">
        <f t="shared" si="1"/>
        <v>0.000192682445</v>
      </c>
      <c r="AC1067" s="38"/>
    </row>
    <row r="1068" ht="15.75" customHeight="1">
      <c r="A1068" s="1" t="s">
        <v>1917</v>
      </c>
      <c r="B1068" s="1" t="s">
        <v>2127</v>
      </c>
      <c r="C1068" s="63">
        <v>46281.0</v>
      </c>
      <c r="D1068" s="63" t="s">
        <v>130</v>
      </c>
      <c r="E1068" s="68">
        <v>0.94193562</v>
      </c>
      <c r="F1068" s="1"/>
      <c r="G1068" s="23">
        <v>7500000.0</v>
      </c>
      <c r="H1068" s="23">
        <v>7064517.18</v>
      </c>
      <c r="I1068" s="23">
        <v>7500000.0</v>
      </c>
      <c r="J1068" s="23">
        <v>7064517.18</v>
      </c>
      <c r="K1068" s="24">
        <v>512.0</v>
      </c>
      <c r="L1068" s="1" t="s">
        <v>1776</v>
      </c>
      <c r="M1068" s="1" t="s">
        <v>2128</v>
      </c>
      <c r="N1068" s="63" t="s">
        <v>815</v>
      </c>
      <c r="O1068" s="63" t="s">
        <v>815</v>
      </c>
      <c r="P1068" s="68">
        <v>30.0</v>
      </c>
      <c r="Q1068" s="1" t="s">
        <v>2130</v>
      </c>
      <c r="R1068" s="1" t="s">
        <v>13</v>
      </c>
      <c r="S1068" s="1"/>
      <c r="T1068" s="1"/>
      <c r="U1068" s="1" t="s">
        <v>820</v>
      </c>
      <c r="V1068" s="1" t="s">
        <v>820</v>
      </c>
      <c r="W1068" s="145">
        <f t="shared" si="1"/>
        <v>0.0001445118276</v>
      </c>
      <c r="AC1068" s="38"/>
    </row>
    <row r="1069" ht="15.75" customHeight="1">
      <c r="A1069" s="1" t="s">
        <v>1933</v>
      </c>
      <c r="B1069" s="1" t="s">
        <v>2127</v>
      </c>
      <c r="C1069" s="63">
        <v>46281.0</v>
      </c>
      <c r="D1069" s="63" t="s">
        <v>130</v>
      </c>
      <c r="E1069" s="68">
        <v>0.94928492</v>
      </c>
      <c r="F1069" s="1"/>
      <c r="G1069" s="23">
        <v>9000000.0</v>
      </c>
      <c r="H1069" s="23">
        <v>8543564.3</v>
      </c>
      <c r="I1069" s="23">
        <v>9000000.0</v>
      </c>
      <c r="J1069" s="23">
        <v>8543564.3</v>
      </c>
      <c r="K1069" s="24">
        <v>3385281.0</v>
      </c>
      <c r="L1069" s="1" t="s">
        <v>1776</v>
      </c>
      <c r="M1069" s="1" t="s">
        <v>2128</v>
      </c>
      <c r="N1069" s="63" t="s">
        <v>946</v>
      </c>
      <c r="O1069" s="63" t="s">
        <v>946</v>
      </c>
      <c r="P1069" s="68">
        <v>26.0</v>
      </c>
      <c r="Q1069" s="1" t="s">
        <v>2130</v>
      </c>
      <c r="R1069" s="1" t="s">
        <v>13</v>
      </c>
      <c r="S1069" s="1"/>
      <c r="T1069" s="1"/>
      <c r="U1069" s="1" t="s">
        <v>950</v>
      </c>
      <c r="V1069" s="1" t="s">
        <v>950</v>
      </c>
      <c r="W1069" s="145">
        <f t="shared" si="1"/>
        <v>0.000174767229</v>
      </c>
    </row>
    <row r="1070" ht="15.75" customHeight="1">
      <c r="A1070" s="1" t="s">
        <v>1933</v>
      </c>
      <c r="B1070" s="1" t="s">
        <v>2127</v>
      </c>
      <c r="C1070" s="63">
        <v>46281.0</v>
      </c>
      <c r="D1070" s="63" t="s">
        <v>130</v>
      </c>
      <c r="E1070" s="68">
        <v>0.9455959</v>
      </c>
      <c r="F1070" s="1"/>
      <c r="G1070" s="23">
        <v>1.0E7</v>
      </c>
      <c r="H1070" s="23">
        <v>9455958.95</v>
      </c>
      <c r="I1070" s="23">
        <v>1.0E7</v>
      </c>
      <c r="J1070" s="23">
        <v>9455958.95</v>
      </c>
      <c r="K1070" s="24">
        <v>3487822.0</v>
      </c>
      <c r="L1070" s="1" t="s">
        <v>1776</v>
      </c>
      <c r="M1070" s="1" t="s">
        <v>2128</v>
      </c>
      <c r="N1070" s="63" t="s">
        <v>704</v>
      </c>
      <c r="O1070" s="63" t="s">
        <v>704</v>
      </c>
      <c r="P1070" s="68">
        <v>28.0</v>
      </c>
      <c r="Q1070" s="1" t="s">
        <v>2130</v>
      </c>
      <c r="R1070" s="1" t="s">
        <v>13</v>
      </c>
      <c r="S1070" s="1"/>
      <c r="T1070" s="1"/>
      <c r="U1070" s="1" t="s">
        <v>705</v>
      </c>
      <c r="V1070" s="1" t="s">
        <v>705</v>
      </c>
      <c r="W1070" s="145">
        <f t="shared" si="1"/>
        <v>0.0001934311822</v>
      </c>
      <c r="AC1070" s="38"/>
    </row>
    <row r="1071" ht="15.75" customHeight="1">
      <c r="A1071" s="1" t="s">
        <v>1957</v>
      </c>
      <c r="B1071" s="1" t="s">
        <v>2127</v>
      </c>
      <c r="C1071" s="63">
        <v>46281.0</v>
      </c>
      <c r="D1071" s="63" t="s">
        <v>130</v>
      </c>
      <c r="E1071" s="68">
        <v>0.9258085</v>
      </c>
      <c r="F1071" s="1"/>
      <c r="G1071" s="23">
        <v>1.282550939E7</v>
      </c>
      <c r="H1071" s="23">
        <v>1.187396564E7</v>
      </c>
      <c r="I1071" s="23">
        <v>1.282550939E7</v>
      </c>
      <c r="J1071" s="23">
        <v>1.187396564E7</v>
      </c>
      <c r="K1071" s="24">
        <v>5.3243196E7</v>
      </c>
      <c r="L1071" s="1" t="s">
        <v>1776</v>
      </c>
      <c r="M1071" s="1" t="s">
        <v>2128</v>
      </c>
      <c r="N1071" s="63" t="s">
        <v>807</v>
      </c>
      <c r="O1071" s="63" t="s">
        <v>807</v>
      </c>
      <c r="P1071" s="68">
        <v>39.0</v>
      </c>
      <c r="Q1071" s="1" t="s">
        <v>2130</v>
      </c>
      <c r="R1071" s="1" t="s">
        <v>13</v>
      </c>
      <c r="S1071" s="1"/>
      <c r="T1071" s="1"/>
      <c r="U1071" s="1" t="s">
        <v>806</v>
      </c>
      <c r="V1071" s="1" t="s">
        <v>806</v>
      </c>
      <c r="W1071" s="145">
        <f t="shared" si="1"/>
        <v>0.000242893949</v>
      </c>
      <c r="AC1071" s="38"/>
    </row>
    <row r="1072" ht="15.75" customHeight="1">
      <c r="A1072" s="1" t="s">
        <v>1921</v>
      </c>
      <c r="B1072" s="1" t="s">
        <v>2127</v>
      </c>
      <c r="C1072" s="63">
        <v>46281.0</v>
      </c>
      <c r="D1072" s="63" t="s">
        <v>130</v>
      </c>
      <c r="E1072" s="68">
        <v>0.94559591</v>
      </c>
      <c r="F1072" s="1"/>
      <c r="G1072" s="23">
        <v>1.0E7</v>
      </c>
      <c r="H1072" s="23">
        <v>9455959.12</v>
      </c>
      <c r="I1072" s="23">
        <v>1.0E7</v>
      </c>
      <c r="J1072" s="23">
        <v>9455959.12</v>
      </c>
      <c r="K1072" s="24">
        <v>360564.0</v>
      </c>
      <c r="L1072" s="1" t="s">
        <v>1776</v>
      </c>
      <c r="M1072" s="1" t="s">
        <v>2128</v>
      </c>
      <c r="N1072" s="63" t="s">
        <v>404</v>
      </c>
      <c r="O1072" s="63" t="s">
        <v>404</v>
      </c>
      <c r="P1072" s="68">
        <v>28.0</v>
      </c>
      <c r="Q1072" s="1" t="s">
        <v>2130</v>
      </c>
      <c r="R1072" s="1" t="s">
        <v>13</v>
      </c>
      <c r="S1072" s="1"/>
      <c r="T1072" s="1"/>
      <c r="U1072" s="1" t="s">
        <v>417</v>
      </c>
      <c r="V1072" s="1" t="s">
        <v>417</v>
      </c>
      <c r="W1072" s="145">
        <f t="shared" si="1"/>
        <v>0.0001934311857</v>
      </c>
      <c r="AC1072" s="38"/>
    </row>
    <row r="1073" ht="15.75" customHeight="1">
      <c r="A1073" s="1" t="s">
        <v>1951</v>
      </c>
      <c r="B1073" s="1" t="s">
        <v>2127</v>
      </c>
      <c r="C1073" s="63">
        <v>46281.0</v>
      </c>
      <c r="D1073" s="63" t="s">
        <v>130</v>
      </c>
      <c r="E1073" s="68">
        <v>0.95114019</v>
      </c>
      <c r="F1073" s="1"/>
      <c r="G1073" s="23">
        <v>9600000.0</v>
      </c>
      <c r="H1073" s="23">
        <v>9130945.8</v>
      </c>
      <c r="I1073" s="23">
        <v>9600000.0</v>
      </c>
      <c r="J1073" s="23">
        <v>9130945.8</v>
      </c>
      <c r="K1073" s="24">
        <v>33950.0</v>
      </c>
      <c r="L1073" s="1" t="s">
        <v>1776</v>
      </c>
      <c r="M1073" s="1" t="s">
        <v>2128</v>
      </c>
      <c r="N1073" s="63" t="s">
        <v>1272</v>
      </c>
      <c r="O1073" s="63" t="s">
        <v>1272</v>
      </c>
      <c r="P1073" s="68">
        <v>25.0</v>
      </c>
      <c r="Q1073" s="1" t="s">
        <v>2130</v>
      </c>
      <c r="R1073" s="1" t="s">
        <v>13</v>
      </c>
      <c r="S1073" s="1"/>
      <c r="T1073" s="1"/>
      <c r="U1073" s="1" t="s">
        <v>1299</v>
      </c>
      <c r="V1073" s="1" t="s">
        <v>1299</v>
      </c>
      <c r="W1073" s="145">
        <f t="shared" si="1"/>
        <v>0.0001867827103</v>
      </c>
      <c r="AC1073" s="38"/>
    </row>
    <row r="1074" ht="15.75" customHeight="1">
      <c r="A1074" s="1" t="s">
        <v>1951</v>
      </c>
      <c r="B1074" s="1" t="s">
        <v>2127</v>
      </c>
      <c r="C1074" s="63">
        <v>46281.0</v>
      </c>
      <c r="D1074" s="63" t="s">
        <v>130</v>
      </c>
      <c r="E1074" s="68">
        <v>0.95114019</v>
      </c>
      <c r="F1074" s="1"/>
      <c r="G1074" s="23">
        <v>9600000.0</v>
      </c>
      <c r="H1074" s="23">
        <v>9130945.8</v>
      </c>
      <c r="I1074" s="23">
        <v>9600000.0</v>
      </c>
      <c r="J1074" s="23">
        <v>9130945.8</v>
      </c>
      <c r="K1074" s="24">
        <v>33951.0</v>
      </c>
      <c r="L1074" s="1" t="s">
        <v>1776</v>
      </c>
      <c r="M1074" s="1" t="s">
        <v>2128</v>
      </c>
      <c r="N1074" s="63" t="s">
        <v>1272</v>
      </c>
      <c r="O1074" s="63" t="s">
        <v>1272</v>
      </c>
      <c r="P1074" s="68">
        <v>25.0</v>
      </c>
      <c r="Q1074" s="1" t="s">
        <v>2130</v>
      </c>
      <c r="R1074" s="1" t="s">
        <v>13</v>
      </c>
      <c r="S1074" s="1"/>
      <c r="T1074" s="1"/>
      <c r="U1074" s="1" t="s">
        <v>1300</v>
      </c>
      <c r="V1074" s="1" t="s">
        <v>1300</v>
      </c>
      <c r="W1074" s="145">
        <f t="shared" si="1"/>
        <v>0.0001867827103</v>
      </c>
      <c r="AC1074" s="38"/>
    </row>
    <row r="1075" ht="15.75" customHeight="1">
      <c r="A1075" s="1" t="s">
        <v>2011</v>
      </c>
      <c r="B1075" s="1" t="s">
        <v>2127</v>
      </c>
      <c r="C1075" s="63">
        <v>46281.0</v>
      </c>
      <c r="D1075" s="63" t="s">
        <v>130</v>
      </c>
      <c r="E1075" s="68">
        <v>0.93469918</v>
      </c>
      <c r="F1075" s="1"/>
      <c r="G1075" s="23">
        <v>2.25E7</v>
      </c>
      <c r="H1075" s="23">
        <v>2.103073149E7</v>
      </c>
      <c r="I1075" s="23">
        <v>2.25E7</v>
      </c>
      <c r="J1075" s="23">
        <v>2.103073149E7</v>
      </c>
      <c r="K1075" s="24">
        <v>9.0000088E7</v>
      </c>
      <c r="L1075" s="1" t="s">
        <v>1776</v>
      </c>
      <c r="M1075" s="1" t="s">
        <v>2128</v>
      </c>
      <c r="N1075" s="63" t="s">
        <v>849</v>
      </c>
      <c r="O1075" s="63" t="s">
        <v>849</v>
      </c>
      <c r="P1075" s="68">
        <v>34.0</v>
      </c>
      <c r="Q1075" s="1" t="s">
        <v>2130</v>
      </c>
      <c r="R1075" s="1" t="s">
        <v>13</v>
      </c>
      <c r="S1075" s="1"/>
      <c r="T1075" s="1"/>
      <c r="U1075" s="1" t="s">
        <v>859</v>
      </c>
      <c r="V1075" s="1" t="s">
        <v>859</v>
      </c>
      <c r="W1075" s="145">
        <f t="shared" si="1"/>
        <v>0.0004302048345</v>
      </c>
      <c r="AC1075" s="38"/>
    </row>
    <row r="1076" ht="15.75" customHeight="1">
      <c r="A1076" s="1" t="s">
        <v>1981</v>
      </c>
      <c r="B1076" s="1" t="s">
        <v>2127</v>
      </c>
      <c r="C1076" s="63">
        <v>46281.0</v>
      </c>
      <c r="D1076" s="63" t="s">
        <v>130</v>
      </c>
      <c r="E1076" s="68">
        <v>0.93830345</v>
      </c>
      <c r="F1076" s="1"/>
      <c r="G1076" s="23">
        <v>1.3E7</v>
      </c>
      <c r="H1076" s="23">
        <v>1.219794479E7</v>
      </c>
      <c r="I1076" s="23">
        <v>1.3E7</v>
      </c>
      <c r="J1076" s="23">
        <v>1.219794479E7</v>
      </c>
      <c r="K1076" s="24">
        <v>547.0</v>
      </c>
      <c r="L1076" s="1" t="s">
        <v>1776</v>
      </c>
      <c r="M1076" s="1" t="s">
        <v>2128</v>
      </c>
      <c r="N1076" s="63" t="s">
        <v>1118</v>
      </c>
      <c r="O1076" s="63" t="s">
        <v>1118</v>
      </c>
      <c r="P1076" s="68">
        <v>32.0</v>
      </c>
      <c r="Q1076" s="1" t="s">
        <v>2130</v>
      </c>
      <c r="R1076" s="1" t="s">
        <v>13</v>
      </c>
      <c r="S1076" s="1"/>
      <c r="T1076" s="1"/>
      <c r="U1076" s="1" t="s">
        <v>1159</v>
      </c>
      <c r="V1076" s="1" t="s">
        <v>1159</v>
      </c>
      <c r="W1076" s="145">
        <f t="shared" si="1"/>
        <v>0.0002495212695</v>
      </c>
      <c r="AC1076" s="38"/>
    </row>
    <row r="1077" ht="15.75" customHeight="1">
      <c r="A1077" s="1" t="s">
        <v>1932</v>
      </c>
      <c r="B1077" s="1" t="s">
        <v>2127</v>
      </c>
      <c r="C1077" s="63">
        <v>46282.0</v>
      </c>
      <c r="D1077" s="63" t="s">
        <v>130</v>
      </c>
      <c r="E1077" s="68">
        <v>0.9357055</v>
      </c>
      <c r="F1077" s="1"/>
      <c r="G1077" s="23">
        <v>1.600557568E7</v>
      </c>
      <c r="H1077" s="23">
        <v>1.497650525E7</v>
      </c>
      <c r="I1077" s="23">
        <v>1.600557568E7</v>
      </c>
      <c r="J1077" s="23">
        <v>1.497650525E7</v>
      </c>
      <c r="K1077" s="24">
        <v>30722.0</v>
      </c>
      <c r="L1077" s="1" t="s">
        <v>1776</v>
      </c>
      <c r="M1077" s="1" t="s">
        <v>2128</v>
      </c>
      <c r="N1077" s="63" t="s">
        <v>902</v>
      </c>
      <c r="O1077" s="63" t="s">
        <v>902</v>
      </c>
      <c r="P1077" s="68">
        <v>33.0</v>
      </c>
      <c r="Q1077" s="1" t="s">
        <v>2130</v>
      </c>
      <c r="R1077" s="1" t="s">
        <v>13</v>
      </c>
      <c r="S1077" s="1"/>
      <c r="T1077" s="1"/>
      <c r="U1077" s="1" t="s">
        <v>910</v>
      </c>
      <c r="V1077" s="1" t="s">
        <v>910</v>
      </c>
      <c r="W1077" s="145">
        <f t="shared" si="1"/>
        <v>0.0003063595275</v>
      </c>
      <c r="AC1077" s="38"/>
    </row>
    <row r="1078" ht="15.75" customHeight="1">
      <c r="A1078" s="1" t="s">
        <v>1932</v>
      </c>
      <c r="B1078" s="1" t="s">
        <v>2127</v>
      </c>
      <c r="C1078" s="63">
        <v>46282.0</v>
      </c>
      <c r="D1078" s="63" t="s">
        <v>130</v>
      </c>
      <c r="E1078" s="68">
        <v>0.93753215</v>
      </c>
      <c r="F1078" s="1"/>
      <c r="G1078" s="23">
        <v>1.535531045E7</v>
      </c>
      <c r="H1078" s="23">
        <v>1.439609729E7</v>
      </c>
      <c r="I1078" s="23">
        <v>1.535531045E7</v>
      </c>
      <c r="J1078" s="23">
        <v>1.439609729E7</v>
      </c>
      <c r="K1078" s="24">
        <v>30746.0</v>
      </c>
      <c r="L1078" s="1" t="s">
        <v>1776</v>
      </c>
      <c r="M1078" s="1" t="s">
        <v>2128</v>
      </c>
      <c r="N1078" s="63" t="s">
        <v>1118</v>
      </c>
      <c r="O1078" s="63" t="s">
        <v>1118</v>
      </c>
      <c r="P1078" s="68">
        <v>32.0</v>
      </c>
      <c r="Q1078" s="1" t="s">
        <v>2130</v>
      </c>
      <c r="R1078" s="1" t="s">
        <v>13</v>
      </c>
      <c r="S1078" s="1"/>
      <c r="T1078" s="1"/>
      <c r="U1078" s="1" t="s">
        <v>1183</v>
      </c>
      <c r="V1078" s="1" t="s">
        <v>1183</v>
      </c>
      <c r="W1078" s="145">
        <f t="shared" si="1"/>
        <v>0.000294486697</v>
      </c>
      <c r="AC1078" s="38"/>
    </row>
    <row r="1079" ht="15.75" customHeight="1">
      <c r="A1079" s="1" t="s">
        <v>1931</v>
      </c>
      <c r="B1079" s="1" t="s">
        <v>2127</v>
      </c>
      <c r="C1079" s="63">
        <v>46282.0</v>
      </c>
      <c r="D1079" s="63" t="s">
        <v>130</v>
      </c>
      <c r="E1079" s="68">
        <v>0.93753215</v>
      </c>
      <c r="F1079" s="1"/>
      <c r="G1079" s="23">
        <v>1.0E7</v>
      </c>
      <c r="H1079" s="23">
        <v>9375321.55</v>
      </c>
      <c r="I1079" s="23">
        <v>1.0E7</v>
      </c>
      <c r="J1079" s="23">
        <v>9375321.55</v>
      </c>
      <c r="K1079" s="24">
        <v>1.3795878E7</v>
      </c>
      <c r="L1079" s="1" t="s">
        <v>1776</v>
      </c>
      <c r="M1079" s="1" t="s">
        <v>2128</v>
      </c>
      <c r="N1079" s="63" t="s">
        <v>1118</v>
      </c>
      <c r="O1079" s="63" t="s">
        <v>1118</v>
      </c>
      <c r="P1079" s="68">
        <v>32.0</v>
      </c>
      <c r="Q1079" s="1" t="s">
        <v>2130</v>
      </c>
      <c r="R1079" s="1" t="s">
        <v>13</v>
      </c>
      <c r="S1079" s="1"/>
      <c r="T1079" s="1"/>
      <c r="U1079" s="1" t="s">
        <v>1150</v>
      </c>
      <c r="V1079" s="1" t="s">
        <v>1150</v>
      </c>
      <c r="W1079" s="145">
        <f t="shared" si="1"/>
        <v>0.0001917816628</v>
      </c>
      <c r="AC1079" s="38"/>
    </row>
    <row r="1080" ht="15.75" customHeight="1">
      <c r="A1080" s="1" t="s">
        <v>1931</v>
      </c>
      <c r="B1080" s="1" t="s">
        <v>2127</v>
      </c>
      <c r="C1080" s="63">
        <v>46282.0</v>
      </c>
      <c r="D1080" s="63" t="s">
        <v>130</v>
      </c>
      <c r="E1080" s="68">
        <v>0.93570561</v>
      </c>
      <c r="F1080" s="1"/>
      <c r="G1080" s="23">
        <v>4.0E7</v>
      </c>
      <c r="H1080" s="23">
        <v>3.742822452E7</v>
      </c>
      <c r="I1080" s="23">
        <v>4.0E7</v>
      </c>
      <c r="J1080" s="23">
        <v>3.742822452E7</v>
      </c>
      <c r="K1080" s="24">
        <v>1.3662783E7</v>
      </c>
      <c r="L1080" s="1" t="s">
        <v>1776</v>
      </c>
      <c r="M1080" s="1" t="s">
        <v>2128</v>
      </c>
      <c r="N1080" s="63" t="s">
        <v>946</v>
      </c>
      <c r="O1080" s="63" t="s">
        <v>946</v>
      </c>
      <c r="P1080" s="68">
        <v>33.0</v>
      </c>
      <c r="Q1080" s="1" t="s">
        <v>2130</v>
      </c>
      <c r="R1080" s="1" t="s">
        <v>13</v>
      </c>
      <c r="S1080" s="1"/>
      <c r="T1080" s="1"/>
      <c r="U1080" s="1" t="s">
        <v>1028</v>
      </c>
      <c r="V1080" s="1" t="s">
        <v>1028</v>
      </c>
      <c r="W1080" s="145">
        <f t="shared" si="1"/>
        <v>0.0007656321009</v>
      </c>
      <c r="AC1080" s="38"/>
    </row>
    <row r="1081" ht="15.75" customHeight="1">
      <c r="A1081" s="1" t="s">
        <v>1976</v>
      </c>
      <c r="B1081" s="1" t="s">
        <v>2127</v>
      </c>
      <c r="C1081" s="63">
        <v>46282.0</v>
      </c>
      <c r="D1081" s="63" t="s">
        <v>130</v>
      </c>
      <c r="E1081" s="68">
        <v>0.92846996</v>
      </c>
      <c r="F1081" s="1"/>
      <c r="G1081" s="23">
        <v>3345657.98</v>
      </c>
      <c r="H1081" s="23">
        <v>3106342.94</v>
      </c>
      <c r="I1081" s="23">
        <v>3345657.98</v>
      </c>
      <c r="J1081" s="23">
        <v>3106342.94</v>
      </c>
      <c r="K1081" s="24">
        <v>251.0</v>
      </c>
      <c r="L1081" s="1" t="s">
        <v>1776</v>
      </c>
      <c r="M1081" s="1" t="s">
        <v>2128</v>
      </c>
      <c r="N1081" s="63" t="s">
        <v>1589</v>
      </c>
      <c r="O1081" s="63" t="s">
        <v>1589</v>
      </c>
      <c r="P1081" s="68">
        <v>37.0</v>
      </c>
      <c r="Q1081" s="1" t="s">
        <v>2130</v>
      </c>
      <c r="R1081" s="1" t="s">
        <v>13</v>
      </c>
      <c r="S1081" s="1"/>
      <c r="T1081" s="1"/>
      <c r="U1081" s="1" t="s">
        <v>1619</v>
      </c>
      <c r="V1081" s="1" t="s">
        <v>1619</v>
      </c>
      <c r="W1081" s="145">
        <f t="shared" si="1"/>
        <v>0.00006354337941</v>
      </c>
      <c r="AC1081" s="38"/>
    </row>
    <row r="1082" ht="15.75" customHeight="1">
      <c r="A1082" s="1" t="s">
        <v>1994</v>
      </c>
      <c r="B1082" s="1" t="s">
        <v>2127</v>
      </c>
      <c r="C1082" s="63">
        <v>46282.0</v>
      </c>
      <c r="D1082" s="63" t="s">
        <v>130</v>
      </c>
      <c r="E1082" s="68">
        <v>0.93207365</v>
      </c>
      <c r="F1082" s="1"/>
      <c r="G1082" s="23">
        <v>1500000.0</v>
      </c>
      <c r="H1082" s="23">
        <v>1398110.48</v>
      </c>
      <c r="I1082" s="23">
        <v>1500000.0</v>
      </c>
      <c r="J1082" s="23">
        <v>1398110.48</v>
      </c>
      <c r="K1082" s="24">
        <v>3.0</v>
      </c>
      <c r="L1082" s="1" t="s">
        <v>1776</v>
      </c>
      <c r="M1082" s="1" t="s">
        <v>2128</v>
      </c>
      <c r="N1082" s="63" t="s">
        <v>532</v>
      </c>
      <c r="O1082" s="63" t="s">
        <v>532</v>
      </c>
      <c r="P1082" s="68">
        <v>35.0</v>
      </c>
      <c r="Q1082" s="1" t="s">
        <v>2130</v>
      </c>
      <c r="R1082" s="1" t="s">
        <v>13</v>
      </c>
      <c r="S1082" s="1"/>
      <c r="T1082" s="1"/>
      <c r="U1082" s="1" t="s">
        <v>537</v>
      </c>
      <c r="V1082" s="1" t="s">
        <v>537</v>
      </c>
      <c r="W1082" s="145">
        <f t="shared" si="1"/>
        <v>0.00002859976069</v>
      </c>
      <c r="AC1082" s="38"/>
    </row>
    <row r="1083" ht="15.75" customHeight="1">
      <c r="A1083" s="1" t="s">
        <v>1963</v>
      </c>
      <c r="B1083" s="1" t="s">
        <v>2127</v>
      </c>
      <c r="C1083" s="63">
        <v>46282.0</v>
      </c>
      <c r="D1083" s="63" t="s">
        <v>130</v>
      </c>
      <c r="E1083" s="68">
        <v>0.92311597</v>
      </c>
      <c r="F1083" s="1"/>
      <c r="G1083" s="23">
        <v>9972899.99</v>
      </c>
      <c r="H1083" s="23">
        <v>9206143.22</v>
      </c>
      <c r="I1083" s="23">
        <v>9972899.99</v>
      </c>
      <c r="J1083" s="23">
        <v>9206143.22</v>
      </c>
      <c r="K1083" s="24">
        <v>1179213.0</v>
      </c>
      <c r="L1083" s="1" t="s">
        <v>1776</v>
      </c>
      <c r="M1083" s="1" t="s">
        <v>2128</v>
      </c>
      <c r="N1083" s="63" t="s">
        <v>283</v>
      </c>
      <c r="O1083" s="63" t="s">
        <v>283</v>
      </c>
      <c r="P1083" s="68">
        <v>40.0</v>
      </c>
      <c r="Q1083" s="1" t="s">
        <v>2130</v>
      </c>
      <c r="R1083" s="1" t="s">
        <v>13</v>
      </c>
      <c r="S1083" s="1"/>
      <c r="T1083" s="1"/>
      <c r="U1083" s="1" t="s">
        <v>286</v>
      </c>
      <c r="V1083" s="1" t="s">
        <v>286</v>
      </c>
      <c r="W1083" s="145">
        <f t="shared" si="1"/>
        <v>0.0001883209494</v>
      </c>
      <c r="AC1083" s="38"/>
    </row>
    <row r="1084" ht="15.75" customHeight="1">
      <c r="A1084" s="1" t="s">
        <v>1917</v>
      </c>
      <c r="B1084" s="1" t="s">
        <v>2127</v>
      </c>
      <c r="C1084" s="63">
        <v>46282.0</v>
      </c>
      <c r="D1084" s="63" t="s">
        <v>130</v>
      </c>
      <c r="E1084" s="68">
        <v>0.93570554</v>
      </c>
      <c r="F1084" s="1"/>
      <c r="G1084" s="23">
        <v>1.0E7</v>
      </c>
      <c r="H1084" s="23">
        <v>9357055.38</v>
      </c>
      <c r="I1084" s="23">
        <v>1.0E7</v>
      </c>
      <c r="J1084" s="23">
        <v>9357055.38</v>
      </c>
      <c r="K1084" s="24">
        <v>667.0</v>
      </c>
      <c r="L1084" s="1" t="s">
        <v>1776</v>
      </c>
      <c r="M1084" s="1" t="s">
        <v>2128</v>
      </c>
      <c r="N1084" s="63" t="s">
        <v>1381</v>
      </c>
      <c r="O1084" s="63" t="s">
        <v>1381</v>
      </c>
      <c r="P1084" s="68">
        <v>33.0</v>
      </c>
      <c r="Q1084" s="1" t="s">
        <v>2130</v>
      </c>
      <c r="R1084" s="1" t="s">
        <v>13</v>
      </c>
      <c r="S1084" s="1"/>
      <c r="T1084" s="1"/>
      <c r="U1084" s="1" t="s">
        <v>1396</v>
      </c>
      <c r="V1084" s="1" t="s">
        <v>1396</v>
      </c>
      <c r="W1084" s="145">
        <f t="shared" si="1"/>
        <v>0.0001914080099</v>
      </c>
      <c r="AC1084" s="38"/>
    </row>
    <row r="1085" ht="15.75" customHeight="1">
      <c r="A1085" s="1" t="s">
        <v>1917</v>
      </c>
      <c r="B1085" s="1" t="s">
        <v>2127</v>
      </c>
      <c r="C1085" s="63">
        <v>46282.0</v>
      </c>
      <c r="D1085" s="63" t="s">
        <v>130</v>
      </c>
      <c r="E1085" s="68">
        <v>0.94120692</v>
      </c>
      <c r="F1085" s="1"/>
      <c r="G1085" s="23">
        <v>1.0E7</v>
      </c>
      <c r="H1085" s="23">
        <v>9412069.2</v>
      </c>
      <c r="I1085" s="23">
        <v>1.0E7</v>
      </c>
      <c r="J1085" s="23">
        <v>9412069.2</v>
      </c>
      <c r="K1085" s="24">
        <v>639.0</v>
      </c>
      <c r="L1085" s="1" t="s">
        <v>1776</v>
      </c>
      <c r="M1085" s="1" t="s">
        <v>2128</v>
      </c>
      <c r="N1085" s="63" t="s">
        <v>1302</v>
      </c>
      <c r="O1085" s="63" t="s">
        <v>1302</v>
      </c>
      <c r="P1085" s="68">
        <v>30.0</v>
      </c>
      <c r="Q1085" s="1" t="s">
        <v>2130</v>
      </c>
      <c r="R1085" s="1" t="s">
        <v>13</v>
      </c>
      <c r="S1085" s="1"/>
      <c r="T1085" s="1"/>
      <c r="U1085" s="1" t="s">
        <v>1320</v>
      </c>
      <c r="V1085" s="1" t="s">
        <v>1320</v>
      </c>
      <c r="W1085" s="145">
        <f t="shared" si="1"/>
        <v>0.0001925333731</v>
      </c>
      <c r="AC1085" s="38"/>
    </row>
    <row r="1086" ht="15.75" customHeight="1">
      <c r="A1086" s="1" t="s">
        <v>1937</v>
      </c>
      <c r="B1086" s="1" t="s">
        <v>2127</v>
      </c>
      <c r="C1086" s="63">
        <v>46282.0</v>
      </c>
      <c r="D1086" s="63" t="s">
        <v>130</v>
      </c>
      <c r="E1086" s="68">
        <v>0.93753215</v>
      </c>
      <c r="F1086" s="1"/>
      <c r="G1086" s="23">
        <v>5.0E7</v>
      </c>
      <c r="H1086" s="23">
        <v>4.687660774E7</v>
      </c>
      <c r="I1086" s="23">
        <v>5.0E7</v>
      </c>
      <c r="J1086" s="23">
        <v>4.687660774E7</v>
      </c>
      <c r="K1086" s="24">
        <v>4775.0</v>
      </c>
      <c r="L1086" s="1" t="s">
        <v>1776</v>
      </c>
      <c r="M1086" s="1" t="s">
        <v>2128</v>
      </c>
      <c r="N1086" s="63" t="s">
        <v>1118</v>
      </c>
      <c r="O1086" s="63" t="s">
        <v>1118</v>
      </c>
      <c r="P1086" s="68">
        <v>32.0</v>
      </c>
      <c r="Q1086" s="1" t="s">
        <v>2130</v>
      </c>
      <c r="R1086" s="1" t="s">
        <v>13</v>
      </c>
      <c r="S1086" s="1"/>
      <c r="T1086" s="1"/>
      <c r="U1086" s="1" t="s">
        <v>1207</v>
      </c>
      <c r="V1086" s="1" t="s">
        <v>1207</v>
      </c>
      <c r="W1086" s="145">
        <f t="shared" si="1"/>
        <v>0.0009589083139</v>
      </c>
      <c r="AC1086" s="38"/>
    </row>
    <row r="1087" ht="15.75" customHeight="1">
      <c r="A1087" s="1" t="s">
        <v>1964</v>
      </c>
      <c r="B1087" s="1" t="s">
        <v>2127</v>
      </c>
      <c r="C1087" s="63">
        <v>46282.0</v>
      </c>
      <c r="D1087" s="63" t="s">
        <v>130</v>
      </c>
      <c r="E1087" s="68">
        <v>0.93570558</v>
      </c>
      <c r="F1087" s="1"/>
      <c r="G1087" s="23">
        <v>1.0E7</v>
      </c>
      <c r="H1087" s="23">
        <v>9357055.8</v>
      </c>
      <c r="I1087" s="23">
        <v>1.0E7</v>
      </c>
      <c r="J1087" s="23">
        <v>9357055.8</v>
      </c>
      <c r="K1087" s="24">
        <v>327.0</v>
      </c>
      <c r="L1087" s="1" t="s">
        <v>1776</v>
      </c>
      <c r="M1087" s="1" t="s">
        <v>2128</v>
      </c>
      <c r="N1087" s="63" t="s">
        <v>798</v>
      </c>
      <c r="O1087" s="63" t="s">
        <v>798</v>
      </c>
      <c r="P1087" s="68">
        <v>33.0</v>
      </c>
      <c r="Q1087" s="1" t="s">
        <v>2130</v>
      </c>
      <c r="R1087" s="1" t="s">
        <v>13</v>
      </c>
      <c r="S1087" s="1"/>
      <c r="T1087" s="1"/>
      <c r="U1087" s="1" t="s">
        <v>805</v>
      </c>
      <c r="V1087" s="1" t="s">
        <v>805</v>
      </c>
      <c r="W1087" s="145">
        <f t="shared" si="1"/>
        <v>0.0001914080185</v>
      </c>
      <c r="AC1087" s="38"/>
    </row>
    <row r="1088" ht="15.75" customHeight="1">
      <c r="A1088" s="1" t="s">
        <v>1920</v>
      </c>
      <c r="B1088" s="1" t="s">
        <v>2127</v>
      </c>
      <c r="C1088" s="63">
        <v>46282.0</v>
      </c>
      <c r="D1088" s="63" t="s">
        <v>130</v>
      </c>
      <c r="E1088" s="68">
        <v>0.93026817</v>
      </c>
      <c r="F1088" s="1"/>
      <c r="G1088" s="23">
        <v>8.5E7</v>
      </c>
      <c r="H1088" s="23">
        <v>7.907279413E7</v>
      </c>
      <c r="I1088" s="23">
        <v>8.5E7</v>
      </c>
      <c r="J1088" s="23">
        <v>7.907279413E7</v>
      </c>
      <c r="K1088" s="24">
        <v>8434.0</v>
      </c>
      <c r="L1088" s="1" t="s">
        <v>1776</v>
      </c>
      <c r="M1088" s="1" t="s">
        <v>2128</v>
      </c>
      <c r="N1088" s="63" t="s">
        <v>1381</v>
      </c>
      <c r="O1088" s="63" t="s">
        <v>1381</v>
      </c>
      <c r="P1088" s="68">
        <v>36.0</v>
      </c>
      <c r="Q1088" s="1" t="s">
        <v>2130</v>
      </c>
      <c r="R1088" s="1" t="s">
        <v>13</v>
      </c>
      <c r="S1088" s="1"/>
      <c r="T1088" s="1"/>
      <c r="U1088" s="1" t="s">
        <v>1386</v>
      </c>
      <c r="V1088" s="1" t="s">
        <v>1386</v>
      </c>
      <c r="W1088" s="145">
        <f t="shared" si="1"/>
        <v>0.001617513795</v>
      </c>
      <c r="AC1088" s="38"/>
    </row>
    <row r="1089" ht="15.75" customHeight="1">
      <c r="A1089" s="1" t="s">
        <v>1826</v>
      </c>
      <c r="B1089" s="1" t="s">
        <v>2127</v>
      </c>
      <c r="C1089" s="63">
        <v>46282.0</v>
      </c>
      <c r="D1089" s="63" t="s">
        <v>130</v>
      </c>
      <c r="E1089" s="68">
        <v>0.93936598</v>
      </c>
      <c r="F1089" s="1"/>
      <c r="G1089" s="23">
        <v>1.65E7</v>
      </c>
      <c r="H1089" s="23">
        <v>1.549953872E7</v>
      </c>
      <c r="I1089" s="23">
        <v>1.65E7</v>
      </c>
      <c r="J1089" s="23">
        <v>1.549953872E7</v>
      </c>
      <c r="K1089" s="24">
        <v>28674.0</v>
      </c>
      <c r="L1089" s="1" t="s">
        <v>1776</v>
      </c>
      <c r="M1089" s="1" t="s">
        <v>2128</v>
      </c>
      <c r="N1089" s="63" t="s">
        <v>591</v>
      </c>
      <c r="O1089" s="63" t="s">
        <v>591</v>
      </c>
      <c r="P1089" s="68">
        <v>31.0</v>
      </c>
      <c r="Q1089" s="1" t="s">
        <v>2130</v>
      </c>
      <c r="R1089" s="1" t="s">
        <v>13</v>
      </c>
      <c r="S1089" s="1"/>
      <c r="T1089" s="1"/>
      <c r="U1089" s="1" t="s">
        <v>590</v>
      </c>
      <c r="V1089" s="1" t="s">
        <v>590</v>
      </c>
      <c r="W1089" s="145">
        <f t="shared" si="1"/>
        <v>0.0003170587049</v>
      </c>
      <c r="AC1089" s="38"/>
    </row>
    <row r="1090" ht="15.75" customHeight="1">
      <c r="A1090" s="1" t="s">
        <v>1938</v>
      </c>
      <c r="B1090" s="1" t="s">
        <v>2127</v>
      </c>
      <c r="C1090" s="63">
        <v>46282.0</v>
      </c>
      <c r="D1090" s="63" t="s">
        <v>130</v>
      </c>
      <c r="E1090" s="68">
        <v>0.93753224</v>
      </c>
      <c r="F1090" s="1"/>
      <c r="G1090" s="23">
        <v>2.5E7</v>
      </c>
      <c r="H1090" s="23">
        <v>2.343830589E7</v>
      </c>
      <c r="I1090" s="23">
        <v>2.5E7</v>
      </c>
      <c r="J1090" s="23">
        <v>2.343830589E7</v>
      </c>
      <c r="K1090" s="24">
        <v>1215681.0</v>
      </c>
      <c r="L1090" s="1" t="s">
        <v>1776</v>
      </c>
      <c r="M1090" s="1" t="s">
        <v>2128</v>
      </c>
      <c r="N1090" s="63" t="s">
        <v>807</v>
      </c>
      <c r="O1090" s="63" t="s">
        <v>807</v>
      </c>
      <c r="P1090" s="68">
        <v>32.0</v>
      </c>
      <c r="Q1090" s="1" t="s">
        <v>2130</v>
      </c>
      <c r="R1090" s="1" t="s">
        <v>13</v>
      </c>
      <c r="S1090" s="1"/>
      <c r="T1090" s="1"/>
      <c r="U1090" s="1" t="s">
        <v>810</v>
      </c>
      <c r="V1090" s="1" t="s">
        <v>810</v>
      </c>
      <c r="W1090" s="145">
        <f t="shared" si="1"/>
        <v>0.0004794541983</v>
      </c>
      <c r="AC1090" s="38"/>
    </row>
    <row r="1091" ht="15.75" customHeight="1">
      <c r="A1091" s="1" t="s">
        <v>1939</v>
      </c>
      <c r="B1091" s="1" t="s">
        <v>2127</v>
      </c>
      <c r="C1091" s="63">
        <v>46282.0</v>
      </c>
      <c r="D1091" s="63" t="s">
        <v>130</v>
      </c>
      <c r="E1091" s="68">
        <v>0.93570557</v>
      </c>
      <c r="F1091" s="1"/>
      <c r="G1091" s="23">
        <v>1.25E7</v>
      </c>
      <c r="H1091" s="23">
        <v>1.169631962E7</v>
      </c>
      <c r="I1091" s="23">
        <v>1.25E7</v>
      </c>
      <c r="J1091" s="23">
        <v>1.169631962E7</v>
      </c>
      <c r="K1091" s="24">
        <v>1359.0</v>
      </c>
      <c r="L1091" s="1" t="s">
        <v>1776</v>
      </c>
      <c r="M1091" s="1" t="s">
        <v>2128</v>
      </c>
      <c r="N1091" s="63" t="s">
        <v>863</v>
      </c>
      <c r="O1091" s="63" t="s">
        <v>863</v>
      </c>
      <c r="P1091" s="68">
        <v>33.0</v>
      </c>
      <c r="Q1091" s="1" t="s">
        <v>2130</v>
      </c>
      <c r="R1091" s="1" t="s">
        <v>13</v>
      </c>
      <c r="S1091" s="1"/>
      <c r="T1091" s="1"/>
      <c r="U1091" s="1" t="s">
        <v>865</v>
      </c>
      <c r="V1091" s="1" t="s">
        <v>865</v>
      </c>
      <c r="W1091" s="145">
        <f t="shared" si="1"/>
        <v>0.0002392600204</v>
      </c>
      <c r="AC1091" s="38"/>
    </row>
    <row r="1092" ht="15.75" customHeight="1">
      <c r="A1092" s="1" t="s">
        <v>1947</v>
      </c>
      <c r="B1092" s="1" t="s">
        <v>2127</v>
      </c>
      <c r="C1092" s="63">
        <v>46282.0</v>
      </c>
      <c r="D1092" s="63" t="s">
        <v>130</v>
      </c>
      <c r="E1092" s="68">
        <v>0.9412069</v>
      </c>
      <c r="F1092" s="1"/>
      <c r="G1092" s="23">
        <v>1.0E8</v>
      </c>
      <c r="H1092" s="23">
        <v>9.412069035E7</v>
      </c>
      <c r="I1092" s="23">
        <v>1.0E8</v>
      </c>
      <c r="J1092" s="23">
        <v>9.412069035E7</v>
      </c>
      <c r="K1092" s="24">
        <v>6601.0</v>
      </c>
      <c r="L1092" s="1" t="s">
        <v>1776</v>
      </c>
      <c r="M1092" s="1" t="s">
        <v>2128</v>
      </c>
      <c r="N1092" s="63" t="s">
        <v>815</v>
      </c>
      <c r="O1092" s="63" t="s">
        <v>815</v>
      </c>
      <c r="P1092" s="68">
        <v>30.0</v>
      </c>
      <c r="Q1092" s="1" t="s">
        <v>2130</v>
      </c>
      <c r="R1092" s="1" t="s">
        <v>13</v>
      </c>
      <c r="S1092" s="1"/>
      <c r="T1092" s="1"/>
      <c r="U1092" s="1" t="s">
        <v>818</v>
      </c>
      <c r="V1092" s="1" t="s">
        <v>818</v>
      </c>
      <c r="W1092" s="145">
        <f t="shared" si="1"/>
        <v>0.001925333697</v>
      </c>
      <c r="AC1092" s="38"/>
    </row>
    <row r="1093" ht="15.75" customHeight="1">
      <c r="A1093" s="1" t="s">
        <v>1957</v>
      </c>
      <c r="B1093" s="1" t="s">
        <v>2127</v>
      </c>
      <c r="C1093" s="63">
        <v>46282.0</v>
      </c>
      <c r="D1093" s="63" t="s">
        <v>130</v>
      </c>
      <c r="E1093" s="68">
        <v>0.92489373</v>
      </c>
      <c r="F1093" s="1"/>
      <c r="G1093" s="23">
        <v>1.282550939E7</v>
      </c>
      <c r="H1093" s="23">
        <v>1.186223318E7</v>
      </c>
      <c r="I1093" s="23">
        <v>1.282550939E7</v>
      </c>
      <c r="J1093" s="23">
        <v>1.186223318E7</v>
      </c>
      <c r="K1093" s="24">
        <v>5.3243197E7</v>
      </c>
      <c r="L1093" s="1" t="s">
        <v>1776</v>
      </c>
      <c r="M1093" s="1" t="s">
        <v>2128</v>
      </c>
      <c r="N1093" s="63" t="s">
        <v>807</v>
      </c>
      <c r="O1093" s="63" t="s">
        <v>807</v>
      </c>
      <c r="P1093" s="68">
        <v>39.0</v>
      </c>
      <c r="Q1093" s="1" t="s">
        <v>2130</v>
      </c>
      <c r="R1093" s="1" t="s">
        <v>13</v>
      </c>
      <c r="S1093" s="1"/>
      <c r="T1093" s="1"/>
      <c r="U1093" s="1" t="s">
        <v>808</v>
      </c>
      <c r="V1093" s="1" t="s">
        <v>808</v>
      </c>
      <c r="W1093" s="145">
        <f t="shared" si="1"/>
        <v>0.0002426539497</v>
      </c>
      <c r="AC1093" s="38"/>
    </row>
    <row r="1094" ht="15.75" customHeight="1">
      <c r="A1094" s="1" t="s">
        <v>1950</v>
      </c>
      <c r="B1094" s="1" t="s">
        <v>2127</v>
      </c>
      <c r="C1094" s="63">
        <v>46282.0</v>
      </c>
      <c r="D1094" s="63" t="s">
        <v>130</v>
      </c>
      <c r="E1094" s="68">
        <v>0.93753212</v>
      </c>
      <c r="F1094" s="1"/>
      <c r="G1094" s="23">
        <v>3243208.42</v>
      </c>
      <c r="H1094" s="23">
        <v>3040612.07</v>
      </c>
      <c r="I1094" s="23">
        <v>3243208.42</v>
      </c>
      <c r="J1094" s="23">
        <v>3040612.07</v>
      </c>
      <c r="K1094" s="24">
        <v>143911.0</v>
      </c>
      <c r="L1094" s="1" t="s">
        <v>1776</v>
      </c>
      <c r="M1094" s="1" t="s">
        <v>2128</v>
      </c>
      <c r="N1094" s="63" t="s">
        <v>307</v>
      </c>
      <c r="O1094" s="63" t="s">
        <v>307</v>
      </c>
      <c r="P1094" s="68">
        <v>32.0</v>
      </c>
      <c r="Q1094" s="1" t="s">
        <v>2130</v>
      </c>
      <c r="R1094" s="1" t="s">
        <v>13</v>
      </c>
      <c r="S1094" s="1"/>
      <c r="T1094" s="1"/>
      <c r="U1094" s="1" t="s">
        <v>308</v>
      </c>
      <c r="V1094" s="1" t="s">
        <v>308</v>
      </c>
      <c r="W1094" s="145">
        <f t="shared" si="1"/>
        <v>0.00006219878814</v>
      </c>
      <c r="AC1094" s="38"/>
    </row>
    <row r="1095" ht="15.75" customHeight="1">
      <c r="A1095" s="1" t="s">
        <v>2027</v>
      </c>
      <c r="B1095" s="1" t="s">
        <v>2127</v>
      </c>
      <c r="C1095" s="63">
        <v>46282.0</v>
      </c>
      <c r="D1095" s="63" t="s">
        <v>130</v>
      </c>
      <c r="E1095" s="68">
        <v>0.93753215</v>
      </c>
      <c r="F1095" s="1"/>
      <c r="G1095" s="23">
        <v>1000000.0</v>
      </c>
      <c r="H1095" s="23">
        <v>937532.15</v>
      </c>
      <c r="I1095" s="23">
        <v>1000000.0</v>
      </c>
      <c r="J1095" s="23">
        <v>937532.15</v>
      </c>
      <c r="K1095" s="24">
        <v>6.7381734E7</v>
      </c>
      <c r="L1095" s="1" t="s">
        <v>1776</v>
      </c>
      <c r="M1095" s="1" t="s">
        <v>2128</v>
      </c>
      <c r="N1095" s="63" t="s">
        <v>1118</v>
      </c>
      <c r="O1095" s="63" t="s">
        <v>1118</v>
      </c>
      <c r="P1095" s="68">
        <v>32.0</v>
      </c>
      <c r="Q1095" s="1" t="s">
        <v>2130</v>
      </c>
      <c r="R1095" s="1" t="s">
        <v>13</v>
      </c>
      <c r="S1095" s="1"/>
      <c r="T1095" s="1"/>
      <c r="U1095" s="1" t="s">
        <v>1173</v>
      </c>
      <c r="V1095" s="1" t="s">
        <v>1173</v>
      </c>
      <c r="W1095" s="145">
        <f t="shared" si="1"/>
        <v>0.00001917816618</v>
      </c>
      <c r="AC1095" s="38"/>
    </row>
    <row r="1096" ht="15.75" customHeight="1">
      <c r="A1096" s="1" t="s">
        <v>1932</v>
      </c>
      <c r="B1096" s="1" t="s">
        <v>2127</v>
      </c>
      <c r="C1096" s="63">
        <v>46283.0</v>
      </c>
      <c r="D1096" s="63" t="s">
        <v>130</v>
      </c>
      <c r="E1096" s="68">
        <v>0.93676234</v>
      </c>
      <c r="F1096" s="1"/>
      <c r="G1096" s="23">
        <v>1.535531045E7</v>
      </c>
      <c r="H1096" s="23">
        <v>1.438427648E7</v>
      </c>
      <c r="I1096" s="23">
        <v>1.535531045E7</v>
      </c>
      <c r="J1096" s="23">
        <v>1.438427648E7</v>
      </c>
      <c r="K1096" s="24">
        <v>30747.0</v>
      </c>
      <c r="L1096" s="1" t="s">
        <v>1776</v>
      </c>
      <c r="M1096" s="1" t="s">
        <v>2128</v>
      </c>
      <c r="N1096" s="63" t="s">
        <v>1118</v>
      </c>
      <c r="O1096" s="63" t="s">
        <v>1118</v>
      </c>
      <c r="P1096" s="68">
        <v>32.0</v>
      </c>
      <c r="Q1096" s="1" t="s">
        <v>2130</v>
      </c>
      <c r="R1096" s="1" t="s">
        <v>13</v>
      </c>
      <c r="S1096" s="1"/>
      <c r="T1096" s="1"/>
      <c r="U1096" s="1" t="s">
        <v>1184</v>
      </c>
      <c r="V1096" s="1" t="s">
        <v>1184</v>
      </c>
      <c r="W1096" s="145">
        <f t="shared" si="1"/>
        <v>0.0002942448904</v>
      </c>
      <c r="AC1096" s="38"/>
    </row>
    <row r="1097" ht="15.75" customHeight="1">
      <c r="A1097" s="1" t="s">
        <v>1931</v>
      </c>
      <c r="B1097" s="1" t="s">
        <v>2127</v>
      </c>
      <c r="C1097" s="63">
        <v>46283.0</v>
      </c>
      <c r="D1097" s="63" t="s">
        <v>130</v>
      </c>
      <c r="E1097" s="68">
        <v>0.93676234</v>
      </c>
      <c r="F1097" s="1"/>
      <c r="G1097" s="23">
        <v>1.0E7</v>
      </c>
      <c r="H1097" s="23">
        <v>9367623.36</v>
      </c>
      <c r="I1097" s="23">
        <v>1.0E7</v>
      </c>
      <c r="J1097" s="23">
        <v>9367623.36</v>
      </c>
      <c r="K1097" s="24">
        <v>1.3795879E7</v>
      </c>
      <c r="L1097" s="1" t="s">
        <v>1776</v>
      </c>
      <c r="M1097" s="1" t="s">
        <v>2128</v>
      </c>
      <c r="N1097" s="63" t="s">
        <v>1118</v>
      </c>
      <c r="O1097" s="63" t="s">
        <v>1118</v>
      </c>
      <c r="P1097" s="68">
        <v>32.0</v>
      </c>
      <c r="Q1097" s="1" t="s">
        <v>2130</v>
      </c>
      <c r="R1097" s="1" t="s">
        <v>13</v>
      </c>
      <c r="S1097" s="1"/>
      <c r="T1097" s="1"/>
      <c r="U1097" s="1" t="s">
        <v>1151</v>
      </c>
      <c r="V1097" s="1" t="s">
        <v>1151</v>
      </c>
      <c r="W1097" s="145">
        <f t="shared" si="1"/>
        <v>0.0001916241886</v>
      </c>
      <c r="AC1097" s="38"/>
    </row>
    <row r="1098" ht="15.75" customHeight="1">
      <c r="A1098" s="1" t="s">
        <v>1919</v>
      </c>
      <c r="B1098" s="1" t="s">
        <v>2127</v>
      </c>
      <c r="C1098" s="63">
        <v>46283.0</v>
      </c>
      <c r="D1098" s="63" t="s">
        <v>130</v>
      </c>
      <c r="E1098" s="68">
        <v>0.94800279</v>
      </c>
      <c r="F1098" s="1"/>
      <c r="G1098" s="23">
        <v>2.150072074E8</v>
      </c>
      <c r="H1098" s="23">
        <v>2.0382743255E8</v>
      </c>
      <c r="I1098" s="23">
        <v>2.150072074E8</v>
      </c>
      <c r="J1098" s="23">
        <v>2.0382743255E8</v>
      </c>
      <c r="K1098" s="24">
        <v>568286.0</v>
      </c>
      <c r="L1098" s="1" t="s">
        <v>1776</v>
      </c>
      <c r="M1098" s="1" t="s">
        <v>2128</v>
      </c>
      <c r="N1098" s="63" t="s">
        <v>543</v>
      </c>
      <c r="O1098" s="63" t="s">
        <v>543</v>
      </c>
      <c r="P1098" s="68">
        <v>26.0</v>
      </c>
      <c r="Q1098" s="1" t="s">
        <v>2130</v>
      </c>
      <c r="R1098" s="1" t="s">
        <v>13</v>
      </c>
      <c r="S1098" s="1"/>
      <c r="T1098" s="1"/>
      <c r="U1098" s="1" t="s">
        <v>566</v>
      </c>
      <c r="V1098" s="1" t="s">
        <v>566</v>
      </c>
      <c r="W1098" s="145">
        <f t="shared" si="1"/>
        <v>0.004169495813</v>
      </c>
      <c r="AC1098" s="38"/>
    </row>
    <row r="1099" ht="15.75" customHeight="1">
      <c r="A1099" s="1" t="s">
        <v>1919</v>
      </c>
      <c r="B1099" s="1" t="s">
        <v>2127</v>
      </c>
      <c r="C1099" s="63">
        <v>46283.0</v>
      </c>
      <c r="D1099" s="63" t="s">
        <v>130</v>
      </c>
      <c r="E1099" s="68">
        <v>0.94800279</v>
      </c>
      <c r="F1099" s="1"/>
      <c r="G1099" s="23">
        <v>2.985732909E7</v>
      </c>
      <c r="H1099" s="23">
        <v>2.830483129E7</v>
      </c>
      <c r="I1099" s="23">
        <v>2.985732909E7</v>
      </c>
      <c r="J1099" s="23">
        <v>2.830483129E7</v>
      </c>
      <c r="K1099" s="24">
        <v>568285.0</v>
      </c>
      <c r="L1099" s="1" t="s">
        <v>1776</v>
      </c>
      <c r="M1099" s="1" t="s">
        <v>2128</v>
      </c>
      <c r="N1099" s="63" t="s">
        <v>543</v>
      </c>
      <c r="O1099" s="63" t="s">
        <v>543</v>
      </c>
      <c r="P1099" s="68">
        <v>26.0</v>
      </c>
      <c r="Q1099" s="1" t="s">
        <v>2130</v>
      </c>
      <c r="R1099" s="1" t="s">
        <v>13</v>
      </c>
      <c r="S1099" s="1"/>
      <c r="T1099" s="1"/>
      <c r="U1099" s="1" t="s">
        <v>567</v>
      </c>
      <c r="V1099" s="1" t="s">
        <v>567</v>
      </c>
      <c r="W1099" s="145">
        <f t="shared" si="1"/>
        <v>0.0005790038861</v>
      </c>
      <c r="AC1099" s="38"/>
    </row>
    <row r="1100" ht="15.75" customHeight="1">
      <c r="A1100" s="1" t="s">
        <v>1919</v>
      </c>
      <c r="B1100" s="1" t="s">
        <v>2127</v>
      </c>
      <c r="C1100" s="63">
        <v>46283.0</v>
      </c>
      <c r="D1100" s="63" t="s">
        <v>130</v>
      </c>
      <c r="E1100" s="68">
        <v>0.94800279</v>
      </c>
      <c r="F1100" s="1"/>
      <c r="G1100" s="23">
        <v>9.280688926E7</v>
      </c>
      <c r="H1100" s="23">
        <v>8.798118998E7</v>
      </c>
      <c r="I1100" s="23">
        <v>9.280688926E7</v>
      </c>
      <c r="J1100" s="23">
        <v>8.798118998E7</v>
      </c>
      <c r="K1100" s="24">
        <v>568306.0</v>
      </c>
      <c r="L1100" s="1" t="s">
        <v>1776</v>
      </c>
      <c r="M1100" s="1" t="s">
        <v>2128</v>
      </c>
      <c r="N1100" s="63" t="s">
        <v>543</v>
      </c>
      <c r="O1100" s="63" t="s">
        <v>543</v>
      </c>
      <c r="P1100" s="68">
        <v>26.0</v>
      </c>
      <c r="Q1100" s="1" t="s">
        <v>2130</v>
      </c>
      <c r="R1100" s="1" t="s">
        <v>13</v>
      </c>
      <c r="S1100" s="1"/>
      <c r="T1100" s="1"/>
      <c r="U1100" s="1" t="s">
        <v>568</v>
      </c>
      <c r="V1100" s="1" t="s">
        <v>568</v>
      </c>
      <c r="W1100" s="145">
        <f t="shared" si="1"/>
        <v>0.001799744022</v>
      </c>
      <c r="AC1100" s="38"/>
    </row>
    <row r="1101" ht="15.75" customHeight="1">
      <c r="A1101" s="1" t="s">
        <v>1919</v>
      </c>
      <c r="B1101" s="1" t="s">
        <v>2127</v>
      </c>
      <c r="C1101" s="63">
        <v>46283.0</v>
      </c>
      <c r="D1101" s="63" t="s">
        <v>130</v>
      </c>
      <c r="E1101" s="68">
        <v>0.94800279</v>
      </c>
      <c r="F1101" s="1"/>
      <c r="G1101" s="23">
        <v>2.041114744E7</v>
      </c>
      <c r="H1101" s="23">
        <v>1.934982473E7</v>
      </c>
      <c r="I1101" s="23">
        <v>2.041114744E7</v>
      </c>
      <c r="J1101" s="23">
        <v>1.934982473E7</v>
      </c>
      <c r="K1101" s="24">
        <v>568296.0</v>
      </c>
      <c r="L1101" s="1" t="s">
        <v>1776</v>
      </c>
      <c r="M1101" s="1" t="s">
        <v>2128</v>
      </c>
      <c r="N1101" s="63" t="s">
        <v>543</v>
      </c>
      <c r="O1101" s="63" t="s">
        <v>543</v>
      </c>
      <c r="P1101" s="68">
        <v>26.0</v>
      </c>
      <c r="Q1101" s="1" t="s">
        <v>2130</v>
      </c>
      <c r="R1101" s="1" t="s">
        <v>13</v>
      </c>
      <c r="S1101" s="1"/>
      <c r="T1101" s="1"/>
      <c r="U1101" s="1" t="s">
        <v>569</v>
      </c>
      <c r="V1101" s="1" t="s">
        <v>569</v>
      </c>
      <c r="W1101" s="145">
        <f t="shared" si="1"/>
        <v>0.0003958201905</v>
      </c>
      <c r="AC1101" s="38"/>
    </row>
    <row r="1102" ht="15.75" customHeight="1">
      <c r="A1102" s="1" t="s">
        <v>1919</v>
      </c>
      <c r="B1102" s="1" t="s">
        <v>2127</v>
      </c>
      <c r="C1102" s="63">
        <v>46283.0</v>
      </c>
      <c r="D1102" s="63" t="s">
        <v>130</v>
      </c>
      <c r="E1102" s="68">
        <v>0.94800279</v>
      </c>
      <c r="F1102" s="1"/>
      <c r="G1102" s="23">
        <v>6.872860828E7</v>
      </c>
      <c r="H1102" s="23">
        <v>6.515491242E7</v>
      </c>
      <c r="I1102" s="23">
        <v>6.872860828E7</v>
      </c>
      <c r="J1102" s="23">
        <v>6.515491242E7</v>
      </c>
      <c r="K1102" s="24">
        <v>568281.0</v>
      </c>
      <c r="L1102" s="1" t="s">
        <v>1776</v>
      </c>
      <c r="M1102" s="1" t="s">
        <v>2128</v>
      </c>
      <c r="N1102" s="63" t="s">
        <v>543</v>
      </c>
      <c r="O1102" s="63" t="s">
        <v>543</v>
      </c>
      <c r="P1102" s="68">
        <v>26.0</v>
      </c>
      <c r="Q1102" s="1" t="s">
        <v>2130</v>
      </c>
      <c r="R1102" s="1" t="s">
        <v>13</v>
      </c>
      <c r="S1102" s="1"/>
      <c r="T1102" s="1"/>
      <c r="U1102" s="1" t="s">
        <v>574</v>
      </c>
      <c r="V1102" s="1" t="s">
        <v>574</v>
      </c>
      <c r="W1102" s="145">
        <f t="shared" si="1"/>
        <v>0.001332809481</v>
      </c>
      <c r="AB1102" s="21"/>
      <c r="AC1102" s="38"/>
    </row>
    <row r="1103" ht="15.75" customHeight="1">
      <c r="A1103" s="1" t="s">
        <v>1919</v>
      </c>
      <c r="B1103" s="1" t="s">
        <v>2127</v>
      </c>
      <c r="C1103" s="63">
        <v>46283.0</v>
      </c>
      <c r="D1103" s="63" t="s">
        <v>130</v>
      </c>
      <c r="E1103" s="68">
        <v>0.94800279</v>
      </c>
      <c r="F1103" s="1"/>
      <c r="G1103" s="23">
        <v>6875275.09</v>
      </c>
      <c r="H1103" s="23">
        <v>6517779.97</v>
      </c>
      <c r="I1103" s="23">
        <v>6875275.09</v>
      </c>
      <c r="J1103" s="23">
        <v>6517779.97</v>
      </c>
      <c r="K1103" s="24">
        <v>568310.0</v>
      </c>
      <c r="L1103" s="1" t="s">
        <v>1776</v>
      </c>
      <c r="M1103" s="1" t="s">
        <v>2128</v>
      </c>
      <c r="N1103" s="63" t="s">
        <v>543</v>
      </c>
      <c r="O1103" s="63" t="s">
        <v>543</v>
      </c>
      <c r="P1103" s="68">
        <v>26.0</v>
      </c>
      <c r="Q1103" s="1" t="s">
        <v>2130</v>
      </c>
      <c r="R1103" s="1" t="s">
        <v>13</v>
      </c>
      <c r="S1103" s="1"/>
      <c r="T1103" s="1"/>
      <c r="U1103" s="1" t="s">
        <v>575</v>
      </c>
      <c r="V1103" s="1" t="s">
        <v>575</v>
      </c>
      <c r="W1103" s="145">
        <f t="shared" si="1"/>
        <v>0.0001333277663</v>
      </c>
      <c r="AC1103" s="38"/>
    </row>
    <row r="1104" ht="15.75" customHeight="1">
      <c r="A1104" s="1" t="s">
        <v>1919</v>
      </c>
      <c r="B1104" s="1" t="s">
        <v>2127</v>
      </c>
      <c r="C1104" s="63">
        <v>46283.0</v>
      </c>
      <c r="D1104" s="63" t="s">
        <v>130</v>
      </c>
      <c r="E1104" s="68">
        <v>0.94800279</v>
      </c>
      <c r="F1104" s="1"/>
      <c r="G1104" s="23">
        <v>6937722.32</v>
      </c>
      <c r="H1104" s="23">
        <v>6576980.12</v>
      </c>
      <c r="I1104" s="23">
        <v>6937722.32</v>
      </c>
      <c r="J1104" s="23">
        <v>6576980.12</v>
      </c>
      <c r="K1104" s="24">
        <v>568313.0</v>
      </c>
      <c r="L1104" s="1" t="s">
        <v>1776</v>
      </c>
      <c r="M1104" s="1" t="s">
        <v>2128</v>
      </c>
      <c r="N1104" s="63" t="s">
        <v>543</v>
      </c>
      <c r="O1104" s="63" t="s">
        <v>543</v>
      </c>
      <c r="P1104" s="68">
        <v>26.0</v>
      </c>
      <c r="Q1104" s="1" t="s">
        <v>2130</v>
      </c>
      <c r="R1104" s="1" t="s">
        <v>13</v>
      </c>
      <c r="S1104" s="1"/>
      <c r="T1104" s="1"/>
      <c r="U1104" s="1" t="s">
        <v>576</v>
      </c>
      <c r="V1104" s="1" t="s">
        <v>576</v>
      </c>
      <c r="W1104" s="145">
        <f t="shared" si="1"/>
        <v>0.0001345387651</v>
      </c>
      <c r="AC1104" s="38"/>
    </row>
    <row r="1105" ht="15.75" customHeight="1">
      <c r="A1105" s="1" t="s">
        <v>1919</v>
      </c>
      <c r="B1105" s="1" t="s">
        <v>2127</v>
      </c>
      <c r="C1105" s="63">
        <v>46283.0</v>
      </c>
      <c r="D1105" s="63" t="s">
        <v>130</v>
      </c>
      <c r="E1105" s="68">
        <v>0.94800279</v>
      </c>
      <c r="F1105" s="1"/>
      <c r="G1105" s="23">
        <v>3090146.07</v>
      </c>
      <c r="H1105" s="23">
        <v>2929467.1</v>
      </c>
      <c r="I1105" s="23">
        <v>3090146.07</v>
      </c>
      <c r="J1105" s="23">
        <v>2929467.1</v>
      </c>
      <c r="K1105" s="24">
        <v>568383.0</v>
      </c>
      <c r="L1105" s="1" t="s">
        <v>1776</v>
      </c>
      <c r="M1105" s="1" t="s">
        <v>2128</v>
      </c>
      <c r="N1105" s="63" t="s">
        <v>543</v>
      </c>
      <c r="O1105" s="63" t="s">
        <v>543</v>
      </c>
      <c r="P1105" s="68">
        <v>26.0</v>
      </c>
      <c r="Q1105" s="1" t="s">
        <v>2130</v>
      </c>
      <c r="R1105" s="1" t="s">
        <v>13</v>
      </c>
      <c r="S1105" s="1"/>
      <c r="T1105" s="1"/>
      <c r="U1105" s="1" t="s">
        <v>577</v>
      </c>
      <c r="V1105" s="1" t="s">
        <v>577</v>
      </c>
      <c r="W1105" s="145">
        <f t="shared" si="1"/>
        <v>0.00005992520562</v>
      </c>
      <c r="AC1105" s="38"/>
    </row>
    <row r="1106" ht="15.75" customHeight="1">
      <c r="A1106" s="1" t="s">
        <v>1976</v>
      </c>
      <c r="B1106" s="1" t="s">
        <v>2127</v>
      </c>
      <c r="C1106" s="63">
        <v>46283.0</v>
      </c>
      <c r="D1106" s="63" t="s">
        <v>130</v>
      </c>
      <c r="E1106" s="68">
        <v>0.92759683</v>
      </c>
      <c r="F1106" s="1"/>
      <c r="G1106" s="23">
        <v>3345657.98</v>
      </c>
      <c r="H1106" s="23">
        <v>3103421.75</v>
      </c>
      <c r="I1106" s="23">
        <v>3345657.98</v>
      </c>
      <c r="J1106" s="23">
        <v>3103421.75</v>
      </c>
      <c r="K1106" s="24">
        <v>252.0</v>
      </c>
      <c r="L1106" s="1" t="s">
        <v>1776</v>
      </c>
      <c r="M1106" s="1" t="s">
        <v>2128</v>
      </c>
      <c r="N1106" s="63" t="s">
        <v>1589</v>
      </c>
      <c r="O1106" s="63" t="s">
        <v>1589</v>
      </c>
      <c r="P1106" s="68">
        <v>37.0</v>
      </c>
      <c r="Q1106" s="1" t="s">
        <v>2130</v>
      </c>
      <c r="R1106" s="1" t="s">
        <v>13</v>
      </c>
      <c r="S1106" s="1"/>
      <c r="T1106" s="1"/>
      <c r="U1106" s="1" t="s">
        <v>1620</v>
      </c>
      <c r="V1106" s="1" t="s">
        <v>1620</v>
      </c>
      <c r="W1106" s="145">
        <f t="shared" si="1"/>
        <v>0.00006348362352</v>
      </c>
      <c r="AC1106" s="38"/>
    </row>
    <row r="1107" ht="15.75" customHeight="1">
      <c r="A1107" s="1" t="s">
        <v>1917</v>
      </c>
      <c r="B1107" s="1" t="s">
        <v>2127</v>
      </c>
      <c r="C1107" s="63">
        <v>46283.0</v>
      </c>
      <c r="D1107" s="63" t="s">
        <v>130</v>
      </c>
      <c r="E1107" s="68">
        <v>0.9404793</v>
      </c>
      <c r="F1107" s="1"/>
      <c r="G1107" s="23">
        <v>1.0E7</v>
      </c>
      <c r="H1107" s="23">
        <v>9404792.97</v>
      </c>
      <c r="I1107" s="23">
        <v>1.0E7</v>
      </c>
      <c r="J1107" s="23">
        <v>9404792.97</v>
      </c>
      <c r="K1107" s="24">
        <v>673.0</v>
      </c>
      <c r="L1107" s="1" t="s">
        <v>1776</v>
      </c>
      <c r="M1107" s="1" t="s">
        <v>2128</v>
      </c>
      <c r="N1107" s="63" t="s">
        <v>1399</v>
      </c>
      <c r="O1107" s="63" t="s">
        <v>1399</v>
      </c>
      <c r="P1107" s="68">
        <v>30.0</v>
      </c>
      <c r="Q1107" s="1" t="s">
        <v>2130</v>
      </c>
      <c r="R1107" s="1" t="s">
        <v>13</v>
      </c>
      <c r="S1107" s="1"/>
      <c r="T1107" s="1"/>
      <c r="U1107" s="1" t="s">
        <v>1405</v>
      </c>
      <c r="V1107" s="1" t="s">
        <v>1405</v>
      </c>
      <c r="W1107" s="145">
        <f t="shared" si="1"/>
        <v>0.0001923845305</v>
      </c>
      <c r="AC1107" s="38"/>
    </row>
    <row r="1108" ht="15.75" customHeight="1">
      <c r="A1108" s="1" t="s">
        <v>1917</v>
      </c>
      <c r="B1108" s="1" t="s">
        <v>2127</v>
      </c>
      <c r="C1108" s="63">
        <v>46283.0</v>
      </c>
      <c r="D1108" s="63" t="s">
        <v>130</v>
      </c>
      <c r="E1108" s="68">
        <v>0.9404795</v>
      </c>
      <c r="F1108" s="1"/>
      <c r="G1108" s="23">
        <v>5000000.0</v>
      </c>
      <c r="H1108" s="23">
        <v>4702397.49</v>
      </c>
      <c r="I1108" s="23">
        <v>5000000.0</v>
      </c>
      <c r="J1108" s="23">
        <v>4702397.49</v>
      </c>
      <c r="K1108" s="24">
        <v>683.0</v>
      </c>
      <c r="L1108" s="1" t="s">
        <v>1776</v>
      </c>
      <c r="M1108" s="1" t="s">
        <v>2128</v>
      </c>
      <c r="N1108" s="63" t="s">
        <v>1458</v>
      </c>
      <c r="O1108" s="63" t="s">
        <v>1458</v>
      </c>
      <c r="P1108" s="68">
        <v>30.0</v>
      </c>
      <c r="Q1108" s="1" t="s">
        <v>2130</v>
      </c>
      <c r="R1108" s="1" t="s">
        <v>13</v>
      </c>
      <c r="S1108" s="1"/>
      <c r="T1108" s="1"/>
      <c r="U1108" s="1" t="s">
        <v>1460</v>
      </c>
      <c r="V1108" s="1" t="s">
        <v>1460</v>
      </c>
      <c r="W1108" s="145">
        <f t="shared" si="1"/>
        <v>0.00009619228579</v>
      </c>
      <c r="AC1108" s="38"/>
    </row>
    <row r="1109" ht="15.75" customHeight="1">
      <c r="A1109" s="1" t="s">
        <v>1917</v>
      </c>
      <c r="B1109" s="1" t="s">
        <v>2127</v>
      </c>
      <c r="C1109" s="63">
        <v>46283.0</v>
      </c>
      <c r="D1109" s="63" t="s">
        <v>130</v>
      </c>
      <c r="E1109" s="68">
        <v>0.94047928</v>
      </c>
      <c r="F1109" s="1"/>
      <c r="G1109" s="23">
        <v>1.0E7</v>
      </c>
      <c r="H1109" s="23">
        <v>9404792.78</v>
      </c>
      <c r="I1109" s="23">
        <v>1.0E7</v>
      </c>
      <c r="J1109" s="23">
        <v>9404792.78</v>
      </c>
      <c r="K1109" s="24">
        <v>724.0</v>
      </c>
      <c r="L1109" s="1" t="s">
        <v>1776</v>
      </c>
      <c r="M1109" s="1" t="s">
        <v>2128</v>
      </c>
      <c r="N1109" s="63" t="s">
        <v>1488</v>
      </c>
      <c r="O1109" s="63" t="s">
        <v>1488</v>
      </c>
      <c r="P1109" s="68">
        <v>30.0</v>
      </c>
      <c r="Q1109" s="1" t="s">
        <v>2130</v>
      </c>
      <c r="R1109" s="1" t="s">
        <v>13</v>
      </c>
      <c r="S1109" s="1"/>
      <c r="T1109" s="1"/>
      <c r="U1109" s="1" t="s">
        <v>1563</v>
      </c>
      <c r="V1109" s="1" t="s">
        <v>1563</v>
      </c>
      <c r="W1109" s="145">
        <f t="shared" si="1"/>
        <v>0.0001923845266</v>
      </c>
      <c r="AC1109" s="38"/>
    </row>
    <row r="1110" ht="15.75" customHeight="1">
      <c r="A1110" s="1" t="s">
        <v>1917</v>
      </c>
      <c r="B1110" s="1" t="s">
        <v>2127</v>
      </c>
      <c r="C1110" s="63">
        <v>46283.0</v>
      </c>
      <c r="D1110" s="63" t="s">
        <v>130</v>
      </c>
      <c r="E1110" s="68">
        <v>0.94047928</v>
      </c>
      <c r="F1110" s="1"/>
      <c r="G1110" s="23">
        <v>1.0E7</v>
      </c>
      <c r="H1110" s="23">
        <v>9404792.84</v>
      </c>
      <c r="I1110" s="23">
        <v>1.0E7</v>
      </c>
      <c r="J1110" s="23">
        <v>9404792.84</v>
      </c>
      <c r="K1110" s="24">
        <v>569.0</v>
      </c>
      <c r="L1110" s="1" t="s">
        <v>1776</v>
      </c>
      <c r="M1110" s="1" t="s">
        <v>2128</v>
      </c>
      <c r="N1110" s="63" t="s">
        <v>1039</v>
      </c>
      <c r="O1110" s="63" t="s">
        <v>1039</v>
      </c>
      <c r="P1110" s="68">
        <v>30.0</v>
      </c>
      <c r="Q1110" s="1" t="s">
        <v>2130</v>
      </c>
      <c r="R1110" s="1" t="s">
        <v>13</v>
      </c>
      <c r="S1110" s="1"/>
      <c r="T1110" s="1"/>
      <c r="U1110" s="1" t="s">
        <v>1040</v>
      </c>
      <c r="V1110" s="1" t="s">
        <v>1040</v>
      </c>
      <c r="W1110" s="145">
        <f t="shared" si="1"/>
        <v>0.0001923845278</v>
      </c>
      <c r="AC1110" s="38"/>
    </row>
    <row r="1111" ht="15.75" customHeight="1">
      <c r="A1111" s="1" t="s">
        <v>1929</v>
      </c>
      <c r="B1111" s="1" t="s">
        <v>2127</v>
      </c>
      <c r="C1111" s="63">
        <v>46283.0</v>
      </c>
      <c r="D1111" s="63" t="s">
        <v>130</v>
      </c>
      <c r="E1111" s="68">
        <v>0.93124129</v>
      </c>
      <c r="F1111" s="1"/>
      <c r="G1111" s="23">
        <v>5.0E7</v>
      </c>
      <c r="H1111" s="23">
        <v>4.65620646E7</v>
      </c>
      <c r="I1111" s="23">
        <v>5.0E7</v>
      </c>
      <c r="J1111" s="23">
        <v>4.65620646E7</v>
      </c>
      <c r="K1111" s="24">
        <v>2873.0</v>
      </c>
      <c r="L1111" s="1" t="s">
        <v>1776</v>
      </c>
      <c r="M1111" s="1" t="s">
        <v>2128</v>
      </c>
      <c r="N1111" s="63" t="s">
        <v>1302</v>
      </c>
      <c r="O1111" s="63" t="s">
        <v>1302</v>
      </c>
      <c r="P1111" s="68">
        <v>35.0</v>
      </c>
      <c r="Q1111" s="1" t="s">
        <v>2130</v>
      </c>
      <c r="R1111" s="1" t="s">
        <v>13</v>
      </c>
      <c r="S1111" s="1"/>
      <c r="T1111" s="1"/>
      <c r="U1111" s="1" t="s">
        <v>1330</v>
      </c>
      <c r="V1111" s="1" t="s">
        <v>1330</v>
      </c>
      <c r="W1111" s="145">
        <f t="shared" si="1"/>
        <v>0.0009524740166</v>
      </c>
      <c r="AC1111" s="38"/>
    </row>
    <row r="1112" ht="15.75" customHeight="1">
      <c r="A1112" s="1" t="s">
        <v>1979</v>
      </c>
      <c r="B1112" s="1" t="s">
        <v>2127</v>
      </c>
      <c r="C1112" s="63">
        <v>46283.0</v>
      </c>
      <c r="D1112" s="63" t="s">
        <v>130</v>
      </c>
      <c r="E1112" s="68">
        <v>0.93491468</v>
      </c>
      <c r="F1112" s="1"/>
      <c r="G1112" s="23">
        <v>2500000.0</v>
      </c>
      <c r="H1112" s="23">
        <v>2337286.71</v>
      </c>
      <c r="I1112" s="23">
        <v>2500000.0</v>
      </c>
      <c r="J1112" s="23">
        <v>2337286.71</v>
      </c>
      <c r="K1112" s="24">
        <v>1200.0</v>
      </c>
      <c r="L1112" s="1" t="s">
        <v>1776</v>
      </c>
      <c r="M1112" s="1" t="s">
        <v>2128</v>
      </c>
      <c r="N1112" s="63" t="s">
        <v>827</v>
      </c>
      <c r="O1112" s="63" t="s">
        <v>827</v>
      </c>
      <c r="P1112" s="68">
        <v>33.0</v>
      </c>
      <c r="Q1112" s="1" t="s">
        <v>2130</v>
      </c>
      <c r="R1112" s="1" t="s">
        <v>13</v>
      </c>
      <c r="S1112" s="1"/>
      <c r="T1112" s="1"/>
      <c r="U1112" s="1" t="s">
        <v>842</v>
      </c>
      <c r="V1112" s="1" t="s">
        <v>842</v>
      </c>
      <c r="W1112" s="145">
        <f t="shared" si="1"/>
        <v>0.00004781155818</v>
      </c>
      <c r="AC1112" s="38"/>
    </row>
    <row r="1113" ht="15.75" customHeight="1">
      <c r="A1113" s="1" t="s">
        <v>1989</v>
      </c>
      <c r="B1113" s="1" t="s">
        <v>2127</v>
      </c>
      <c r="C1113" s="63">
        <v>46283.0</v>
      </c>
      <c r="D1113" s="63" t="s">
        <v>130</v>
      </c>
      <c r="E1113" s="68">
        <v>0.94047936</v>
      </c>
      <c r="F1113" s="1"/>
      <c r="G1113" s="23">
        <v>2868835.67</v>
      </c>
      <c r="H1113" s="23">
        <v>2698080.74</v>
      </c>
      <c r="I1113" s="23">
        <v>2868835.67</v>
      </c>
      <c r="J1113" s="23">
        <v>2698080.74</v>
      </c>
      <c r="K1113" s="24">
        <v>6278.0</v>
      </c>
      <c r="L1113" s="1" t="s">
        <v>1776</v>
      </c>
      <c r="M1113" s="1" t="s">
        <v>2128</v>
      </c>
      <c r="N1113" s="63" t="s">
        <v>1332</v>
      </c>
      <c r="O1113" s="63" t="s">
        <v>1332</v>
      </c>
      <c r="P1113" s="68">
        <v>30.0</v>
      </c>
      <c r="Q1113" s="1" t="s">
        <v>2130</v>
      </c>
      <c r="R1113" s="1" t="s">
        <v>13</v>
      </c>
      <c r="S1113" s="1"/>
      <c r="T1113" s="1"/>
      <c r="U1113" s="1" t="s">
        <v>1340</v>
      </c>
      <c r="V1113" s="1" t="s">
        <v>1340</v>
      </c>
      <c r="W1113" s="145">
        <f t="shared" si="1"/>
        <v>0.00005519196414</v>
      </c>
      <c r="AC1113" s="38"/>
    </row>
    <row r="1114" ht="15.75" customHeight="1">
      <c r="A1114" s="1" t="s">
        <v>1943</v>
      </c>
      <c r="B1114" s="1" t="s">
        <v>2127</v>
      </c>
      <c r="C1114" s="63">
        <v>46283.0</v>
      </c>
      <c r="D1114" s="63" t="s">
        <v>130</v>
      </c>
      <c r="E1114" s="68">
        <v>0.92578527</v>
      </c>
      <c r="F1114" s="1"/>
      <c r="G1114" s="23">
        <v>6.0E7</v>
      </c>
      <c r="H1114" s="23">
        <v>5.554711609E7</v>
      </c>
      <c r="I1114" s="23">
        <v>6.0E7</v>
      </c>
      <c r="J1114" s="23">
        <v>5.554711609E7</v>
      </c>
      <c r="K1114" s="24">
        <v>7.0379072E7</v>
      </c>
      <c r="L1114" s="1" t="s">
        <v>1776</v>
      </c>
      <c r="M1114" s="1" t="s">
        <v>2128</v>
      </c>
      <c r="N1114" s="63" t="s">
        <v>1381</v>
      </c>
      <c r="O1114" s="63" t="s">
        <v>1381</v>
      </c>
      <c r="P1114" s="68">
        <v>38.0</v>
      </c>
      <c r="Q1114" s="1" t="s">
        <v>2130</v>
      </c>
      <c r="R1114" s="1" t="s">
        <v>13</v>
      </c>
      <c r="S1114" s="1"/>
      <c r="T1114" s="1"/>
      <c r="U1114" s="1" t="s">
        <v>1390</v>
      </c>
      <c r="V1114" s="1" t="s">
        <v>1390</v>
      </c>
      <c r="W1114" s="145">
        <f t="shared" si="1"/>
        <v>0.001136272312</v>
      </c>
      <c r="AC1114" s="38"/>
    </row>
    <row r="1115" ht="15.75" customHeight="1">
      <c r="A1115" s="1" t="s">
        <v>1921</v>
      </c>
      <c r="B1115" s="1" t="s">
        <v>2127</v>
      </c>
      <c r="C1115" s="63">
        <v>46283.0</v>
      </c>
      <c r="D1115" s="63" t="s">
        <v>130</v>
      </c>
      <c r="E1115" s="68">
        <v>0.94422611</v>
      </c>
      <c r="F1115" s="1"/>
      <c r="G1115" s="23">
        <v>1.0E7</v>
      </c>
      <c r="H1115" s="23">
        <v>9442261.08</v>
      </c>
      <c r="I1115" s="23">
        <v>1.0E7</v>
      </c>
      <c r="J1115" s="23">
        <v>9442261.08</v>
      </c>
      <c r="K1115" s="24">
        <v>360565.0</v>
      </c>
      <c r="L1115" s="1" t="s">
        <v>1776</v>
      </c>
      <c r="M1115" s="1" t="s">
        <v>2128</v>
      </c>
      <c r="N1115" s="63" t="s">
        <v>404</v>
      </c>
      <c r="O1115" s="63" t="s">
        <v>404</v>
      </c>
      <c r="P1115" s="68">
        <v>28.0</v>
      </c>
      <c r="Q1115" s="1" t="s">
        <v>2130</v>
      </c>
      <c r="R1115" s="1" t="s">
        <v>13</v>
      </c>
      <c r="S1115" s="1"/>
      <c r="T1115" s="1"/>
      <c r="U1115" s="1" t="s">
        <v>420</v>
      </c>
      <c r="V1115" s="1" t="s">
        <v>420</v>
      </c>
      <c r="W1115" s="145">
        <f t="shared" si="1"/>
        <v>0.0001931509785</v>
      </c>
      <c r="AC1115" s="38"/>
    </row>
    <row r="1116" ht="15.75" customHeight="1">
      <c r="A1116" s="1" t="s">
        <v>1919</v>
      </c>
      <c r="B1116" s="1" t="s">
        <v>2127</v>
      </c>
      <c r="C1116" s="63">
        <v>46283.0</v>
      </c>
      <c r="D1116" s="63" t="s">
        <v>130</v>
      </c>
      <c r="E1116" s="68">
        <v>0.94800279</v>
      </c>
      <c r="F1116" s="1"/>
      <c r="G1116" s="23">
        <v>7075968.32</v>
      </c>
      <c r="H1116" s="23">
        <v>6708037.71</v>
      </c>
      <c r="I1116" s="23">
        <v>7075968.32</v>
      </c>
      <c r="J1116" s="23">
        <v>6708037.71</v>
      </c>
      <c r="K1116" s="24">
        <v>568319.0</v>
      </c>
      <c r="L1116" s="1" t="s">
        <v>1776</v>
      </c>
      <c r="M1116" s="1" t="s">
        <v>2128</v>
      </c>
      <c r="N1116" s="63" t="s">
        <v>543</v>
      </c>
      <c r="O1116" s="63" t="s">
        <v>543</v>
      </c>
      <c r="P1116" s="68">
        <v>26.0</v>
      </c>
      <c r="Q1116" s="1" t="s">
        <v>2130</v>
      </c>
      <c r="R1116" s="1" t="s">
        <v>13</v>
      </c>
      <c r="S1116" s="1"/>
      <c r="T1116" s="1"/>
      <c r="U1116" s="1" t="s">
        <v>585</v>
      </c>
      <c r="V1116" s="1" t="s">
        <v>585</v>
      </c>
      <c r="W1116" s="145">
        <f t="shared" si="1"/>
        <v>0.0001372196804</v>
      </c>
    </row>
    <row r="1117" ht="15.75" customHeight="1">
      <c r="A1117" s="1" t="s">
        <v>1919</v>
      </c>
      <c r="B1117" s="1" t="s">
        <v>2127</v>
      </c>
      <c r="C1117" s="63">
        <v>46283.0</v>
      </c>
      <c r="D1117" s="63" t="s">
        <v>130</v>
      </c>
      <c r="E1117" s="68">
        <v>0.94800279</v>
      </c>
      <c r="F1117" s="1"/>
      <c r="G1117" s="23">
        <v>1.180913297E7</v>
      </c>
      <c r="H1117" s="23">
        <v>1.119509101E7</v>
      </c>
      <c r="I1117" s="23">
        <v>1.180913297E7</v>
      </c>
      <c r="J1117" s="23">
        <v>1.119509101E7</v>
      </c>
      <c r="K1117" s="24">
        <v>568322.0</v>
      </c>
      <c r="L1117" s="1" t="s">
        <v>1776</v>
      </c>
      <c r="M1117" s="1" t="s">
        <v>2128</v>
      </c>
      <c r="N1117" s="63" t="s">
        <v>543</v>
      </c>
      <c r="O1117" s="63" t="s">
        <v>543</v>
      </c>
      <c r="P1117" s="68">
        <v>26.0</v>
      </c>
      <c r="Q1117" s="1" t="s">
        <v>2130</v>
      </c>
      <c r="R1117" s="1" t="s">
        <v>13</v>
      </c>
      <c r="S1117" s="1"/>
      <c r="T1117" s="1"/>
      <c r="U1117" s="1" t="s">
        <v>586</v>
      </c>
      <c r="V1117" s="1" t="s">
        <v>586</v>
      </c>
      <c r="W1117" s="145">
        <f t="shared" si="1"/>
        <v>0.0002290068834</v>
      </c>
      <c r="AC1117" s="38"/>
    </row>
    <row r="1118" ht="15.75" customHeight="1">
      <c r="A1118" s="1" t="s">
        <v>1919</v>
      </c>
      <c r="B1118" s="1" t="s">
        <v>2127</v>
      </c>
      <c r="C1118" s="63">
        <v>46283.0</v>
      </c>
      <c r="D1118" s="63" t="s">
        <v>130</v>
      </c>
      <c r="E1118" s="68">
        <v>0.94800279</v>
      </c>
      <c r="F1118" s="1"/>
      <c r="G1118" s="23">
        <v>3.169471328E7</v>
      </c>
      <c r="H1118" s="23">
        <v>3.004667663E7</v>
      </c>
      <c r="I1118" s="23">
        <v>3.169471328E7</v>
      </c>
      <c r="J1118" s="23">
        <v>3.004667663E7</v>
      </c>
      <c r="K1118" s="24">
        <v>568350.0</v>
      </c>
      <c r="L1118" s="1" t="s">
        <v>1776</v>
      </c>
      <c r="M1118" s="1" t="s">
        <v>2128</v>
      </c>
      <c r="N1118" s="63" t="s">
        <v>543</v>
      </c>
      <c r="O1118" s="63" t="s">
        <v>543</v>
      </c>
      <c r="P1118" s="68">
        <v>26.0</v>
      </c>
      <c r="Q1118" s="1" t="s">
        <v>2130</v>
      </c>
      <c r="R1118" s="1" t="s">
        <v>13</v>
      </c>
      <c r="S1118" s="1"/>
      <c r="T1118" s="1"/>
      <c r="U1118" s="1" t="s">
        <v>587</v>
      </c>
      <c r="V1118" s="1" t="s">
        <v>587</v>
      </c>
      <c r="W1118" s="145">
        <f t="shared" si="1"/>
        <v>0.0006146350902</v>
      </c>
      <c r="AC1118" s="38"/>
    </row>
    <row r="1119" ht="15.75" customHeight="1">
      <c r="A1119" s="1" t="s">
        <v>1919</v>
      </c>
      <c r="B1119" s="1" t="s">
        <v>2127</v>
      </c>
      <c r="C1119" s="63">
        <v>46283.0</v>
      </c>
      <c r="D1119" s="63" t="s">
        <v>130</v>
      </c>
      <c r="E1119" s="68">
        <v>0.94800279</v>
      </c>
      <c r="F1119" s="1"/>
      <c r="G1119" s="23">
        <v>2.001162016E7</v>
      </c>
      <c r="H1119" s="23">
        <v>1.897107175E7</v>
      </c>
      <c r="I1119" s="23">
        <v>2.001162016E7</v>
      </c>
      <c r="J1119" s="23">
        <v>1.897107175E7</v>
      </c>
      <c r="K1119" s="24">
        <v>568324.0</v>
      </c>
      <c r="L1119" s="1" t="s">
        <v>1776</v>
      </c>
      <c r="M1119" s="1" t="s">
        <v>2128</v>
      </c>
      <c r="N1119" s="63" t="s">
        <v>543</v>
      </c>
      <c r="O1119" s="63" t="s">
        <v>543</v>
      </c>
      <c r="P1119" s="68">
        <v>26.0</v>
      </c>
      <c r="Q1119" s="1" t="s">
        <v>2130</v>
      </c>
      <c r="R1119" s="1" t="s">
        <v>13</v>
      </c>
      <c r="S1119" s="1"/>
      <c r="T1119" s="1"/>
      <c r="U1119" s="1" t="s">
        <v>588</v>
      </c>
      <c r="V1119" s="1" t="s">
        <v>588</v>
      </c>
      <c r="W1119" s="145">
        <f t="shared" si="1"/>
        <v>0.0003880724161</v>
      </c>
      <c r="AC1119" s="38"/>
    </row>
    <row r="1120" ht="15.75" customHeight="1">
      <c r="A1120" s="1" t="s">
        <v>1919</v>
      </c>
      <c r="B1120" s="1" t="s">
        <v>2127</v>
      </c>
      <c r="C1120" s="63">
        <v>46283.0</v>
      </c>
      <c r="D1120" s="63" t="s">
        <v>130</v>
      </c>
      <c r="E1120" s="68">
        <v>0.94800279</v>
      </c>
      <c r="F1120" s="1"/>
      <c r="G1120" s="23">
        <v>3.4118781E7</v>
      </c>
      <c r="H1120" s="23">
        <v>3.234469959E7</v>
      </c>
      <c r="I1120" s="23">
        <v>3.4118781E7</v>
      </c>
      <c r="J1120" s="23">
        <v>3.234469959E7</v>
      </c>
      <c r="K1120" s="24">
        <v>568355.0</v>
      </c>
      <c r="L1120" s="1" t="s">
        <v>1776</v>
      </c>
      <c r="M1120" s="1" t="s">
        <v>2128</v>
      </c>
      <c r="N1120" s="63" t="s">
        <v>543</v>
      </c>
      <c r="O1120" s="63" t="s">
        <v>543</v>
      </c>
      <c r="P1120" s="68">
        <v>26.0</v>
      </c>
      <c r="Q1120" s="1" t="s">
        <v>2130</v>
      </c>
      <c r="R1120" s="1" t="s">
        <v>13</v>
      </c>
      <c r="S1120" s="1"/>
      <c r="T1120" s="1"/>
      <c r="U1120" s="1" t="s">
        <v>589</v>
      </c>
      <c r="V1120" s="1" t="s">
        <v>589</v>
      </c>
      <c r="W1120" s="145">
        <f t="shared" si="1"/>
        <v>0.0006616434688</v>
      </c>
      <c r="AC1120" s="38"/>
    </row>
    <row r="1121" ht="15.75" customHeight="1">
      <c r="A1121" s="1" t="s">
        <v>1926</v>
      </c>
      <c r="B1121" s="1" t="s">
        <v>2127</v>
      </c>
      <c r="C1121" s="63">
        <v>46283.0</v>
      </c>
      <c r="D1121" s="63" t="s">
        <v>130</v>
      </c>
      <c r="E1121" s="68">
        <v>0.93861704</v>
      </c>
      <c r="F1121" s="1"/>
      <c r="G1121" s="23">
        <v>3000000.0</v>
      </c>
      <c r="H1121" s="23">
        <v>2815851.13</v>
      </c>
      <c r="I1121" s="23">
        <v>3000000.0</v>
      </c>
      <c r="J1121" s="23">
        <v>2815851.13</v>
      </c>
      <c r="K1121" s="24">
        <v>9.0003467E7</v>
      </c>
      <c r="L1121" s="1" t="s">
        <v>1776</v>
      </c>
      <c r="M1121" s="1" t="s">
        <v>2128</v>
      </c>
      <c r="N1121" s="63" t="s">
        <v>446</v>
      </c>
      <c r="O1121" s="63" t="s">
        <v>446</v>
      </c>
      <c r="P1121" s="68">
        <v>31.0</v>
      </c>
      <c r="Q1121" s="1" t="s">
        <v>2130</v>
      </c>
      <c r="R1121" s="1" t="s">
        <v>13</v>
      </c>
      <c r="S1121" s="1"/>
      <c r="T1121" s="1"/>
      <c r="U1121" s="1" t="s">
        <v>494</v>
      </c>
      <c r="V1121" s="1" t="s">
        <v>494</v>
      </c>
      <c r="W1121" s="145">
        <f t="shared" si="1"/>
        <v>0.00005760107631</v>
      </c>
      <c r="AC1121" s="38"/>
    </row>
    <row r="1122" ht="15.75" customHeight="1">
      <c r="A1122" s="1" t="s">
        <v>1932</v>
      </c>
      <c r="B1122" s="1" t="s">
        <v>2127</v>
      </c>
      <c r="C1122" s="63">
        <v>46286.0</v>
      </c>
      <c r="D1122" s="63" t="s">
        <v>130</v>
      </c>
      <c r="E1122" s="68">
        <v>0.93445983</v>
      </c>
      <c r="F1122" s="1"/>
      <c r="G1122" s="23">
        <v>1.535531045E7</v>
      </c>
      <c r="H1122" s="23">
        <v>1.434892086E7</v>
      </c>
      <c r="I1122" s="23">
        <v>1.535531045E7</v>
      </c>
      <c r="J1122" s="23">
        <v>1.434892086E7</v>
      </c>
      <c r="K1122" s="24">
        <v>30748.0</v>
      </c>
      <c r="L1122" s="1" t="s">
        <v>1776</v>
      </c>
      <c r="M1122" s="1" t="s">
        <v>2128</v>
      </c>
      <c r="N1122" s="63" t="s">
        <v>1118</v>
      </c>
      <c r="O1122" s="63" t="s">
        <v>1118</v>
      </c>
      <c r="P1122" s="68">
        <v>32.0</v>
      </c>
      <c r="Q1122" s="1" t="s">
        <v>2130</v>
      </c>
      <c r="R1122" s="1" t="s">
        <v>13</v>
      </c>
      <c r="S1122" s="1"/>
      <c r="T1122" s="1"/>
      <c r="U1122" s="1" t="s">
        <v>1185</v>
      </c>
      <c r="V1122" s="1" t="s">
        <v>1185</v>
      </c>
      <c r="W1122" s="145">
        <f t="shared" si="1"/>
        <v>0.0002935216555</v>
      </c>
      <c r="AC1122" s="38"/>
    </row>
    <row r="1123" ht="15.75" customHeight="1">
      <c r="A1123" s="1" t="s">
        <v>1931</v>
      </c>
      <c r="B1123" s="1" t="s">
        <v>2127</v>
      </c>
      <c r="C1123" s="63">
        <v>46286.0</v>
      </c>
      <c r="D1123" s="63" t="s">
        <v>130</v>
      </c>
      <c r="E1123" s="68">
        <v>0.93445983</v>
      </c>
      <c r="F1123" s="1"/>
      <c r="G1123" s="23">
        <v>1.0E7</v>
      </c>
      <c r="H1123" s="23">
        <v>9344598.34</v>
      </c>
      <c r="I1123" s="23">
        <v>1.0E7</v>
      </c>
      <c r="J1123" s="23">
        <v>9344598.34</v>
      </c>
      <c r="K1123" s="24">
        <v>1.3795884E7</v>
      </c>
      <c r="L1123" s="1" t="s">
        <v>1776</v>
      </c>
      <c r="M1123" s="1" t="s">
        <v>2128</v>
      </c>
      <c r="N1123" s="63" t="s">
        <v>1118</v>
      </c>
      <c r="O1123" s="63" t="s">
        <v>1118</v>
      </c>
      <c r="P1123" s="68">
        <v>32.0</v>
      </c>
      <c r="Q1123" s="1" t="s">
        <v>2130</v>
      </c>
      <c r="R1123" s="1" t="s">
        <v>13</v>
      </c>
      <c r="S1123" s="1"/>
      <c r="T1123" s="1"/>
      <c r="U1123" s="1" t="s">
        <v>1152</v>
      </c>
      <c r="V1123" s="1" t="s">
        <v>1152</v>
      </c>
      <c r="W1123" s="145">
        <f t="shared" si="1"/>
        <v>0.0001911531886</v>
      </c>
      <c r="AC1123" s="38"/>
    </row>
    <row r="1124" ht="15.75" customHeight="1">
      <c r="A1124" s="1" t="s">
        <v>1931</v>
      </c>
      <c r="B1124" s="1" t="s">
        <v>2127</v>
      </c>
      <c r="C1124" s="63">
        <v>46286.0</v>
      </c>
      <c r="D1124" s="63" t="s">
        <v>130</v>
      </c>
      <c r="E1124" s="68">
        <v>0.93445983</v>
      </c>
      <c r="F1124" s="1"/>
      <c r="G1124" s="23">
        <v>1.0E7</v>
      </c>
      <c r="H1124" s="23">
        <v>9344598.34</v>
      </c>
      <c r="I1124" s="23">
        <v>1.0E7</v>
      </c>
      <c r="J1124" s="23">
        <v>9344598.34</v>
      </c>
      <c r="K1124" s="24">
        <v>1.379588E7</v>
      </c>
      <c r="L1124" s="1" t="s">
        <v>1776</v>
      </c>
      <c r="M1124" s="1" t="s">
        <v>2128</v>
      </c>
      <c r="N1124" s="63" t="s">
        <v>1118</v>
      </c>
      <c r="O1124" s="63" t="s">
        <v>1118</v>
      </c>
      <c r="P1124" s="68">
        <v>32.0</v>
      </c>
      <c r="Q1124" s="1" t="s">
        <v>2130</v>
      </c>
      <c r="R1124" s="1" t="s">
        <v>13</v>
      </c>
      <c r="S1124" s="1"/>
      <c r="T1124" s="1"/>
      <c r="U1124" s="1" t="s">
        <v>1153</v>
      </c>
      <c r="V1124" s="1" t="s">
        <v>1153</v>
      </c>
      <c r="W1124" s="145">
        <f t="shared" si="1"/>
        <v>0.0001911531886</v>
      </c>
      <c r="AC1124" s="38"/>
    </row>
    <row r="1125" ht="15.75" customHeight="1">
      <c r="A1125" s="1" t="s">
        <v>1931</v>
      </c>
      <c r="B1125" s="1" t="s">
        <v>2127</v>
      </c>
      <c r="C1125" s="63">
        <v>46286.0</v>
      </c>
      <c r="D1125" s="63" t="s">
        <v>130</v>
      </c>
      <c r="E1125" s="68">
        <v>0.93445983</v>
      </c>
      <c r="F1125" s="1"/>
      <c r="G1125" s="23">
        <v>4.0E7</v>
      </c>
      <c r="H1125" s="23">
        <v>3.737839336E7</v>
      </c>
      <c r="I1125" s="23">
        <v>4.0E7</v>
      </c>
      <c r="J1125" s="23">
        <v>3.737839336E7</v>
      </c>
      <c r="K1125" s="24">
        <v>1.3662785E7</v>
      </c>
      <c r="L1125" s="1" t="s">
        <v>1776</v>
      </c>
      <c r="M1125" s="1" t="s">
        <v>2128</v>
      </c>
      <c r="N1125" s="63" t="s">
        <v>1118</v>
      </c>
      <c r="O1125" s="63" t="s">
        <v>1118</v>
      </c>
      <c r="P1125" s="68">
        <v>32.0</v>
      </c>
      <c r="Q1125" s="1" t="s">
        <v>2130</v>
      </c>
      <c r="R1125" s="1" t="s">
        <v>13</v>
      </c>
      <c r="S1125" s="1"/>
      <c r="T1125" s="1"/>
      <c r="U1125" s="1" t="s">
        <v>1154</v>
      </c>
      <c r="V1125" s="1" t="s">
        <v>1154</v>
      </c>
      <c r="W1125" s="145">
        <f t="shared" si="1"/>
        <v>0.0007646127543</v>
      </c>
      <c r="AC1125" s="38"/>
    </row>
    <row r="1126" ht="15.75" customHeight="1">
      <c r="A1126" s="1" t="s">
        <v>1975</v>
      </c>
      <c r="B1126" s="1" t="s">
        <v>2127</v>
      </c>
      <c r="C1126" s="63">
        <v>46286.0</v>
      </c>
      <c r="D1126" s="63" t="s">
        <v>130</v>
      </c>
      <c r="E1126" s="68">
        <v>0.92311589</v>
      </c>
      <c r="F1126" s="1"/>
      <c r="G1126" s="23">
        <v>4500000.0</v>
      </c>
      <c r="H1126" s="23">
        <v>4154021.52</v>
      </c>
      <c r="I1126" s="23">
        <v>4500000.0</v>
      </c>
      <c r="J1126" s="23">
        <v>4154021.52</v>
      </c>
      <c r="K1126" s="24">
        <v>559.0</v>
      </c>
      <c r="L1126" s="1" t="s">
        <v>1776</v>
      </c>
      <c r="M1126" s="1" t="s">
        <v>2128</v>
      </c>
      <c r="N1126" s="63" t="s">
        <v>446</v>
      </c>
      <c r="O1126" s="63" t="s">
        <v>446</v>
      </c>
      <c r="P1126" s="68">
        <v>38.0</v>
      </c>
      <c r="Q1126" s="1" t="s">
        <v>2130</v>
      </c>
      <c r="R1126" s="1" t="s">
        <v>13</v>
      </c>
      <c r="S1126" s="1"/>
      <c r="T1126" s="1"/>
      <c r="U1126" s="1" t="s">
        <v>516</v>
      </c>
      <c r="V1126" s="1" t="s">
        <v>516</v>
      </c>
      <c r="W1126" s="145">
        <f t="shared" si="1"/>
        <v>0.00008497470197</v>
      </c>
      <c r="AC1126" s="38"/>
    </row>
    <row r="1127" ht="15.75" customHeight="1">
      <c r="A1127" s="1" t="s">
        <v>1918</v>
      </c>
      <c r="B1127" s="1" t="s">
        <v>2127</v>
      </c>
      <c r="C1127" s="63">
        <v>46286.0</v>
      </c>
      <c r="D1127" s="63" t="s">
        <v>130</v>
      </c>
      <c r="E1127" s="68">
        <v>0.93254984</v>
      </c>
      <c r="F1127" s="1"/>
      <c r="G1127" s="23">
        <v>1.5E8</v>
      </c>
      <c r="H1127" s="23">
        <v>1.398824766E8</v>
      </c>
      <c r="I1127" s="23">
        <v>1.5E8</v>
      </c>
      <c r="J1127" s="23">
        <v>1.398824766E8</v>
      </c>
      <c r="K1127" s="24">
        <v>7.0389147E7</v>
      </c>
      <c r="L1127" s="1" t="s">
        <v>1776</v>
      </c>
      <c r="M1127" s="1" t="s">
        <v>2128</v>
      </c>
      <c r="N1127" s="63" t="s">
        <v>130</v>
      </c>
      <c r="O1127" s="63" t="s">
        <v>130</v>
      </c>
      <c r="P1127" s="68">
        <v>33.0</v>
      </c>
      <c r="Q1127" s="1" t="s">
        <v>2130</v>
      </c>
      <c r="R1127" s="1" t="s">
        <v>13</v>
      </c>
      <c r="S1127" s="1"/>
      <c r="T1127" s="1"/>
      <c r="U1127" s="1" t="s">
        <v>1658</v>
      </c>
      <c r="V1127" s="1" t="s">
        <v>1658</v>
      </c>
      <c r="W1127" s="145">
        <f t="shared" si="1"/>
        <v>0.002861437213</v>
      </c>
      <c r="AC1127" s="38"/>
    </row>
    <row r="1128" ht="15.75" customHeight="1">
      <c r="A1128" s="1" t="s">
        <v>1976</v>
      </c>
      <c r="B1128" s="1" t="s">
        <v>2127</v>
      </c>
      <c r="C1128" s="63">
        <v>46286.0</v>
      </c>
      <c r="D1128" s="63" t="s">
        <v>130</v>
      </c>
      <c r="E1128" s="68">
        <v>0.92498758</v>
      </c>
      <c r="F1128" s="1"/>
      <c r="G1128" s="23">
        <v>3345657.98</v>
      </c>
      <c r="H1128" s="23">
        <v>3094692.09</v>
      </c>
      <c r="I1128" s="23">
        <v>3345657.98</v>
      </c>
      <c r="J1128" s="23">
        <v>3094692.09</v>
      </c>
      <c r="K1128" s="24">
        <v>253.0</v>
      </c>
      <c r="L1128" s="1" t="s">
        <v>1776</v>
      </c>
      <c r="M1128" s="1" t="s">
        <v>2128</v>
      </c>
      <c r="N1128" s="63" t="s">
        <v>1589</v>
      </c>
      <c r="O1128" s="63" t="s">
        <v>1589</v>
      </c>
      <c r="P1128" s="68">
        <v>37.0</v>
      </c>
      <c r="Q1128" s="1" t="s">
        <v>2130</v>
      </c>
      <c r="R1128" s="1" t="s">
        <v>13</v>
      </c>
      <c r="S1128" s="1"/>
      <c r="T1128" s="1"/>
      <c r="U1128" s="1" t="s">
        <v>1615</v>
      </c>
      <c r="V1128" s="1" t="s">
        <v>1615</v>
      </c>
      <c r="W1128" s="145">
        <f t="shared" si="1"/>
        <v>0.00006330504952</v>
      </c>
      <c r="AC1128" s="38"/>
    </row>
    <row r="1129" ht="15.75" customHeight="1">
      <c r="A1129" s="1" t="s">
        <v>1975</v>
      </c>
      <c r="B1129" s="1" t="s">
        <v>2127</v>
      </c>
      <c r="C1129" s="63">
        <v>46286.0</v>
      </c>
      <c r="D1129" s="63" t="s">
        <v>130</v>
      </c>
      <c r="E1129" s="68">
        <v>0.92311599</v>
      </c>
      <c r="F1129" s="1"/>
      <c r="G1129" s="23">
        <v>4463318.82</v>
      </c>
      <c r="H1129" s="23">
        <v>4120160.99</v>
      </c>
      <c r="I1129" s="23">
        <v>4463318.82</v>
      </c>
      <c r="J1129" s="23">
        <v>4120160.99</v>
      </c>
      <c r="K1129" s="24">
        <v>347.0</v>
      </c>
      <c r="L1129" s="1" t="s">
        <v>1776</v>
      </c>
      <c r="M1129" s="1" t="s">
        <v>2128</v>
      </c>
      <c r="N1129" s="63" t="s">
        <v>307</v>
      </c>
      <c r="O1129" s="63" t="s">
        <v>307</v>
      </c>
      <c r="P1129" s="68">
        <v>38.0</v>
      </c>
      <c r="Q1129" s="1" t="s">
        <v>2130</v>
      </c>
      <c r="R1129" s="1" t="s">
        <v>13</v>
      </c>
      <c r="S1129" s="1"/>
      <c r="T1129" s="1"/>
      <c r="U1129" s="1" t="s">
        <v>336</v>
      </c>
      <c r="V1129" s="1" t="s">
        <v>336</v>
      </c>
      <c r="W1129" s="145">
        <f t="shared" si="1"/>
        <v>0.00008428205066</v>
      </c>
      <c r="AC1129" s="38"/>
    </row>
    <row r="1130" ht="15.75" customHeight="1">
      <c r="A1130" s="1" t="s">
        <v>1917</v>
      </c>
      <c r="B1130" s="1" t="s">
        <v>2127</v>
      </c>
      <c r="C1130" s="63">
        <v>46286.0</v>
      </c>
      <c r="D1130" s="63" t="s">
        <v>130</v>
      </c>
      <c r="E1130" s="68">
        <v>0.93830359</v>
      </c>
      <c r="F1130" s="1"/>
      <c r="G1130" s="23">
        <v>1.0E7</v>
      </c>
      <c r="H1130" s="23">
        <v>9383035.89</v>
      </c>
      <c r="I1130" s="23">
        <v>1.0E7</v>
      </c>
      <c r="J1130" s="23">
        <v>9383035.89</v>
      </c>
      <c r="K1130" s="24">
        <v>702.0</v>
      </c>
      <c r="L1130" s="1" t="s">
        <v>1776</v>
      </c>
      <c r="M1130" s="1" t="s">
        <v>2128</v>
      </c>
      <c r="N1130" s="63" t="s">
        <v>1473</v>
      </c>
      <c r="O1130" s="63" t="s">
        <v>1473</v>
      </c>
      <c r="P1130" s="68">
        <v>30.0</v>
      </c>
      <c r="Q1130" s="1" t="s">
        <v>2130</v>
      </c>
      <c r="R1130" s="1" t="s">
        <v>13</v>
      </c>
      <c r="S1130" s="1"/>
      <c r="T1130" s="1"/>
      <c r="U1130" s="1" t="s">
        <v>1475</v>
      </c>
      <c r="V1130" s="1" t="s">
        <v>1475</v>
      </c>
      <c r="W1130" s="145">
        <f t="shared" si="1"/>
        <v>0.0001919394674</v>
      </c>
      <c r="AC1130" s="38"/>
    </row>
    <row r="1131" ht="15.75" customHeight="1">
      <c r="A1131" s="1" t="s">
        <v>1903</v>
      </c>
      <c r="B1131" s="1" t="s">
        <v>2127</v>
      </c>
      <c r="C1131" s="63">
        <v>46286.0</v>
      </c>
      <c r="D1131" s="63" t="s">
        <v>130</v>
      </c>
      <c r="E1131" s="68">
        <v>0.94412832</v>
      </c>
      <c r="F1131" s="1"/>
      <c r="G1131" s="23">
        <v>1.0E7</v>
      </c>
      <c r="H1131" s="23">
        <v>9441283.21</v>
      </c>
      <c r="I1131" s="23">
        <v>1.0E7</v>
      </c>
      <c r="J1131" s="23">
        <v>9441283.21</v>
      </c>
      <c r="K1131" s="24">
        <v>6.7280466E7</v>
      </c>
      <c r="L1131" s="1" t="s">
        <v>1776</v>
      </c>
      <c r="M1131" s="1" t="s">
        <v>2128</v>
      </c>
      <c r="N1131" s="63" t="s">
        <v>1118</v>
      </c>
      <c r="O1131" s="63" t="s">
        <v>1118</v>
      </c>
      <c r="P1131" s="68">
        <v>27.0</v>
      </c>
      <c r="Q1131" s="1" t="s">
        <v>2130</v>
      </c>
      <c r="R1131" s="1" t="s">
        <v>13</v>
      </c>
      <c r="S1131" s="1"/>
      <c r="T1131" s="1"/>
      <c r="U1131" s="1" t="s">
        <v>1124</v>
      </c>
      <c r="V1131" s="1" t="s">
        <v>1124</v>
      </c>
      <c r="W1131" s="145">
        <f t="shared" si="1"/>
        <v>0.0001931309751</v>
      </c>
      <c r="AC1131" s="38"/>
    </row>
    <row r="1132" ht="15.75" customHeight="1">
      <c r="A1132" s="1" t="s">
        <v>1903</v>
      </c>
      <c r="B1132" s="1" t="s">
        <v>2127</v>
      </c>
      <c r="C1132" s="63">
        <v>46286.0</v>
      </c>
      <c r="D1132" s="63" t="s">
        <v>130</v>
      </c>
      <c r="E1132" s="68">
        <v>0.94412832</v>
      </c>
      <c r="F1132" s="1"/>
      <c r="G1132" s="23">
        <v>5000000.0</v>
      </c>
      <c r="H1132" s="23">
        <v>4720641.61</v>
      </c>
      <c r="I1132" s="23">
        <v>5000000.0</v>
      </c>
      <c r="J1132" s="23">
        <v>4720641.61</v>
      </c>
      <c r="K1132" s="24">
        <v>6.7193052E7</v>
      </c>
      <c r="L1132" s="1" t="s">
        <v>1776</v>
      </c>
      <c r="M1132" s="1" t="s">
        <v>2128</v>
      </c>
      <c r="N1132" s="63" t="s">
        <v>1118</v>
      </c>
      <c r="O1132" s="63" t="s">
        <v>1118</v>
      </c>
      <c r="P1132" s="68">
        <v>27.0</v>
      </c>
      <c r="Q1132" s="1" t="s">
        <v>2130</v>
      </c>
      <c r="R1132" s="1" t="s">
        <v>13</v>
      </c>
      <c r="S1132" s="1"/>
      <c r="T1132" s="1"/>
      <c r="U1132" s="1" t="s">
        <v>1133</v>
      </c>
      <c r="V1132" s="1" t="s">
        <v>1133</v>
      </c>
      <c r="W1132" s="145">
        <f t="shared" si="1"/>
        <v>0.00009656548768</v>
      </c>
      <c r="AC1132" s="38"/>
    </row>
    <row r="1133" ht="15.75" customHeight="1">
      <c r="A1133" s="1" t="s">
        <v>1903</v>
      </c>
      <c r="B1133" s="1" t="s">
        <v>2127</v>
      </c>
      <c r="C1133" s="63">
        <v>46286.0</v>
      </c>
      <c r="D1133" s="63" t="s">
        <v>130</v>
      </c>
      <c r="E1133" s="68">
        <v>0.94412832</v>
      </c>
      <c r="F1133" s="1"/>
      <c r="G1133" s="23">
        <v>1.0E7</v>
      </c>
      <c r="H1133" s="23">
        <v>9441283.21</v>
      </c>
      <c r="I1133" s="23">
        <v>1.0E7</v>
      </c>
      <c r="J1133" s="23">
        <v>9441283.21</v>
      </c>
      <c r="K1133" s="24">
        <v>6.7205341E7</v>
      </c>
      <c r="L1133" s="1" t="s">
        <v>1776</v>
      </c>
      <c r="M1133" s="1" t="s">
        <v>2128</v>
      </c>
      <c r="N1133" s="63" t="s">
        <v>1118</v>
      </c>
      <c r="O1133" s="63" t="s">
        <v>1118</v>
      </c>
      <c r="P1133" s="68">
        <v>27.0</v>
      </c>
      <c r="Q1133" s="1" t="s">
        <v>2130</v>
      </c>
      <c r="R1133" s="1" t="s">
        <v>13</v>
      </c>
      <c r="S1133" s="1"/>
      <c r="T1133" s="1"/>
      <c r="U1133" s="1" t="s">
        <v>1119</v>
      </c>
      <c r="V1133" s="1" t="s">
        <v>1119</v>
      </c>
      <c r="W1133" s="145">
        <f t="shared" si="1"/>
        <v>0.0001931309751</v>
      </c>
      <c r="AC1133" s="38"/>
    </row>
    <row r="1134" ht="15.75" customHeight="1">
      <c r="A1134" s="1" t="s">
        <v>1969</v>
      </c>
      <c r="B1134" s="1" t="s">
        <v>2127</v>
      </c>
      <c r="C1134" s="63">
        <v>46286.0</v>
      </c>
      <c r="D1134" s="63" t="s">
        <v>130</v>
      </c>
      <c r="E1134" s="68">
        <v>0.93254992</v>
      </c>
      <c r="F1134" s="1"/>
      <c r="G1134" s="23">
        <v>1.9470985E7</v>
      </c>
      <c r="H1134" s="23">
        <v>1.815766555E7</v>
      </c>
      <c r="I1134" s="23">
        <v>1.9470985E7</v>
      </c>
      <c r="J1134" s="23">
        <v>1.815766555E7</v>
      </c>
      <c r="K1134" s="24">
        <v>1065.0</v>
      </c>
      <c r="L1134" s="1" t="s">
        <v>1776</v>
      </c>
      <c r="M1134" s="1" t="s">
        <v>2128</v>
      </c>
      <c r="N1134" s="63" t="s">
        <v>1302</v>
      </c>
      <c r="O1134" s="63" t="s">
        <v>1302</v>
      </c>
      <c r="P1134" s="68">
        <v>33.0</v>
      </c>
      <c r="Q1134" s="1" t="s">
        <v>2130</v>
      </c>
      <c r="R1134" s="1" t="s">
        <v>13</v>
      </c>
      <c r="S1134" s="1"/>
      <c r="T1134" s="1"/>
      <c r="U1134" s="1" t="s">
        <v>1325</v>
      </c>
      <c r="V1134" s="1" t="s">
        <v>1325</v>
      </c>
      <c r="W1134" s="145">
        <f t="shared" si="1"/>
        <v>0.0003714333715</v>
      </c>
      <c r="AC1134" s="38"/>
    </row>
    <row r="1135" ht="15.75" customHeight="1">
      <c r="A1135" s="1" t="s">
        <v>1916</v>
      </c>
      <c r="B1135" s="1" t="s">
        <v>2127</v>
      </c>
      <c r="C1135" s="63">
        <v>46287.0</v>
      </c>
      <c r="D1135" s="63" t="s">
        <v>130</v>
      </c>
      <c r="E1135" s="68">
        <v>0.94346955</v>
      </c>
      <c r="F1135" s="1"/>
      <c r="G1135" s="23">
        <v>2.0E7</v>
      </c>
      <c r="H1135" s="23">
        <v>1.886939093E7</v>
      </c>
      <c r="I1135" s="23">
        <v>2.0E7</v>
      </c>
      <c r="J1135" s="23">
        <v>1.886939093E7</v>
      </c>
      <c r="K1135" s="24">
        <v>6.797008E7</v>
      </c>
      <c r="L1135" s="1" t="s">
        <v>1776</v>
      </c>
      <c r="M1135" s="1" t="s">
        <v>2128</v>
      </c>
      <c r="N1135" s="63" t="s">
        <v>1473</v>
      </c>
      <c r="O1135" s="63" t="s">
        <v>1473</v>
      </c>
      <c r="P1135" s="68">
        <v>27.0</v>
      </c>
      <c r="Q1135" s="1" t="s">
        <v>2130</v>
      </c>
      <c r="R1135" s="1" t="s">
        <v>13</v>
      </c>
      <c r="S1135" s="1"/>
      <c r="T1135" s="1"/>
      <c r="U1135" s="1" t="s">
        <v>1481</v>
      </c>
      <c r="V1135" s="1" t="s">
        <v>1481</v>
      </c>
      <c r="W1135" s="145">
        <f t="shared" si="1"/>
        <v>0.0003859924324</v>
      </c>
      <c r="AC1135" s="38"/>
    </row>
    <row r="1136" ht="15.75" customHeight="1">
      <c r="A1136" s="1" t="s">
        <v>1932</v>
      </c>
      <c r="B1136" s="1" t="s">
        <v>2127</v>
      </c>
      <c r="C1136" s="63">
        <v>46287.0</v>
      </c>
      <c r="D1136" s="63" t="s">
        <v>130</v>
      </c>
      <c r="E1136" s="68">
        <v>0.93369505</v>
      </c>
      <c r="F1136" s="1"/>
      <c r="G1136" s="23">
        <v>1.535531045E7</v>
      </c>
      <c r="H1136" s="23">
        <v>1.433717738E7</v>
      </c>
      <c r="I1136" s="23">
        <v>1.535531045E7</v>
      </c>
      <c r="J1136" s="23">
        <v>1.433717738E7</v>
      </c>
      <c r="K1136" s="24">
        <v>30749.0</v>
      </c>
      <c r="L1136" s="1" t="s">
        <v>1776</v>
      </c>
      <c r="M1136" s="1" t="s">
        <v>2128</v>
      </c>
      <c r="N1136" s="63" t="s">
        <v>1118</v>
      </c>
      <c r="O1136" s="63" t="s">
        <v>1118</v>
      </c>
      <c r="P1136" s="68">
        <v>32.0</v>
      </c>
      <c r="Q1136" s="1" t="s">
        <v>2130</v>
      </c>
      <c r="R1136" s="1" t="s">
        <v>13</v>
      </c>
      <c r="S1136" s="1"/>
      <c r="T1136" s="1"/>
      <c r="U1136" s="1" t="s">
        <v>1186</v>
      </c>
      <c r="V1136" s="1" t="s">
        <v>1186</v>
      </c>
      <c r="W1136" s="145">
        <f t="shared" si="1"/>
        <v>0.0002932814308</v>
      </c>
      <c r="AC1136" s="38"/>
    </row>
    <row r="1137" ht="15.75" customHeight="1">
      <c r="A1137" s="1" t="s">
        <v>1931</v>
      </c>
      <c r="B1137" s="1" t="s">
        <v>2127</v>
      </c>
      <c r="C1137" s="63">
        <v>46287.0</v>
      </c>
      <c r="D1137" s="63" t="s">
        <v>130</v>
      </c>
      <c r="E1137" s="68">
        <v>0.93369505</v>
      </c>
      <c r="F1137" s="1"/>
      <c r="G1137" s="23">
        <v>4.0E7</v>
      </c>
      <c r="H1137" s="23">
        <v>3.734780206E7</v>
      </c>
      <c r="I1137" s="23">
        <v>4.0E7</v>
      </c>
      <c r="J1137" s="23">
        <v>3.734780206E7</v>
      </c>
      <c r="K1137" s="24">
        <v>1.3662787E7</v>
      </c>
      <c r="L1137" s="1" t="s">
        <v>1776</v>
      </c>
      <c r="M1137" s="1" t="s">
        <v>2128</v>
      </c>
      <c r="N1137" s="63" t="s">
        <v>1118</v>
      </c>
      <c r="O1137" s="63" t="s">
        <v>1118</v>
      </c>
      <c r="P1137" s="68">
        <v>32.0</v>
      </c>
      <c r="Q1137" s="1" t="s">
        <v>2130</v>
      </c>
      <c r="R1137" s="1" t="s">
        <v>13</v>
      </c>
      <c r="S1137" s="1"/>
      <c r="T1137" s="1"/>
      <c r="U1137" s="1" t="s">
        <v>1155</v>
      </c>
      <c r="V1137" s="1" t="s">
        <v>1155</v>
      </c>
      <c r="W1137" s="145">
        <f t="shared" si="1"/>
        <v>0.0007639869784</v>
      </c>
      <c r="AC1137" s="38"/>
    </row>
    <row r="1138" ht="15.75" customHeight="1">
      <c r="A1138" s="1" t="s">
        <v>1992</v>
      </c>
      <c r="B1138" s="1" t="s">
        <v>2127</v>
      </c>
      <c r="C1138" s="63">
        <v>46287.0</v>
      </c>
      <c r="D1138" s="63" t="s">
        <v>130</v>
      </c>
      <c r="E1138" s="68">
        <v>0.93176429</v>
      </c>
      <c r="F1138" s="1"/>
      <c r="G1138" s="23">
        <v>1.710670417E7</v>
      </c>
      <c r="H1138" s="23">
        <v>1.593941608E7</v>
      </c>
      <c r="I1138" s="23">
        <v>1.710670417E7</v>
      </c>
      <c r="J1138" s="23">
        <v>1.593941608E7</v>
      </c>
      <c r="K1138" s="24">
        <v>940.0</v>
      </c>
      <c r="L1138" s="1" t="s">
        <v>1776</v>
      </c>
      <c r="M1138" s="1" t="s">
        <v>2128</v>
      </c>
      <c r="N1138" s="63" t="s">
        <v>1048</v>
      </c>
      <c r="O1138" s="63" t="s">
        <v>1048</v>
      </c>
      <c r="P1138" s="68">
        <v>33.0</v>
      </c>
      <c r="Q1138" s="1" t="s">
        <v>2130</v>
      </c>
      <c r="R1138" s="1" t="s">
        <v>13</v>
      </c>
      <c r="S1138" s="1"/>
      <c r="T1138" s="1"/>
      <c r="U1138" s="1" t="s">
        <v>1069</v>
      </c>
      <c r="V1138" s="1" t="s">
        <v>1069</v>
      </c>
      <c r="W1138" s="145">
        <f t="shared" si="1"/>
        <v>0.0003260568402</v>
      </c>
      <c r="AC1138" s="38"/>
    </row>
    <row r="1139" ht="15.75" customHeight="1">
      <c r="A1139" s="1" t="s">
        <v>1976</v>
      </c>
      <c r="B1139" s="1" t="s">
        <v>2127</v>
      </c>
      <c r="C1139" s="63">
        <v>46287.0</v>
      </c>
      <c r="D1139" s="63" t="s">
        <v>130</v>
      </c>
      <c r="E1139" s="68">
        <v>0.92412099</v>
      </c>
      <c r="F1139" s="1"/>
      <c r="G1139" s="23">
        <v>3345657.98</v>
      </c>
      <c r="H1139" s="23">
        <v>3091792.75</v>
      </c>
      <c r="I1139" s="23">
        <v>3345657.98</v>
      </c>
      <c r="J1139" s="23">
        <v>3091792.75</v>
      </c>
      <c r="K1139" s="24">
        <v>254.0</v>
      </c>
      <c r="L1139" s="1" t="s">
        <v>1776</v>
      </c>
      <c r="M1139" s="1" t="s">
        <v>2128</v>
      </c>
      <c r="N1139" s="63" t="s">
        <v>1589</v>
      </c>
      <c r="O1139" s="63" t="s">
        <v>1589</v>
      </c>
      <c r="P1139" s="68">
        <v>37.0</v>
      </c>
      <c r="Q1139" s="1" t="s">
        <v>2130</v>
      </c>
      <c r="R1139" s="1" t="s">
        <v>13</v>
      </c>
      <c r="S1139" s="1"/>
      <c r="T1139" s="1"/>
      <c r="U1139" s="1" t="s">
        <v>1618</v>
      </c>
      <c r="V1139" s="1" t="s">
        <v>1618</v>
      </c>
      <c r="W1139" s="145">
        <f t="shared" si="1"/>
        <v>0.00006324574059</v>
      </c>
      <c r="AC1139" s="38"/>
    </row>
    <row r="1140" ht="15.75" customHeight="1">
      <c r="A1140" s="1" t="s">
        <v>1903</v>
      </c>
      <c r="B1140" s="1" t="s">
        <v>2127</v>
      </c>
      <c r="C1140" s="63">
        <v>46287.0</v>
      </c>
      <c r="D1140" s="63" t="s">
        <v>130</v>
      </c>
      <c r="E1140" s="68">
        <v>0.94346953</v>
      </c>
      <c r="F1140" s="1"/>
      <c r="G1140" s="23">
        <v>5000000.0</v>
      </c>
      <c r="H1140" s="23">
        <v>4717347.67</v>
      </c>
      <c r="I1140" s="23">
        <v>5000000.0</v>
      </c>
      <c r="J1140" s="23">
        <v>4717347.67</v>
      </c>
      <c r="K1140" s="24">
        <v>6.7193053E7</v>
      </c>
      <c r="L1140" s="1" t="s">
        <v>1776</v>
      </c>
      <c r="M1140" s="1" t="s">
        <v>2128</v>
      </c>
      <c r="N1140" s="63" t="s">
        <v>1118</v>
      </c>
      <c r="O1140" s="63" t="s">
        <v>1118</v>
      </c>
      <c r="P1140" s="68">
        <v>27.0</v>
      </c>
      <c r="Q1140" s="1" t="s">
        <v>2130</v>
      </c>
      <c r="R1140" s="1" t="s">
        <v>13</v>
      </c>
      <c r="S1140" s="1"/>
      <c r="T1140" s="1"/>
      <c r="U1140" s="1" t="s">
        <v>1125</v>
      </c>
      <c r="V1140" s="1" t="s">
        <v>1125</v>
      </c>
      <c r="W1140" s="145">
        <f t="shared" si="1"/>
        <v>0.00009649810681</v>
      </c>
      <c r="AC1140" s="38"/>
    </row>
    <row r="1141" ht="15.75" customHeight="1">
      <c r="A1141" s="1" t="s">
        <v>1929</v>
      </c>
      <c r="B1141" s="1" t="s">
        <v>2127</v>
      </c>
      <c r="C1141" s="63">
        <v>46287.0</v>
      </c>
      <c r="D1141" s="63" t="s">
        <v>130</v>
      </c>
      <c r="E1141" s="68">
        <v>0.92792703</v>
      </c>
      <c r="F1141" s="1"/>
      <c r="G1141" s="23">
        <v>5.0E7</v>
      </c>
      <c r="H1141" s="23">
        <v>4.639635166E7</v>
      </c>
      <c r="I1141" s="23">
        <v>5.0E7</v>
      </c>
      <c r="J1141" s="23">
        <v>4.639635166E7</v>
      </c>
      <c r="K1141" s="24">
        <v>2885.0</v>
      </c>
      <c r="L1141" s="1" t="s">
        <v>1776</v>
      </c>
      <c r="M1141" s="1" t="s">
        <v>2128</v>
      </c>
      <c r="N1141" s="63" t="s">
        <v>1375</v>
      </c>
      <c r="O1141" s="63" t="s">
        <v>1375</v>
      </c>
      <c r="P1141" s="68">
        <v>35.0</v>
      </c>
      <c r="Q1141" s="1" t="s">
        <v>2130</v>
      </c>
      <c r="R1141" s="1" t="s">
        <v>13</v>
      </c>
      <c r="S1141" s="1"/>
      <c r="T1141" s="1"/>
      <c r="U1141" s="1" t="s">
        <v>1376</v>
      </c>
      <c r="V1141" s="1" t="s">
        <v>1376</v>
      </c>
      <c r="W1141" s="145">
        <f t="shared" si="1"/>
        <v>0.0009490841912</v>
      </c>
      <c r="AC1141" s="38"/>
    </row>
    <row r="1142" ht="15.75" customHeight="1">
      <c r="A1142" s="1" t="s">
        <v>1934</v>
      </c>
      <c r="B1142" s="1" t="s">
        <v>2127</v>
      </c>
      <c r="C1142" s="63">
        <v>46287.0</v>
      </c>
      <c r="D1142" s="63" t="s">
        <v>130</v>
      </c>
      <c r="E1142" s="68">
        <v>0.93953513</v>
      </c>
      <c r="F1142" s="1"/>
      <c r="G1142" s="23">
        <v>2.5E7</v>
      </c>
      <c r="H1142" s="23">
        <v>2.348837837E7</v>
      </c>
      <c r="I1142" s="23">
        <v>2.5E7</v>
      </c>
      <c r="J1142" s="23">
        <v>2.348837837E7</v>
      </c>
      <c r="K1142" s="24">
        <v>6.6410159E7</v>
      </c>
      <c r="L1142" s="1" t="s">
        <v>1776</v>
      </c>
      <c r="M1142" s="1" t="s">
        <v>2128</v>
      </c>
      <c r="N1142" s="63" t="s">
        <v>446</v>
      </c>
      <c r="O1142" s="63" t="s">
        <v>446</v>
      </c>
      <c r="P1142" s="68">
        <v>29.0</v>
      </c>
      <c r="Q1142" s="1" t="s">
        <v>2130</v>
      </c>
      <c r="R1142" s="1" t="s">
        <v>13</v>
      </c>
      <c r="S1142" s="1"/>
      <c r="T1142" s="1"/>
      <c r="U1142" s="1" t="s">
        <v>499</v>
      </c>
      <c r="V1142" s="1" t="s">
        <v>499</v>
      </c>
      <c r="W1142" s="145">
        <f t="shared" si="1"/>
        <v>0.0004804784814</v>
      </c>
      <c r="AC1142" s="38"/>
    </row>
    <row r="1143" ht="15.75" customHeight="1">
      <c r="A1143" s="1" t="s">
        <v>1939</v>
      </c>
      <c r="B1143" s="1" t="s">
        <v>2127</v>
      </c>
      <c r="C1143" s="63">
        <v>46287.0</v>
      </c>
      <c r="D1143" s="63" t="s">
        <v>130</v>
      </c>
      <c r="E1143" s="68">
        <v>0.93176423</v>
      </c>
      <c r="F1143" s="1"/>
      <c r="G1143" s="23">
        <v>1.25E7</v>
      </c>
      <c r="H1143" s="23">
        <v>1.164705289E7</v>
      </c>
      <c r="I1143" s="23">
        <v>1.25E7</v>
      </c>
      <c r="J1143" s="23">
        <v>1.164705289E7</v>
      </c>
      <c r="K1143" s="24">
        <v>1360.0</v>
      </c>
      <c r="L1143" s="1" t="s">
        <v>1776</v>
      </c>
      <c r="M1143" s="1" t="s">
        <v>2128</v>
      </c>
      <c r="N1143" s="63" t="s">
        <v>863</v>
      </c>
      <c r="O1143" s="63" t="s">
        <v>863</v>
      </c>
      <c r="P1143" s="68">
        <v>33.0</v>
      </c>
      <c r="Q1143" s="1" t="s">
        <v>2130</v>
      </c>
      <c r="R1143" s="1" t="s">
        <v>13</v>
      </c>
      <c r="S1143" s="1"/>
      <c r="T1143" s="1"/>
      <c r="U1143" s="1" t="s">
        <v>869</v>
      </c>
      <c r="V1143" s="1" t="s">
        <v>869</v>
      </c>
      <c r="W1143" s="145">
        <f t="shared" si="1"/>
        <v>0.0002382522198</v>
      </c>
      <c r="AC1143" s="38"/>
    </row>
    <row r="1144" ht="15.75" customHeight="1">
      <c r="A1144" s="1" t="s">
        <v>1951</v>
      </c>
      <c r="B1144" s="1" t="s">
        <v>2127</v>
      </c>
      <c r="C1144" s="63">
        <v>46287.0</v>
      </c>
      <c r="D1144" s="63" t="s">
        <v>130</v>
      </c>
      <c r="E1144" s="68">
        <v>0.94743676</v>
      </c>
      <c r="F1144" s="1"/>
      <c r="G1144" s="23">
        <v>7250000.0</v>
      </c>
      <c r="H1144" s="23">
        <v>6868916.49</v>
      </c>
      <c r="I1144" s="23">
        <v>7250000.0</v>
      </c>
      <c r="J1144" s="23">
        <v>6868916.49</v>
      </c>
      <c r="K1144" s="24">
        <v>33954.0</v>
      </c>
      <c r="L1144" s="1" t="s">
        <v>1776</v>
      </c>
      <c r="M1144" s="1" t="s">
        <v>2128</v>
      </c>
      <c r="N1144" s="63" t="s">
        <v>1302</v>
      </c>
      <c r="O1144" s="63" t="s">
        <v>1302</v>
      </c>
      <c r="P1144" s="68">
        <v>25.0</v>
      </c>
      <c r="Q1144" s="1" t="s">
        <v>2130</v>
      </c>
      <c r="R1144" s="1" t="s">
        <v>13</v>
      </c>
      <c r="S1144" s="1"/>
      <c r="T1144" s="1"/>
      <c r="U1144" s="1" t="s">
        <v>1314</v>
      </c>
      <c r="V1144" s="1" t="s">
        <v>1314</v>
      </c>
      <c r="W1144" s="145">
        <f t="shared" si="1"/>
        <v>0.0001405106181</v>
      </c>
      <c r="AC1144" s="38"/>
    </row>
    <row r="1145" ht="15.75" customHeight="1">
      <c r="A1145" s="1" t="s">
        <v>1926</v>
      </c>
      <c r="B1145" s="1" t="s">
        <v>2127</v>
      </c>
      <c r="C1145" s="63">
        <v>46287.0</v>
      </c>
      <c r="D1145" s="63" t="s">
        <v>130</v>
      </c>
      <c r="E1145" s="68">
        <v>0.94149817</v>
      </c>
      <c r="F1145" s="1"/>
      <c r="G1145" s="23">
        <v>1.0E7</v>
      </c>
      <c r="H1145" s="23">
        <v>9414981.68</v>
      </c>
      <c r="I1145" s="23">
        <v>1.0E7</v>
      </c>
      <c r="J1145" s="23">
        <v>9414981.68</v>
      </c>
      <c r="K1145" s="24">
        <v>1406548.0</v>
      </c>
      <c r="L1145" s="1" t="s">
        <v>1776</v>
      </c>
      <c r="M1145" s="1" t="s">
        <v>2128</v>
      </c>
      <c r="N1145" s="63" t="s">
        <v>1209</v>
      </c>
      <c r="O1145" s="63" t="s">
        <v>1209</v>
      </c>
      <c r="P1145" s="68">
        <v>28.0</v>
      </c>
      <c r="Q1145" s="1" t="s">
        <v>2130</v>
      </c>
      <c r="R1145" s="1" t="s">
        <v>13</v>
      </c>
      <c r="S1145" s="1"/>
      <c r="T1145" s="1"/>
      <c r="U1145" s="1" t="s">
        <v>1210</v>
      </c>
      <c r="V1145" s="1" t="s">
        <v>1210</v>
      </c>
      <c r="W1145" s="145">
        <f t="shared" si="1"/>
        <v>0.0001925929508</v>
      </c>
      <c r="AC1145" s="38"/>
    </row>
    <row r="1146" ht="15.75" customHeight="1">
      <c r="A1146" s="1" t="s">
        <v>2038</v>
      </c>
      <c r="B1146" s="1" t="s">
        <v>2127</v>
      </c>
      <c r="C1146" s="63">
        <v>46287.0</v>
      </c>
      <c r="D1146" s="63" t="s">
        <v>130</v>
      </c>
      <c r="E1146" s="68">
        <v>0.93176429</v>
      </c>
      <c r="F1146" s="1"/>
      <c r="G1146" s="23">
        <v>5134985.93</v>
      </c>
      <c r="H1146" s="23">
        <v>4784596.52</v>
      </c>
      <c r="I1146" s="23">
        <v>5134985.93</v>
      </c>
      <c r="J1146" s="23">
        <v>4784596.52</v>
      </c>
      <c r="K1146" s="24">
        <v>403.0</v>
      </c>
      <c r="L1146" s="1" t="s">
        <v>1776</v>
      </c>
      <c r="M1146" s="1" t="s">
        <v>2128</v>
      </c>
      <c r="N1146" s="63" t="s">
        <v>1048</v>
      </c>
      <c r="O1146" s="63" t="s">
        <v>1048</v>
      </c>
      <c r="P1146" s="68">
        <v>33.0</v>
      </c>
      <c r="Q1146" s="1" t="s">
        <v>2130</v>
      </c>
      <c r="R1146" s="1" t="s">
        <v>13</v>
      </c>
      <c r="S1146" s="1"/>
      <c r="T1146" s="1"/>
      <c r="U1146" s="1" t="s">
        <v>1075</v>
      </c>
      <c r="V1146" s="1" t="s">
        <v>1075</v>
      </c>
      <c r="W1146" s="145">
        <f t="shared" si="1"/>
        <v>0.0000978737499</v>
      </c>
      <c r="AC1146" s="38"/>
    </row>
    <row r="1147" ht="15.75" customHeight="1">
      <c r="A1147" s="1" t="s">
        <v>2027</v>
      </c>
      <c r="B1147" s="1" t="s">
        <v>2127</v>
      </c>
      <c r="C1147" s="63">
        <v>46287.0</v>
      </c>
      <c r="D1147" s="63" t="s">
        <v>130</v>
      </c>
      <c r="E1147" s="68">
        <v>0.93369503</v>
      </c>
      <c r="F1147" s="1"/>
      <c r="G1147" s="23">
        <v>1000000.0</v>
      </c>
      <c r="H1147" s="23">
        <v>933695.03</v>
      </c>
      <c r="I1147" s="23">
        <v>1000000.0</v>
      </c>
      <c r="J1147" s="23">
        <v>933695.03</v>
      </c>
      <c r="K1147" s="24">
        <v>6.7381776E7</v>
      </c>
      <c r="L1147" s="1" t="s">
        <v>1776</v>
      </c>
      <c r="M1147" s="1" t="s">
        <v>2128</v>
      </c>
      <c r="N1147" s="63" t="s">
        <v>1118</v>
      </c>
      <c r="O1147" s="63" t="s">
        <v>1118</v>
      </c>
      <c r="P1147" s="68">
        <v>32.0</v>
      </c>
      <c r="Q1147" s="1" t="s">
        <v>2130</v>
      </c>
      <c r="R1147" s="1" t="s">
        <v>13</v>
      </c>
      <c r="S1147" s="1"/>
      <c r="T1147" s="1"/>
      <c r="U1147" s="1" t="s">
        <v>1165</v>
      </c>
      <c r="V1147" s="1" t="s">
        <v>1165</v>
      </c>
      <c r="W1147" s="145">
        <f t="shared" si="1"/>
        <v>0.00001909967402</v>
      </c>
      <c r="AC1147" s="38"/>
    </row>
    <row r="1148" ht="15.75" customHeight="1">
      <c r="A1148" s="1" t="s">
        <v>1956</v>
      </c>
      <c r="B1148" s="1" t="s">
        <v>2127</v>
      </c>
      <c r="C1148" s="63">
        <v>46287.0</v>
      </c>
      <c r="D1148" s="63" t="s">
        <v>130</v>
      </c>
      <c r="E1148" s="68">
        <v>0.9336949</v>
      </c>
      <c r="F1148" s="1"/>
      <c r="G1148" s="23">
        <v>1.0E7</v>
      </c>
      <c r="H1148" s="23">
        <v>9336949.03</v>
      </c>
      <c r="I1148" s="23">
        <v>1.0E7</v>
      </c>
      <c r="J1148" s="23">
        <v>9336949.03</v>
      </c>
      <c r="K1148" s="24">
        <v>6.7448929E7</v>
      </c>
      <c r="L1148" s="1" t="s">
        <v>1776</v>
      </c>
      <c r="M1148" s="1" t="s">
        <v>2128</v>
      </c>
      <c r="N1148" s="63" t="s">
        <v>1209</v>
      </c>
      <c r="O1148" s="63" t="s">
        <v>1209</v>
      </c>
      <c r="P1148" s="68">
        <v>32.0</v>
      </c>
      <c r="Q1148" s="1" t="s">
        <v>2130</v>
      </c>
      <c r="R1148" s="1" t="s">
        <v>13</v>
      </c>
      <c r="S1148" s="1"/>
      <c r="T1148" s="1"/>
      <c r="U1148" s="1" t="s">
        <v>1219</v>
      </c>
      <c r="V1148" s="1" t="s">
        <v>1219</v>
      </c>
      <c r="W1148" s="145">
        <f t="shared" si="1"/>
        <v>0.0001909967142</v>
      </c>
      <c r="AC1148" s="38"/>
    </row>
    <row r="1149" ht="15.75" customHeight="1">
      <c r="A1149" s="1" t="s">
        <v>1932</v>
      </c>
      <c r="B1149" s="1" t="s">
        <v>2127</v>
      </c>
      <c r="C1149" s="63">
        <v>46288.0</v>
      </c>
      <c r="D1149" s="63" t="s">
        <v>130</v>
      </c>
      <c r="E1149" s="68">
        <v>0.93293131</v>
      </c>
      <c r="F1149" s="1"/>
      <c r="G1149" s="23">
        <v>1.535531045E7</v>
      </c>
      <c r="H1149" s="23">
        <v>1.432544996E7</v>
      </c>
      <c r="I1149" s="23">
        <v>1.535531045E7</v>
      </c>
      <c r="J1149" s="23">
        <v>1.432544996E7</v>
      </c>
      <c r="K1149" s="24">
        <v>30750.0</v>
      </c>
      <c r="L1149" s="1" t="s">
        <v>1776</v>
      </c>
      <c r="M1149" s="1" t="s">
        <v>2128</v>
      </c>
      <c r="N1149" s="63" t="s">
        <v>1118</v>
      </c>
      <c r="O1149" s="63" t="s">
        <v>1118</v>
      </c>
      <c r="P1149" s="68">
        <v>32.0</v>
      </c>
      <c r="Q1149" s="1" t="s">
        <v>2130</v>
      </c>
      <c r="R1149" s="1" t="s">
        <v>13</v>
      </c>
      <c r="S1149" s="1"/>
      <c r="T1149" s="1"/>
      <c r="U1149" s="1" t="s">
        <v>1187</v>
      </c>
      <c r="V1149" s="1" t="s">
        <v>1187</v>
      </c>
      <c r="W1149" s="145">
        <f t="shared" si="1"/>
        <v>0.0002930415346</v>
      </c>
      <c r="AC1149" s="38"/>
    </row>
    <row r="1150" ht="15.75" customHeight="1">
      <c r="A1150" s="1" t="s">
        <v>1919</v>
      </c>
      <c r="B1150" s="1" t="s">
        <v>2127</v>
      </c>
      <c r="C1150" s="63">
        <v>46288.0</v>
      </c>
      <c r="D1150" s="63" t="s">
        <v>130</v>
      </c>
      <c r="E1150" s="68">
        <v>0.94884073</v>
      </c>
      <c r="F1150" s="1"/>
      <c r="G1150" s="23">
        <v>685765.71</v>
      </c>
      <c r="H1150" s="23">
        <v>650682.44</v>
      </c>
      <c r="I1150" s="23">
        <v>685765.71</v>
      </c>
      <c r="J1150" s="23">
        <v>650682.44</v>
      </c>
      <c r="K1150" s="24">
        <v>612096.0</v>
      </c>
      <c r="L1150" s="1" t="s">
        <v>1776</v>
      </c>
      <c r="M1150" s="1" t="s">
        <v>2128</v>
      </c>
      <c r="N1150" s="63" t="s">
        <v>946</v>
      </c>
      <c r="O1150" s="63" t="s">
        <v>946</v>
      </c>
      <c r="P1150" s="68">
        <v>24.0</v>
      </c>
      <c r="Q1150" s="1" t="s">
        <v>2130</v>
      </c>
      <c r="R1150" s="1" t="s">
        <v>13</v>
      </c>
      <c r="S1150" s="1"/>
      <c r="T1150" s="1"/>
      <c r="U1150" s="1" t="s">
        <v>979</v>
      </c>
      <c r="V1150" s="1" t="s">
        <v>979</v>
      </c>
      <c r="W1150" s="145">
        <f t="shared" si="1"/>
        <v>0.00001331036591</v>
      </c>
      <c r="AC1150" s="38"/>
    </row>
    <row r="1151" ht="15.75" customHeight="1">
      <c r="A1151" s="1" t="s">
        <v>1919</v>
      </c>
      <c r="B1151" s="1" t="s">
        <v>2127</v>
      </c>
      <c r="C1151" s="63">
        <v>46288.0</v>
      </c>
      <c r="D1151" s="63" t="s">
        <v>130</v>
      </c>
      <c r="E1151" s="68">
        <v>0.94884072</v>
      </c>
      <c r="F1151" s="1"/>
      <c r="G1151" s="23">
        <v>535280.22</v>
      </c>
      <c r="H1151" s="23">
        <v>507895.67</v>
      </c>
      <c r="I1151" s="23">
        <v>535280.22</v>
      </c>
      <c r="J1151" s="23">
        <v>507895.67</v>
      </c>
      <c r="K1151" s="24">
        <v>612233.0</v>
      </c>
      <c r="L1151" s="1" t="s">
        <v>1776</v>
      </c>
      <c r="M1151" s="1" t="s">
        <v>2128</v>
      </c>
      <c r="N1151" s="63" t="s">
        <v>946</v>
      </c>
      <c r="O1151" s="63" t="s">
        <v>946</v>
      </c>
      <c r="P1151" s="68">
        <v>24.0</v>
      </c>
      <c r="Q1151" s="1" t="s">
        <v>2130</v>
      </c>
      <c r="R1151" s="1" t="s">
        <v>13</v>
      </c>
      <c r="S1151" s="1"/>
      <c r="T1151" s="1"/>
      <c r="U1151" s="1" t="s">
        <v>983</v>
      </c>
      <c r="V1151" s="1" t="s">
        <v>983</v>
      </c>
      <c r="W1151" s="145">
        <f t="shared" si="1"/>
        <v>0.00001038951844</v>
      </c>
      <c r="AC1151" s="38"/>
    </row>
    <row r="1152" ht="15.75" customHeight="1">
      <c r="A1152" s="1" t="s">
        <v>1919</v>
      </c>
      <c r="B1152" s="1" t="s">
        <v>2127</v>
      </c>
      <c r="C1152" s="63">
        <v>46288.0</v>
      </c>
      <c r="D1152" s="63" t="s">
        <v>130</v>
      </c>
      <c r="E1152" s="68">
        <v>0.94884072</v>
      </c>
      <c r="F1152" s="1"/>
      <c r="G1152" s="23">
        <v>535280.22</v>
      </c>
      <c r="H1152" s="23">
        <v>507895.67</v>
      </c>
      <c r="I1152" s="23">
        <v>535280.22</v>
      </c>
      <c r="J1152" s="23">
        <v>507895.67</v>
      </c>
      <c r="K1152" s="24">
        <v>612235.0</v>
      </c>
      <c r="L1152" s="1" t="s">
        <v>1776</v>
      </c>
      <c r="M1152" s="1" t="s">
        <v>2128</v>
      </c>
      <c r="N1152" s="63" t="s">
        <v>946</v>
      </c>
      <c r="O1152" s="63" t="s">
        <v>946</v>
      </c>
      <c r="P1152" s="68">
        <v>24.0</v>
      </c>
      <c r="Q1152" s="1" t="s">
        <v>2130</v>
      </c>
      <c r="R1152" s="1" t="s">
        <v>13</v>
      </c>
      <c r="S1152" s="1"/>
      <c r="T1152" s="1"/>
      <c r="U1152" s="1" t="s">
        <v>984</v>
      </c>
      <c r="V1152" s="1" t="s">
        <v>984</v>
      </c>
      <c r="W1152" s="145">
        <f t="shared" si="1"/>
        <v>0.00001038951844</v>
      </c>
      <c r="AC1152" s="38"/>
    </row>
    <row r="1153" ht="15.75" customHeight="1">
      <c r="A1153" s="1" t="s">
        <v>1919</v>
      </c>
      <c r="B1153" s="1" t="s">
        <v>2127</v>
      </c>
      <c r="C1153" s="63">
        <v>46288.0</v>
      </c>
      <c r="D1153" s="63" t="s">
        <v>130</v>
      </c>
      <c r="E1153" s="68">
        <v>0.94884073</v>
      </c>
      <c r="F1153" s="1"/>
      <c r="G1153" s="23">
        <v>689115.82</v>
      </c>
      <c r="H1153" s="23">
        <v>653861.16</v>
      </c>
      <c r="I1153" s="23">
        <v>689115.82</v>
      </c>
      <c r="J1153" s="23">
        <v>653861.16</v>
      </c>
      <c r="K1153" s="24">
        <v>612121.0</v>
      </c>
      <c r="L1153" s="1" t="s">
        <v>1776</v>
      </c>
      <c r="M1153" s="1" t="s">
        <v>2128</v>
      </c>
      <c r="N1153" s="63" t="s">
        <v>946</v>
      </c>
      <c r="O1153" s="63" t="s">
        <v>946</v>
      </c>
      <c r="P1153" s="68">
        <v>24.0</v>
      </c>
      <c r="Q1153" s="1" t="s">
        <v>2130</v>
      </c>
      <c r="R1153" s="1" t="s">
        <v>13</v>
      </c>
      <c r="S1153" s="1"/>
      <c r="T1153" s="1"/>
      <c r="U1153" s="1" t="s">
        <v>985</v>
      </c>
      <c r="V1153" s="1" t="s">
        <v>985</v>
      </c>
      <c r="W1153" s="145">
        <f t="shared" si="1"/>
        <v>0.00001337538983</v>
      </c>
      <c r="AC1153" s="38"/>
    </row>
    <row r="1154" ht="15.75" customHeight="1">
      <c r="A1154" s="1" t="s">
        <v>1919</v>
      </c>
      <c r="B1154" s="1" t="s">
        <v>2127</v>
      </c>
      <c r="C1154" s="63">
        <v>46288.0</v>
      </c>
      <c r="D1154" s="63" t="s">
        <v>130</v>
      </c>
      <c r="E1154" s="68">
        <v>0.94884074</v>
      </c>
      <c r="F1154" s="1"/>
      <c r="G1154" s="23">
        <v>2688265.68</v>
      </c>
      <c r="H1154" s="23">
        <v>2550735.99</v>
      </c>
      <c r="I1154" s="23">
        <v>2688265.68</v>
      </c>
      <c r="J1154" s="23">
        <v>2550735.99</v>
      </c>
      <c r="K1154" s="24">
        <v>612240.0</v>
      </c>
      <c r="L1154" s="1" t="s">
        <v>1776</v>
      </c>
      <c r="M1154" s="1" t="s">
        <v>2128</v>
      </c>
      <c r="N1154" s="63" t="s">
        <v>946</v>
      </c>
      <c r="O1154" s="63" t="s">
        <v>946</v>
      </c>
      <c r="P1154" s="68">
        <v>24.0</v>
      </c>
      <c r="Q1154" s="1" t="s">
        <v>2130</v>
      </c>
      <c r="R1154" s="1" t="s">
        <v>13</v>
      </c>
      <c r="S1154" s="1"/>
      <c r="T1154" s="1"/>
      <c r="U1154" s="1" t="s">
        <v>986</v>
      </c>
      <c r="V1154" s="1" t="s">
        <v>986</v>
      </c>
      <c r="W1154" s="145">
        <f t="shared" si="1"/>
        <v>0.00005217787859</v>
      </c>
      <c r="AC1154" s="38"/>
    </row>
    <row r="1155" ht="15.75" customHeight="1">
      <c r="A1155" s="1" t="s">
        <v>1976</v>
      </c>
      <c r="B1155" s="1" t="s">
        <v>2127</v>
      </c>
      <c r="C1155" s="63">
        <v>46288.0</v>
      </c>
      <c r="D1155" s="63" t="s">
        <v>130</v>
      </c>
      <c r="E1155" s="68">
        <v>0.92325601</v>
      </c>
      <c r="F1155" s="1"/>
      <c r="G1155" s="23">
        <v>3345657.98</v>
      </c>
      <c r="H1155" s="23">
        <v>3088898.84</v>
      </c>
      <c r="I1155" s="23">
        <v>3345657.98</v>
      </c>
      <c r="J1155" s="23">
        <v>3088898.84</v>
      </c>
      <c r="K1155" s="24">
        <v>255.0</v>
      </c>
      <c r="L1155" s="1" t="s">
        <v>1776</v>
      </c>
      <c r="M1155" s="1" t="s">
        <v>2128</v>
      </c>
      <c r="N1155" s="63" t="s">
        <v>1589</v>
      </c>
      <c r="O1155" s="63" t="s">
        <v>1589</v>
      </c>
      <c r="P1155" s="68">
        <v>37.0</v>
      </c>
      <c r="Q1155" s="1" t="s">
        <v>2130</v>
      </c>
      <c r="R1155" s="1" t="s">
        <v>13</v>
      </c>
      <c r="S1155" s="1"/>
      <c r="T1155" s="1"/>
      <c r="U1155" s="1" t="s">
        <v>1616</v>
      </c>
      <c r="V1155" s="1" t="s">
        <v>1616</v>
      </c>
      <c r="W1155" s="145">
        <f t="shared" si="1"/>
        <v>0.00006318654274</v>
      </c>
      <c r="AC1155" s="38"/>
    </row>
    <row r="1156" ht="15.75" customHeight="1">
      <c r="A1156" s="1" t="s">
        <v>1917</v>
      </c>
      <c r="B1156" s="1" t="s">
        <v>2127</v>
      </c>
      <c r="C1156" s="63">
        <v>46288.0</v>
      </c>
      <c r="D1156" s="63" t="s">
        <v>130</v>
      </c>
      <c r="E1156" s="68">
        <v>0.93685832</v>
      </c>
      <c r="F1156" s="1"/>
      <c r="G1156" s="23">
        <v>1.0E7</v>
      </c>
      <c r="H1156" s="23">
        <v>9368583.24</v>
      </c>
      <c r="I1156" s="23">
        <v>1.0E7</v>
      </c>
      <c r="J1156" s="23">
        <v>9368583.24</v>
      </c>
      <c r="K1156" s="24">
        <v>580.0</v>
      </c>
      <c r="L1156" s="1" t="s">
        <v>1776</v>
      </c>
      <c r="M1156" s="1" t="s">
        <v>2128</v>
      </c>
      <c r="N1156" s="63" t="s">
        <v>1048</v>
      </c>
      <c r="O1156" s="63" t="s">
        <v>1048</v>
      </c>
      <c r="P1156" s="68">
        <v>30.0</v>
      </c>
      <c r="Q1156" s="1" t="s">
        <v>2130</v>
      </c>
      <c r="R1156" s="1" t="s">
        <v>13</v>
      </c>
      <c r="S1156" s="1"/>
      <c r="T1156" s="1"/>
      <c r="U1156" s="1" t="s">
        <v>1050</v>
      </c>
      <c r="V1156" s="1" t="s">
        <v>1050</v>
      </c>
      <c r="W1156" s="145">
        <f t="shared" si="1"/>
        <v>0.0001916438239</v>
      </c>
      <c r="AC1156" s="38"/>
    </row>
    <row r="1157" ht="15.75" customHeight="1">
      <c r="A1157" s="1" t="s">
        <v>1917</v>
      </c>
      <c r="B1157" s="1" t="s">
        <v>2127</v>
      </c>
      <c r="C1157" s="63">
        <v>46288.0</v>
      </c>
      <c r="D1157" s="63" t="s">
        <v>130</v>
      </c>
      <c r="E1157" s="68">
        <v>0.93685847</v>
      </c>
      <c r="F1157" s="1"/>
      <c r="G1157" s="23">
        <v>7500000.0</v>
      </c>
      <c r="H1157" s="23">
        <v>7026438.54</v>
      </c>
      <c r="I1157" s="23">
        <v>7500000.0</v>
      </c>
      <c r="J1157" s="23">
        <v>7026438.54</v>
      </c>
      <c r="K1157" s="24">
        <v>513.0</v>
      </c>
      <c r="L1157" s="1" t="s">
        <v>1776</v>
      </c>
      <c r="M1157" s="1" t="s">
        <v>2128</v>
      </c>
      <c r="N1157" s="63" t="s">
        <v>815</v>
      </c>
      <c r="O1157" s="63" t="s">
        <v>815</v>
      </c>
      <c r="P1157" s="68">
        <v>30.0</v>
      </c>
      <c r="Q1157" s="1" t="s">
        <v>2130</v>
      </c>
      <c r="R1157" s="1" t="s">
        <v>13</v>
      </c>
      <c r="S1157" s="1"/>
      <c r="T1157" s="1"/>
      <c r="U1157" s="1" t="s">
        <v>821</v>
      </c>
      <c r="V1157" s="1" t="s">
        <v>821</v>
      </c>
      <c r="W1157" s="145">
        <f t="shared" si="1"/>
        <v>0.0001437328906</v>
      </c>
      <c r="AC1157" s="38"/>
    </row>
    <row r="1158" ht="15.75" customHeight="1">
      <c r="A1158" s="1" t="s">
        <v>1903</v>
      </c>
      <c r="B1158" s="1" t="s">
        <v>2127</v>
      </c>
      <c r="C1158" s="63">
        <v>46288.0</v>
      </c>
      <c r="D1158" s="63" t="s">
        <v>130</v>
      </c>
      <c r="E1158" s="68">
        <v>0.94281149</v>
      </c>
      <c r="F1158" s="1"/>
      <c r="G1158" s="23">
        <v>1.0E7</v>
      </c>
      <c r="H1158" s="23">
        <v>9428114.9</v>
      </c>
      <c r="I1158" s="23">
        <v>1.0E7</v>
      </c>
      <c r="J1158" s="23">
        <v>9428114.9</v>
      </c>
      <c r="K1158" s="24">
        <v>6.72805E7</v>
      </c>
      <c r="L1158" s="1" t="s">
        <v>1776</v>
      </c>
      <c r="M1158" s="1" t="s">
        <v>2128</v>
      </c>
      <c r="N1158" s="63" t="s">
        <v>1118</v>
      </c>
      <c r="O1158" s="63" t="s">
        <v>1118</v>
      </c>
      <c r="P1158" s="68">
        <v>27.0</v>
      </c>
      <c r="Q1158" s="1" t="s">
        <v>2130</v>
      </c>
      <c r="R1158" s="1" t="s">
        <v>13</v>
      </c>
      <c r="S1158" s="1"/>
      <c r="T1158" s="1"/>
      <c r="U1158" s="1" t="s">
        <v>1123</v>
      </c>
      <c r="V1158" s="1" t="s">
        <v>1123</v>
      </c>
      <c r="W1158" s="145">
        <f t="shared" si="1"/>
        <v>0.0001928616041</v>
      </c>
      <c r="AC1158" s="38"/>
    </row>
    <row r="1159" ht="15.75" customHeight="1">
      <c r="A1159" s="1" t="s">
        <v>1903</v>
      </c>
      <c r="B1159" s="1" t="s">
        <v>2127</v>
      </c>
      <c r="C1159" s="63">
        <v>46288.0</v>
      </c>
      <c r="D1159" s="63" t="s">
        <v>130</v>
      </c>
      <c r="E1159" s="68">
        <v>0.94281149</v>
      </c>
      <c r="F1159" s="1"/>
      <c r="G1159" s="23">
        <v>5000000.0</v>
      </c>
      <c r="H1159" s="23">
        <v>4714057.46</v>
      </c>
      <c r="I1159" s="23">
        <v>5000000.0</v>
      </c>
      <c r="J1159" s="23">
        <v>4714057.46</v>
      </c>
      <c r="K1159" s="24">
        <v>6.7193054E7</v>
      </c>
      <c r="L1159" s="1" t="s">
        <v>1776</v>
      </c>
      <c r="M1159" s="1" t="s">
        <v>2128</v>
      </c>
      <c r="N1159" s="63" t="s">
        <v>1118</v>
      </c>
      <c r="O1159" s="63" t="s">
        <v>1118</v>
      </c>
      <c r="P1159" s="68">
        <v>27.0</v>
      </c>
      <c r="Q1159" s="1" t="s">
        <v>2130</v>
      </c>
      <c r="R1159" s="1" t="s">
        <v>13</v>
      </c>
      <c r="S1159" s="1"/>
      <c r="T1159" s="1"/>
      <c r="U1159" s="1" t="s">
        <v>1126</v>
      </c>
      <c r="V1159" s="1" t="s">
        <v>1126</v>
      </c>
      <c r="W1159" s="145">
        <f t="shared" si="1"/>
        <v>0.00009643080224</v>
      </c>
      <c r="AC1159" s="38"/>
    </row>
    <row r="1160" ht="15.75" customHeight="1">
      <c r="A1160" s="1" t="s">
        <v>1903</v>
      </c>
      <c r="B1160" s="1" t="s">
        <v>2127</v>
      </c>
      <c r="C1160" s="63">
        <v>46288.0</v>
      </c>
      <c r="D1160" s="63" t="s">
        <v>130</v>
      </c>
      <c r="E1160" s="68">
        <v>0.94281149</v>
      </c>
      <c r="F1160" s="1"/>
      <c r="G1160" s="23">
        <v>5000000.0</v>
      </c>
      <c r="H1160" s="23">
        <v>4714057.46</v>
      </c>
      <c r="I1160" s="23">
        <v>5000000.0</v>
      </c>
      <c r="J1160" s="23">
        <v>4714057.46</v>
      </c>
      <c r="K1160" s="24">
        <v>6.7193055E7</v>
      </c>
      <c r="L1160" s="1" t="s">
        <v>1776</v>
      </c>
      <c r="M1160" s="1" t="s">
        <v>2128</v>
      </c>
      <c r="N1160" s="63" t="s">
        <v>1118</v>
      </c>
      <c r="O1160" s="63" t="s">
        <v>1118</v>
      </c>
      <c r="P1160" s="68">
        <v>27.0</v>
      </c>
      <c r="Q1160" s="1" t="s">
        <v>2130</v>
      </c>
      <c r="R1160" s="1" t="s">
        <v>13</v>
      </c>
      <c r="S1160" s="1"/>
      <c r="T1160" s="1"/>
      <c r="U1160" s="1" t="s">
        <v>1128</v>
      </c>
      <c r="V1160" s="1" t="s">
        <v>1128</v>
      </c>
      <c r="W1160" s="145">
        <f t="shared" si="1"/>
        <v>0.00009643080224</v>
      </c>
      <c r="AC1160" s="38"/>
    </row>
    <row r="1161" ht="15.75" customHeight="1">
      <c r="A1161" s="1" t="s">
        <v>1979</v>
      </c>
      <c r="B1161" s="1" t="s">
        <v>2127</v>
      </c>
      <c r="C1161" s="63">
        <v>46288.0</v>
      </c>
      <c r="D1161" s="63" t="s">
        <v>130</v>
      </c>
      <c r="E1161" s="68">
        <v>0.93097998</v>
      </c>
      <c r="F1161" s="1"/>
      <c r="G1161" s="23">
        <v>2500000.0</v>
      </c>
      <c r="H1161" s="23">
        <v>2327449.96</v>
      </c>
      <c r="I1161" s="23">
        <v>2500000.0</v>
      </c>
      <c r="J1161" s="23">
        <v>2327449.96</v>
      </c>
      <c r="K1161" s="24">
        <v>1201.0</v>
      </c>
      <c r="L1161" s="1" t="s">
        <v>1776</v>
      </c>
      <c r="M1161" s="1" t="s">
        <v>2128</v>
      </c>
      <c r="N1161" s="63" t="s">
        <v>827</v>
      </c>
      <c r="O1161" s="63" t="s">
        <v>827</v>
      </c>
      <c r="P1161" s="68">
        <v>33.0</v>
      </c>
      <c r="Q1161" s="1" t="s">
        <v>2130</v>
      </c>
      <c r="R1161" s="1" t="s">
        <v>13</v>
      </c>
      <c r="S1161" s="1"/>
      <c r="T1161" s="1"/>
      <c r="U1161" s="1" t="s">
        <v>844</v>
      </c>
      <c r="V1161" s="1" t="s">
        <v>844</v>
      </c>
      <c r="W1161" s="145">
        <f t="shared" si="1"/>
        <v>0.00004761033753</v>
      </c>
      <c r="AC1161" s="38"/>
    </row>
    <row r="1162" ht="15.75" customHeight="1">
      <c r="A1162" s="1" t="s">
        <v>1903</v>
      </c>
      <c r="B1162" s="1" t="s">
        <v>2127</v>
      </c>
      <c r="C1162" s="63">
        <v>46288.0</v>
      </c>
      <c r="D1162" s="63" t="s">
        <v>130</v>
      </c>
      <c r="E1162" s="68">
        <v>0.94281146</v>
      </c>
      <c r="F1162" s="1"/>
      <c r="G1162" s="23">
        <v>3.5E7</v>
      </c>
      <c r="H1162" s="23">
        <v>3.29984011E7</v>
      </c>
      <c r="I1162" s="23">
        <v>3.5E7</v>
      </c>
      <c r="J1162" s="23">
        <v>3.29984011E7</v>
      </c>
      <c r="K1162" s="24">
        <v>5.4027795E7</v>
      </c>
      <c r="L1162" s="1" t="s">
        <v>1776</v>
      </c>
      <c r="M1162" s="1" t="s">
        <v>2128</v>
      </c>
      <c r="N1162" s="63" t="s">
        <v>1428</v>
      </c>
      <c r="O1162" s="63" t="s">
        <v>1428</v>
      </c>
      <c r="P1162" s="68">
        <v>27.0</v>
      </c>
      <c r="Q1162" s="1" t="s">
        <v>2130</v>
      </c>
      <c r="R1162" s="1" t="s">
        <v>13</v>
      </c>
      <c r="S1162" s="1"/>
      <c r="T1162" s="1"/>
      <c r="U1162" s="1" t="s">
        <v>1431</v>
      </c>
      <c r="V1162" s="1" t="s">
        <v>1431</v>
      </c>
      <c r="W1162" s="145">
        <f t="shared" si="1"/>
        <v>0.0006750155928</v>
      </c>
      <c r="AC1162" s="38"/>
    </row>
    <row r="1163" ht="15.75" customHeight="1">
      <c r="A1163" s="1" t="s">
        <v>1903</v>
      </c>
      <c r="B1163" s="1" t="s">
        <v>2127</v>
      </c>
      <c r="C1163" s="63">
        <v>46288.0</v>
      </c>
      <c r="D1163" s="63" t="s">
        <v>130</v>
      </c>
      <c r="E1163" s="68">
        <v>0.94281149</v>
      </c>
      <c r="F1163" s="1"/>
      <c r="G1163" s="23">
        <v>1.0E7</v>
      </c>
      <c r="H1163" s="23">
        <v>9428114.9</v>
      </c>
      <c r="I1163" s="23">
        <v>1.0E7</v>
      </c>
      <c r="J1163" s="23">
        <v>9428114.9</v>
      </c>
      <c r="K1163" s="24">
        <v>6.7280581E7</v>
      </c>
      <c r="L1163" s="1" t="s">
        <v>1776</v>
      </c>
      <c r="M1163" s="1" t="s">
        <v>2128</v>
      </c>
      <c r="N1163" s="63" t="s">
        <v>1118</v>
      </c>
      <c r="O1163" s="63" t="s">
        <v>1118</v>
      </c>
      <c r="P1163" s="68">
        <v>27.0</v>
      </c>
      <c r="Q1163" s="1" t="s">
        <v>2130</v>
      </c>
      <c r="R1163" s="1" t="s">
        <v>13</v>
      </c>
      <c r="S1163" s="1"/>
      <c r="T1163" s="1"/>
      <c r="U1163" s="1" t="s">
        <v>1120</v>
      </c>
      <c r="V1163" s="1" t="s">
        <v>1120</v>
      </c>
      <c r="W1163" s="145">
        <f t="shared" si="1"/>
        <v>0.0001928616041</v>
      </c>
      <c r="AC1163" s="38"/>
    </row>
    <row r="1164" ht="15.75" customHeight="1">
      <c r="A1164" s="1" t="s">
        <v>1933</v>
      </c>
      <c r="B1164" s="1" t="s">
        <v>2127</v>
      </c>
      <c r="C1164" s="63">
        <v>46288.0</v>
      </c>
      <c r="D1164" s="63" t="s">
        <v>130</v>
      </c>
      <c r="E1164" s="68">
        <v>0.93685835</v>
      </c>
      <c r="F1164" s="1"/>
      <c r="G1164" s="23">
        <v>6000000.0</v>
      </c>
      <c r="H1164" s="23">
        <v>5621150.11</v>
      </c>
      <c r="I1164" s="23">
        <v>6000000.0</v>
      </c>
      <c r="J1164" s="23">
        <v>5621150.11</v>
      </c>
      <c r="K1164" s="24">
        <v>1.0926497E7</v>
      </c>
      <c r="L1164" s="1" t="s">
        <v>1776</v>
      </c>
      <c r="M1164" s="1" t="s">
        <v>2128</v>
      </c>
      <c r="N1164" s="63" t="s">
        <v>360</v>
      </c>
      <c r="O1164" s="63" t="s">
        <v>360</v>
      </c>
      <c r="P1164" s="68">
        <v>30.0</v>
      </c>
      <c r="Q1164" s="1" t="s">
        <v>2130</v>
      </c>
      <c r="R1164" s="1" t="s">
        <v>13</v>
      </c>
      <c r="S1164" s="1"/>
      <c r="T1164" s="1"/>
      <c r="U1164" s="1" t="s">
        <v>377</v>
      </c>
      <c r="V1164" s="1" t="s">
        <v>377</v>
      </c>
      <c r="W1164" s="145">
        <f t="shared" si="1"/>
        <v>0.0001149862977</v>
      </c>
      <c r="AC1164" s="38"/>
    </row>
    <row r="1165" ht="15.75" customHeight="1">
      <c r="A1165" s="1" t="s">
        <v>1933</v>
      </c>
      <c r="B1165" s="1" t="s">
        <v>2127</v>
      </c>
      <c r="C1165" s="63">
        <v>46288.0</v>
      </c>
      <c r="D1165" s="63" t="s">
        <v>130</v>
      </c>
      <c r="E1165" s="68">
        <v>0.94481275</v>
      </c>
      <c r="F1165" s="1"/>
      <c r="G1165" s="23">
        <v>9000000.0</v>
      </c>
      <c r="H1165" s="23">
        <v>8503314.71</v>
      </c>
      <c r="I1165" s="23">
        <v>9000000.0</v>
      </c>
      <c r="J1165" s="23">
        <v>8503314.71</v>
      </c>
      <c r="K1165" s="24">
        <v>3487869.0</v>
      </c>
      <c r="L1165" s="1" t="s">
        <v>1776</v>
      </c>
      <c r="M1165" s="1" t="s">
        <v>2128</v>
      </c>
      <c r="N1165" s="63" t="s">
        <v>946</v>
      </c>
      <c r="O1165" s="63" t="s">
        <v>946</v>
      </c>
      <c r="P1165" s="68">
        <v>26.0</v>
      </c>
      <c r="Q1165" s="1" t="s">
        <v>2130</v>
      </c>
      <c r="R1165" s="1" t="s">
        <v>13</v>
      </c>
      <c r="S1165" s="1"/>
      <c r="T1165" s="1"/>
      <c r="U1165" s="1" t="s">
        <v>948</v>
      </c>
      <c r="V1165" s="1" t="s">
        <v>948</v>
      </c>
      <c r="W1165" s="145">
        <f t="shared" si="1"/>
        <v>0.000173943883</v>
      </c>
      <c r="AC1165" s="38"/>
    </row>
    <row r="1166" ht="15.75" customHeight="1">
      <c r="A1166" s="1" t="s">
        <v>1933</v>
      </c>
      <c r="B1166" s="1" t="s">
        <v>2127</v>
      </c>
      <c r="C1166" s="63">
        <v>46288.0</v>
      </c>
      <c r="D1166" s="63" t="s">
        <v>130</v>
      </c>
      <c r="E1166" s="68">
        <v>0.94081869</v>
      </c>
      <c r="F1166" s="1"/>
      <c r="G1166" s="23">
        <v>1.0E7</v>
      </c>
      <c r="H1166" s="23">
        <v>9408186.95</v>
      </c>
      <c r="I1166" s="23">
        <v>1.0E7</v>
      </c>
      <c r="J1166" s="23">
        <v>9408186.95</v>
      </c>
      <c r="K1166" s="24">
        <v>3487823.0</v>
      </c>
      <c r="L1166" s="1" t="s">
        <v>1776</v>
      </c>
      <c r="M1166" s="1" t="s">
        <v>2128</v>
      </c>
      <c r="N1166" s="63" t="s">
        <v>704</v>
      </c>
      <c r="O1166" s="63" t="s">
        <v>704</v>
      </c>
      <c r="P1166" s="68">
        <v>28.0</v>
      </c>
      <c r="Q1166" s="1" t="s">
        <v>2130</v>
      </c>
      <c r="R1166" s="1" t="s">
        <v>13</v>
      </c>
      <c r="S1166" s="1"/>
      <c r="T1166" s="1"/>
      <c r="U1166" s="1" t="s">
        <v>706</v>
      </c>
      <c r="V1166" s="1" t="s">
        <v>706</v>
      </c>
      <c r="W1166" s="145">
        <f t="shared" si="1"/>
        <v>0.0001924539578</v>
      </c>
      <c r="AC1166" s="38"/>
    </row>
    <row r="1167" ht="15.75" customHeight="1">
      <c r="A1167" s="1" t="s">
        <v>1921</v>
      </c>
      <c r="B1167" s="1" t="s">
        <v>2127</v>
      </c>
      <c r="C1167" s="63">
        <v>46288.0</v>
      </c>
      <c r="D1167" s="63" t="s">
        <v>130</v>
      </c>
      <c r="E1167" s="68">
        <v>0.94081871</v>
      </c>
      <c r="F1167" s="1"/>
      <c r="G1167" s="23">
        <v>1.0E7</v>
      </c>
      <c r="H1167" s="23">
        <v>9408187.11</v>
      </c>
      <c r="I1167" s="23">
        <v>1.0E7</v>
      </c>
      <c r="J1167" s="23">
        <v>9408187.11</v>
      </c>
      <c r="K1167" s="24">
        <v>360566.0</v>
      </c>
      <c r="L1167" s="1" t="s">
        <v>1776</v>
      </c>
      <c r="M1167" s="1" t="s">
        <v>2128</v>
      </c>
      <c r="N1167" s="63" t="s">
        <v>404</v>
      </c>
      <c r="O1167" s="63" t="s">
        <v>404</v>
      </c>
      <c r="P1167" s="68">
        <v>28.0</v>
      </c>
      <c r="Q1167" s="1" t="s">
        <v>2130</v>
      </c>
      <c r="R1167" s="1" t="s">
        <v>13</v>
      </c>
      <c r="S1167" s="1"/>
      <c r="T1167" s="1"/>
      <c r="U1167" s="1" t="s">
        <v>427</v>
      </c>
      <c r="V1167" s="1" t="s">
        <v>427</v>
      </c>
      <c r="W1167" s="145">
        <f t="shared" si="1"/>
        <v>0.000192453961</v>
      </c>
      <c r="AC1167" s="38"/>
    </row>
    <row r="1168" ht="15.75" customHeight="1">
      <c r="A1168" s="1" t="s">
        <v>1919</v>
      </c>
      <c r="B1168" s="1" t="s">
        <v>2127</v>
      </c>
      <c r="C1168" s="63">
        <v>46288.0</v>
      </c>
      <c r="D1168" s="63" t="s">
        <v>130</v>
      </c>
      <c r="E1168" s="68">
        <v>0.95700062</v>
      </c>
      <c r="F1168" s="1"/>
      <c r="G1168" s="23">
        <v>603640.62</v>
      </c>
      <c r="H1168" s="23">
        <v>577684.45</v>
      </c>
      <c r="I1168" s="23">
        <v>603640.62</v>
      </c>
      <c r="J1168" s="23">
        <v>577684.45</v>
      </c>
      <c r="K1168" s="24">
        <v>612100.0</v>
      </c>
      <c r="L1168" s="1" t="s">
        <v>1776</v>
      </c>
      <c r="M1168" s="1" t="s">
        <v>2128</v>
      </c>
      <c r="N1168" s="63" t="s">
        <v>1381</v>
      </c>
      <c r="O1168" s="63" t="s">
        <v>1381</v>
      </c>
      <c r="P1168" s="68">
        <v>20.0</v>
      </c>
      <c r="Q1168" s="1" t="s">
        <v>2130</v>
      </c>
      <c r="R1168" s="1" t="s">
        <v>13</v>
      </c>
      <c r="S1168" s="1"/>
      <c r="T1168" s="1"/>
      <c r="U1168" s="1" t="s">
        <v>1384</v>
      </c>
      <c r="V1168" s="1" t="s">
        <v>1384</v>
      </c>
      <c r="W1168" s="145">
        <f t="shared" si="1"/>
        <v>0.00001181711836</v>
      </c>
      <c r="AC1168" s="38"/>
    </row>
    <row r="1169" ht="15.75" customHeight="1">
      <c r="A1169" s="1" t="s">
        <v>1926</v>
      </c>
      <c r="B1169" s="1" t="s">
        <v>2127</v>
      </c>
      <c r="C1169" s="63">
        <v>46288.0</v>
      </c>
      <c r="D1169" s="63" t="s">
        <v>130</v>
      </c>
      <c r="E1169" s="68">
        <v>0.93489076</v>
      </c>
      <c r="F1169" s="1"/>
      <c r="G1169" s="23">
        <v>3000000.0</v>
      </c>
      <c r="H1169" s="23">
        <v>2804672.27</v>
      </c>
      <c r="I1169" s="23">
        <v>3000000.0</v>
      </c>
      <c r="J1169" s="23">
        <v>2804672.27</v>
      </c>
      <c r="K1169" s="24">
        <v>9.0003468E7</v>
      </c>
      <c r="L1169" s="1" t="s">
        <v>1776</v>
      </c>
      <c r="M1169" s="1" t="s">
        <v>2128</v>
      </c>
      <c r="N1169" s="63" t="s">
        <v>446</v>
      </c>
      <c r="O1169" s="63" t="s">
        <v>446</v>
      </c>
      <c r="P1169" s="68">
        <v>31.0</v>
      </c>
      <c r="Q1169" s="1" t="s">
        <v>2130</v>
      </c>
      <c r="R1169" s="1" t="s">
        <v>13</v>
      </c>
      <c r="S1169" s="1"/>
      <c r="T1169" s="1"/>
      <c r="U1169" s="1" t="s">
        <v>495</v>
      </c>
      <c r="V1169" s="1" t="s">
        <v>495</v>
      </c>
      <c r="W1169" s="145">
        <f t="shared" si="1"/>
        <v>0.00005737240144</v>
      </c>
      <c r="AC1169" s="38"/>
    </row>
    <row r="1170" ht="15.75" customHeight="1">
      <c r="A1170" s="1" t="s">
        <v>2025</v>
      </c>
      <c r="B1170" s="1" t="s">
        <v>2127</v>
      </c>
      <c r="C1170" s="63">
        <v>46288.0</v>
      </c>
      <c r="D1170" s="63" t="s">
        <v>130</v>
      </c>
      <c r="E1170" s="68">
        <v>0.93097996</v>
      </c>
      <c r="F1170" s="1"/>
      <c r="G1170" s="23">
        <v>6625114.52</v>
      </c>
      <c r="H1170" s="23">
        <v>6167848.86</v>
      </c>
      <c r="I1170" s="23">
        <v>6625114.52</v>
      </c>
      <c r="J1170" s="23">
        <v>6167848.86</v>
      </c>
      <c r="K1170" s="24">
        <v>9.0000979E7</v>
      </c>
      <c r="L1170" s="1" t="s">
        <v>1776</v>
      </c>
      <c r="M1170" s="1" t="s">
        <v>2128</v>
      </c>
      <c r="N1170" s="63" t="s">
        <v>1048</v>
      </c>
      <c r="O1170" s="63" t="s">
        <v>1048</v>
      </c>
      <c r="P1170" s="68">
        <v>33.0</v>
      </c>
      <c r="Q1170" s="1" t="s">
        <v>2130</v>
      </c>
      <c r="R1170" s="1" t="s">
        <v>13</v>
      </c>
      <c r="S1170" s="1"/>
      <c r="T1170" s="1"/>
      <c r="U1170" s="1" t="s">
        <v>1082</v>
      </c>
      <c r="V1170" s="1" t="s">
        <v>1082</v>
      </c>
      <c r="W1170" s="145">
        <f t="shared" si="1"/>
        <v>0.0001261695723</v>
      </c>
      <c r="AC1170" s="38"/>
    </row>
    <row r="1171" ht="15.75" customHeight="1">
      <c r="A1171" s="1" t="s">
        <v>1956</v>
      </c>
      <c r="B1171" s="1" t="s">
        <v>2127</v>
      </c>
      <c r="C1171" s="63">
        <v>46288.0</v>
      </c>
      <c r="D1171" s="63" t="s">
        <v>130</v>
      </c>
      <c r="E1171" s="68">
        <v>0.93293137</v>
      </c>
      <c r="F1171" s="1"/>
      <c r="G1171" s="23">
        <v>1.0E7</v>
      </c>
      <c r="H1171" s="23">
        <v>9329313.73</v>
      </c>
      <c r="I1171" s="23">
        <v>1.0E7</v>
      </c>
      <c r="J1171" s="23">
        <v>9329313.73</v>
      </c>
      <c r="K1171" s="24">
        <v>6.7448971E7</v>
      </c>
      <c r="L1171" s="1" t="s">
        <v>1776</v>
      </c>
      <c r="M1171" s="1" t="s">
        <v>2128</v>
      </c>
      <c r="N1171" s="63" t="s">
        <v>1209</v>
      </c>
      <c r="O1171" s="63" t="s">
        <v>1209</v>
      </c>
      <c r="P1171" s="68">
        <v>32.0</v>
      </c>
      <c r="Q1171" s="1" t="s">
        <v>2130</v>
      </c>
      <c r="R1171" s="1" t="s">
        <v>13</v>
      </c>
      <c r="S1171" s="1"/>
      <c r="T1171" s="1"/>
      <c r="U1171" s="1" t="s">
        <v>1217</v>
      </c>
      <c r="V1171" s="1" t="s">
        <v>1217</v>
      </c>
      <c r="W1171" s="145">
        <f t="shared" si="1"/>
        <v>0.0001908405264</v>
      </c>
      <c r="AC1171" s="38"/>
    </row>
    <row r="1172" ht="15.75" customHeight="1">
      <c r="A1172" s="1" t="s">
        <v>1932</v>
      </c>
      <c r="B1172" s="1" t="s">
        <v>2127</v>
      </c>
      <c r="C1172" s="63">
        <v>46289.0</v>
      </c>
      <c r="D1172" s="63" t="s">
        <v>130</v>
      </c>
      <c r="E1172" s="68">
        <v>0.93216883</v>
      </c>
      <c r="F1172" s="1"/>
      <c r="G1172" s="23">
        <v>1.535531045E7</v>
      </c>
      <c r="H1172" s="23">
        <v>1.431374172E7</v>
      </c>
      <c r="I1172" s="23">
        <v>1.535531045E7</v>
      </c>
      <c r="J1172" s="23">
        <v>1.431374172E7</v>
      </c>
      <c r="K1172" s="24">
        <v>30751.0</v>
      </c>
      <c r="L1172" s="1" t="s">
        <v>1776</v>
      </c>
      <c r="M1172" s="1" t="s">
        <v>2128</v>
      </c>
      <c r="N1172" s="63" t="s">
        <v>1118</v>
      </c>
      <c r="O1172" s="63" t="s">
        <v>1118</v>
      </c>
      <c r="P1172" s="68">
        <v>32.0</v>
      </c>
      <c r="Q1172" s="1" t="s">
        <v>2130</v>
      </c>
      <c r="R1172" s="1" t="s">
        <v>13</v>
      </c>
      <c r="S1172" s="1"/>
      <c r="T1172" s="1"/>
      <c r="U1172" s="1" t="s">
        <v>1188</v>
      </c>
      <c r="V1172" s="1" t="s">
        <v>1188</v>
      </c>
      <c r="W1172" s="145">
        <f t="shared" si="1"/>
        <v>0.0002928020307</v>
      </c>
      <c r="AC1172" s="38"/>
    </row>
    <row r="1173" ht="15.75" customHeight="1">
      <c r="A1173" s="1" t="s">
        <v>1961</v>
      </c>
      <c r="B1173" s="1" t="s">
        <v>2127</v>
      </c>
      <c r="C1173" s="63">
        <v>46289.0</v>
      </c>
      <c r="D1173" s="63" t="s">
        <v>130</v>
      </c>
      <c r="E1173" s="68">
        <v>0.92239297</v>
      </c>
      <c r="F1173" s="1"/>
      <c r="G1173" s="23">
        <v>3076923.1</v>
      </c>
      <c r="H1173" s="23">
        <v>2838132.23</v>
      </c>
      <c r="I1173" s="23">
        <v>3076923.1</v>
      </c>
      <c r="J1173" s="23">
        <v>2838132.23</v>
      </c>
      <c r="K1173" s="24">
        <v>2781.0</v>
      </c>
      <c r="L1173" s="1" t="s">
        <v>1776</v>
      </c>
      <c r="M1173" s="1" t="s">
        <v>2128</v>
      </c>
      <c r="N1173" s="63" t="s">
        <v>1589</v>
      </c>
      <c r="O1173" s="63" t="s">
        <v>1589</v>
      </c>
      <c r="P1173" s="68">
        <v>37.0</v>
      </c>
      <c r="Q1173" s="1" t="s">
        <v>2130</v>
      </c>
      <c r="R1173" s="1" t="s">
        <v>13</v>
      </c>
      <c r="S1173" s="1"/>
      <c r="T1173" s="1"/>
      <c r="U1173" s="1" t="s">
        <v>1611</v>
      </c>
      <c r="V1173" s="1" t="s">
        <v>1611</v>
      </c>
      <c r="W1173" s="145">
        <f t="shared" si="1"/>
        <v>0.00005805685869</v>
      </c>
      <c r="AC1173" s="38"/>
    </row>
    <row r="1174" ht="15.75" customHeight="1">
      <c r="A1174" s="1" t="s">
        <v>1917</v>
      </c>
      <c r="B1174" s="1" t="s">
        <v>2127</v>
      </c>
      <c r="C1174" s="63">
        <v>46289.0</v>
      </c>
      <c r="D1174" s="63" t="s">
        <v>130</v>
      </c>
      <c r="E1174" s="68">
        <v>0.93613755</v>
      </c>
      <c r="F1174" s="1"/>
      <c r="G1174" s="23">
        <v>5000000.0</v>
      </c>
      <c r="H1174" s="23">
        <v>4680687.77</v>
      </c>
      <c r="I1174" s="23">
        <v>5000000.0</v>
      </c>
      <c r="J1174" s="23">
        <v>4680687.77</v>
      </c>
      <c r="K1174" s="24">
        <v>684.0</v>
      </c>
      <c r="L1174" s="1" t="s">
        <v>1776</v>
      </c>
      <c r="M1174" s="1" t="s">
        <v>2128</v>
      </c>
      <c r="N1174" s="63" t="s">
        <v>1458</v>
      </c>
      <c r="O1174" s="63" t="s">
        <v>1458</v>
      </c>
      <c r="P1174" s="68">
        <v>30.0</v>
      </c>
      <c r="Q1174" s="1" t="s">
        <v>2130</v>
      </c>
      <c r="R1174" s="1" t="s">
        <v>13</v>
      </c>
      <c r="S1174" s="1"/>
      <c r="T1174" s="1"/>
      <c r="U1174" s="1" t="s">
        <v>1461</v>
      </c>
      <c r="V1174" s="1" t="s">
        <v>1461</v>
      </c>
      <c r="W1174" s="145">
        <f t="shared" si="1"/>
        <v>0.00009574819156</v>
      </c>
      <c r="AC1174" s="38"/>
    </row>
    <row r="1175" ht="15.75" customHeight="1">
      <c r="A1175" s="1" t="s">
        <v>1917</v>
      </c>
      <c r="B1175" s="1" t="s">
        <v>2127</v>
      </c>
      <c r="C1175" s="63">
        <v>46289.0</v>
      </c>
      <c r="D1175" s="63" t="s">
        <v>130</v>
      </c>
      <c r="E1175" s="68">
        <v>0.93613758</v>
      </c>
      <c r="F1175" s="1"/>
      <c r="G1175" s="23">
        <v>1.0E7</v>
      </c>
      <c r="H1175" s="23">
        <v>9361375.83</v>
      </c>
      <c r="I1175" s="23">
        <v>1.0E7</v>
      </c>
      <c r="J1175" s="23">
        <v>9361375.83</v>
      </c>
      <c r="K1175" s="24">
        <v>725.0</v>
      </c>
      <c r="L1175" s="1" t="s">
        <v>1776</v>
      </c>
      <c r="M1175" s="1" t="s">
        <v>2128</v>
      </c>
      <c r="N1175" s="63" t="s">
        <v>1488</v>
      </c>
      <c r="O1175" s="63" t="s">
        <v>1488</v>
      </c>
      <c r="P1175" s="68">
        <v>30.0</v>
      </c>
      <c r="Q1175" s="1" t="s">
        <v>2130</v>
      </c>
      <c r="R1175" s="1" t="s">
        <v>13</v>
      </c>
      <c r="S1175" s="1"/>
      <c r="T1175" s="1"/>
      <c r="U1175" s="1" t="s">
        <v>1560</v>
      </c>
      <c r="V1175" s="1" t="s">
        <v>1560</v>
      </c>
      <c r="W1175" s="145">
        <f t="shared" si="1"/>
        <v>0.0001914963891</v>
      </c>
      <c r="AC1175" s="38"/>
    </row>
    <row r="1176" ht="15.75" customHeight="1">
      <c r="A1176" s="1" t="s">
        <v>1903</v>
      </c>
      <c r="B1176" s="1" t="s">
        <v>2127</v>
      </c>
      <c r="C1176" s="63">
        <v>46289.0</v>
      </c>
      <c r="D1176" s="63" t="s">
        <v>130</v>
      </c>
      <c r="E1176" s="68">
        <v>0.94215436</v>
      </c>
      <c r="F1176" s="1"/>
      <c r="G1176" s="23">
        <v>8000000.0</v>
      </c>
      <c r="H1176" s="23">
        <v>7537234.91</v>
      </c>
      <c r="I1176" s="23">
        <v>8000000.0</v>
      </c>
      <c r="J1176" s="23">
        <v>7537234.91</v>
      </c>
      <c r="K1176" s="24">
        <v>6.7280737E7</v>
      </c>
      <c r="L1176" s="1" t="s">
        <v>1776</v>
      </c>
      <c r="M1176" s="1" t="s">
        <v>2128</v>
      </c>
      <c r="N1176" s="63" t="s">
        <v>1118</v>
      </c>
      <c r="O1176" s="63" t="s">
        <v>1118</v>
      </c>
      <c r="P1176" s="68">
        <v>27.0</v>
      </c>
      <c r="Q1176" s="1" t="s">
        <v>2130</v>
      </c>
      <c r="R1176" s="1" t="s">
        <v>13</v>
      </c>
      <c r="S1176" s="1"/>
      <c r="T1176" s="1"/>
      <c r="U1176" s="1" t="s">
        <v>1121</v>
      </c>
      <c r="V1176" s="1" t="s">
        <v>1121</v>
      </c>
      <c r="W1176" s="145">
        <f t="shared" si="1"/>
        <v>0.0001541817458</v>
      </c>
      <c r="AC1176" s="38"/>
    </row>
    <row r="1177" ht="15.75" customHeight="1">
      <c r="A1177" s="1" t="s">
        <v>1903</v>
      </c>
      <c r="B1177" s="1" t="s">
        <v>2127</v>
      </c>
      <c r="C1177" s="63">
        <v>46289.0</v>
      </c>
      <c r="D1177" s="63" t="s">
        <v>130</v>
      </c>
      <c r="E1177" s="68">
        <v>0.94215436</v>
      </c>
      <c r="F1177" s="1"/>
      <c r="G1177" s="23">
        <v>5000000.0</v>
      </c>
      <c r="H1177" s="23">
        <v>4710771.82</v>
      </c>
      <c r="I1177" s="23">
        <v>5000000.0</v>
      </c>
      <c r="J1177" s="23">
        <v>4710771.82</v>
      </c>
      <c r="K1177" s="24">
        <v>6.7193056E7</v>
      </c>
      <c r="L1177" s="1" t="s">
        <v>1776</v>
      </c>
      <c r="M1177" s="1" t="s">
        <v>2128</v>
      </c>
      <c r="N1177" s="63" t="s">
        <v>1118</v>
      </c>
      <c r="O1177" s="63" t="s">
        <v>1118</v>
      </c>
      <c r="P1177" s="68">
        <v>27.0</v>
      </c>
      <c r="Q1177" s="1" t="s">
        <v>2130</v>
      </c>
      <c r="R1177" s="1" t="s">
        <v>13</v>
      </c>
      <c r="S1177" s="1"/>
      <c r="T1177" s="1"/>
      <c r="U1177" s="1" t="s">
        <v>1127</v>
      </c>
      <c r="V1177" s="1" t="s">
        <v>1127</v>
      </c>
      <c r="W1177" s="145">
        <f t="shared" si="1"/>
        <v>0.00009636359116</v>
      </c>
      <c r="AC1177" s="38"/>
    </row>
    <row r="1178" ht="15.75" customHeight="1">
      <c r="A1178" s="1" t="s">
        <v>1911</v>
      </c>
      <c r="B1178" s="1" t="s">
        <v>2127</v>
      </c>
      <c r="C1178" s="63">
        <v>46289.0</v>
      </c>
      <c r="D1178" s="63" t="s">
        <v>130</v>
      </c>
      <c r="E1178" s="68">
        <v>0.92239273</v>
      </c>
      <c r="F1178" s="1"/>
      <c r="G1178" s="23">
        <v>5.0E7</v>
      </c>
      <c r="H1178" s="23">
        <v>4.611963645E7</v>
      </c>
      <c r="I1178" s="23">
        <v>5.0E7</v>
      </c>
      <c r="J1178" s="23">
        <v>4.611963645E7</v>
      </c>
      <c r="K1178" s="24">
        <v>6.7836059E7</v>
      </c>
      <c r="L1178" s="1" t="s">
        <v>1776</v>
      </c>
      <c r="M1178" s="1" t="s">
        <v>2128</v>
      </c>
      <c r="N1178" s="63" t="s">
        <v>1381</v>
      </c>
      <c r="O1178" s="63" t="s">
        <v>1381</v>
      </c>
      <c r="P1178" s="68">
        <v>37.0</v>
      </c>
      <c r="Q1178" s="1" t="s">
        <v>2130</v>
      </c>
      <c r="R1178" s="1" t="s">
        <v>13</v>
      </c>
      <c r="S1178" s="1"/>
      <c r="T1178" s="1"/>
      <c r="U1178" s="1" t="s">
        <v>1383</v>
      </c>
      <c r="V1178" s="1" t="s">
        <v>1383</v>
      </c>
      <c r="W1178" s="145">
        <f t="shared" si="1"/>
        <v>0.0009434237024</v>
      </c>
      <c r="AC1178" s="38"/>
    </row>
    <row r="1179" ht="15.75" customHeight="1">
      <c r="A1179" s="1" t="s">
        <v>1920</v>
      </c>
      <c r="B1179" s="1" t="s">
        <v>2127</v>
      </c>
      <c r="C1179" s="63">
        <v>46289.0</v>
      </c>
      <c r="D1179" s="63" t="s">
        <v>130</v>
      </c>
      <c r="E1179" s="68">
        <v>0.92627851</v>
      </c>
      <c r="F1179" s="1"/>
      <c r="G1179" s="23">
        <v>1.15E8</v>
      </c>
      <c r="H1179" s="23">
        <v>1.0652202888E8</v>
      </c>
      <c r="I1179" s="23">
        <v>1.15E8</v>
      </c>
      <c r="J1179" s="23">
        <v>1.0652202888E8</v>
      </c>
      <c r="K1179" s="24">
        <v>8428.0</v>
      </c>
      <c r="L1179" s="1" t="s">
        <v>1776</v>
      </c>
      <c r="M1179" s="1" t="s">
        <v>2128</v>
      </c>
      <c r="N1179" s="63" t="s">
        <v>1272</v>
      </c>
      <c r="O1179" s="63" t="s">
        <v>1272</v>
      </c>
      <c r="P1179" s="68">
        <v>35.0</v>
      </c>
      <c r="Q1179" s="1" t="s">
        <v>2130</v>
      </c>
      <c r="R1179" s="1" t="s">
        <v>13</v>
      </c>
      <c r="S1179" s="1"/>
      <c r="T1179" s="1"/>
      <c r="U1179" s="1" t="s">
        <v>1286</v>
      </c>
      <c r="V1179" s="1" t="s">
        <v>1286</v>
      </c>
      <c r="W1179" s="145">
        <f t="shared" si="1"/>
        <v>0.002179015591</v>
      </c>
      <c r="AC1179" s="38"/>
    </row>
    <row r="1180" ht="15.75" customHeight="1">
      <c r="A1180" s="1" t="s">
        <v>1910</v>
      </c>
      <c r="B1180" s="1" t="s">
        <v>2127</v>
      </c>
      <c r="C1180" s="63">
        <v>46289.0</v>
      </c>
      <c r="D1180" s="63" t="s">
        <v>130</v>
      </c>
      <c r="E1180" s="68">
        <v>0.9462087</v>
      </c>
      <c r="F1180" s="1"/>
      <c r="G1180" s="23">
        <v>5.0E7</v>
      </c>
      <c r="H1180" s="23">
        <v>4.731043493E7</v>
      </c>
      <c r="I1180" s="23">
        <v>5.0E7</v>
      </c>
      <c r="J1180" s="23">
        <v>4.731043493E7</v>
      </c>
      <c r="K1180" s="24">
        <v>4900.0</v>
      </c>
      <c r="L1180" s="1" t="s">
        <v>1776</v>
      </c>
      <c r="M1180" s="1" t="s">
        <v>2128</v>
      </c>
      <c r="N1180" s="63" t="s">
        <v>1428</v>
      </c>
      <c r="O1180" s="63" t="s">
        <v>1428</v>
      </c>
      <c r="P1180" s="68">
        <v>25.0</v>
      </c>
      <c r="Q1180" s="1" t="s">
        <v>2130</v>
      </c>
      <c r="R1180" s="1" t="s">
        <v>13</v>
      </c>
      <c r="S1180" s="1"/>
      <c r="T1180" s="1"/>
      <c r="U1180" s="1" t="s">
        <v>1452</v>
      </c>
      <c r="V1180" s="1" t="s">
        <v>1452</v>
      </c>
      <c r="W1180" s="145">
        <f t="shared" si="1"/>
        <v>0.0009677826869</v>
      </c>
      <c r="AC1180" s="38"/>
    </row>
    <row r="1181" ht="15.75" customHeight="1">
      <c r="A1181" s="1" t="s">
        <v>2027</v>
      </c>
      <c r="B1181" s="1" t="s">
        <v>2127</v>
      </c>
      <c r="C1181" s="63">
        <v>46289.0</v>
      </c>
      <c r="D1181" s="63" t="s">
        <v>130</v>
      </c>
      <c r="E1181" s="68">
        <v>0.93216883</v>
      </c>
      <c r="F1181" s="1"/>
      <c r="G1181" s="23">
        <v>1000000.0</v>
      </c>
      <c r="H1181" s="23">
        <v>932168.83</v>
      </c>
      <c r="I1181" s="23">
        <v>1000000.0</v>
      </c>
      <c r="J1181" s="23">
        <v>932168.83</v>
      </c>
      <c r="K1181" s="24">
        <v>6.7381805E7</v>
      </c>
      <c r="L1181" s="1" t="s">
        <v>1776</v>
      </c>
      <c r="M1181" s="1" t="s">
        <v>2128</v>
      </c>
      <c r="N1181" s="63" t="s">
        <v>1118</v>
      </c>
      <c r="O1181" s="63" t="s">
        <v>1118</v>
      </c>
      <c r="P1181" s="68">
        <v>32.0</v>
      </c>
      <c r="Q1181" s="1" t="s">
        <v>2130</v>
      </c>
      <c r="R1181" s="1" t="s">
        <v>13</v>
      </c>
      <c r="S1181" s="1"/>
      <c r="T1181" s="1"/>
      <c r="U1181" s="1" t="s">
        <v>1174</v>
      </c>
      <c r="V1181" s="1" t="s">
        <v>1174</v>
      </c>
      <c r="W1181" s="145">
        <f t="shared" si="1"/>
        <v>0.00001906845406</v>
      </c>
      <c r="AC1181" s="38"/>
    </row>
    <row r="1182" ht="15.75" customHeight="1">
      <c r="A1182" s="1" t="s">
        <v>1961</v>
      </c>
      <c r="B1182" s="1" t="s">
        <v>2127</v>
      </c>
      <c r="C1182" s="63">
        <v>46290.0</v>
      </c>
      <c r="D1182" s="63" t="s">
        <v>130</v>
      </c>
      <c r="E1182" s="68">
        <v>0.92153123</v>
      </c>
      <c r="F1182" s="1"/>
      <c r="G1182" s="23">
        <v>3076923.1</v>
      </c>
      <c r="H1182" s="23">
        <v>2835480.72</v>
      </c>
      <c r="I1182" s="23">
        <v>3076923.1</v>
      </c>
      <c r="J1182" s="23">
        <v>2835480.72</v>
      </c>
      <c r="K1182" s="24">
        <v>2782.0</v>
      </c>
      <c r="L1182" s="1" t="s">
        <v>1776</v>
      </c>
      <c r="M1182" s="1" t="s">
        <v>2128</v>
      </c>
      <c r="N1182" s="63" t="s">
        <v>1589</v>
      </c>
      <c r="O1182" s="63" t="s">
        <v>1589</v>
      </c>
      <c r="P1182" s="68">
        <v>37.0</v>
      </c>
      <c r="Q1182" s="1" t="s">
        <v>2130</v>
      </c>
      <c r="R1182" s="1" t="s">
        <v>13</v>
      </c>
      <c r="S1182" s="1"/>
      <c r="T1182" s="1"/>
      <c r="U1182" s="1" t="s">
        <v>1610</v>
      </c>
      <c r="V1182" s="1" t="s">
        <v>1610</v>
      </c>
      <c r="W1182" s="145">
        <f t="shared" si="1"/>
        <v>0.00005800261938</v>
      </c>
      <c r="AC1182" s="38"/>
    </row>
    <row r="1183" ht="15.75" customHeight="1">
      <c r="A1183" s="1" t="s">
        <v>1917</v>
      </c>
      <c r="B1183" s="1" t="s">
        <v>2127</v>
      </c>
      <c r="C1183" s="63">
        <v>46290.0</v>
      </c>
      <c r="D1183" s="63" t="s">
        <v>130</v>
      </c>
      <c r="E1183" s="68">
        <v>0.93541778</v>
      </c>
      <c r="F1183" s="1"/>
      <c r="G1183" s="23">
        <v>1.0E7</v>
      </c>
      <c r="H1183" s="23">
        <v>9354177.77</v>
      </c>
      <c r="I1183" s="23">
        <v>1.0E7</v>
      </c>
      <c r="J1183" s="23">
        <v>9354177.77</v>
      </c>
      <c r="K1183" s="24">
        <v>570.0</v>
      </c>
      <c r="L1183" s="1" t="s">
        <v>1776</v>
      </c>
      <c r="M1183" s="1" t="s">
        <v>2128</v>
      </c>
      <c r="N1183" s="63" t="s">
        <v>1039</v>
      </c>
      <c r="O1183" s="63" t="s">
        <v>1039</v>
      </c>
      <c r="P1183" s="68">
        <v>30.0</v>
      </c>
      <c r="Q1183" s="1" t="s">
        <v>2130</v>
      </c>
      <c r="R1183" s="1" t="s">
        <v>13</v>
      </c>
      <c r="S1183" s="1"/>
      <c r="T1183" s="1"/>
      <c r="U1183" s="1" t="s">
        <v>1041</v>
      </c>
      <c r="V1183" s="1" t="s">
        <v>1041</v>
      </c>
      <c r="W1183" s="145">
        <f t="shared" si="1"/>
        <v>0.0001913491455</v>
      </c>
      <c r="AC1183" s="38"/>
    </row>
    <row r="1184" ht="15.75" customHeight="1">
      <c r="A1184" s="1" t="s">
        <v>1903</v>
      </c>
      <c r="B1184" s="1" t="s">
        <v>2127</v>
      </c>
      <c r="C1184" s="63">
        <v>46290.0</v>
      </c>
      <c r="D1184" s="63" t="s">
        <v>130</v>
      </c>
      <c r="E1184" s="68">
        <v>0.94149815</v>
      </c>
      <c r="F1184" s="1"/>
      <c r="G1184" s="23">
        <v>5000000.0</v>
      </c>
      <c r="H1184" s="23">
        <v>4707490.74</v>
      </c>
      <c r="I1184" s="23">
        <v>5000000.0</v>
      </c>
      <c r="J1184" s="23">
        <v>4707490.74</v>
      </c>
      <c r="K1184" s="24">
        <v>6.7193057E7</v>
      </c>
      <c r="L1184" s="1" t="s">
        <v>1776</v>
      </c>
      <c r="M1184" s="1" t="s">
        <v>2128</v>
      </c>
      <c r="N1184" s="63" t="s">
        <v>1118</v>
      </c>
      <c r="O1184" s="63" t="s">
        <v>1118</v>
      </c>
      <c r="P1184" s="68">
        <v>27.0</v>
      </c>
      <c r="Q1184" s="1" t="s">
        <v>2130</v>
      </c>
      <c r="R1184" s="1" t="s">
        <v>13</v>
      </c>
      <c r="S1184" s="1"/>
      <c r="T1184" s="1"/>
      <c r="U1184" s="1" t="s">
        <v>1130</v>
      </c>
      <c r="V1184" s="1" t="s">
        <v>1130</v>
      </c>
      <c r="W1184" s="145">
        <f t="shared" si="1"/>
        <v>0.00009629647336</v>
      </c>
      <c r="AC1184" s="38"/>
    </row>
    <row r="1185" ht="15.75" customHeight="1">
      <c r="A1185" s="1" t="s">
        <v>1937</v>
      </c>
      <c r="B1185" s="1" t="s">
        <v>2127</v>
      </c>
      <c r="C1185" s="63">
        <v>46290.0</v>
      </c>
      <c r="D1185" s="63" t="s">
        <v>130</v>
      </c>
      <c r="E1185" s="68">
        <v>0.93140778</v>
      </c>
      <c r="F1185" s="1"/>
      <c r="G1185" s="23">
        <v>5.0E7</v>
      </c>
      <c r="H1185" s="23">
        <v>4.657038877E7</v>
      </c>
      <c r="I1185" s="23">
        <v>5.0E7</v>
      </c>
      <c r="J1185" s="23">
        <v>4.657038877E7</v>
      </c>
      <c r="K1185" s="24">
        <v>4898.0</v>
      </c>
      <c r="L1185" s="1" t="s">
        <v>1776</v>
      </c>
      <c r="M1185" s="1" t="s">
        <v>2128</v>
      </c>
      <c r="N1185" s="63" t="s">
        <v>1428</v>
      </c>
      <c r="O1185" s="63" t="s">
        <v>1428</v>
      </c>
      <c r="P1185" s="68">
        <v>32.0</v>
      </c>
      <c r="Q1185" s="1" t="s">
        <v>2130</v>
      </c>
      <c r="R1185" s="1" t="s">
        <v>13</v>
      </c>
      <c r="S1185" s="1"/>
      <c r="T1185" s="1"/>
      <c r="U1185" s="1" t="s">
        <v>1451</v>
      </c>
      <c r="V1185" s="1" t="s">
        <v>1451</v>
      </c>
      <c r="W1185" s="145">
        <f t="shared" si="1"/>
        <v>0.0009526442959</v>
      </c>
      <c r="AC1185" s="38"/>
    </row>
    <row r="1186" ht="15.75" customHeight="1">
      <c r="A1186" s="1" t="s">
        <v>1903</v>
      </c>
      <c r="B1186" s="1" t="s">
        <v>2127</v>
      </c>
      <c r="C1186" s="63">
        <v>46290.0</v>
      </c>
      <c r="D1186" s="63" t="s">
        <v>130</v>
      </c>
      <c r="E1186" s="68">
        <v>0.94149832</v>
      </c>
      <c r="F1186" s="1"/>
      <c r="G1186" s="23">
        <v>3.5E7</v>
      </c>
      <c r="H1186" s="23">
        <v>3.295244107E7</v>
      </c>
      <c r="I1186" s="23">
        <v>3.5E7</v>
      </c>
      <c r="J1186" s="23">
        <v>3.295244107E7</v>
      </c>
      <c r="K1186" s="24">
        <v>5.4027796E7</v>
      </c>
      <c r="L1186" s="1" t="s">
        <v>1776</v>
      </c>
      <c r="M1186" s="1" t="s">
        <v>2128</v>
      </c>
      <c r="N1186" s="63" t="s">
        <v>1428</v>
      </c>
      <c r="O1186" s="63" t="s">
        <v>1428</v>
      </c>
      <c r="P1186" s="68">
        <v>27.0</v>
      </c>
      <c r="Q1186" s="1" t="s">
        <v>2130</v>
      </c>
      <c r="R1186" s="1" t="s">
        <v>13</v>
      </c>
      <c r="S1186" s="1"/>
      <c r="T1186" s="1"/>
      <c r="U1186" s="1" t="s">
        <v>1430</v>
      </c>
      <c r="V1186" s="1" t="s">
        <v>1430</v>
      </c>
      <c r="W1186" s="145">
        <f t="shared" si="1"/>
        <v>0.000674075434</v>
      </c>
      <c r="AC1186" s="38"/>
    </row>
    <row r="1187" ht="15.75" customHeight="1">
      <c r="A1187" s="1" t="s">
        <v>1951</v>
      </c>
      <c r="B1187" s="1" t="s">
        <v>2127</v>
      </c>
      <c r="C1187" s="63">
        <v>46290.0</v>
      </c>
      <c r="D1187" s="63" t="s">
        <v>130</v>
      </c>
      <c r="E1187" s="68">
        <v>0.94559591</v>
      </c>
      <c r="F1187" s="1"/>
      <c r="G1187" s="23">
        <v>7250000.0</v>
      </c>
      <c r="H1187" s="23">
        <v>6855570.38</v>
      </c>
      <c r="I1187" s="23">
        <v>7250000.0</v>
      </c>
      <c r="J1187" s="23">
        <v>6855570.38</v>
      </c>
      <c r="K1187" s="24">
        <v>33955.0</v>
      </c>
      <c r="L1187" s="1" t="s">
        <v>1776</v>
      </c>
      <c r="M1187" s="1" t="s">
        <v>2128</v>
      </c>
      <c r="N1187" s="63" t="s">
        <v>1302</v>
      </c>
      <c r="O1187" s="63" t="s">
        <v>1302</v>
      </c>
      <c r="P1187" s="68">
        <v>25.0</v>
      </c>
      <c r="Q1187" s="1" t="s">
        <v>2130</v>
      </c>
      <c r="R1187" s="1" t="s">
        <v>13</v>
      </c>
      <c r="S1187" s="1"/>
      <c r="T1187" s="1"/>
      <c r="U1187" s="1" t="s">
        <v>1315</v>
      </c>
      <c r="V1187" s="1" t="s">
        <v>1315</v>
      </c>
      <c r="W1187" s="145">
        <f t="shared" si="1"/>
        <v>0.00014023761</v>
      </c>
      <c r="AC1187" s="38"/>
    </row>
    <row r="1188" ht="15.75" customHeight="1">
      <c r="A1188" s="1" t="s">
        <v>1926</v>
      </c>
      <c r="B1188" s="1" t="s">
        <v>2127</v>
      </c>
      <c r="C1188" s="63">
        <v>46290.0</v>
      </c>
      <c r="D1188" s="63" t="s">
        <v>130</v>
      </c>
      <c r="E1188" s="68">
        <v>0.94149838</v>
      </c>
      <c r="F1188" s="1"/>
      <c r="G1188" s="23">
        <v>3.0E7</v>
      </c>
      <c r="H1188" s="23">
        <v>2.824495138E7</v>
      </c>
      <c r="I1188" s="23">
        <v>3.0E7</v>
      </c>
      <c r="J1188" s="23">
        <v>2.824495138E7</v>
      </c>
      <c r="K1188" s="24">
        <v>9.0000209E7</v>
      </c>
      <c r="L1188" s="1" t="s">
        <v>1776</v>
      </c>
      <c r="M1188" s="1" t="s">
        <v>2128</v>
      </c>
      <c r="N1188" s="63" t="s">
        <v>130</v>
      </c>
      <c r="O1188" s="63" t="s">
        <v>130</v>
      </c>
      <c r="P1188" s="68">
        <v>27.0</v>
      </c>
      <c r="Q1188" s="1" t="s">
        <v>2130</v>
      </c>
      <c r="R1188" s="1" t="s">
        <v>13</v>
      </c>
      <c r="S1188" s="1"/>
      <c r="T1188" s="1"/>
      <c r="U1188" s="1" t="s">
        <v>1631</v>
      </c>
      <c r="V1188" s="1" t="s">
        <v>1631</v>
      </c>
      <c r="W1188" s="145">
        <f t="shared" si="1"/>
        <v>0.0005777789821</v>
      </c>
      <c r="AC1188" s="38"/>
    </row>
    <row r="1189" ht="15.75" customHeight="1">
      <c r="A1189" s="1" t="s">
        <v>1926</v>
      </c>
      <c r="B1189" s="1" t="s">
        <v>2127</v>
      </c>
      <c r="C1189" s="63">
        <v>46290.0</v>
      </c>
      <c r="D1189" s="63" t="s">
        <v>130</v>
      </c>
      <c r="E1189" s="68">
        <v>0.94149838</v>
      </c>
      <c r="F1189" s="1"/>
      <c r="G1189" s="23">
        <v>2.2E7</v>
      </c>
      <c r="H1189" s="23">
        <v>2.071296435E7</v>
      </c>
      <c r="I1189" s="23">
        <v>2.2E7</v>
      </c>
      <c r="J1189" s="23">
        <v>2.071296435E7</v>
      </c>
      <c r="K1189" s="24">
        <v>9.0000343E7</v>
      </c>
      <c r="L1189" s="1" t="s">
        <v>1776</v>
      </c>
      <c r="M1189" s="1" t="s">
        <v>2128</v>
      </c>
      <c r="N1189" s="63" t="s">
        <v>130</v>
      </c>
      <c r="O1189" s="63" t="s">
        <v>130</v>
      </c>
      <c r="P1189" s="68">
        <v>27.0</v>
      </c>
      <c r="Q1189" s="1" t="s">
        <v>2130</v>
      </c>
      <c r="R1189" s="1" t="s">
        <v>13</v>
      </c>
      <c r="S1189" s="1"/>
      <c r="T1189" s="1"/>
      <c r="U1189" s="1" t="s">
        <v>1632</v>
      </c>
      <c r="V1189" s="1" t="s">
        <v>1632</v>
      </c>
      <c r="W1189" s="145">
        <f t="shared" si="1"/>
        <v>0.000423704587</v>
      </c>
      <c r="AC1189" s="38"/>
    </row>
    <row r="1190" ht="15.75" customHeight="1">
      <c r="A1190" s="1" t="s">
        <v>1926</v>
      </c>
      <c r="B1190" s="1" t="s">
        <v>2127</v>
      </c>
      <c r="C1190" s="63">
        <v>46290.0</v>
      </c>
      <c r="D1190" s="63" t="s">
        <v>130</v>
      </c>
      <c r="E1190" s="68">
        <v>0.94149838</v>
      </c>
      <c r="F1190" s="1"/>
      <c r="G1190" s="23">
        <v>1.0E7</v>
      </c>
      <c r="H1190" s="23">
        <v>9414983.79</v>
      </c>
      <c r="I1190" s="23">
        <v>1.0E7</v>
      </c>
      <c r="J1190" s="23">
        <v>9414983.79</v>
      </c>
      <c r="K1190" s="24">
        <v>9.0000267E7</v>
      </c>
      <c r="L1190" s="1" t="s">
        <v>1776</v>
      </c>
      <c r="M1190" s="1" t="s">
        <v>2128</v>
      </c>
      <c r="N1190" s="63" t="s">
        <v>130</v>
      </c>
      <c r="O1190" s="63" t="s">
        <v>130</v>
      </c>
      <c r="P1190" s="68">
        <v>27.0</v>
      </c>
      <c r="Q1190" s="1" t="s">
        <v>2130</v>
      </c>
      <c r="R1190" s="1" t="s">
        <v>13</v>
      </c>
      <c r="S1190" s="1"/>
      <c r="T1190" s="1"/>
      <c r="U1190" s="1" t="s">
        <v>1633</v>
      </c>
      <c r="V1190" s="1" t="s">
        <v>1633</v>
      </c>
      <c r="W1190" s="145">
        <f t="shared" si="1"/>
        <v>0.000192592994</v>
      </c>
      <c r="AC1190" s="38"/>
    </row>
    <row r="1191" ht="15.75" customHeight="1">
      <c r="A1191" s="1" t="s">
        <v>1926</v>
      </c>
      <c r="B1191" s="1" t="s">
        <v>2127</v>
      </c>
      <c r="C1191" s="63">
        <v>46290.0</v>
      </c>
      <c r="D1191" s="63" t="s">
        <v>130</v>
      </c>
      <c r="E1191" s="68">
        <v>0.94149838</v>
      </c>
      <c r="F1191" s="1"/>
      <c r="G1191" s="23">
        <v>2.46E7</v>
      </c>
      <c r="H1191" s="23">
        <v>2.316086013E7</v>
      </c>
      <c r="I1191" s="23">
        <v>2.46E7</v>
      </c>
      <c r="J1191" s="23">
        <v>2.316086013E7</v>
      </c>
      <c r="K1191" s="24">
        <v>9.0000306E7</v>
      </c>
      <c r="L1191" s="1" t="s">
        <v>1776</v>
      </c>
      <c r="M1191" s="1" t="s">
        <v>2128</v>
      </c>
      <c r="N1191" s="63" t="s">
        <v>130</v>
      </c>
      <c r="O1191" s="63" t="s">
        <v>130</v>
      </c>
      <c r="P1191" s="68">
        <v>27.0</v>
      </c>
      <c r="Q1191" s="1" t="s">
        <v>2130</v>
      </c>
      <c r="R1191" s="1" t="s">
        <v>13</v>
      </c>
      <c r="S1191" s="1"/>
      <c r="T1191" s="1"/>
      <c r="U1191" s="1" t="s">
        <v>1634</v>
      </c>
      <c r="V1191" s="1" t="s">
        <v>1634</v>
      </c>
      <c r="W1191" s="145">
        <f t="shared" si="1"/>
        <v>0.0004737787653</v>
      </c>
      <c r="AC1191" s="38"/>
    </row>
    <row r="1192" ht="15.75" customHeight="1">
      <c r="A1192" s="1" t="s">
        <v>1926</v>
      </c>
      <c r="B1192" s="1" t="s">
        <v>2127</v>
      </c>
      <c r="C1192" s="63">
        <v>46290.0</v>
      </c>
      <c r="D1192" s="63" t="s">
        <v>130</v>
      </c>
      <c r="E1192" s="68">
        <v>0.94149838</v>
      </c>
      <c r="F1192" s="1"/>
      <c r="G1192" s="23">
        <v>1.8E7</v>
      </c>
      <c r="H1192" s="23">
        <v>1.694697083E7</v>
      </c>
      <c r="I1192" s="23">
        <v>1.8E7</v>
      </c>
      <c r="J1192" s="23">
        <v>1.694697083E7</v>
      </c>
      <c r="K1192" s="24">
        <v>9.0000338E7</v>
      </c>
      <c r="L1192" s="1" t="s">
        <v>1776</v>
      </c>
      <c r="M1192" s="1" t="s">
        <v>2128</v>
      </c>
      <c r="N1192" s="63" t="s">
        <v>130</v>
      </c>
      <c r="O1192" s="63" t="s">
        <v>130</v>
      </c>
      <c r="P1192" s="68">
        <v>27.0</v>
      </c>
      <c r="Q1192" s="1" t="s">
        <v>2130</v>
      </c>
      <c r="R1192" s="1" t="s">
        <v>13</v>
      </c>
      <c r="S1192" s="1"/>
      <c r="T1192" s="1"/>
      <c r="U1192" s="1" t="s">
        <v>1635</v>
      </c>
      <c r="V1192" s="1" t="s">
        <v>1635</v>
      </c>
      <c r="W1192" s="145">
        <f t="shared" si="1"/>
        <v>0.0003466673893</v>
      </c>
      <c r="AC1192" s="38"/>
    </row>
    <row r="1193" ht="15.75" customHeight="1">
      <c r="A1193" s="1" t="s">
        <v>1926</v>
      </c>
      <c r="B1193" s="1" t="s">
        <v>2127</v>
      </c>
      <c r="C1193" s="63">
        <v>46290.0</v>
      </c>
      <c r="D1193" s="63" t="s">
        <v>130</v>
      </c>
      <c r="E1193" s="68">
        <v>0.93340839</v>
      </c>
      <c r="F1193" s="1"/>
      <c r="G1193" s="23">
        <v>3000000.0</v>
      </c>
      <c r="H1193" s="23">
        <v>2800225.16</v>
      </c>
      <c r="I1193" s="23">
        <v>3000000.0</v>
      </c>
      <c r="J1193" s="23">
        <v>2800225.16</v>
      </c>
      <c r="K1193" s="24">
        <v>9.0003469E7</v>
      </c>
      <c r="L1193" s="1" t="s">
        <v>1776</v>
      </c>
      <c r="M1193" s="1" t="s">
        <v>2128</v>
      </c>
      <c r="N1193" s="63" t="s">
        <v>446</v>
      </c>
      <c r="O1193" s="63" t="s">
        <v>446</v>
      </c>
      <c r="P1193" s="68">
        <v>31.0</v>
      </c>
      <c r="Q1193" s="1" t="s">
        <v>2130</v>
      </c>
      <c r="R1193" s="1" t="s">
        <v>13</v>
      </c>
      <c r="S1193" s="1"/>
      <c r="T1193" s="1"/>
      <c r="U1193" s="1" t="s">
        <v>492</v>
      </c>
      <c r="V1193" s="1" t="s">
        <v>492</v>
      </c>
      <c r="W1193" s="145">
        <f t="shared" si="1"/>
        <v>0.00005728143132</v>
      </c>
      <c r="AC1193" s="38"/>
    </row>
    <row r="1194" ht="15.75" customHeight="1">
      <c r="A1194" s="1" t="s">
        <v>1916</v>
      </c>
      <c r="B1194" s="1" t="s">
        <v>2127</v>
      </c>
      <c r="C1194" s="63">
        <v>46293.0</v>
      </c>
      <c r="D1194" s="63" t="s">
        <v>130</v>
      </c>
      <c r="E1194" s="68">
        <v>0.93953527</v>
      </c>
      <c r="F1194" s="1"/>
      <c r="G1194" s="23">
        <v>1.0E8</v>
      </c>
      <c r="H1194" s="23">
        <v>9.395352662E7</v>
      </c>
      <c r="I1194" s="23">
        <v>1.0E8</v>
      </c>
      <c r="J1194" s="23">
        <v>9.395352662E7</v>
      </c>
      <c r="K1194" s="24">
        <v>1.4032579E7</v>
      </c>
      <c r="L1194" s="1" t="s">
        <v>1776</v>
      </c>
      <c r="M1194" s="1" t="s">
        <v>2128</v>
      </c>
      <c r="N1194" s="63" t="s">
        <v>1571</v>
      </c>
      <c r="O1194" s="63" t="s">
        <v>1571</v>
      </c>
      <c r="P1194" s="68">
        <v>27.0</v>
      </c>
      <c r="Q1194" s="1" t="s">
        <v>2130</v>
      </c>
      <c r="R1194" s="1" t="s">
        <v>13</v>
      </c>
      <c r="S1194" s="1"/>
      <c r="T1194" s="1"/>
      <c r="U1194" s="1" t="s">
        <v>1576</v>
      </c>
      <c r="V1194" s="1" t="s">
        <v>1576</v>
      </c>
      <c r="W1194" s="145">
        <f t="shared" si="1"/>
        <v>0.001921914194</v>
      </c>
      <c r="AC1194" s="38"/>
    </row>
    <row r="1195" ht="15.75" customHeight="1">
      <c r="A1195" s="1" t="s">
        <v>1916</v>
      </c>
      <c r="B1195" s="1" t="s">
        <v>2127</v>
      </c>
      <c r="C1195" s="63">
        <v>46293.0</v>
      </c>
      <c r="D1195" s="63" t="s">
        <v>130</v>
      </c>
      <c r="E1195" s="68">
        <v>0.94376232</v>
      </c>
      <c r="F1195" s="1"/>
      <c r="G1195" s="23">
        <v>2.5E7</v>
      </c>
      <c r="H1195" s="23">
        <v>2.359405789E7</v>
      </c>
      <c r="I1195" s="23">
        <v>2.5E7</v>
      </c>
      <c r="J1195" s="23">
        <v>2.359405789E7</v>
      </c>
      <c r="K1195" s="24">
        <v>928.0</v>
      </c>
      <c r="L1195" s="1" t="s">
        <v>1776</v>
      </c>
      <c r="M1195" s="1" t="s">
        <v>2128</v>
      </c>
      <c r="N1195" s="63" t="s">
        <v>1589</v>
      </c>
      <c r="O1195" s="63" t="s">
        <v>1589</v>
      </c>
      <c r="P1195" s="68">
        <v>25.0</v>
      </c>
      <c r="Q1195" s="1" t="s">
        <v>2130</v>
      </c>
      <c r="R1195" s="1" t="s">
        <v>13</v>
      </c>
      <c r="S1195" s="1"/>
      <c r="T1195" s="1"/>
      <c r="U1195" s="1" t="s">
        <v>1588</v>
      </c>
      <c r="V1195" s="1" t="s">
        <v>1588</v>
      </c>
      <c r="W1195" s="145">
        <f t="shared" si="1"/>
        <v>0.0004826402626</v>
      </c>
      <c r="AC1195" s="38"/>
    </row>
    <row r="1196" ht="15.75" customHeight="1">
      <c r="A1196" s="1" t="s">
        <v>1931</v>
      </c>
      <c r="B1196" s="1" t="s">
        <v>2127</v>
      </c>
      <c r="C1196" s="63">
        <v>46293.0</v>
      </c>
      <c r="D1196" s="63" t="s">
        <v>130</v>
      </c>
      <c r="E1196" s="68">
        <v>0.92913154</v>
      </c>
      <c r="F1196" s="1"/>
      <c r="G1196" s="23">
        <v>4.0E7</v>
      </c>
      <c r="H1196" s="23">
        <v>3.716526174E7</v>
      </c>
      <c r="I1196" s="23">
        <v>4.0E7</v>
      </c>
      <c r="J1196" s="23">
        <v>3.716526174E7</v>
      </c>
      <c r="K1196" s="24">
        <v>1.366279E7</v>
      </c>
      <c r="L1196" s="1" t="s">
        <v>1776</v>
      </c>
      <c r="M1196" s="1" t="s">
        <v>2128</v>
      </c>
      <c r="N1196" s="63" t="s">
        <v>1272</v>
      </c>
      <c r="O1196" s="63" t="s">
        <v>1272</v>
      </c>
      <c r="P1196" s="68">
        <v>32.0</v>
      </c>
      <c r="Q1196" s="1" t="s">
        <v>2130</v>
      </c>
      <c r="R1196" s="1" t="s">
        <v>13</v>
      </c>
      <c r="S1196" s="1"/>
      <c r="T1196" s="1"/>
      <c r="U1196" s="1" t="s">
        <v>1273</v>
      </c>
      <c r="V1196" s="1" t="s">
        <v>1273</v>
      </c>
      <c r="W1196" s="145">
        <f t="shared" si="1"/>
        <v>0.0007602529319</v>
      </c>
      <c r="AC1196" s="38"/>
    </row>
    <row r="1197" ht="15.75" customHeight="1">
      <c r="A1197" s="1" t="s">
        <v>1976</v>
      </c>
      <c r="B1197" s="1" t="s">
        <v>2127</v>
      </c>
      <c r="C1197" s="63">
        <v>46293.0</v>
      </c>
      <c r="D1197" s="63" t="s">
        <v>130</v>
      </c>
      <c r="E1197" s="68">
        <v>0.91895594</v>
      </c>
      <c r="F1197" s="1"/>
      <c r="G1197" s="23">
        <v>3345657.98</v>
      </c>
      <c r="H1197" s="23">
        <v>3074512.27</v>
      </c>
      <c r="I1197" s="23">
        <v>3345657.98</v>
      </c>
      <c r="J1197" s="23">
        <v>3074512.27</v>
      </c>
      <c r="K1197" s="24">
        <v>258.0</v>
      </c>
      <c r="L1197" s="1" t="s">
        <v>1776</v>
      </c>
      <c r="M1197" s="1" t="s">
        <v>2128</v>
      </c>
      <c r="N1197" s="63" t="s">
        <v>1589</v>
      </c>
      <c r="O1197" s="63" t="s">
        <v>1589</v>
      </c>
      <c r="P1197" s="68">
        <v>37.0</v>
      </c>
      <c r="Q1197" s="1" t="s">
        <v>2130</v>
      </c>
      <c r="R1197" s="1" t="s">
        <v>13</v>
      </c>
      <c r="S1197" s="1"/>
      <c r="T1197" s="1"/>
      <c r="U1197" s="1" t="s">
        <v>1617</v>
      </c>
      <c r="V1197" s="1" t="s">
        <v>1617</v>
      </c>
      <c r="W1197" s="145">
        <f t="shared" si="1"/>
        <v>0.00006289225094</v>
      </c>
      <c r="AC1197" s="38"/>
    </row>
    <row r="1198" ht="15.75" customHeight="1">
      <c r="A1198" s="1" t="s">
        <v>1961</v>
      </c>
      <c r="B1198" s="1" t="s">
        <v>2127</v>
      </c>
      <c r="C1198" s="63">
        <v>46293.0</v>
      </c>
      <c r="D1198" s="63" t="s">
        <v>130</v>
      </c>
      <c r="E1198" s="68">
        <v>0.91895594</v>
      </c>
      <c r="F1198" s="1"/>
      <c r="G1198" s="23">
        <v>3076923.1</v>
      </c>
      <c r="H1198" s="23">
        <v>2827556.75</v>
      </c>
      <c r="I1198" s="23">
        <v>3076923.1</v>
      </c>
      <c r="J1198" s="23">
        <v>2827556.75</v>
      </c>
      <c r="K1198" s="24">
        <v>2783.0</v>
      </c>
      <c r="L1198" s="1" t="s">
        <v>1776</v>
      </c>
      <c r="M1198" s="1" t="s">
        <v>2128</v>
      </c>
      <c r="N1198" s="63" t="s">
        <v>1589</v>
      </c>
      <c r="O1198" s="63" t="s">
        <v>1589</v>
      </c>
      <c r="P1198" s="68">
        <v>37.0</v>
      </c>
      <c r="Q1198" s="1" t="s">
        <v>2130</v>
      </c>
      <c r="R1198" s="1" t="s">
        <v>13</v>
      </c>
      <c r="S1198" s="1"/>
      <c r="T1198" s="1"/>
      <c r="U1198" s="1" t="s">
        <v>1613</v>
      </c>
      <c r="V1198" s="1" t="s">
        <v>1613</v>
      </c>
      <c r="W1198" s="145">
        <f t="shared" si="1"/>
        <v>0.00005784052658</v>
      </c>
      <c r="AC1198" s="38"/>
    </row>
    <row r="1199" ht="15.75" customHeight="1">
      <c r="A1199" s="1" t="s">
        <v>1917</v>
      </c>
      <c r="B1199" s="1" t="s">
        <v>2127</v>
      </c>
      <c r="C1199" s="63">
        <v>46293.0</v>
      </c>
      <c r="D1199" s="63" t="s">
        <v>130</v>
      </c>
      <c r="E1199" s="68">
        <v>0.93326525</v>
      </c>
      <c r="F1199" s="1"/>
      <c r="G1199" s="23">
        <v>1.0E7</v>
      </c>
      <c r="H1199" s="23">
        <v>9332652.49</v>
      </c>
      <c r="I1199" s="23">
        <v>1.0E7</v>
      </c>
      <c r="J1199" s="23">
        <v>9332652.49</v>
      </c>
      <c r="K1199" s="24">
        <v>674.0</v>
      </c>
      <c r="L1199" s="1" t="s">
        <v>1776</v>
      </c>
      <c r="M1199" s="1" t="s">
        <v>2128</v>
      </c>
      <c r="N1199" s="63" t="s">
        <v>1399</v>
      </c>
      <c r="O1199" s="63" t="s">
        <v>1399</v>
      </c>
      <c r="P1199" s="68">
        <v>30.0</v>
      </c>
      <c r="Q1199" s="1" t="s">
        <v>2130</v>
      </c>
      <c r="R1199" s="1" t="s">
        <v>13</v>
      </c>
      <c r="S1199" s="1"/>
      <c r="T1199" s="1"/>
      <c r="U1199" s="1" t="s">
        <v>1402</v>
      </c>
      <c r="V1199" s="1" t="s">
        <v>1402</v>
      </c>
      <c r="W1199" s="145">
        <f t="shared" si="1"/>
        <v>0.0001909088242</v>
      </c>
      <c r="AC1199" s="38"/>
    </row>
    <row r="1200" ht="15.75" customHeight="1">
      <c r="A1200" s="1" t="s">
        <v>1917</v>
      </c>
      <c r="B1200" s="1" t="s">
        <v>2127</v>
      </c>
      <c r="C1200" s="63">
        <v>46293.0</v>
      </c>
      <c r="D1200" s="63" t="s">
        <v>130</v>
      </c>
      <c r="E1200" s="68">
        <v>0.93326531</v>
      </c>
      <c r="F1200" s="1"/>
      <c r="G1200" s="23">
        <v>1.0E7</v>
      </c>
      <c r="H1200" s="23">
        <v>9332653.07</v>
      </c>
      <c r="I1200" s="23">
        <v>1.0E7</v>
      </c>
      <c r="J1200" s="23">
        <v>9332653.07</v>
      </c>
      <c r="K1200" s="24">
        <v>732.0</v>
      </c>
      <c r="L1200" s="1" t="s">
        <v>1776</v>
      </c>
      <c r="M1200" s="1" t="s">
        <v>2128</v>
      </c>
      <c r="N1200" s="63" t="s">
        <v>1571</v>
      </c>
      <c r="O1200" s="63" t="s">
        <v>1571</v>
      </c>
      <c r="P1200" s="68">
        <v>30.0</v>
      </c>
      <c r="Q1200" s="1" t="s">
        <v>2130</v>
      </c>
      <c r="R1200" s="1" t="s">
        <v>13</v>
      </c>
      <c r="S1200" s="1"/>
      <c r="T1200" s="1"/>
      <c r="U1200" s="1" t="s">
        <v>1579</v>
      </c>
      <c r="V1200" s="1" t="s">
        <v>1579</v>
      </c>
      <c r="W1200" s="145">
        <f t="shared" si="1"/>
        <v>0.000190908836</v>
      </c>
      <c r="AC1200" s="38"/>
    </row>
    <row r="1201" ht="15.75" customHeight="1">
      <c r="A1201" s="1" t="s">
        <v>1903</v>
      </c>
      <c r="B1201" s="1" t="s">
        <v>2127</v>
      </c>
      <c r="C1201" s="63">
        <v>46293.0</v>
      </c>
      <c r="D1201" s="63" t="s">
        <v>130</v>
      </c>
      <c r="E1201" s="68">
        <v>0.93953516</v>
      </c>
      <c r="F1201" s="1"/>
      <c r="G1201" s="23">
        <v>5000000.0</v>
      </c>
      <c r="H1201" s="23">
        <v>4697675.82</v>
      </c>
      <c r="I1201" s="23">
        <v>5000000.0</v>
      </c>
      <c r="J1201" s="23">
        <v>4697675.82</v>
      </c>
      <c r="K1201" s="24">
        <v>6.7193059E7</v>
      </c>
      <c r="L1201" s="1" t="s">
        <v>1776</v>
      </c>
      <c r="M1201" s="1" t="s">
        <v>2128</v>
      </c>
      <c r="N1201" s="63" t="s">
        <v>1118</v>
      </c>
      <c r="O1201" s="63" t="s">
        <v>1118</v>
      </c>
      <c r="P1201" s="68">
        <v>27.0</v>
      </c>
      <c r="Q1201" s="1" t="s">
        <v>2130</v>
      </c>
      <c r="R1201" s="1" t="s">
        <v>13</v>
      </c>
      <c r="S1201" s="1"/>
      <c r="T1201" s="1"/>
      <c r="U1201" s="1" t="s">
        <v>1131</v>
      </c>
      <c r="V1201" s="1" t="s">
        <v>1131</v>
      </c>
      <c r="W1201" s="145">
        <f t="shared" si="1"/>
        <v>0.00009609569927</v>
      </c>
      <c r="AC1201" s="38"/>
    </row>
    <row r="1202" ht="15.75" customHeight="1">
      <c r="A1202" s="1" t="s">
        <v>1969</v>
      </c>
      <c r="B1202" s="1" t="s">
        <v>2127</v>
      </c>
      <c r="C1202" s="63">
        <v>46293.0</v>
      </c>
      <c r="D1202" s="63" t="s">
        <v>130</v>
      </c>
      <c r="E1202" s="68">
        <v>0.92707843</v>
      </c>
      <c r="F1202" s="1"/>
      <c r="G1202" s="23">
        <v>1.947098634E7</v>
      </c>
      <c r="H1202" s="23">
        <v>1.805113139E7</v>
      </c>
      <c r="I1202" s="23">
        <v>1.947098634E7</v>
      </c>
      <c r="J1202" s="23">
        <v>1.805113139E7</v>
      </c>
      <c r="K1202" s="24">
        <v>1067.0</v>
      </c>
      <c r="L1202" s="1" t="s">
        <v>1776</v>
      </c>
      <c r="M1202" s="1" t="s">
        <v>2128</v>
      </c>
      <c r="N1202" s="63" t="s">
        <v>1302</v>
      </c>
      <c r="O1202" s="63" t="s">
        <v>1302</v>
      </c>
      <c r="P1202" s="68">
        <v>33.0</v>
      </c>
      <c r="Q1202" s="1" t="s">
        <v>2130</v>
      </c>
      <c r="R1202" s="1" t="s">
        <v>13</v>
      </c>
      <c r="S1202" s="1"/>
      <c r="T1202" s="1"/>
      <c r="U1202" s="1" t="s">
        <v>1326</v>
      </c>
      <c r="V1202" s="1" t="s">
        <v>1326</v>
      </c>
      <c r="W1202" s="145">
        <f t="shared" si="1"/>
        <v>0.0003692541078</v>
      </c>
      <c r="AC1202" s="38"/>
    </row>
    <row r="1203" ht="15.75" customHeight="1">
      <c r="A1203" s="1" t="s">
        <v>1916</v>
      </c>
      <c r="B1203" s="1" t="s">
        <v>2127</v>
      </c>
      <c r="C1203" s="63">
        <v>46294.0</v>
      </c>
      <c r="D1203" s="63" t="s">
        <v>130</v>
      </c>
      <c r="E1203" s="68">
        <v>0.93888278</v>
      </c>
      <c r="F1203" s="1"/>
      <c r="G1203" s="23">
        <v>2.0E7</v>
      </c>
      <c r="H1203" s="23">
        <v>1.877765563E7</v>
      </c>
      <c r="I1203" s="23">
        <v>2.0E7</v>
      </c>
      <c r="J1203" s="23">
        <v>1.877765563E7</v>
      </c>
      <c r="K1203" s="24">
        <v>6.7970141E7</v>
      </c>
      <c r="L1203" s="1" t="s">
        <v>1776</v>
      </c>
      <c r="M1203" s="1" t="s">
        <v>2128</v>
      </c>
      <c r="N1203" s="63" t="s">
        <v>1473</v>
      </c>
      <c r="O1203" s="63" t="s">
        <v>1473</v>
      </c>
      <c r="P1203" s="68">
        <v>27.0</v>
      </c>
      <c r="Q1203" s="1" t="s">
        <v>2130</v>
      </c>
      <c r="R1203" s="1" t="s">
        <v>13</v>
      </c>
      <c r="S1203" s="1"/>
      <c r="T1203" s="1"/>
      <c r="U1203" s="1" t="s">
        <v>1482</v>
      </c>
      <c r="V1203" s="1" t="s">
        <v>1482</v>
      </c>
      <c r="W1203" s="145">
        <f t="shared" si="1"/>
        <v>0.0003841158942</v>
      </c>
      <c r="AC1203" s="38"/>
    </row>
    <row r="1204" ht="15.75" customHeight="1">
      <c r="A1204" s="1" t="s">
        <v>1931</v>
      </c>
      <c r="B1204" s="1" t="s">
        <v>2127</v>
      </c>
      <c r="C1204" s="63">
        <v>46294.0</v>
      </c>
      <c r="D1204" s="63" t="s">
        <v>130</v>
      </c>
      <c r="E1204" s="68">
        <v>0.92837525</v>
      </c>
      <c r="F1204" s="1"/>
      <c r="G1204" s="23">
        <v>4.0E7</v>
      </c>
      <c r="H1204" s="23">
        <v>3.71350099E7</v>
      </c>
      <c r="I1204" s="23">
        <v>4.0E7</v>
      </c>
      <c r="J1204" s="23">
        <v>3.71350099E7</v>
      </c>
      <c r="K1204" s="24">
        <v>1.3662791E7</v>
      </c>
      <c r="L1204" s="1" t="s">
        <v>1776</v>
      </c>
      <c r="M1204" s="1" t="s">
        <v>2128</v>
      </c>
      <c r="N1204" s="63" t="s">
        <v>1272</v>
      </c>
      <c r="O1204" s="63" t="s">
        <v>1272</v>
      </c>
      <c r="P1204" s="68">
        <v>32.0</v>
      </c>
      <c r="Q1204" s="1" t="s">
        <v>2130</v>
      </c>
      <c r="R1204" s="1" t="s">
        <v>13</v>
      </c>
      <c r="S1204" s="1"/>
      <c r="T1204" s="1"/>
      <c r="U1204" s="1" t="s">
        <v>1274</v>
      </c>
      <c r="V1204" s="1" t="s">
        <v>1274</v>
      </c>
      <c r="W1204" s="145">
        <f t="shared" si="1"/>
        <v>0.0007596341</v>
      </c>
      <c r="AC1204" s="38"/>
    </row>
    <row r="1205" ht="15.75" customHeight="1">
      <c r="A1205" s="1" t="s">
        <v>2003</v>
      </c>
      <c r="B1205" s="1" t="s">
        <v>2127</v>
      </c>
      <c r="C1205" s="63">
        <v>46294.0</v>
      </c>
      <c r="D1205" s="63" t="s">
        <v>130</v>
      </c>
      <c r="E1205" s="68">
        <v>0.91607271</v>
      </c>
      <c r="F1205" s="1"/>
      <c r="G1205" s="23">
        <v>6899161.77</v>
      </c>
      <c r="H1205" s="23">
        <v>6320133.83</v>
      </c>
      <c r="I1205" s="23">
        <v>6899161.77</v>
      </c>
      <c r="J1205" s="23">
        <v>6320133.83</v>
      </c>
      <c r="K1205" s="24">
        <v>6.5964605E7</v>
      </c>
      <c r="L1205" s="1" t="s">
        <v>1776</v>
      </c>
      <c r="M1205" s="1" t="s">
        <v>2128</v>
      </c>
      <c r="N1205" s="63" t="s">
        <v>446</v>
      </c>
      <c r="O1205" s="63" t="s">
        <v>446</v>
      </c>
      <c r="P1205" s="68">
        <v>38.0</v>
      </c>
      <c r="Q1205" s="1" t="s">
        <v>2130</v>
      </c>
      <c r="R1205" s="1" t="s">
        <v>13</v>
      </c>
      <c r="S1205" s="1"/>
      <c r="T1205" s="1"/>
      <c r="U1205" s="1" t="s">
        <v>521</v>
      </c>
      <c r="V1205" s="1" t="s">
        <v>521</v>
      </c>
      <c r="W1205" s="145">
        <f t="shared" si="1"/>
        <v>0.0001292847151</v>
      </c>
      <c r="AC1205" s="38"/>
    </row>
    <row r="1206" ht="15.75" customHeight="1">
      <c r="A1206" s="1" t="s">
        <v>1940</v>
      </c>
      <c r="B1206" s="1" t="s">
        <v>2127</v>
      </c>
      <c r="C1206" s="63">
        <v>46294.0</v>
      </c>
      <c r="D1206" s="63" t="s">
        <v>130</v>
      </c>
      <c r="E1206" s="68">
        <v>0.92837547</v>
      </c>
      <c r="F1206" s="1"/>
      <c r="G1206" s="23">
        <v>6.5E7</v>
      </c>
      <c r="H1206" s="23">
        <v>6.034440526E7</v>
      </c>
      <c r="I1206" s="23">
        <v>6.5E7</v>
      </c>
      <c r="J1206" s="23">
        <v>6.034440526E7</v>
      </c>
      <c r="K1206" s="24">
        <v>334.0</v>
      </c>
      <c r="L1206" s="1" t="s">
        <v>1776</v>
      </c>
      <c r="M1206" s="1" t="s">
        <v>2128</v>
      </c>
      <c r="N1206" s="63" t="s">
        <v>1458</v>
      </c>
      <c r="O1206" s="63" t="s">
        <v>1458</v>
      </c>
      <c r="P1206" s="68">
        <v>32.0</v>
      </c>
      <c r="Q1206" s="1" t="s">
        <v>2130</v>
      </c>
      <c r="R1206" s="1" t="s">
        <v>13</v>
      </c>
      <c r="S1206" s="1"/>
      <c r="T1206" s="1"/>
      <c r="U1206" s="1" t="s">
        <v>1466</v>
      </c>
      <c r="V1206" s="1" t="s">
        <v>1466</v>
      </c>
      <c r="W1206" s="145">
        <f t="shared" si="1"/>
        <v>0.001234405702</v>
      </c>
      <c r="AC1206" s="38"/>
    </row>
    <row r="1207" ht="15.75" customHeight="1">
      <c r="A1207" s="1" t="s">
        <v>1903</v>
      </c>
      <c r="B1207" s="1" t="s">
        <v>2127</v>
      </c>
      <c r="C1207" s="63">
        <v>46294.0</v>
      </c>
      <c r="D1207" s="63" t="s">
        <v>130</v>
      </c>
      <c r="E1207" s="68">
        <v>0.93888277</v>
      </c>
      <c r="F1207" s="1"/>
      <c r="G1207" s="23">
        <v>5000000.0</v>
      </c>
      <c r="H1207" s="23">
        <v>4694413.86</v>
      </c>
      <c r="I1207" s="23">
        <v>5000000.0</v>
      </c>
      <c r="J1207" s="23">
        <v>4694413.86</v>
      </c>
      <c r="K1207" s="24">
        <v>6.719306E7</v>
      </c>
      <c r="L1207" s="1" t="s">
        <v>1776</v>
      </c>
      <c r="M1207" s="1" t="s">
        <v>2128</v>
      </c>
      <c r="N1207" s="63" t="s">
        <v>1118</v>
      </c>
      <c r="O1207" s="63" t="s">
        <v>1118</v>
      </c>
      <c r="P1207" s="68">
        <v>27.0</v>
      </c>
      <c r="Q1207" s="1" t="s">
        <v>2130</v>
      </c>
      <c r="R1207" s="1" t="s">
        <v>13</v>
      </c>
      <c r="S1207" s="1"/>
      <c r="T1207" s="1"/>
      <c r="U1207" s="1" t="s">
        <v>1134</v>
      </c>
      <c r="V1207" s="1" t="s">
        <v>1134</v>
      </c>
      <c r="W1207" s="145">
        <f t="shared" si="1"/>
        <v>0.00009602897258</v>
      </c>
      <c r="AC1207" s="38"/>
    </row>
    <row r="1208" ht="15.75" customHeight="1">
      <c r="A1208" s="1" t="s">
        <v>1910</v>
      </c>
      <c r="B1208" s="1" t="s">
        <v>2127</v>
      </c>
      <c r="C1208" s="63">
        <v>46294.0</v>
      </c>
      <c r="D1208" s="63" t="s">
        <v>130</v>
      </c>
      <c r="E1208" s="68">
        <v>0.9431526</v>
      </c>
      <c r="F1208" s="1"/>
      <c r="G1208" s="23">
        <v>5.0E7</v>
      </c>
      <c r="H1208" s="23">
        <v>4.715762982E7</v>
      </c>
      <c r="I1208" s="23">
        <v>5.0E7</v>
      </c>
      <c r="J1208" s="23">
        <v>4.715762982E7</v>
      </c>
      <c r="K1208" s="24">
        <v>4899.0</v>
      </c>
      <c r="L1208" s="1" t="s">
        <v>1776</v>
      </c>
      <c r="M1208" s="1" t="s">
        <v>2128</v>
      </c>
      <c r="N1208" s="63" t="s">
        <v>1428</v>
      </c>
      <c r="O1208" s="63" t="s">
        <v>1428</v>
      </c>
      <c r="P1208" s="68">
        <v>25.0</v>
      </c>
      <c r="Q1208" s="1" t="s">
        <v>2130</v>
      </c>
      <c r="R1208" s="1" t="s">
        <v>13</v>
      </c>
      <c r="S1208" s="1"/>
      <c r="T1208" s="1"/>
      <c r="U1208" s="1" t="s">
        <v>1455</v>
      </c>
      <c r="V1208" s="1" t="s">
        <v>1455</v>
      </c>
      <c r="W1208" s="145">
        <f t="shared" si="1"/>
        <v>0.0009646569042</v>
      </c>
      <c r="AC1208" s="38"/>
    </row>
    <row r="1209" ht="15.75" customHeight="1">
      <c r="A1209" s="1" t="s">
        <v>1903</v>
      </c>
      <c r="B1209" s="1" t="s">
        <v>2127</v>
      </c>
      <c r="C1209" s="63">
        <v>46294.0</v>
      </c>
      <c r="D1209" s="63" t="s">
        <v>130</v>
      </c>
      <c r="E1209" s="68">
        <v>0.93888275</v>
      </c>
      <c r="F1209" s="1"/>
      <c r="G1209" s="23">
        <v>3.0E7</v>
      </c>
      <c r="H1209" s="23">
        <v>2.816648262E7</v>
      </c>
      <c r="I1209" s="23">
        <v>3.0E7</v>
      </c>
      <c r="J1209" s="23">
        <v>2.816648262E7</v>
      </c>
      <c r="K1209" s="24">
        <v>5.4027797E7</v>
      </c>
      <c r="L1209" s="1" t="s">
        <v>1776</v>
      </c>
      <c r="M1209" s="1" t="s">
        <v>2128</v>
      </c>
      <c r="N1209" s="63" t="s">
        <v>1428</v>
      </c>
      <c r="O1209" s="63" t="s">
        <v>1428</v>
      </c>
      <c r="P1209" s="68">
        <v>27.0</v>
      </c>
      <c r="Q1209" s="1" t="s">
        <v>2130</v>
      </c>
      <c r="R1209" s="1" t="s">
        <v>13</v>
      </c>
      <c r="S1209" s="1"/>
      <c r="T1209" s="1"/>
      <c r="U1209" s="1" t="s">
        <v>1432</v>
      </c>
      <c r="V1209" s="1" t="s">
        <v>1432</v>
      </c>
      <c r="W1209" s="145">
        <f t="shared" si="1"/>
        <v>0.0005761738245</v>
      </c>
      <c r="AC1209" s="38"/>
    </row>
    <row r="1210" ht="15.75" customHeight="1">
      <c r="A1210" s="1" t="s">
        <v>1965</v>
      </c>
      <c r="B1210" s="1" t="s">
        <v>2127</v>
      </c>
      <c r="C1210" s="63">
        <v>46294.0</v>
      </c>
      <c r="D1210" s="63" t="s">
        <v>130</v>
      </c>
      <c r="E1210" s="68">
        <v>0.93676236</v>
      </c>
      <c r="F1210" s="1"/>
      <c r="G1210" s="23">
        <v>1.25E7</v>
      </c>
      <c r="H1210" s="23">
        <v>1.170952947E7</v>
      </c>
      <c r="I1210" s="23">
        <v>1.25E7</v>
      </c>
      <c r="J1210" s="23">
        <v>1.170952947E7</v>
      </c>
      <c r="K1210" s="24">
        <v>9.0027594E7</v>
      </c>
      <c r="L1210" s="1" t="s">
        <v>1776</v>
      </c>
      <c r="M1210" s="1" t="s">
        <v>2128</v>
      </c>
      <c r="N1210" s="63" t="s">
        <v>130</v>
      </c>
      <c r="O1210" s="63" t="s">
        <v>130</v>
      </c>
      <c r="P1210" s="68">
        <v>28.0</v>
      </c>
      <c r="Q1210" s="1" t="s">
        <v>2130</v>
      </c>
      <c r="R1210" s="1" t="s">
        <v>13</v>
      </c>
      <c r="S1210" s="1"/>
      <c r="T1210" s="1"/>
      <c r="U1210" s="1" t="s">
        <v>1626</v>
      </c>
      <c r="V1210" s="1" t="s">
        <v>1626</v>
      </c>
      <c r="W1210" s="145">
        <f t="shared" si="1"/>
        <v>0.0002395302413</v>
      </c>
      <c r="AC1210" s="38"/>
    </row>
    <row r="1211" ht="15.75" customHeight="1">
      <c r="A1211" s="1" t="s">
        <v>1939</v>
      </c>
      <c r="B1211" s="1" t="s">
        <v>2127</v>
      </c>
      <c r="C1211" s="63">
        <v>46294.0</v>
      </c>
      <c r="D1211" s="63" t="s">
        <v>130</v>
      </c>
      <c r="E1211" s="68">
        <v>0.92630192</v>
      </c>
      <c r="F1211" s="1"/>
      <c r="G1211" s="23">
        <v>1.25E7</v>
      </c>
      <c r="H1211" s="23">
        <v>1.157877399E7</v>
      </c>
      <c r="I1211" s="23">
        <v>1.25E7</v>
      </c>
      <c r="J1211" s="23">
        <v>1.157877399E7</v>
      </c>
      <c r="K1211" s="24">
        <v>1361.0</v>
      </c>
      <c r="L1211" s="1" t="s">
        <v>1776</v>
      </c>
      <c r="M1211" s="1" t="s">
        <v>2128</v>
      </c>
      <c r="N1211" s="63" t="s">
        <v>863</v>
      </c>
      <c r="O1211" s="63" t="s">
        <v>863</v>
      </c>
      <c r="P1211" s="68">
        <v>33.0</v>
      </c>
      <c r="Q1211" s="1" t="s">
        <v>2130</v>
      </c>
      <c r="R1211" s="1" t="s">
        <v>13</v>
      </c>
      <c r="S1211" s="1"/>
      <c r="T1211" s="1"/>
      <c r="U1211" s="1" t="s">
        <v>870</v>
      </c>
      <c r="V1211" s="1" t="s">
        <v>870</v>
      </c>
      <c r="W1211" s="145">
        <f t="shared" si="1"/>
        <v>0.000236855506</v>
      </c>
      <c r="AC1211" s="38"/>
    </row>
    <row r="1212" ht="15.75" customHeight="1">
      <c r="A1212" s="1" t="s">
        <v>1921</v>
      </c>
      <c r="B1212" s="1" t="s">
        <v>2127</v>
      </c>
      <c r="C1212" s="63">
        <v>46294.0</v>
      </c>
      <c r="D1212" s="63" t="s">
        <v>130</v>
      </c>
      <c r="E1212" s="68">
        <v>0.93676226</v>
      </c>
      <c r="F1212" s="1"/>
      <c r="G1212" s="23">
        <v>1.0E7</v>
      </c>
      <c r="H1212" s="23">
        <v>9367622.6</v>
      </c>
      <c r="I1212" s="23">
        <v>1.0E7</v>
      </c>
      <c r="J1212" s="23">
        <v>9367622.6</v>
      </c>
      <c r="K1212" s="24">
        <v>360567.0</v>
      </c>
      <c r="L1212" s="1" t="s">
        <v>1776</v>
      </c>
      <c r="M1212" s="1" t="s">
        <v>2128</v>
      </c>
      <c r="N1212" s="63" t="s">
        <v>404</v>
      </c>
      <c r="O1212" s="63" t="s">
        <v>404</v>
      </c>
      <c r="P1212" s="68">
        <v>28.0</v>
      </c>
      <c r="Q1212" s="1" t="s">
        <v>2130</v>
      </c>
      <c r="R1212" s="1" t="s">
        <v>13</v>
      </c>
      <c r="S1212" s="1"/>
      <c r="T1212" s="1"/>
      <c r="U1212" s="1" t="s">
        <v>429</v>
      </c>
      <c r="V1212" s="1" t="s">
        <v>429</v>
      </c>
      <c r="W1212" s="145">
        <f t="shared" si="1"/>
        <v>0.000191624173</v>
      </c>
      <c r="AC1212" s="38"/>
    </row>
    <row r="1213" ht="15.75" customHeight="1">
      <c r="A1213" s="1" t="s">
        <v>2027</v>
      </c>
      <c r="B1213" s="1" t="s">
        <v>2127</v>
      </c>
      <c r="C1213" s="63">
        <v>46294.0</v>
      </c>
      <c r="D1213" s="63" t="s">
        <v>130</v>
      </c>
      <c r="E1213" s="68">
        <v>0.92837542</v>
      </c>
      <c r="F1213" s="1"/>
      <c r="G1213" s="23">
        <v>1008513.5</v>
      </c>
      <c r="H1213" s="23">
        <v>936279.14</v>
      </c>
      <c r="I1213" s="23">
        <v>1008513.5</v>
      </c>
      <c r="J1213" s="23">
        <v>936279.14</v>
      </c>
      <c r="K1213" s="24">
        <v>6.7381841E7</v>
      </c>
      <c r="L1213" s="1" t="s">
        <v>1776</v>
      </c>
      <c r="M1213" s="1" t="s">
        <v>2128</v>
      </c>
      <c r="N1213" s="63" t="s">
        <v>1118</v>
      </c>
      <c r="O1213" s="63" t="s">
        <v>1118</v>
      </c>
      <c r="P1213" s="68">
        <v>32.0</v>
      </c>
      <c r="Q1213" s="1" t="s">
        <v>2130</v>
      </c>
      <c r="R1213" s="1" t="s">
        <v>13</v>
      </c>
      <c r="S1213" s="1"/>
      <c r="T1213" s="1"/>
      <c r="U1213" s="1" t="s">
        <v>1168</v>
      </c>
      <c r="V1213" s="1" t="s">
        <v>1168</v>
      </c>
      <c r="W1213" s="145">
        <f t="shared" si="1"/>
        <v>0.0000191525346</v>
      </c>
      <c r="AC1213" s="38"/>
    </row>
    <row r="1214" ht="15.75" customHeight="1">
      <c r="A1214" s="1" t="s">
        <v>1931</v>
      </c>
      <c r="B1214" s="1" t="s">
        <v>2127</v>
      </c>
      <c r="C1214" s="63">
        <v>46295.0</v>
      </c>
      <c r="D1214" s="63" t="s">
        <v>130</v>
      </c>
      <c r="E1214" s="68">
        <v>0.9276204</v>
      </c>
      <c r="F1214" s="1"/>
      <c r="G1214" s="23">
        <v>4.0E7</v>
      </c>
      <c r="H1214" s="23">
        <v>3.71048161E7</v>
      </c>
      <c r="I1214" s="23">
        <v>4.0E7</v>
      </c>
      <c r="J1214" s="23">
        <v>3.71048161E7</v>
      </c>
      <c r="K1214" s="24">
        <v>1.3662792E7</v>
      </c>
      <c r="L1214" s="1" t="s">
        <v>1776</v>
      </c>
      <c r="M1214" s="1" t="s">
        <v>2128</v>
      </c>
      <c r="N1214" s="63" t="s">
        <v>1272</v>
      </c>
      <c r="O1214" s="63" t="s">
        <v>1272</v>
      </c>
      <c r="P1214" s="68">
        <v>32.0</v>
      </c>
      <c r="Q1214" s="1" t="s">
        <v>2130</v>
      </c>
      <c r="R1214" s="1" t="s">
        <v>13</v>
      </c>
      <c r="S1214" s="1"/>
      <c r="T1214" s="1"/>
      <c r="U1214" s="1" t="s">
        <v>1275</v>
      </c>
      <c r="V1214" s="1" t="s">
        <v>1275</v>
      </c>
      <c r="W1214" s="145">
        <f t="shared" si="1"/>
        <v>0.0007590164554</v>
      </c>
      <c r="AC1214" s="38"/>
    </row>
    <row r="1215" ht="15.75" customHeight="1">
      <c r="A1215" s="1" t="s">
        <v>2012</v>
      </c>
      <c r="B1215" s="1" t="s">
        <v>2127</v>
      </c>
      <c r="C1215" s="63">
        <v>46295.0</v>
      </c>
      <c r="D1215" s="63" t="s">
        <v>130</v>
      </c>
      <c r="E1215" s="68">
        <v>0.9152</v>
      </c>
      <c r="F1215" s="1"/>
      <c r="G1215" s="23">
        <v>4500591.28</v>
      </c>
      <c r="H1215" s="23">
        <v>4118941.13</v>
      </c>
      <c r="I1215" s="23">
        <v>4500591.28</v>
      </c>
      <c r="J1215" s="23">
        <v>4118941.13</v>
      </c>
      <c r="K1215" s="24">
        <v>9.0000179E7</v>
      </c>
      <c r="L1215" s="1" t="s">
        <v>1776</v>
      </c>
      <c r="M1215" s="1" t="s">
        <v>2128</v>
      </c>
      <c r="N1215" s="63" t="s">
        <v>446</v>
      </c>
      <c r="O1215" s="63" t="s">
        <v>446</v>
      </c>
      <c r="P1215" s="68">
        <v>38.0</v>
      </c>
      <c r="Q1215" s="1" t="s">
        <v>2130</v>
      </c>
      <c r="R1215" s="1" t="s">
        <v>13</v>
      </c>
      <c r="S1215" s="1"/>
      <c r="T1215" s="1"/>
      <c r="U1215" s="1" t="s">
        <v>525</v>
      </c>
      <c r="V1215" s="1" t="s">
        <v>525</v>
      </c>
      <c r="W1215" s="145">
        <f t="shared" si="1"/>
        <v>0.00008425709719</v>
      </c>
      <c r="AC1215" s="38"/>
    </row>
    <row r="1216" ht="15.75" customHeight="1">
      <c r="A1216" s="1" t="s">
        <v>1917</v>
      </c>
      <c r="B1216" s="1" t="s">
        <v>2127</v>
      </c>
      <c r="C1216" s="63">
        <v>46295.0</v>
      </c>
      <c r="D1216" s="63" t="s">
        <v>130</v>
      </c>
      <c r="E1216" s="68">
        <v>0.93183561</v>
      </c>
      <c r="F1216" s="1"/>
      <c r="G1216" s="23">
        <v>1.0E7</v>
      </c>
      <c r="H1216" s="23">
        <v>9318356.12</v>
      </c>
      <c r="I1216" s="23">
        <v>1.0E7</v>
      </c>
      <c r="J1216" s="23">
        <v>9318356.12</v>
      </c>
      <c r="K1216" s="24">
        <v>581.0</v>
      </c>
      <c r="L1216" s="1" t="s">
        <v>1776</v>
      </c>
      <c r="M1216" s="1" t="s">
        <v>2128</v>
      </c>
      <c r="N1216" s="63" t="s">
        <v>1048</v>
      </c>
      <c r="O1216" s="63" t="s">
        <v>1048</v>
      </c>
      <c r="P1216" s="68">
        <v>30.0</v>
      </c>
      <c r="Q1216" s="1" t="s">
        <v>2130</v>
      </c>
      <c r="R1216" s="1" t="s">
        <v>13</v>
      </c>
      <c r="S1216" s="1"/>
      <c r="T1216" s="1"/>
      <c r="U1216" s="1" t="s">
        <v>1052</v>
      </c>
      <c r="V1216" s="1" t="s">
        <v>1052</v>
      </c>
      <c r="W1216" s="145">
        <f t="shared" si="1"/>
        <v>0.0001906163775</v>
      </c>
      <c r="AC1216" s="38"/>
    </row>
    <row r="1217" ht="15.75" customHeight="1">
      <c r="A1217" s="1" t="s">
        <v>1917</v>
      </c>
      <c r="B1217" s="1" t="s">
        <v>2127</v>
      </c>
      <c r="C1217" s="63">
        <v>46295.0</v>
      </c>
      <c r="D1217" s="63" t="s">
        <v>130</v>
      </c>
      <c r="E1217" s="68">
        <v>0.93183559</v>
      </c>
      <c r="F1217" s="1"/>
      <c r="G1217" s="23">
        <v>1.0E7</v>
      </c>
      <c r="H1217" s="23">
        <v>9318355.91</v>
      </c>
      <c r="I1217" s="23">
        <v>1.0E7</v>
      </c>
      <c r="J1217" s="23">
        <v>9318355.91</v>
      </c>
      <c r="K1217" s="24">
        <v>514.0</v>
      </c>
      <c r="L1217" s="1" t="s">
        <v>1776</v>
      </c>
      <c r="M1217" s="1" t="s">
        <v>2128</v>
      </c>
      <c r="N1217" s="63" t="s">
        <v>815</v>
      </c>
      <c r="O1217" s="63" t="s">
        <v>815</v>
      </c>
      <c r="P1217" s="68">
        <v>30.0</v>
      </c>
      <c r="Q1217" s="1" t="s">
        <v>2130</v>
      </c>
      <c r="R1217" s="1" t="s">
        <v>13</v>
      </c>
      <c r="S1217" s="1"/>
      <c r="T1217" s="1"/>
      <c r="U1217" s="1" t="s">
        <v>823</v>
      </c>
      <c r="V1217" s="1" t="s">
        <v>823</v>
      </c>
      <c r="W1217" s="145">
        <f t="shared" si="1"/>
        <v>0.0001906163732</v>
      </c>
      <c r="AC1217" s="38"/>
    </row>
    <row r="1218" ht="15.75" customHeight="1">
      <c r="A1218" s="1" t="s">
        <v>1979</v>
      </c>
      <c r="B1218" s="1" t="s">
        <v>2127</v>
      </c>
      <c r="C1218" s="63">
        <v>46295.0</v>
      </c>
      <c r="D1218" s="63" t="s">
        <v>130</v>
      </c>
      <c r="E1218" s="68">
        <v>0.92552685</v>
      </c>
      <c r="F1218" s="1"/>
      <c r="G1218" s="23">
        <v>2500000.0</v>
      </c>
      <c r="H1218" s="23">
        <v>2313817.12</v>
      </c>
      <c r="I1218" s="23">
        <v>2500000.0</v>
      </c>
      <c r="J1218" s="23">
        <v>2313817.12</v>
      </c>
      <c r="K1218" s="24">
        <v>1202.0</v>
      </c>
      <c r="L1218" s="1" t="s">
        <v>1776</v>
      </c>
      <c r="M1218" s="1" t="s">
        <v>2128</v>
      </c>
      <c r="N1218" s="63" t="s">
        <v>827</v>
      </c>
      <c r="O1218" s="63" t="s">
        <v>827</v>
      </c>
      <c r="P1218" s="68">
        <v>33.0</v>
      </c>
      <c r="Q1218" s="1" t="s">
        <v>2130</v>
      </c>
      <c r="R1218" s="1" t="s">
        <v>13</v>
      </c>
      <c r="S1218" s="1"/>
      <c r="T1218" s="1"/>
      <c r="U1218" s="1" t="s">
        <v>846</v>
      </c>
      <c r="V1218" s="1" t="s">
        <v>846</v>
      </c>
      <c r="W1218" s="145">
        <f t="shared" si="1"/>
        <v>0.00004733146403</v>
      </c>
      <c r="AC1218" s="38"/>
    </row>
    <row r="1219" ht="15.75" customHeight="1">
      <c r="A1219" s="1" t="s">
        <v>1949</v>
      </c>
      <c r="B1219" s="1" t="s">
        <v>2127</v>
      </c>
      <c r="C1219" s="63">
        <v>46295.0</v>
      </c>
      <c r="D1219" s="63" t="s">
        <v>130</v>
      </c>
      <c r="E1219" s="68">
        <v>0.91724699</v>
      </c>
      <c r="F1219" s="1"/>
      <c r="G1219" s="23">
        <v>3.0E7</v>
      </c>
      <c r="H1219" s="23">
        <v>2.751740976E7</v>
      </c>
      <c r="I1219" s="23">
        <v>3.0E7</v>
      </c>
      <c r="J1219" s="23">
        <v>2.751740976E7</v>
      </c>
      <c r="K1219" s="24">
        <v>4355.0</v>
      </c>
      <c r="L1219" s="1" t="s">
        <v>1776</v>
      </c>
      <c r="M1219" s="1" t="s">
        <v>2128</v>
      </c>
      <c r="N1219" s="63" t="s">
        <v>1488</v>
      </c>
      <c r="O1219" s="63" t="s">
        <v>1488</v>
      </c>
      <c r="P1219" s="68">
        <v>37.0</v>
      </c>
      <c r="Q1219" s="1" t="s">
        <v>2130</v>
      </c>
      <c r="R1219" s="1" t="s">
        <v>13</v>
      </c>
      <c r="S1219" s="1"/>
      <c r="T1219" s="1"/>
      <c r="U1219" s="1" t="s">
        <v>1566</v>
      </c>
      <c r="V1219" s="1" t="s">
        <v>1566</v>
      </c>
      <c r="W1219" s="145">
        <f t="shared" si="1"/>
        <v>0.0005628963841</v>
      </c>
      <c r="AC1219" s="38"/>
    </row>
    <row r="1220" ht="15.75" customHeight="1">
      <c r="A1220" s="1" t="s">
        <v>1934</v>
      </c>
      <c r="B1220" s="1" t="s">
        <v>2127</v>
      </c>
      <c r="C1220" s="63">
        <v>46295.0</v>
      </c>
      <c r="D1220" s="63" t="s">
        <v>130</v>
      </c>
      <c r="E1220" s="68">
        <v>0.93608946</v>
      </c>
      <c r="F1220" s="1"/>
      <c r="G1220" s="23">
        <v>3.5E7</v>
      </c>
      <c r="H1220" s="23">
        <v>3.276313127E7</v>
      </c>
      <c r="I1220" s="23">
        <v>3.5E7</v>
      </c>
      <c r="J1220" s="23">
        <v>3.276313127E7</v>
      </c>
      <c r="K1220" s="24">
        <v>3329633.0</v>
      </c>
      <c r="L1220" s="1" t="s">
        <v>1776</v>
      </c>
      <c r="M1220" s="1" t="s">
        <v>2128</v>
      </c>
      <c r="N1220" s="63" t="s">
        <v>628</v>
      </c>
      <c r="O1220" s="63" t="s">
        <v>628</v>
      </c>
      <c r="P1220" s="68">
        <v>28.0</v>
      </c>
      <c r="Q1220" s="1" t="s">
        <v>2130</v>
      </c>
      <c r="R1220" s="1" t="s">
        <v>13</v>
      </c>
      <c r="S1220" s="1"/>
      <c r="T1220" s="1"/>
      <c r="U1220" s="1" t="s">
        <v>657</v>
      </c>
      <c r="V1220" s="1" t="s">
        <v>657</v>
      </c>
      <c r="W1220" s="145">
        <f t="shared" si="1"/>
        <v>0.000670202911</v>
      </c>
      <c r="AC1220" s="38"/>
    </row>
    <row r="1221" ht="15.75" customHeight="1">
      <c r="A1221" s="1" t="s">
        <v>1933</v>
      </c>
      <c r="B1221" s="1" t="s">
        <v>2127</v>
      </c>
      <c r="C1221" s="63">
        <v>46295.0</v>
      </c>
      <c r="D1221" s="63" t="s">
        <v>130</v>
      </c>
      <c r="E1221" s="68">
        <v>0.93395775</v>
      </c>
      <c r="F1221" s="1"/>
      <c r="G1221" s="23">
        <v>1.0E7</v>
      </c>
      <c r="H1221" s="23">
        <v>9339577.46</v>
      </c>
      <c r="I1221" s="23">
        <v>1.0E7</v>
      </c>
      <c r="J1221" s="23">
        <v>9339577.46</v>
      </c>
      <c r="K1221" s="24">
        <v>3487824.0</v>
      </c>
      <c r="L1221" s="1" t="s">
        <v>1776</v>
      </c>
      <c r="M1221" s="1" t="s">
        <v>2128</v>
      </c>
      <c r="N1221" s="63" t="s">
        <v>704</v>
      </c>
      <c r="O1221" s="63" t="s">
        <v>704</v>
      </c>
      <c r="P1221" s="68">
        <v>29.0</v>
      </c>
      <c r="Q1221" s="1" t="s">
        <v>2130</v>
      </c>
      <c r="R1221" s="1" t="s">
        <v>13</v>
      </c>
      <c r="S1221" s="1"/>
      <c r="T1221" s="1"/>
      <c r="U1221" s="1" t="s">
        <v>707</v>
      </c>
      <c r="V1221" s="1" t="s">
        <v>707</v>
      </c>
      <c r="W1221" s="145">
        <f t="shared" si="1"/>
        <v>0.0001910504814</v>
      </c>
      <c r="AC1221" s="38"/>
    </row>
    <row r="1222" ht="15.75" customHeight="1">
      <c r="A1222" s="1" t="s">
        <v>1950</v>
      </c>
      <c r="B1222" s="1" t="s">
        <v>2127</v>
      </c>
      <c r="C1222" s="63">
        <v>46295.0</v>
      </c>
      <c r="D1222" s="63" t="s">
        <v>130</v>
      </c>
      <c r="E1222" s="68">
        <v>0.93183572</v>
      </c>
      <c r="F1222" s="1"/>
      <c r="G1222" s="23">
        <v>5.0E7</v>
      </c>
      <c r="H1222" s="23">
        <v>4.659178588E7</v>
      </c>
      <c r="I1222" s="23">
        <v>5.0E7</v>
      </c>
      <c r="J1222" s="23">
        <v>4.659178588E7</v>
      </c>
      <c r="K1222" s="24">
        <v>787.0</v>
      </c>
      <c r="L1222" s="1" t="s">
        <v>1776</v>
      </c>
      <c r="M1222" s="1" t="s">
        <v>2128</v>
      </c>
      <c r="N1222" s="63" t="s">
        <v>446</v>
      </c>
      <c r="O1222" s="63" t="s">
        <v>446</v>
      </c>
      <c r="P1222" s="68">
        <v>30.0</v>
      </c>
      <c r="Q1222" s="1" t="s">
        <v>2130</v>
      </c>
      <c r="R1222" s="1" t="s">
        <v>13</v>
      </c>
      <c r="S1222" s="1"/>
      <c r="T1222" s="1"/>
      <c r="U1222" s="1" t="s">
        <v>461</v>
      </c>
      <c r="V1222" s="1" t="s">
        <v>461</v>
      </c>
      <c r="W1222" s="145">
        <f t="shared" si="1"/>
        <v>0.0009530819954</v>
      </c>
      <c r="AC1222" s="38"/>
    </row>
    <row r="1223" ht="15.75" customHeight="1">
      <c r="A1223" s="1" t="s">
        <v>1917</v>
      </c>
      <c r="B1223" s="1" t="s">
        <v>2127</v>
      </c>
      <c r="C1223" s="63">
        <v>46296.0</v>
      </c>
      <c r="D1223" s="63" t="s">
        <v>130</v>
      </c>
      <c r="E1223" s="68">
        <v>0.93112259</v>
      </c>
      <c r="F1223" s="1"/>
      <c r="G1223" s="23">
        <v>1.0E7</v>
      </c>
      <c r="H1223" s="23">
        <v>9311225.9</v>
      </c>
      <c r="I1223" s="23">
        <v>1.0E7</v>
      </c>
      <c r="J1223" s="23">
        <v>9311225.9</v>
      </c>
      <c r="K1223" s="24">
        <v>675.0</v>
      </c>
      <c r="L1223" s="1" t="s">
        <v>1776</v>
      </c>
      <c r="M1223" s="1" t="s">
        <v>2128</v>
      </c>
      <c r="N1223" s="63" t="s">
        <v>1399</v>
      </c>
      <c r="O1223" s="63" t="s">
        <v>1399</v>
      </c>
      <c r="P1223" s="68">
        <v>30.0</v>
      </c>
      <c r="Q1223" s="1" t="s">
        <v>2130</v>
      </c>
      <c r="R1223" s="1" t="s">
        <v>13</v>
      </c>
      <c r="S1223" s="1"/>
      <c r="T1223" s="1"/>
      <c r="U1223" s="1" t="s">
        <v>1403</v>
      </c>
      <c r="V1223" s="1" t="s">
        <v>1403</v>
      </c>
      <c r="W1223" s="145">
        <f t="shared" si="1"/>
        <v>0.0001904705216</v>
      </c>
      <c r="AC1223" s="38"/>
    </row>
    <row r="1224" ht="15.75" customHeight="1">
      <c r="A1224" s="1" t="s">
        <v>1917</v>
      </c>
      <c r="B1224" s="1" t="s">
        <v>2127</v>
      </c>
      <c r="C1224" s="63">
        <v>46297.0</v>
      </c>
      <c r="D1224" s="63" t="s">
        <v>130</v>
      </c>
      <c r="E1224" s="68">
        <v>0.93041046</v>
      </c>
      <c r="F1224" s="1"/>
      <c r="G1224" s="23">
        <v>1.0E7</v>
      </c>
      <c r="H1224" s="23">
        <v>9304104.59</v>
      </c>
      <c r="I1224" s="23">
        <v>1.0E7</v>
      </c>
      <c r="J1224" s="23">
        <v>9304104.59</v>
      </c>
      <c r="K1224" s="24">
        <v>571.0</v>
      </c>
      <c r="L1224" s="1" t="s">
        <v>1776</v>
      </c>
      <c r="M1224" s="1" t="s">
        <v>2128</v>
      </c>
      <c r="N1224" s="63" t="s">
        <v>1039</v>
      </c>
      <c r="O1224" s="63" t="s">
        <v>1039</v>
      </c>
      <c r="P1224" s="68">
        <v>30.0</v>
      </c>
      <c r="Q1224" s="1" t="s">
        <v>2130</v>
      </c>
      <c r="R1224" s="1" t="s">
        <v>13</v>
      </c>
      <c r="S1224" s="1"/>
      <c r="T1224" s="1"/>
      <c r="U1224" s="1" t="s">
        <v>1043</v>
      </c>
      <c r="V1224" s="1" t="s">
        <v>1043</v>
      </c>
      <c r="W1224" s="145">
        <f t="shared" si="1"/>
        <v>0.000190324848</v>
      </c>
      <c r="AC1224" s="38"/>
    </row>
    <row r="1225" ht="15.75" customHeight="1">
      <c r="A1225" s="1" t="s">
        <v>1826</v>
      </c>
      <c r="B1225" s="1" t="s">
        <v>2127</v>
      </c>
      <c r="C1225" s="63">
        <v>46297.0</v>
      </c>
      <c r="D1225" s="63" t="s">
        <v>130</v>
      </c>
      <c r="E1225" s="68">
        <v>0.92825727</v>
      </c>
      <c r="F1225" s="1"/>
      <c r="G1225" s="23">
        <v>1.65E7</v>
      </c>
      <c r="H1225" s="23">
        <v>1.531624504E7</v>
      </c>
      <c r="I1225" s="23">
        <v>1.65E7</v>
      </c>
      <c r="J1225" s="23">
        <v>1.531624504E7</v>
      </c>
      <c r="K1225" s="24">
        <v>28675.0</v>
      </c>
      <c r="L1225" s="1" t="s">
        <v>1776</v>
      </c>
      <c r="M1225" s="1" t="s">
        <v>2128</v>
      </c>
      <c r="N1225" s="63" t="s">
        <v>591</v>
      </c>
      <c r="O1225" s="63" t="s">
        <v>591</v>
      </c>
      <c r="P1225" s="68">
        <v>31.0</v>
      </c>
      <c r="Q1225" s="1" t="s">
        <v>2130</v>
      </c>
      <c r="R1225" s="1" t="s">
        <v>13</v>
      </c>
      <c r="S1225" s="1"/>
      <c r="T1225" s="1"/>
      <c r="U1225" s="1" t="s">
        <v>592</v>
      </c>
      <c r="V1225" s="1" t="s">
        <v>592</v>
      </c>
      <c r="W1225" s="145">
        <f t="shared" si="1"/>
        <v>0.0003133092477</v>
      </c>
      <c r="AC1225" s="38"/>
    </row>
    <row r="1226" ht="15.75" customHeight="1">
      <c r="A1226" s="1" t="s">
        <v>1933</v>
      </c>
      <c r="B1226" s="1" t="s">
        <v>2127</v>
      </c>
      <c r="C1226" s="63">
        <v>46297.0</v>
      </c>
      <c r="D1226" s="63" t="s">
        <v>130</v>
      </c>
      <c r="E1226" s="68">
        <v>0.92398058</v>
      </c>
      <c r="F1226" s="1"/>
      <c r="G1226" s="23">
        <v>2.13875E7</v>
      </c>
      <c r="H1226" s="23">
        <v>1.976163467E7</v>
      </c>
      <c r="I1226" s="23">
        <v>2.13875E7</v>
      </c>
      <c r="J1226" s="23">
        <v>1.976163467E7</v>
      </c>
      <c r="K1226" s="24">
        <v>3233105.0</v>
      </c>
      <c r="L1226" s="1" t="s">
        <v>1776</v>
      </c>
      <c r="M1226" s="1" t="s">
        <v>2128</v>
      </c>
      <c r="N1226" s="63" t="s">
        <v>360</v>
      </c>
      <c r="O1226" s="63" t="s">
        <v>360</v>
      </c>
      <c r="P1226" s="68">
        <v>33.0</v>
      </c>
      <c r="Q1226" s="1" t="s">
        <v>2130</v>
      </c>
      <c r="R1226" s="1" t="s">
        <v>13</v>
      </c>
      <c r="S1226" s="1"/>
      <c r="T1226" s="1"/>
      <c r="U1226" s="1" t="s">
        <v>381</v>
      </c>
      <c r="V1226" s="1" t="s">
        <v>381</v>
      </c>
      <c r="W1226" s="145">
        <f t="shared" si="1"/>
        <v>0.0004042441784</v>
      </c>
      <c r="AC1226" s="38"/>
    </row>
    <row r="1227" ht="15.75" customHeight="1">
      <c r="A1227" s="1" t="s">
        <v>1933</v>
      </c>
      <c r="B1227" s="1" t="s">
        <v>2127</v>
      </c>
      <c r="C1227" s="63">
        <v>46297.0</v>
      </c>
      <c r="D1227" s="63" t="s">
        <v>130</v>
      </c>
      <c r="E1227" s="68">
        <v>0.93912425</v>
      </c>
      <c r="F1227" s="1"/>
      <c r="G1227" s="23">
        <v>9000000.0</v>
      </c>
      <c r="H1227" s="23">
        <v>8452118.24</v>
      </c>
      <c r="I1227" s="23">
        <v>9000000.0</v>
      </c>
      <c r="J1227" s="23">
        <v>8452118.24</v>
      </c>
      <c r="K1227" s="24">
        <v>3487870.0</v>
      </c>
      <c r="L1227" s="1" t="s">
        <v>1776</v>
      </c>
      <c r="M1227" s="1" t="s">
        <v>2128</v>
      </c>
      <c r="N1227" s="63" t="s">
        <v>946</v>
      </c>
      <c r="O1227" s="63" t="s">
        <v>946</v>
      </c>
      <c r="P1227" s="68">
        <v>26.0</v>
      </c>
      <c r="Q1227" s="1" t="s">
        <v>2130</v>
      </c>
      <c r="R1227" s="1" t="s">
        <v>13</v>
      </c>
      <c r="S1227" s="1"/>
      <c r="T1227" s="1"/>
      <c r="U1227" s="1" t="s">
        <v>949</v>
      </c>
      <c r="V1227" s="1" t="s">
        <v>949</v>
      </c>
      <c r="W1227" s="145">
        <f t="shared" si="1"/>
        <v>0.0001728966075</v>
      </c>
      <c r="AC1227" s="38"/>
    </row>
    <row r="1228" ht="15.75" customHeight="1">
      <c r="A1228" s="1" t="s">
        <v>1933</v>
      </c>
      <c r="B1228" s="1" t="s">
        <v>2127</v>
      </c>
      <c r="C1228" s="63">
        <v>46297.0</v>
      </c>
      <c r="D1228" s="63" t="s">
        <v>130</v>
      </c>
      <c r="E1228" s="68">
        <v>0.93912425</v>
      </c>
      <c r="F1228" s="1"/>
      <c r="G1228" s="23">
        <v>9000000.0</v>
      </c>
      <c r="H1228" s="23">
        <v>8452118.24</v>
      </c>
      <c r="I1228" s="23">
        <v>9000000.0</v>
      </c>
      <c r="J1228" s="23">
        <v>8452118.24</v>
      </c>
      <c r="K1228" s="24">
        <v>3385280.0</v>
      </c>
      <c r="L1228" s="1" t="s">
        <v>1776</v>
      </c>
      <c r="M1228" s="1" t="s">
        <v>2128</v>
      </c>
      <c r="N1228" s="63" t="s">
        <v>946</v>
      </c>
      <c r="O1228" s="63" t="s">
        <v>946</v>
      </c>
      <c r="P1228" s="68">
        <v>26.0</v>
      </c>
      <c r="Q1228" s="1" t="s">
        <v>2130</v>
      </c>
      <c r="R1228" s="1" t="s">
        <v>13</v>
      </c>
      <c r="S1228" s="1"/>
      <c r="T1228" s="1"/>
      <c r="U1228" s="1" t="s">
        <v>951</v>
      </c>
      <c r="V1228" s="1" t="s">
        <v>951</v>
      </c>
      <c r="W1228" s="145">
        <f t="shared" si="1"/>
        <v>0.0001728966075</v>
      </c>
      <c r="AC1228" s="38"/>
    </row>
    <row r="1229" ht="15.75" customHeight="1">
      <c r="A1229" s="1" t="s">
        <v>1933</v>
      </c>
      <c r="B1229" s="1" t="s">
        <v>2127</v>
      </c>
      <c r="C1229" s="63">
        <v>46297.0</v>
      </c>
      <c r="D1229" s="63" t="s">
        <v>130</v>
      </c>
      <c r="E1229" s="68">
        <v>0.93257379</v>
      </c>
      <c r="F1229" s="1"/>
      <c r="G1229" s="23">
        <v>1.0E7</v>
      </c>
      <c r="H1229" s="23">
        <v>9325737.87</v>
      </c>
      <c r="I1229" s="23">
        <v>1.0E7</v>
      </c>
      <c r="J1229" s="23">
        <v>9325737.87</v>
      </c>
      <c r="K1229" s="24">
        <v>3487825.0</v>
      </c>
      <c r="L1229" s="1" t="s">
        <v>1776</v>
      </c>
      <c r="M1229" s="1" t="s">
        <v>2128</v>
      </c>
      <c r="N1229" s="63" t="s">
        <v>704</v>
      </c>
      <c r="O1229" s="63" t="s">
        <v>704</v>
      </c>
      <c r="P1229" s="68">
        <v>29.0</v>
      </c>
      <c r="Q1229" s="1" t="s">
        <v>2130</v>
      </c>
      <c r="R1229" s="1" t="s">
        <v>13</v>
      </c>
      <c r="S1229" s="1"/>
      <c r="T1229" s="1"/>
      <c r="U1229" s="1" t="s">
        <v>708</v>
      </c>
      <c r="V1229" s="1" t="s">
        <v>708</v>
      </c>
      <c r="W1229" s="145">
        <f t="shared" si="1"/>
        <v>0.0001907673786</v>
      </c>
      <c r="AC1229" s="38"/>
    </row>
    <row r="1230" ht="15.75" customHeight="1">
      <c r="A1230" s="1" t="s">
        <v>1947</v>
      </c>
      <c r="B1230" s="1" t="s">
        <v>2127</v>
      </c>
      <c r="C1230" s="63">
        <v>46297.0</v>
      </c>
      <c r="D1230" s="63" t="s">
        <v>130</v>
      </c>
      <c r="E1230" s="68">
        <v>0.93041049</v>
      </c>
      <c r="F1230" s="1"/>
      <c r="G1230" s="23">
        <v>1.0E8</v>
      </c>
      <c r="H1230" s="23">
        <v>9.304104908E7</v>
      </c>
      <c r="I1230" s="23">
        <v>1.0E8</v>
      </c>
      <c r="J1230" s="23">
        <v>9.304104908E7</v>
      </c>
      <c r="K1230" s="24">
        <v>6676.0</v>
      </c>
      <c r="L1230" s="1" t="s">
        <v>1776</v>
      </c>
      <c r="M1230" s="1" t="s">
        <v>2128</v>
      </c>
      <c r="N1230" s="63" t="s">
        <v>1302</v>
      </c>
      <c r="O1230" s="63" t="s">
        <v>1302</v>
      </c>
      <c r="P1230" s="68">
        <v>30.0</v>
      </c>
      <c r="Q1230" s="1" t="s">
        <v>2130</v>
      </c>
      <c r="R1230" s="1" t="s">
        <v>13</v>
      </c>
      <c r="S1230" s="1"/>
      <c r="T1230" s="1"/>
      <c r="U1230" s="1" t="s">
        <v>1323</v>
      </c>
      <c r="V1230" s="1" t="s">
        <v>1323</v>
      </c>
      <c r="W1230" s="145">
        <f t="shared" si="1"/>
        <v>0.001903248546</v>
      </c>
      <c r="AC1230" s="38"/>
    </row>
    <row r="1231" ht="15.75" customHeight="1">
      <c r="A1231" s="1" t="s">
        <v>1921</v>
      </c>
      <c r="B1231" s="1" t="s">
        <v>2127</v>
      </c>
      <c r="C1231" s="63">
        <v>46297.0</v>
      </c>
      <c r="D1231" s="63" t="s">
        <v>130</v>
      </c>
      <c r="E1231" s="68">
        <v>0.93474699</v>
      </c>
      <c r="F1231" s="1"/>
      <c r="G1231" s="23">
        <v>1.5E7</v>
      </c>
      <c r="H1231" s="23">
        <v>1.40212048E7</v>
      </c>
      <c r="I1231" s="23">
        <v>1.5E7</v>
      </c>
      <c r="J1231" s="23">
        <v>1.40212048E7</v>
      </c>
      <c r="K1231" s="24">
        <v>360568.0</v>
      </c>
      <c r="L1231" s="1" t="s">
        <v>1776</v>
      </c>
      <c r="M1231" s="1" t="s">
        <v>2128</v>
      </c>
      <c r="N1231" s="63" t="s">
        <v>404</v>
      </c>
      <c r="O1231" s="63" t="s">
        <v>404</v>
      </c>
      <c r="P1231" s="68">
        <v>28.0</v>
      </c>
      <c r="Q1231" s="1" t="s">
        <v>2130</v>
      </c>
      <c r="R1231" s="1" t="s">
        <v>13</v>
      </c>
      <c r="S1231" s="1"/>
      <c r="T1231" s="1"/>
      <c r="U1231" s="1" t="s">
        <v>432</v>
      </c>
      <c r="V1231" s="1" t="s">
        <v>432</v>
      </c>
      <c r="W1231" s="145">
        <f t="shared" si="1"/>
        <v>0.0002868178928</v>
      </c>
      <c r="AC1231" s="38"/>
    </row>
    <row r="1232" ht="15.75" customHeight="1">
      <c r="A1232" s="1" t="s">
        <v>2040</v>
      </c>
      <c r="B1232" s="1" t="s">
        <v>2127</v>
      </c>
      <c r="C1232" s="63">
        <v>46297.0</v>
      </c>
      <c r="D1232" s="63" t="s">
        <v>130</v>
      </c>
      <c r="E1232" s="68">
        <v>0.92398058</v>
      </c>
      <c r="F1232" s="1"/>
      <c r="G1232" s="23">
        <v>3772034.12</v>
      </c>
      <c r="H1232" s="23">
        <v>3485286.26</v>
      </c>
      <c r="I1232" s="23">
        <v>3772034.12</v>
      </c>
      <c r="J1232" s="23">
        <v>3485286.26</v>
      </c>
      <c r="K1232" s="24">
        <v>638.0</v>
      </c>
      <c r="L1232" s="1" t="s">
        <v>1776</v>
      </c>
      <c r="M1232" s="1" t="s">
        <v>2128</v>
      </c>
      <c r="N1232" s="63" t="s">
        <v>1048</v>
      </c>
      <c r="O1232" s="63" t="s">
        <v>1048</v>
      </c>
      <c r="P1232" s="68">
        <v>33.0</v>
      </c>
      <c r="Q1232" s="1" t="s">
        <v>2130</v>
      </c>
      <c r="R1232" s="1" t="s">
        <v>13</v>
      </c>
      <c r="S1232" s="1"/>
      <c r="T1232" s="1"/>
      <c r="U1232" s="1" t="s">
        <v>1077</v>
      </c>
      <c r="V1232" s="1" t="s">
        <v>1077</v>
      </c>
      <c r="W1232" s="145">
        <f t="shared" si="1"/>
        <v>0.00007129504741</v>
      </c>
      <c r="AC1232" s="38"/>
    </row>
    <row r="1233" ht="15.75" customHeight="1">
      <c r="A1233" s="1" t="s">
        <v>1988</v>
      </c>
      <c r="B1233" s="1" t="s">
        <v>2127</v>
      </c>
      <c r="C1233" s="63">
        <v>46300.0</v>
      </c>
      <c r="D1233" s="63" t="s">
        <v>130</v>
      </c>
      <c r="E1233" s="68">
        <v>0.91086046</v>
      </c>
      <c r="F1233" s="1"/>
      <c r="G1233" s="23">
        <v>6500236.57</v>
      </c>
      <c r="H1233" s="23">
        <v>5920808.5</v>
      </c>
      <c r="I1233" s="23">
        <v>6500236.57</v>
      </c>
      <c r="J1233" s="23">
        <v>5920808.5</v>
      </c>
      <c r="K1233" s="24">
        <v>9.000058E7</v>
      </c>
      <c r="L1233" s="1" t="s">
        <v>1776</v>
      </c>
      <c r="M1233" s="1" t="s">
        <v>2128</v>
      </c>
      <c r="N1233" s="63" t="s">
        <v>543</v>
      </c>
      <c r="O1233" s="63" t="s">
        <v>543</v>
      </c>
      <c r="P1233" s="68">
        <v>38.0</v>
      </c>
      <c r="Q1233" s="1" t="s">
        <v>2130</v>
      </c>
      <c r="R1233" s="1" t="s">
        <v>13</v>
      </c>
      <c r="S1233" s="1"/>
      <c r="T1233" s="1"/>
      <c r="U1233" s="1" t="s">
        <v>554</v>
      </c>
      <c r="V1233" s="1" t="s">
        <v>554</v>
      </c>
      <c r="W1233" s="145">
        <f t="shared" si="1"/>
        <v>0.0001211161125</v>
      </c>
      <c r="AC1233" s="38"/>
    </row>
    <row r="1234" ht="15.75" customHeight="1">
      <c r="A1234" s="1" t="s">
        <v>1990</v>
      </c>
      <c r="B1234" s="1" t="s">
        <v>2127</v>
      </c>
      <c r="C1234" s="63">
        <v>46300.0</v>
      </c>
      <c r="D1234" s="63" t="s">
        <v>130</v>
      </c>
      <c r="E1234" s="68">
        <v>0.90660708</v>
      </c>
      <c r="F1234" s="1"/>
      <c r="G1234" s="23">
        <v>7203888.0</v>
      </c>
      <c r="H1234" s="23">
        <v>6531095.88</v>
      </c>
      <c r="I1234" s="23">
        <v>7203888.0</v>
      </c>
      <c r="J1234" s="23">
        <v>6531095.88</v>
      </c>
      <c r="K1234" s="24">
        <v>6.6329827E7</v>
      </c>
      <c r="L1234" s="1" t="s">
        <v>1776</v>
      </c>
      <c r="M1234" s="1" t="s">
        <v>2128</v>
      </c>
      <c r="N1234" s="63" t="s">
        <v>307</v>
      </c>
      <c r="O1234" s="63" t="s">
        <v>307</v>
      </c>
      <c r="P1234" s="68">
        <v>40.0</v>
      </c>
      <c r="Q1234" s="1" t="s">
        <v>2130</v>
      </c>
      <c r="R1234" s="1" t="s">
        <v>13</v>
      </c>
      <c r="S1234" s="1"/>
      <c r="T1234" s="1"/>
      <c r="U1234" s="1" t="s">
        <v>354</v>
      </c>
      <c r="V1234" s="1" t="s">
        <v>354</v>
      </c>
      <c r="W1234" s="145">
        <f t="shared" si="1"/>
        <v>0.0001336001567</v>
      </c>
      <c r="AC1234" s="38"/>
    </row>
    <row r="1235" ht="15.75" customHeight="1">
      <c r="A1235" s="1" t="s">
        <v>2103</v>
      </c>
      <c r="B1235" s="1"/>
      <c r="C1235" s="63"/>
      <c r="D1235" s="63"/>
      <c r="E1235" s="68"/>
      <c r="F1235" s="1"/>
      <c r="G1235" s="23"/>
      <c r="H1235" s="23"/>
      <c r="I1235" s="23"/>
      <c r="J1235" s="23"/>
      <c r="K1235" s="24"/>
      <c r="L1235" s="1"/>
      <c r="M1235" s="1"/>
      <c r="N1235" s="63"/>
      <c r="O1235" s="63"/>
      <c r="P1235" s="68"/>
      <c r="Q1235" s="1"/>
      <c r="R1235" s="1"/>
      <c r="S1235" s="1"/>
      <c r="T1235" s="1"/>
      <c r="U1235" s="1"/>
      <c r="V1235" s="1" t="s">
        <v>1690</v>
      </c>
      <c r="W1235" s="145">
        <f t="shared" si="1"/>
        <v>0</v>
      </c>
      <c r="AC1235" s="38"/>
    </row>
    <row r="1236" ht="15.75" customHeight="1">
      <c r="A1236" s="1" t="s">
        <v>2103</v>
      </c>
      <c r="B1236" s="1"/>
      <c r="C1236" s="63"/>
      <c r="D1236" s="63"/>
      <c r="E1236" s="68"/>
      <c r="F1236" s="1"/>
      <c r="G1236" s="23"/>
      <c r="H1236" s="23"/>
      <c r="I1236" s="23"/>
      <c r="J1236" s="23"/>
      <c r="K1236" s="24"/>
      <c r="L1236" s="1"/>
      <c r="M1236" s="1"/>
      <c r="N1236" s="63"/>
      <c r="O1236" s="63"/>
      <c r="P1236" s="68"/>
      <c r="Q1236" s="1"/>
      <c r="R1236" s="1"/>
      <c r="S1236" s="1"/>
      <c r="T1236" s="1"/>
      <c r="U1236" s="1"/>
      <c r="V1236" s="1" t="s">
        <v>1693</v>
      </c>
      <c r="W1236" s="145">
        <f t="shared" si="1"/>
        <v>0</v>
      </c>
      <c r="AC1236" s="38"/>
    </row>
    <row r="1237" ht="15.75" customHeight="1">
      <c r="A1237" s="1" t="s">
        <v>1920</v>
      </c>
      <c r="B1237" s="1" t="s">
        <v>2127</v>
      </c>
      <c r="C1237" s="63">
        <v>46301.0</v>
      </c>
      <c r="D1237" s="63" t="s">
        <v>130</v>
      </c>
      <c r="E1237" s="68">
        <v>0.91432887</v>
      </c>
      <c r="F1237" s="1"/>
      <c r="G1237" s="23">
        <v>1.0E8</v>
      </c>
      <c r="H1237" s="23">
        <v>9.143288662E7</v>
      </c>
      <c r="I1237" s="23">
        <v>1.0E8</v>
      </c>
      <c r="J1237" s="23">
        <v>9.143288662E7</v>
      </c>
      <c r="K1237" s="24">
        <v>8439.0</v>
      </c>
      <c r="L1237" s="1" t="s">
        <v>1776</v>
      </c>
      <c r="M1237" s="1" t="s">
        <v>2128</v>
      </c>
      <c r="N1237" s="63" t="s">
        <v>1589</v>
      </c>
      <c r="O1237" s="63" t="s">
        <v>1589</v>
      </c>
      <c r="P1237" s="68">
        <v>36.0</v>
      </c>
      <c r="Q1237" s="1" t="s">
        <v>2130</v>
      </c>
      <c r="R1237" s="1" t="s">
        <v>13</v>
      </c>
      <c r="S1237" s="1"/>
      <c r="T1237" s="1"/>
      <c r="U1237" s="1" t="s">
        <v>1621</v>
      </c>
      <c r="V1237" s="1" t="s">
        <v>1621</v>
      </c>
      <c r="W1237" s="145">
        <f t="shared" si="1"/>
        <v>0.00187035196</v>
      </c>
      <c r="AC1237" s="38"/>
    </row>
    <row r="1238" ht="15.75" customHeight="1">
      <c r="A1238" s="1" t="s">
        <v>1939</v>
      </c>
      <c r="B1238" s="1" t="s">
        <v>2127</v>
      </c>
      <c r="C1238" s="63">
        <v>46301.0</v>
      </c>
      <c r="D1238" s="63" t="s">
        <v>130</v>
      </c>
      <c r="E1238" s="68">
        <v>0.92090328</v>
      </c>
      <c r="F1238" s="1"/>
      <c r="G1238" s="23">
        <v>1.25E7</v>
      </c>
      <c r="H1238" s="23">
        <v>1.1511291E7</v>
      </c>
      <c r="I1238" s="23">
        <v>1.25E7</v>
      </c>
      <c r="J1238" s="23">
        <v>1.1511291E7</v>
      </c>
      <c r="K1238" s="24">
        <v>1362.0</v>
      </c>
      <c r="L1238" s="1" t="s">
        <v>1776</v>
      </c>
      <c r="M1238" s="1" t="s">
        <v>2128</v>
      </c>
      <c r="N1238" s="63" t="s">
        <v>863</v>
      </c>
      <c r="O1238" s="63" t="s">
        <v>863</v>
      </c>
      <c r="P1238" s="68">
        <v>33.0</v>
      </c>
      <c r="Q1238" s="1" t="s">
        <v>2130</v>
      </c>
      <c r="R1238" s="1" t="s">
        <v>13</v>
      </c>
      <c r="S1238" s="1"/>
      <c r="T1238" s="1"/>
      <c r="U1238" s="1" t="s">
        <v>867</v>
      </c>
      <c r="V1238" s="1" t="s">
        <v>867</v>
      </c>
      <c r="W1238" s="145">
        <f t="shared" si="1"/>
        <v>0.0002354750733</v>
      </c>
      <c r="AC1238" s="38"/>
    </row>
    <row r="1239" ht="15.75" customHeight="1">
      <c r="A1239" s="1" t="s">
        <v>1921</v>
      </c>
      <c r="B1239" s="1" t="s">
        <v>2127</v>
      </c>
      <c r="C1239" s="63">
        <v>46301.0</v>
      </c>
      <c r="D1239" s="63" t="s">
        <v>130</v>
      </c>
      <c r="E1239" s="68">
        <v>0.93207358</v>
      </c>
      <c r="F1239" s="1"/>
      <c r="G1239" s="23">
        <v>2500000.0</v>
      </c>
      <c r="H1239" s="23">
        <v>2330183.96</v>
      </c>
      <c r="I1239" s="23">
        <v>2500000.0</v>
      </c>
      <c r="J1239" s="23">
        <v>2330183.96</v>
      </c>
      <c r="K1239" s="24">
        <v>9.0031811E7</v>
      </c>
      <c r="L1239" s="1" t="s">
        <v>1776</v>
      </c>
      <c r="M1239" s="1" t="s">
        <v>2128</v>
      </c>
      <c r="N1239" s="63" t="s">
        <v>446</v>
      </c>
      <c r="O1239" s="63" t="s">
        <v>446</v>
      </c>
      <c r="P1239" s="68">
        <v>28.0</v>
      </c>
      <c r="Q1239" s="1" t="s">
        <v>2130</v>
      </c>
      <c r="R1239" s="1" t="s">
        <v>13</v>
      </c>
      <c r="S1239" s="1"/>
      <c r="T1239" s="1"/>
      <c r="U1239" s="1" t="s">
        <v>462</v>
      </c>
      <c r="V1239" s="1" t="s">
        <v>462</v>
      </c>
      <c r="W1239" s="145">
        <f t="shared" si="1"/>
        <v>0.00004766626426</v>
      </c>
      <c r="AC1239" s="38"/>
    </row>
    <row r="1240" ht="15.75" customHeight="1">
      <c r="A1240" s="1" t="s">
        <v>1921</v>
      </c>
      <c r="B1240" s="1" t="s">
        <v>2127</v>
      </c>
      <c r="C1240" s="63">
        <v>46301.0</v>
      </c>
      <c r="D1240" s="63" t="s">
        <v>130</v>
      </c>
      <c r="E1240" s="68">
        <v>0.93207368</v>
      </c>
      <c r="F1240" s="1"/>
      <c r="G1240" s="23">
        <v>2.5E7</v>
      </c>
      <c r="H1240" s="23">
        <v>2.330184195E7</v>
      </c>
      <c r="I1240" s="23">
        <v>2.5E7</v>
      </c>
      <c r="J1240" s="23">
        <v>2.330184195E7</v>
      </c>
      <c r="K1240" s="24">
        <v>360569.0</v>
      </c>
      <c r="L1240" s="1" t="s">
        <v>1776</v>
      </c>
      <c r="M1240" s="1" t="s">
        <v>2128</v>
      </c>
      <c r="N1240" s="63" t="s">
        <v>404</v>
      </c>
      <c r="O1240" s="63" t="s">
        <v>404</v>
      </c>
      <c r="P1240" s="68">
        <v>28.0</v>
      </c>
      <c r="Q1240" s="1" t="s">
        <v>2130</v>
      </c>
      <c r="R1240" s="1" t="s">
        <v>13</v>
      </c>
      <c r="S1240" s="1"/>
      <c r="T1240" s="1"/>
      <c r="U1240" s="1" t="s">
        <v>410</v>
      </c>
      <c r="V1240" s="1" t="s">
        <v>410</v>
      </c>
      <c r="W1240" s="145">
        <f t="shared" si="1"/>
        <v>0.0004766626907</v>
      </c>
      <c r="AC1240" s="38"/>
    </row>
    <row r="1241" ht="15.75" customHeight="1">
      <c r="A1241" s="1" t="s">
        <v>1951</v>
      </c>
      <c r="B1241" s="1" t="s">
        <v>2127</v>
      </c>
      <c r="C1241" s="63">
        <v>46301.0</v>
      </c>
      <c r="D1241" s="63" t="s">
        <v>130</v>
      </c>
      <c r="E1241" s="68">
        <v>0.94584092</v>
      </c>
      <c r="F1241" s="1"/>
      <c r="G1241" s="23">
        <v>1.3E7</v>
      </c>
      <c r="H1241" s="23">
        <v>1.229593195E7</v>
      </c>
      <c r="I1241" s="23">
        <v>1.3E7</v>
      </c>
      <c r="J1241" s="23">
        <v>1.229593195E7</v>
      </c>
      <c r="K1241" s="24">
        <v>34113.0</v>
      </c>
      <c r="L1241" s="1" t="s">
        <v>1776</v>
      </c>
      <c r="M1241" s="1" t="s">
        <v>2128</v>
      </c>
      <c r="N1241" s="63" t="s">
        <v>1488</v>
      </c>
      <c r="O1241" s="63" t="s">
        <v>1488</v>
      </c>
      <c r="P1241" s="68">
        <v>22.0</v>
      </c>
      <c r="Q1241" s="1" t="s">
        <v>2130</v>
      </c>
      <c r="R1241" s="1" t="s">
        <v>13</v>
      </c>
      <c r="S1241" s="1"/>
      <c r="T1241" s="1"/>
      <c r="U1241" s="1" t="s">
        <v>1568</v>
      </c>
      <c r="V1241" s="1" t="s">
        <v>1568</v>
      </c>
      <c r="W1241" s="145">
        <f t="shared" si="1"/>
        <v>0.0002515256957</v>
      </c>
      <c r="AC1241" s="38"/>
    </row>
    <row r="1242" ht="15.75" customHeight="1">
      <c r="A1242" s="1" t="s">
        <v>1932</v>
      </c>
      <c r="B1242" s="1" t="s">
        <v>2127</v>
      </c>
      <c r="C1242" s="63">
        <v>46302.0</v>
      </c>
      <c r="D1242" s="63" t="s">
        <v>130</v>
      </c>
      <c r="E1242" s="68">
        <v>0.92236956</v>
      </c>
      <c r="F1242" s="1"/>
      <c r="G1242" s="23">
        <v>1.447989969E7</v>
      </c>
      <c r="H1242" s="23">
        <v>1.335581874E7</v>
      </c>
      <c r="I1242" s="23">
        <v>1.447989969E7</v>
      </c>
      <c r="J1242" s="23">
        <v>1.335581874E7</v>
      </c>
      <c r="K1242" s="24">
        <v>9933008.0</v>
      </c>
      <c r="L1242" s="1" t="s">
        <v>1776</v>
      </c>
      <c r="M1242" s="1" t="s">
        <v>2128</v>
      </c>
      <c r="N1242" s="63" t="s">
        <v>1272</v>
      </c>
      <c r="O1242" s="63" t="s">
        <v>1272</v>
      </c>
      <c r="P1242" s="68">
        <v>32.0</v>
      </c>
      <c r="Q1242" s="1" t="s">
        <v>2130</v>
      </c>
      <c r="R1242" s="1" t="s">
        <v>13</v>
      </c>
      <c r="S1242" s="1"/>
      <c r="T1242" s="1"/>
      <c r="U1242" s="1" t="s">
        <v>1278</v>
      </c>
      <c r="V1242" s="1" t="s">
        <v>1278</v>
      </c>
      <c r="W1242" s="145">
        <f t="shared" si="1"/>
        <v>0.0002732067495</v>
      </c>
      <c r="AC1242" s="38"/>
    </row>
    <row r="1243" ht="15.75" customHeight="1">
      <c r="A1243" s="1" t="s">
        <v>1990</v>
      </c>
      <c r="B1243" s="1" t="s">
        <v>2127</v>
      </c>
      <c r="C1243" s="63">
        <v>46302.0</v>
      </c>
      <c r="D1243" s="63" t="s">
        <v>130</v>
      </c>
      <c r="E1243" s="68">
        <v>0.90480923</v>
      </c>
      <c r="F1243" s="1"/>
      <c r="G1243" s="23">
        <v>7203888.0</v>
      </c>
      <c r="H1243" s="23">
        <v>6518144.37</v>
      </c>
      <c r="I1243" s="23">
        <v>7203888.0</v>
      </c>
      <c r="J1243" s="23">
        <v>6518144.37</v>
      </c>
      <c r="K1243" s="24">
        <v>6.6329877E7</v>
      </c>
      <c r="L1243" s="1" t="s">
        <v>1776</v>
      </c>
      <c r="M1243" s="1" t="s">
        <v>2128</v>
      </c>
      <c r="N1243" s="63" t="s">
        <v>307</v>
      </c>
      <c r="O1243" s="63" t="s">
        <v>307</v>
      </c>
      <c r="P1243" s="68">
        <v>40.0</v>
      </c>
      <c r="Q1243" s="1" t="s">
        <v>2130</v>
      </c>
      <c r="R1243" s="1" t="s">
        <v>13</v>
      </c>
      <c r="S1243" s="1"/>
      <c r="T1243" s="1"/>
      <c r="U1243" s="1" t="s">
        <v>356</v>
      </c>
      <c r="V1243" s="1" t="s">
        <v>356</v>
      </c>
      <c r="W1243" s="145">
        <f t="shared" si="1"/>
        <v>0.0001333352205</v>
      </c>
      <c r="AC1243" s="38"/>
    </row>
    <row r="1244" ht="15.75" customHeight="1">
      <c r="A1244" s="1" t="s">
        <v>1990</v>
      </c>
      <c r="B1244" s="1" t="s">
        <v>2127</v>
      </c>
      <c r="C1244" s="63">
        <v>46302.0</v>
      </c>
      <c r="D1244" s="63" t="s">
        <v>130</v>
      </c>
      <c r="E1244" s="68">
        <v>0.90480923</v>
      </c>
      <c r="F1244" s="1"/>
      <c r="G1244" s="23">
        <v>7900000.0</v>
      </c>
      <c r="H1244" s="23">
        <v>7147992.94</v>
      </c>
      <c r="I1244" s="23">
        <v>7900000.0</v>
      </c>
      <c r="J1244" s="23">
        <v>7147992.94</v>
      </c>
      <c r="K1244" s="24">
        <v>877.0</v>
      </c>
      <c r="L1244" s="1" t="s">
        <v>1776</v>
      </c>
      <c r="M1244" s="1" t="s">
        <v>2128</v>
      </c>
      <c r="N1244" s="63" t="s">
        <v>307</v>
      </c>
      <c r="O1244" s="63" t="s">
        <v>307</v>
      </c>
      <c r="P1244" s="68">
        <v>40.0</v>
      </c>
      <c r="Q1244" s="1" t="s">
        <v>2130</v>
      </c>
      <c r="R1244" s="1" t="s">
        <v>13</v>
      </c>
      <c r="S1244" s="1"/>
      <c r="T1244" s="1"/>
      <c r="U1244" s="1" t="s">
        <v>358</v>
      </c>
      <c r="V1244" s="1" t="s">
        <v>358</v>
      </c>
      <c r="W1244" s="145">
        <f t="shared" si="1"/>
        <v>0.0001462194085</v>
      </c>
      <c r="AC1244" s="38"/>
    </row>
    <row r="1245" ht="15.75" customHeight="1">
      <c r="A1245" s="1" t="s">
        <v>1938</v>
      </c>
      <c r="B1245" s="1" t="s">
        <v>2127</v>
      </c>
      <c r="C1245" s="63">
        <v>46302.0</v>
      </c>
      <c r="D1245" s="63" t="s">
        <v>130</v>
      </c>
      <c r="E1245" s="68">
        <v>0.92013733</v>
      </c>
      <c r="F1245" s="1"/>
      <c r="G1245" s="23">
        <v>2.5E7</v>
      </c>
      <c r="H1245" s="23">
        <v>2.300343336E7</v>
      </c>
      <c r="I1245" s="23">
        <v>2.5E7</v>
      </c>
      <c r="J1245" s="23">
        <v>2.300343336E7</v>
      </c>
      <c r="K1245" s="24">
        <v>1233892.0</v>
      </c>
      <c r="L1245" s="1" t="s">
        <v>1776</v>
      </c>
      <c r="M1245" s="1" t="s">
        <v>2128</v>
      </c>
      <c r="N1245" s="63" t="s">
        <v>1039</v>
      </c>
      <c r="O1245" s="63" t="s">
        <v>1039</v>
      </c>
      <c r="P1245" s="68">
        <v>33.0</v>
      </c>
      <c r="Q1245" s="1" t="s">
        <v>2130</v>
      </c>
      <c r="R1245" s="1" t="s">
        <v>13</v>
      </c>
      <c r="S1245" s="1"/>
      <c r="T1245" s="1"/>
      <c r="U1245" s="1" t="s">
        <v>1044</v>
      </c>
      <c r="V1245" s="1" t="s">
        <v>1044</v>
      </c>
      <c r="W1245" s="145">
        <f t="shared" si="1"/>
        <v>0.0004705584419</v>
      </c>
      <c r="AC1245" s="38"/>
    </row>
    <row r="1246" ht="15.75" customHeight="1">
      <c r="A1246" s="1" t="s">
        <v>1921</v>
      </c>
      <c r="B1246" s="1" t="s">
        <v>2127</v>
      </c>
      <c r="C1246" s="63">
        <v>46302.0</v>
      </c>
      <c r="D1246" s="63" t="s">
        <v>130</v>
      </c>
      <c r="E1246" s="68">
        <v>0.93140772</v>
      </c>
      <c r="F1246" s="1"/>
      <c r="G1246" s="23">
        <v>2500000.0</v>
      </c>
      <c r="H1246" s="23">
        <v>2328519.29</v>
      </c>
      <c r="I1246" s="23">
        <v>2500000.0</v>
      </c>
      <c r="J1246" s="23">
        <v>2328519.29</v>
      </c>
      <c r="K1246" s="24">
        <v>9.0031812E7</v>
      </c>
      <c r="L1246" s="1" t="s">
        <v>1776</v>
      </c>
      <c r="M1246" s="1" t="s">
        <v>2128</v>
      </c>
      <c r="N1246" s="63" t="s">
        <v>446</v>
      </c>
      <c r="O1246" s="63" t="s">
        <v>446</v>
      </c>
      <c r="P1246" s="68">
        <v>28.0</v>
      </c>
      <c r="Q1246" s="1" t="s">
        <v>2130</v>
      </c>
      <c r="R1246" s="1" t="s">
        <v>13</v>
      </c>
      <c r="S1246" s="1"/>
      <c r="T1246" s="1"/>
      <c r="U1246" s="1" t="s">
        <v>463</v>
      </c>
      <c r="V1246" s="1" t="s">
        <v>463</v>
      </c>
      <c r="W1246" s="145">
        <f t="shared" si="1"/>
        <v>0.00004763221176</v>
      </c>
      <c r="AC1246" s="38"/>
    </row>
    <row r="1247" ht="15.75" customHeight="1">
      <c r="A1247" s="1" t="s">
        <v>1932</v>
      </c>
      <c r="B1247" s="1" t="s">
        <v>2127</v>
      </c>
      <c r="C1247" s="63">
        <v>46303.0</v>
      </c>
      <c r="D1247" s="63" t="s">
        <v>130</v>
      </c>
      <c r="E1247" s="68">
        <v>0.92162423</v>
      </c>
      <c r="F1247" s="1"/>
      <c r="G1247" s="23">
        <v>1.447989968E7</v>
      </c>
      <c r="H1247" s="23">
        <v>1.334502636E7</v>
      </c>
      <c r="I1247" s="23">
        <v>1.447989968E7</v>
      </c>
      <c r="J1247" s="23">
        <v>1.334502636E7</v>
      </c>
      <c r="K1247" s="24">
        <v>9933007.0</v>
      </c>
      <c r="L1247" s="1" t="s">
        <v>1776</v>
      </c>
      <c r="M1247" s="1" t="s">
        <v>2128</v>
      </c>
      <c r="N1247" s="63" t="s">
        <v>1272</v>
      </c>
      <c r="O1247" s="63" t="s">
        <v>1272</v>
      </c>
      <c r="P1247" s="68">
        <v>32.0</v>
      </c>
      <c r="Q1247" s="1" t="s">
        <v>2130</v>
      </c>
      <c r="R1247" s="1" t="s">
        <v>13</v>
      </c>
      <c r="S1247" s="1"/>
      <c r="T1247" s="1"/>
      <c r="U1247" s="1" t="s">
        <v>1279</v>
      </c>
      <c r="V1247" s="1" t="s">
        <v>1279</v>
      </c>
      <c r="W1247" s="145">
        <f t="shared" si="1"/>
        <v>0.0002729859805</v>
      </c>
      <c r="AC1247" s="38"/>
    </row>
    <row r="1248" ht="15.75" customHeight="1">
      <c r="A1248" s="1" t="s">
        <v>1983</v>
      </c>
      <c r="B1248" s="1" t="s">
        <v>2127</v>
      </c>
      <c r="C1248" s="63">
        <v>46303.0</v>
      </c>
      <c r="D1248" s="63" t="s">
        <v>130</v>
      </c>
      <c r="E1248" s="68">
        <v>0.90608951</v>
      </c>
      <c r="F1248" s="1"/>
      <c r="G1248" s="23">
        <v>3750000.0</v>
      </c>
      <c r="H1248" s="23">
        <v>3397835.67</v>
      </c>
      <c r="I1248" s="23">
        <v>3750000.0</v>
      </c>
      <c r="J1248" s="23">
        <v>3397835.67</v>
      </c>
      <c r="K1248" s="24">
        <v>6.6919994E7</v>
      </c>
      <c r="L1248" s="1" t="s">
        <v>1776</v>
      </c>
      <c r="M1248" s="1" t="s">
        <v>2128</v>
      </c>
      <c r="N1248" s="63" t="s">
        <v>765</v>
      </c>
      <c r="O1248" s="63" t="s">
        <v>765</v>
      </c>
      <c r="P1248" s="68">
        <v>39.0</v>
      </c>
      <c r="Q1248" s="1" t="s">
        <v>2130</v>
      </c>
      <c r="R1248" s="1" t="s">
        <v>13</v>
      </c>
      <c r="S1248" s="1"/>
      <c r="T1248" s="1"/>
      <c r="U1248" s="1" t="s">
        <v>767</v>
      </c>
      <c r="V1248" s="1" t="s">
        <v>767</v>
      </c>
      <c r="W1248" s="145">
        <f t="shared" si="1"/>
        <v>0.00006950615735</v>
      </c>
    </row>
    <row r="1249" ht="15.75" customHeight="1">
      <c r="A1249" s="1" t="s">
        <v>1990</v>
      </c>
      <c r="B1249" s="1" t="s">
        <v>2127</v>
      </c>
      <c r="C1249" s="63">
        <v>46303.0</v>
      </c>
      <c r="D1249" s="63" t="s">
        <v>130</v>
      </c>
      <c r="E1249" s="68">
        <v>0.90391289</v>
      </c>
      <c r="F1249" s="1"/>
      <c r="G1249" s="23">
        <v>7900000.0</v>
      </c>
      <c r="H1249" s="23">
        <v>7140911.81</v>
      </c>
      <c r="I1249" s="23">
        <v>7900000.0</v>
      </c>
      <c r="J1249" s="23">
        <v>7140911.81</v>
      </c>
      <c r="K1249" s="24">
        <v>15.0</v>
      </c>
      <c r="L1249" s="1" t="s">
        <v>1776</v>
      </c>
      <c r="M1249" s="1" t="s">
        <v>2128</v>
      </c>
      <c r="N1249" s="63" t="s">
        <v>307</v>
      </c>
      <c r="O1249" s="63" t="s">
        <v>307</v>
      </c>
      <c r="P1249" s="68">
        <v>40.0</v>
      </c>
      <c r="Q1249" s="1" t="s">
        <v>2130</v>
      </c>
      <c r="R1249" s="1" t="s">
        <v>13</v>
      </c>
      <c r="S1249" s="1"/>
      <c r="T1249" s="1"/>
      <c r="U1249" s="1" t="s">
        <v>351</v>
      </c>
      <c r="V1249" s="1" t="s">
        <v>351</v>
      </c>
      <c r="W1249" s="145">
        <f t="shared" si="1"/>
        <v>0.0001460745569</v>
      </c>
      <c r="AC1249" s="38"/>
    </row>
    <row r="1250" ht="15.75" customHeight="1">
      <c r="A1250" s="1" t="s">
        <v>1990</v>
      </c>
      <c r="B1250" s="1" t="s">
        <v>2127</v>
      </c>
      <c r="C1250" s="63">
        <v>46303.0</v>
      </c>
      <c r="D1250" s="63" t="s">
        <v>130</v>
      </c>
      <c r="E1250" s="68">
        <v>0.90391289</v>
      </c>
      <c r="F1250" s="1"/>
      <c r="G1250" s="23">
        <v>7203888.0</v>
      </c>
      <c r="H1250" s="23">
        <v>6511687.21</v>
      </c>
      <c r="I1250" s="23">
        <v>7203888.0</v>
      </c>
      <c r="J1250" s="23">
        <v>6511687.21</v>
      </c>
      <c r="K1250" s="24">
        <v>876.0</v>
      </c>
      <c r="L1250" s="1" t="s">
        <v>1776</v>
      </c>
      <c r="M1250" s="1" t="s">
        <v>2128</v>
      </c>
      <c r="N1250" s="63" t="s">
        <v>307</v>
      </c>
      <c r="O1250" s="63" t="s">
        <v>307</v>
      </c>
      <c r="P1250" s="68">
        <v>40.0</v>
      </c>
      <c r="Q1250" s="1" t="s">
        <v>2130</v>
      </c>
      <c r="R1250" s="1" t="s">
        <v>13</v>
      </c>
      <c r="S1250" s="1"/>
      <c r="T1250" s="1"/>
      <c r="U1250" s="1" t="s">
        <v>353</v>
      </c>
      <c r="V1250" s="1" t="s">
        <v>353</v>
      </c>
      <c r="W1250" s="145">
        <f t="shared" si="1"/>
        <v>0.0001332031327</v>
      </c>
      <c r="AC1250" s="38"/>
    </row>
    <row r="1251" ht="15.75" customHeight="1">
      <c r="A1251" s="1" t="s">
        <v>1916</v>
      </c>
      <c r="B1251" s="1" t="s">
        <v>2127</v>
      </c>
      <c r="C1251" s="63">
        <v>46304.0</v>
      </c>
      <c r="D1251" s="63" t="s">
        <v>130</v>
      </c>
      <c r="E1251" s="68">
        <v>0.93709904</v>
      </c>
      <c r="F1251" s="1"/>
      <c r="G1251" s="23">
        <v>2.5E7</v>
      </c>
      <c r="H1251" s="23">
        <v>2.342747589E7</v>
      </c>
      <c r="I1251" s="23">
        <v>2.5E7</v>
      </c>
      <c r="J1251" s="23">
        <v>2.342747589E7</v>
      </c>
      <c r="K1251" s="24">
        <v>929.0</v>
      </c>
      <c r="L1251" s="1" t="s">
        <v>1776</v>
      </c>
      <c r="M1251" s="1" t="s">
        <v>2128</v>
      </c>
      <c r="N1251" s="63" t="s">
        <v>1589</v>
      </c>
      <c r="O1251" s="63" t="s">
        <v>1589</v>
      </c>
      <c r="P1251" s="68">
        <v>25.0</v>
      </c>
      <c r="Q1251" s="1" t="s">
        <v>2130</v>
      </c>
      <c r="R1251" s="1" t="s">
        <v>13</v>
      </c>
      <c r="S1251" s="1"/>
      <c r="T1251" s="1"/>
      <c r="U1251" s="1" t="s">
        <v>1590</v>
      </c>
      <c r="V1251" s="1" t="s">
        <v>1590</v>
      </c>
      <c r="W1251" s="145">
        <f t="shared" si="1"/>
        <v>0.0004792326597</v>
      </c>
      <c r="AC1251" s="38"/>
    </row>
    <row r="1252" ht="15.75" customHeight="1">
      <c r="A1252" s="1" t="s">
        <v>1932</v>
      </c>
      <c r="B1252" s="1" t="s">
        <v>2127</v>
      </c>
      <c r="C1252" s="63">
        <v>46304.0</v>
      </c>
      <c r="D1252" s="63" t="s">
        <v>130</v>
      </c>
      <c r="E1252" s="68">
        <v>0.9208801</v>
      </c>
      <c r="F1252" s="1"/>
      <c r="G1252" s="23">
        <v>1.447989968E7</v>
      </c>
      <c r="H1252" s="23">
        <v>1.333425142E7</v>
      </c>
      <c r="I1252" s="23">
        <v>1.447989968E7</v>
      </c>
      <c r="J1252" s="23">
        <v>1.333425142E7</v>
      </c>
      <c r="K1252" s="24">
        <v>9933006.0</v>
      </c>
      <c r="L1252" s="1" t="s">
        <v>1776</v>
      </c>
      <c r="M1252" s="1" t="s">
        <v>2128</v>
      </c>
      <c r="N1252" s="63" t="s">
        <v>1272</v>
      </c>
      <c r="O1252" s="63" t="s">
        <v>1272</v>
      </c>
      <c r="P1252" s="68">
        <v>32.0</v>
      </c>
      <c r="Q1252" s="1" t="s">
        <v>2130</v>
      </c>
      <c r="R1252" s="1" t="s">
        <v>13</v>
      </c>
      <c r="S1252" s="1"/>
      <c r="T1252" s="1"/>
      <c r="U1252" s="1" t="s">
        <v>1280</v>
      </c>
      <c r="V1252" s="1" t="s">
        <v>1280</v>
      </c>
      <c r="W1252" s="145">
        <f t="shared" si="1"/>
        <v>0.0002727655682</v>
      </c>
      <c r="AC1252" s="38"/>
    </row>
    <row r="1253" ht="15.75" customHeight="1">
      <c r="A1253" s="1" t="s">
        <v>1921</v>
      </c>
      <c r="B1253" s="1" t="s">
        <v>2127</v>
      </c>
      <c r="C1253" s="63">
        <v>46304.0</v>
      </c>
      <c r="D1253" s="63" t="s">
        <v>130</v>
      </c>
      <c r="E1253" s="68">
        <v>0.93007855</v>
      </c>
      <c r="F1253" s="1"/>
      <c r="G1253" s="23">
        <v>2500000.0</v>
      </c>
      <c r="H1253" s="23">
        <v>2325196.37</v>
      </c>
      <c r="I1253" s="23">
        <v>2500000.0</v>
      </c>
      <c r="J1253" s="23">
        <v>2325196.37</v>
      </c>
      <c r="K1253" s="24">
        <v>9.0031813E7</v>
      </c>
      <c r="L1253" s="1" t="s">
        <v>1776</v>
      </c>
      <c r="M1253" s="1" t="s">
        <v>2128</v>
      </c>
      <c r="N1253" s="63" t="s">
        <v>446</v>
      </c>
      <c r="O1253" s="63" t="s">
        <v>446</v>
      </c>
      <c r="P1253" s="68">
        <v>28.0</v>
      </c>
      <c r="Q1253" s="1" t="s">
        <v>2130</v>
      </c>
      <c r="R1253" s="1" t="s">
        <v>13</v>
      </c>
      <c r="S1253" s="1"/>
      <c r="T1253" s="1"/>
      <c r="U1253" s="1" t="s">
        <v>464</v>
      </c>
      <c r="V1253" s="1" t="s">
        <v>464</v>
      </c>
      <c r="W1253" s="145">
        <f t="shared" si="1"/>
        <v>0.00004756423808</v>
      </c>
      <c r="AC1253" s="38"/>
    </row>
    <row r="1254" ht="15.75" customHeight="1">
      <c r="A1254" s="1" t="s">
        <v>1932</v>
      </c>
      <c r="B1254" s="1" t="s">
        <v>2127</v>
      </c>
      <c r="C1254" s="63">
        <v>46308.0</v>
      </c>
      <c r="D1254" s="63" t="s">
        <v>130</v>
      </c>
      <c r="E1254" s="68">
        <v>0.91791577</v>
      </c>
      <c r="F1254" s="1"/>
      <c r="G1254" s="23">
        <v>1.447989968E7</v>
      </c>
      <c r="H1254" s="23">
        <v>1.329132828E7</v>
      </c>
      <c r="I1254" s="23">
        <v>1.447989968E7</v>
      </c>
      <c r="J1254" s="23">
        <v>1.329132828E7</v>
      </c>
      <c r="K1254" s="24">
        <v>9933005.0</v>
      </c>
      <c r="L1254" s="1" t="s">
        <v>1776</v>
      </c>
      <c r="M1254" s="1" t="s">
        <v>2128</v>
      </c>
      <c r="N1254" s="63" t="s">
        <v>1272</v>
      </c>
      <c r="O1254" s="63" t="s">
        <v>1272</v>
      </c>
      <c r="P1254" s="68">
        <v>32.0</v>
      </c>
      <c r="Q1254" s="1" t="s">
        <v>2130</v>
      </c>
      <c r="R1254" s="1" t="s">
        <v>13</v>
      </c>
      <c r="S1254" s="1"/>
      <c r="T1254" s="1"/>
      <c r="U1254" s="1" t="s">
        <v>1281</v>
      </c>
      <c r="V1254" s="1" t="s">
        <v>1281</v>
      </c>
      <c r="W1254" s="145">
        <f t="shared" si="1"/>
        <v>0.0002718875321</v>
      </c>
      <c r="AC1254" s="38"/>
    </row>
    <row r="1255" ht="15.75" customHeight="1">
      <c r="A1255" s="1" t="s">
        <v>1931</v>
      </c>
      <c r="B1255" s="1" t="s">
        <v>2127</v>
      </c>
      <c r="C1255" s="63">
        <v>46308.0</v>
      </c>
      <c r="D1255" s="63" t="s">
        <v>130</v>
      </c>
      <c r="E1255" s="68">
        <v>0.91791592</v>
      </c>
      <c r="F1255" s="1"/>
      <c r="G1255" s="23">
        <v>4.0E7</v>
      </c>
      <c r="H1255" s="23">
        <v>3.671663677E7</v>
      </c>
      <c r="I1255" s="23">
        <v>4.0E7</v>
      </c>
      <c r="J1255" s="23">
        <v>3.671663677E7</v>
      </c>
      <c r="K1255" s="24">
        <v>1.3795907E7</v>
      </c>
      <c r="L1255" s="1" t="s">
        <v>1776</v>
      </c>
      <c r="M1255" s="1" t="s">
        <v>2128</v>
      </c>
      <c r="N1255" s="63" t="s">
        <v>1428</v>
      </c>
      <c r="O1255" s="63" t="s">
        <v>1428</v>
      </c>
      <c r="P1255" s="68">
        <v>32.0</v>
      </c>
      <c r="Q1255" s="1" t="s">
        <v>2130</v>
      </c>
      <c r="R1255" s="1" t="s">
        <v>13</v>
      </c>
      <c r="S1255" s="1"/>
      <c r="T1255" s="1"/>
      <c r="U1255" s="1" t="s">
        <v>1448</v>
      </c>
      <c r="V1255" s="1" t="s">
        <v>1448</v>
      </c>
      <c r="W1255" s="145">
        <f t="shared" si="1"/>
        <v>0.0007510758555</v>
      </c>
      <c r="AC1255" s="38"/>
    </row>
    <row r="1256" ht="15.75" customHeight="1">
      <c r="A1256" s="1" t="s">
        <v>1983</v>
      </c>
      <c r="B1256" s="1" t="s">
        <v>2127</v>
      </c>
      <c r="C1256" s="63">
        <v>46308.0</v>
      </c>
      <c r="D1256" s="63" t="s">
        <v>130</v>
      </c>
      <c r="E1256" s="68">
        <v>0.90172441</v>
      </c>
      <c r="F1256" s="1"/>
      <c r="G1256" s="23">
        <v>3750000.0</v>
      </c>
      <c r="H1256" s="23">
        <v>3381466.55</v>
      </c>
      <c r="I1256" s="23">
        <v>3750000.0</v>
      </c>
      <c r="J1256" s="23">
        <v>3381466.55</v>
      </c>
      <c r="K1256" s="24">
        <v>6.6920072E7</v>
      </c>
      <c r="L1256" s="1" t="s">
        <v>1776</v>
      </c>
      <c r="M1256" s="1" t="s">
        <v>2128</v>
      </c>
      <c r="N1256" s="63" t="s">
        <v>765</v>
      </c>
      <c r="O1256" s="63" t="s">
        <v>765</v>
      </c>
      <c r="P1256" s="68">
        <v>39.0</v>
      </c>
      <c r="Q1256" s="1" t="s">
        <v>2130</v>
      </c>
      <c r="R1256" s="1" t="s">
        <v>13</v>
      </c>
      <c r="S1256" s="1"/>
      <c r="T1256" s="1"/>
      <c r="U1256" s="1" t="s">
        <v>768</v>
      </c>
      <c r="V1256" s="1" t="s">
        <v>768</v>
      </c>
      <c r="W1256" s="145">
        <f t="shared" si="1"/>
        <v>0.00006917131048</v>
      </c>
      <c r="AC1256" s="38"/>
    </row>
    <row r="1257" ht="15.75" customHeight="1">
      <c r="A1257" s="1" t="s">
        <v>1924</v>
      </c>
      <c r="B1257" s="1" t="s">
        <v>2127</v>
      </c>
      <c r="C1257" s="63">
        <v>46308.0</v>
      </c>
      <c r="D1257" s="63" t="s">
        <v>130</v>
      </c>
      <c r="E1257" s="68">
        <v>0.92503423</v>
      </c>
      <c r="F1257" s="1"/>
      <c r="G1257" s="23">
        <v>8106418.25</v>
      </c>
      <c r="H1257" s="23">
        <v>7498714.35</v>
      </c>
      <c r="I1257" s="23">
        <v>8106418.25</v>
      </c>
      <c r="J1257" s="23">
        <v>7498714.35</v>
      </c>
      <c r="K1257" s="24">
        <v>9.0000803E7</v>
      </c>
      <c r="L1257" s="1" t="s">
        <v>1776</v>
      </c>
      <c r="M1257" s="1" t="s">
        <v>2128</v>
      </c>
      <c r="N1257" s="63" t="s">
        <v>130</v>
      </c>
      <c r="O1257" s="63" t="s">
        <v>130</v>
      </c>
      <c r="P1257" s="68">
        <v>29.0</v>
      </c>
      <c r="Q1257" s="1" t="s">
        <v>2130</v>
      </c>
      <c r="R1257" s="1" t="s">
        <v>13</v>
      </c>
      <c r="S1257" s="1"/>
      <c r="T1257" s="1"/>
      <c r="U1257" s="1" t="s">
        <v>1640</v>
      </c>
      <c r="V1257" s="1" t="s">
        <v>1640</v>
      </c>
      <c r="W1257" s="145">
        <f t="shared" si="1"/>
        <v>0.0001533937689</v>
      </c>
      <c r="AC1257" s="38"/>
    </row>
    <row r="1258" ht="15.75" customHeight="1">
      <c r="A1258" s="1" t="s">
        <v>1932</v>
      </c>
      <c r="B1258" s="1" t="s">
        <v>2127</v>
      </c>
      <c r="C1258" s="63">
        <v>46309.0</v>
      </c>
      <c r="D1258" s="63" t="s">
        <v>130</v>
      </c>
      <c r="E1258" s="68">
        <v>0.91717761</v>
      </c>
      <c r="F1258" s="1"/>
      <c r="G1258" s="23">
        <v>1.447989968E7</v>
      </c>
      <c r="H1258" s="23">
        <v>1.328063982E7</v>
      </c>
      <c r="I1258" s="23">
        <v>1.447989968E7</v>
      </c>
      <c r="J1258" s="23">
        <v>1.328063982E7</v>
      </c>
      <c r="K1258" s="24">
        <v>9933004.0</v>
      </c>
      <c r="L1258" s="1" t="s">
        <v>1776</v>
      </c>
      <c r="M1258" s="1" t="s">
        <v>2128</v>
      </c>
      <c r="N1258" s="63" t="s">
        <v>1272</v>
      </c>
      <c r="O1258" s="63" t="s">
        <v>1272</v>
      </c>
      <c r="P1258" s="68">
        <v>32.0</v>
      </c>
      <c r="Q1258" s="1" t="s">
        <v>2130</v>
      </c>
      <c r="R1258" s="1" t="s">
        <v>13</v>
      </c>
      <c r="S1258" s="1"/>
      <c r="T1258" s="1"/>
      <c r="U1258" s="1" t="s">
        <v>1277</v>
      </c>
      <c r="V1258" s="1" t="s">
        <v>1277</v>
      </c>
      <c r="W1258" s="145">
        <f t="shared" si="1"/>
        <v>0.0002716688889</v>
      </c>
      <c r="AC1258" s="38"/>
    </row>
    <row r="1259" ht="15.75" customHeight="1">
      <c r="A1259" s="1" t="s">
        <v>1931</v>
      </c>
      <c r="B1259" s="1" t="s">
        <v>2127</v>
      </c>
      <c r="C1259" s="63">
        <v>46309.0</v>
      </c>
      <c r="D1259" s="63" t="s">
        <v>130</v>
      </c>
      <c r="E1259" s="68">
        <v>0.91717775</v>
      </c>
      <c r="F1259" s="1"/>
      <c r="G1259" s="23">
        <v>4.0E7</v>
      </c>
      <c r="H1259" s="23">
        <v>3.668711012E7</v>
      </c>
      <c r="I1259" s="23">
        <v>4.0E7</v>
      </c>
      <c r="J1259" s="23">
        <v>3.668711012E7</v>
      </c>
      <c r="K1259" s="24">
        <v>1.3795908E7</v>
      </c>
      <c r="L1259" s="1" t="s">
        <v>1776</v>
      </c>
      <c r="M1259" s="1" t="s">
        <v>2128</v>
      </c>
      <c r="N1259" s="63" t="s">
        <v>1428</v>
      </c>
      <c r="O1259" s="63" t="s">
        <v>1428</v>
      </c>
      <c r="P1259" s="68">
        <v>32.0</v>
      </c>
      <c r="Q1259" s="1" t="s">
        <v>2130</v>
      </c>
      <c r="R1259" s="1" t="s">
        <v>13</v>
      </c>
      <c r="S1259" s="1"/>
      <c r="T1259" s="1"/>
      <c r="U1259" s="1" t="s">
        <v>1449</v>
      </c>
      <c r="V1259" s="1" t="s">
        <v>1449</v>
      </c>
      <c r="W1259" s="145">
        <f t="shared" si="1"/>
        <v>0.000750471858</v>
      </c>
      <c r="AC1259" s="38"/>
    </row>
    <row r="1260" ht="15.75" customHeight="1">
      <c r="A1260" s="1" t="s">
        <v>1924</v>
      </c>
      <c r="B1260" s="1" t="s">
        <v>2127</v>
      </c>
      <c r="C1260" s="63">
        <v>46309.0</v>
      </c>
      <c r="D1260" s="63" t="s">
        <v>130</v>
      </c>
      <c r="E1260" s="68">
        <v>0.93410109</v>
      </c>
      <c r="F1260" s="1"/>
      <c r="G1260" s="23">
        <v>4.0E7</v>
      </c>
      <c r="H1260" s="23">
        <v>3.73640437E7</v>
      </c>
      <c r="I1260" s="23">
        <v>4.0E7</v>
      </c>
      <c r="J1260" s="23">
        <v>3.73640437E7</v>
      </c>
      <c r="K1260" s="24">
        <v>6.7620341E7</v>
      </c>
      <c r="L1260" s="1" t="s">
        <v>1776</v>
      </c>
      <c r="M1260" s="1" t="s">
        <v>2128</v>
      </c>
      <c r="N1260" s="63" t="s">
        <v>1272</v>
      </c>
      <c r="O1260" s="63" t="s">
        <v>1272</v>
      </c>
      <c r="P1260" s="68">
        <v>25.0</v>
      </c>
      <c r="Q1260" s="1" t="s">
        <v>2130</v>
      </c>
      <c r="R1260" s="1" t="s">
        <v>13</v>
      </c>
      <c r="S1260" s="1"/>
      <c r="T1260" s="1"/>
      <c r="U1260" s="1" t="s">
        <v>1271</v>
      </c>
      <c r="V1260" s="1" t="s">
        <v>1271</v>
      </c>
      <c r="W1260" s="145">
        <f t="shared" si="1"/>
        <v>0.0007643192175</v>
      </c>
      <c r="AC1260" s="38"/>
    </row>
    <row r="1261" ht="15.75" customHeight="1">
      <c r="A1261" s="1" t="s">
        <v>1933</v>
      </c>
      <c r="B1261" s="1" t="s">
        <v>2127</v>
      </c>
      <c r="C1261" s="63">
        <v>46309.0</v>
      </c>
      <c r="D1261" s="63" t="s">
        <v>130</v>
      </c>
      <c r="E1261" s="68">
        <v>0.92435491</v>
      </c>
      <c r="F1261" s="1"/>
      <c r="G1261" s="23">
        <v>1.0E7</v>
      </c>
      <c r="H1261" s="23">
        <v>9243549.06</v>
      </c>
      <c r="I1261" s="23">
        <v>1.0E7</v>
      </c>
      <c r="J1261" s="23">
        <v>9243549.06</v>
      </c>
      <c r="K1261" s="24">
        <v>8.0620808E7</v>
      </c>
      <c r="L1261" s="1" t="s">
        <v>1776</v>
      </c>
      <c r="M1261" s="1" t="s">
        <v>2128</v>
      </c>
      <c r="N1261" s="63" t="s">
        <v>1571</v>
      </c>
      <c r="O1261" s="63" t="s">
        <v>1571</v>
      </c>
      <c r="P1261" s="68">
        <v>29.0</v>
      </c>
      <c r="Q1261" s="1" t="s">
        <v>2130</v>
      </c>
      <c r="R1261" s="1" t="s">
        <v>13</v>
      </c>
      <c r="S1261" s="1"/>
      <c r="T1261" s="1"/>
      <c r="U1261" s="1" t="s">
        <v>1587</v>
      </c>
      <c r="V1261" s="1" t="s">
        <v>1587</v>
      </c>
      <c r="W1261" s="145">
        <f t="shared" si="1"/>
        <v>0.0001890861236</v>
      </c>
      <c r="AC1261" s="38"/>
    </row>
    <row r="1262" ht="15.75" customHeight="1">
      <c r="A1262" s="1" t="s">
        <v>1939</v>
      </c>
      <c r="B1262" s="1" t="s">
        <v>2127</v>
      </c>
      <c r="C1262" s="63">
        <v>46309.0</v>
      </c>
      <c r="D1262" s="63" t="s">
        <v>130</v>
      </c>
      <c r="E1262" s="68">
        <v>0.9148099</v>
      </c>
      <c r="F1262" s="1"/>
      <c r="G1262" s="23">
        <v>1.25E7</v>
      </c>
      <c r="H1262" s="23">
        <v>1.143512369E7</v>
      </c>
      <c r="I1262" s="23">
        <v>1.25E7</v>
      </c>
      <c r="J1262" s="23">
        <v>1.143512369E7</v>
      </c>
      <c r="K1262" s="24">
        <v>1363.0</v>
      </c>
      <c r="L1262" s="1" t="s">
        <v>1776</v>
      </c>
      <c r="M1262" s="1" t="s">
        <v>2128</v>
      </c>
      <c r="N1262" s="63" t="s">
        <v>863</v>
      </c>
      <c r="O1262" s="63" t="s">
        <v>863</v>
      </c>
      <c r="P1262" s="68">
        <v>33.0</v>
      </c>
      <c r="Q1262" s="1" t="s">
        <v>2130</v>
      </c>
      <c r="R1262" s="1" t="s">
        <v>13</v>
      </c>
      <c r="S1262" s="1"/>
      <c r="T1262" s="1"/>
      <c r="U1262" s="1" t="s">
        <v>868</v>
      </c>
      <c r="V1262" s="1" t="s">
        <v>868</v>
      </c>
      <c r="W1262" s="145">
        <f t="shared" si="1"/>
        <v>0.0002339169941</v>
      </c>
      <c r="AC1262" s="38"/>
    </row>
    <row r="1263" ht="15.75" customHeight="1">
      <c r="A1263" s="1" t="s">
        <v>1921</v>
      </c>
      <c r="B1263" s="1" t="s">
        <v>2127</v>
      </c>
      <c r="C1263" s="63">
        <v>46309.0</v>
      </c>
      <c r="D1263" s="63" t="s">
        <v>130</v>
      </c>
      <c r="E1263" s="68">
        <v>0.92677229</v>
      </c>
      <c r="F1263" s="1"/>
      <c r="G1263" s="23">
        <v>2500000.0</v>
      </c>
      <c r="H1263" s="23">
        <v>2316930.73</v>
      </c>
      <c r="I1263" s="23">
        <v>2500000.0</v>
      </c>
      <c r="J1263" s="23">
        <v>2316930.73</v>
      </c>
      <c r="K1263" s="24">
        <v>9.0031814E7</v>
      </c>
      <c r="L1263" s="1" t="s">
        <v>1776</v>
      </c>
      <c r="M1263" s="1" t="s">
        <v>2128</v>
      </c>
      <c r="N1263" s="63" t="s">
        <v>446</v>
      </c>
      <c r="O1263" s="63" t="s">
        <v>446</v>
      </c>
      <c r="P1263" s="68">
        <v>28.0</v>
      </c>
      <c r="Q1263" s="1" t="s">
        <v>2130</v>
      </c>
      <c r="R1263" s="1" t="s">
        <v>13</v>
      </c>
      <c r="S1263" s="1"/>
      <c r="T1263" s="1"/>
      <c r="U1263" s="1" t="s">
        <v>466</v>
      </c>
      <c r="V1263" s="1" t="s">
        <v>466</v>
      </c>
      <c r="W1263" s="145">
        <f t="shared" si="1"/>
        <v>0.00004739515607</v>
      </c>
      <c r="AC1263" s="38"/>
    </row>
    <row r="1264" ht="15.75" customHeight="1">
      <c r="A1264" s="1" t="s">
        <v>1921</v>
      </c>
      <c r="B1264" s="1" t="s">
        <v>2127</v>
      </c>
      <c r="C1264" s="63">
        <v>46309.0</v>
      </c>
      <c r="D1264" s="63" t="s">
        <v>130</v>
      </c>
      <c r="E1264" s="68">
        <v>0.9267724</v>
      </c>
      <c r="F1264" s="1"/>
      <c r="G1264" s="23">
        <v>2.5E7</v>
      </c>
      <c r="H1264" s="23">
        <v>2.316931006E7</v>
      </c>
      <c r="I1264" s="23">
        <v>2.5E7</v>
      </c>
      <c r="J1264" s="23">
        <v>2.316931006E7</v>
      </c>
      <c r="K1264" s="24">
        <v>360570.0</v>
      </c>
      <c r="L1264" s="1" t="s">
        <v>1776</v>
      </c>
      <c r="M1264" s="1" t="s">
        <v>2128</v>
      </c>
      <c r="N1264" s="63" t="s">
        <v>404</v>
      </c>
      <c r="O1264" s="63" t="s">
        <v>404</v>
      </c>
      <c r="P1264" s="68">
        <v>28.0</v>
      </c>
      <c r="Q1264" s="1" t="s">
        <v>2130</v>
      </c>
      <c r="R1264" s="1" t="s">
        <v>13</v>
      </c>
      <c r="S1264" s="1"/>
      <c r="T1264" s="1"/>
      <c r="U1264" s="1" t="s">
        <v>413</v>
      </c>
      <c r="V1264" s="1" t="s">
        <v>413</v>
      </c>
      <c r="W1264" s="145">
        <f t="shared" si="1"/>
        <v>0.0004739516172</v>
      </c>
      <c r="AC1264" s="38"/>
    </row>
    <row r="1265" ht="15.75" customHeight="1">
      <c r="A1265" s="1" t="s">
        <v>1923</v>
      </c>
      <c r="B1265" s="1" t="s">
        <v>2127</v>
      </c>
      <c r="C1265" s="63">
        <v>46309.0</v>
      </c>
      <c r="D1265" s="63" t="s">
        <v>130</v>
      </c>
      <c r="E1265" s="68">
        <v>0.91480994</v>
      </c>
      <c r="F1265" s="1"/>
      <c r="G1265" s="23">
        <v>8.0E8</v>
      </c>
      <c r="H1265" s="23">
        <v>7.3184795192E8</v>
      </c>
      <c r="I1265" s="23">
        <v>8.0E8</v>
      </c>
      <c r="J1265" s="23">
        <v>7.3184795192E8</v>
      </c>
      <c r="K1265" s="24">
        <v>152839.0</v>
      </c>
      <c r="L1265" s="1" t="s">
        <v>1776</v>
      </c>
      <c r="M1265" s="1" t="s">
        <v>2128</v>
      </c>
      <c r="N1265" s="63" t="s">
        <v>1230</v>
      </c>
      <c r="O1265" s="63" t="s">
        <v>1230</v>
      </c>
      <c r="P1265" s="68">
        <v>33.0</v>
      </c>
      <c r="Q1265" s="1" t="s">
        <v>2130</v>
      </c>
      <c r="R1265" s="1" t="s">
        <v>13</v>
      </c>
      <c r="S1265" s="1"/>
      <c r="T1265" s="1"/>
      <c r="U1265" s="1" t="s">
        <v>1229</v>
      </c>
      <c r="V1265" s="1" t="s">
        <v>1229</v>
      </c>
      <c r="W1265" s="145">
        <f t="shared" si="1"/>
        <v>0.01497068836</v>
      </c>
      <c r="AC1265" s="38"/>
    </row>
    <row r="1266" ht="15.75" customHeight="1">
      <c r="A1266" s="1" t="s">
        <v>1914</v>
      </c>
      <c r="B1266" s="1" t="s">
        <v>2127</v>
      </c>
      <c r="C1266" s="63">
        <v>46309.0</v>
      </c>
      <c r="D1266" s="63" t="s">
        <v>130</v>
      </c>
      <c r="E1266" s="68">
        <v>0.91480994</v>
      </c>
      <c r="F1266" s="1"/>
      <c r="G1266" s="23">
        <v>6.5E8</v>
      </c>
      <c r="H1266" s="23">
        <v>5.9462646094E8</v>
      </c>
      <c r="I1266" s="23">
        <v>6.5E8</v>
      </c>
      <c r="J1266" s="23">
        <v>5.9462646094E8</v>
      </c>
      <c r="K1266" s="24">
        <v>152838.0</v>
      </c>
      <c r="L1266" s="1" t="s">
        <v>1776</v>
      </c>
      <c r="M1266" s="1" t="s">
        <v>2128</v>
      </c>
      <c r="N1266" s="63" t="s">
        <v>1230</v>
      </c>
      <c r="O1266" s="63" t="s">
        <v>1230</v>
      </c>
      <c r="P1266" s="68">
        <v>33.0</v>
      </c>
      <c r="Q1266" s="1" t="s">
        <v>2130</v>
      </c>
      <c r="R1266" s="1" t="s">
        <v>13</v>
      </c>
      <c r="S1266" s="1"/>
      <c r="T1266" s="1"/>
      <c r="U1266" s="1" t="s">
        <v>1231</v>
      </c>
      <c r="V1266" s="1" t="s">
        <v>1231</v>
      </c>
      <c r="W1266" s="145">
        <f t="shared" si="1"/>
        <v>0.01216368429</v>
      </c>
      <c r="AC1266" s="38"/>
    </row>
    <row r="1267" ht="15.75" customHeight="1">
      <c r="A1267" s="1" t="s">
        <v>1928</v>
      </c>
      <c r="B1267" s="1" t="s">
        <v>2127</v>
      </c>
      <c r="C1267" s="63">
        <v>46309.0</v>
      </c>
      <c r="D1267" s="63" t="s">
        <v>130</v>
      </c>
      <c r="E1267" s="68">
        <v>0.91481</v>
      </c>
      <c r="F1267" s="1"/>
      <c r="G1267" s="23">
        <v>6.5E8</v>
      </c>
      <c r="H1267" s="23">
        <v>5.9462650234E8</v>
      </c>
      <c r="I1267" s="23">
        <v>6.5E8</v>
      </c>
      <c r="J1267" s="23">
        <v>5.9462650234E8</v>
      </c>
      <c r="K1267" s="24">
        <v>153163.0</v>
      </c>
      <c r="L1267" s="1" t="s">
        <v>1776</v>
      </c>
      <c r="M1267" s="1" t="s">
        <v>2128</v>
      </c>
      <c r="N1267" s="63" t="s">
        <v>1238</v>
      </c>
      <c r="O1267" s="63" t="s">
        <v>1238</v>
      </c>
      <c r="P1267" s="68">
        <v>33.0</v>
      </c>
      <c r="Q1267" s="1" t="s">
        <v>2130</v>
      </c>
      <c r="R1267" s="1" t="s">
        <v>13</v>
      </c>
      <c r="S1267" s="1"/>
      <c r="T1267" s="1"/>
      <c r="U1267" s="1" t="s">
        <v>1243</v>
      </c>
      <c r="V1267" s="1" t="s">
        <v>1243</v>
      </c>
      <c r="W1267" s="145">
        <f t="shared" si="1"/>
        <v>0.01216368514</v>
      </c>
      <c r="AC1267" s="38"/>
    </row>
    <row r="1268" ht="15.75" customHeight="1">
      <c r="A1268" s="1" t="s">
        <v>1932</v>
      </c>
      <c r="B1268" s="1" t="s">
        <v>2127</v>
      </c>
      <c r="C1268" s="63">
        <v>46310.0</v>
      </c>
      <c r="D1268" s="63" t="s">
        <v>130</v>
      </c>
      <c r="E1268" s="68">
        <v>0.91644086</v>
      </c>
      <c r="F1268" s="1"/>
      <c r="G1268" s="23">
        <v>1.447989968E7</v>
      </c>
      <c r="H1268" s="23">
        <v>1.326997175E7</v>
      </c>
      <c r="I1268" s="23">
        <v>1.447989968E7</v>
      </c>
      <c r="J1268" s="23">
        <v>1.326997175E7</v>
      </c>
      <c r="K1268" s="24">
        <v>9933003.0</v>
      </c>
      <c r="L1268" s="1" t="s">
        <v>1776</v>
      </c>
      <c r="M1268" s="1" t="s">
        <v>2128</v>
      </c>
      <c r="N1268" s="63" t="s">
        <v>1272</v>
      </c>
      <c r="O1268" s="63" t="s">
        <v>1272</v>
      </c>
      <c r="P1268" s="68">
        <v>32.0</v>
      </c>
      <c r="Q1268" s="1" t="s">
        <v>2130</v>
      </c>
      <c r="R1268" s="1" t="s">
        <v>13</v>
      </c>
      <c r="S1268" s="1"/>
      <c r="T1268" s="1"/>
      <c r="U1268" s="1" t="s">
        <v>1276</v>
      </c>
      <c r="V1268" s="1" t="s">
        <v>1276</v>
      </c>
      <c r="W1268" s="145">
        <f t="shared" si="1"/>
        <v>0.0002714506627</v>
      </c>
      <c r="AC1268" s="38"/>
    </row>
    <row r="1269" ht="15.75" customHeight="1">
      <c r="A1269" s="1" t="s">
        <v>2049</v>
      </c>
      <c r="B1269" s="1" t="s">
        <v>2127</v>
      </c>
      <c r="C1269" s="63">
        <v>46310.0</v>
      </c>
      <c r="D1269" s="63" t="s">
        <v>130</v>
      </c>
      <c r="E1269" s="68">
        <v>0.91644086</v>
      </c>
      <c r="F1269" s="1"/>
      <c r="G1269" s="23">
        <v>3413365.0</v>
      </c>
      <c r="H1269" s="23">
        <v>3128147.15</v>
      </c>
      <c r="I1269" s="23">
        <v>3413365.0</v>
      </c>
      <c r="J1269" s="23">
        <v>3128147.15</v>
      </c>
      <c r="K1269" s="24">
        <v>6.7525693E7</v>
      </c>
      <c r="L1269" s="1" t="s">
        <v>1776</v>
      </c>
      <c r="M1269" s="1" t="s">
        <v>2128</v>
      </c>
      <c r="N1269" s="63" t="s">
        <v>1272</v>
      </c>
      <c r="O1269" s="63" t="s">
        <v>1272</v>
      </c>
      <c r="P1269" s="68">
        <v>32.0</v>
      </c>
      <c r="Q1269" s="1" t="s">
        <v>2130</v>
      </c>
      <c r="R1269" s="1" t="s">
        <v>13</v>
      </c>
      <c r="S1269" s="1"/>
      <c r="T1269" s="1"/>
      <c r="U1269" s="1" t="s">
        <v>1283</v>
      </c>
      <c r="V1269" s="1" t="s">
        <v>1283</v>
      </c>
      <c r="W1269" s="145">
        <f t="shared" si="1"/>
        <v>0.00006398940653</v>
      </c>
      <c r="AC1269" s="38"/>
    </row>
    <row r="1270" ht="15.75" customHeight="1">
      <c r="A1270" s="1" t="s">
        <v>1994</v>
      </c>
      <c r="B1270" s="1" t="s">
        <v>2127</v>
      </c>
      <c r="C1270" s="63">
        <v>46310.0</v>
      </c>
      <c r="D1270" s="63" t="s">
        <v>130</v>
      </c>
      <c r="E1270" s="68">
        <v>0.9116796</v>
      </c>
      <c r="F1270" s="1"/>
      <c r="G1270" s="23">
        <v>4000000.0</v>
      </c>
      <c r="H1270" s="23">
        <v>3646718.4</v>
      </c>
      <c r="I1270" s="23">
        <v>4000000.0</v>
      </c>
      <c r="J1270" s="23">
        <v>3646718.4</v>
      </c>
      <c r="K1270" s="24">
        <v>9.0000051E7</v>
      </c>
      <c r="L1270" s="1" t="s">
        <v>1776</v>
      </c>
      <c r="M1270" s="1" t="s">
        <v>2128</v>
      </c>
      <c r="N1270" s="63" t="s">
        <v>1245</v>
      </c>
      <c r="O1270" s="63" t="s">
        <v>1245</v>
      </c>
      <c r="P1270" s="68">
        <v>34.0</v>
      </c>
      <c r="Q1270" s="1" t="s">
        <v>2130</v>
      </c>
      <c r="R1270" s="1" t="s">
        <v>13</v>
      </c>
      <c r="S1270" s="1"/>
      <c r="T1270" s="1"/>
      <c r="U1270" s="1" t="s">
        <v>1267</v>
      </c>
      <c r="V1270" s="1" t="s">
        <v>1267</v>
      </c>
      <c r="W1270" s="145">
        <f t="shared" si="1"/>
        <v>0.00007459730473</v>
      </c>
      <c r="AC1270" s="38"/>
    </row>
    <row r="1271" ht="15.75" customHeight="1">
      <c r="A1271" s="1" t="s">
        <v>1938</v>
      </c>
      <c r="B1271" s="1" t="s">
        <v>2127</v>
      </c>
      <c r="C1271" s="63">
        <v>46310.0</v>
      </c>
      <c r="D1271" s="63" t="s">
        <v>130</v>
      </c>
      <c r="E1271" s="68">
        <v>0.91405404</v>
      </c>
      <c r="F1271" s="1"/>
      <c r="G1271" s="23">
        <v>2.5E7</v>
      </c>
      <c r="H1271" s="23">
        <v>2.285135092E7</v>
      </c>
      <c r="I1271" s="23">
        <v>2.5E7</v>
      </c>
      <c r="J1271" s="23">
        <v>2.285135092E7</v>
      </c>
      <c r="K1271" s="24">
        <v>475881.0</v>
      </c>
      <c r="L1271" s="1" t="s">
        <v>1776</v>
      </c>
      <c r="M1271" s="1" t="s">
        <v>2128</v>
      </c>
      <c r="N1271" s="63" t="s">
        <v>1222</v>
      </c>
      <c r="O1271" s="63" t="s">
        <v>1222</v>
      </c>
      <c r="P1271" s="68">
        <v>33.0</v>
      </c>
      <c r="Q1271" s="1" t="s">
        <v>2130</v>
      </c>
      <c r="R1271" s="1" t="s">
        <v>13</v>
      </c>
      <c r="S1271" s="1"/>
      <c r="T1271" s="1"/>
      <c r="U1271" s="1" t="s">
        <v>1225</v>
      </c>
      <c r="V1271" s="1" t="s">
        <v>1225</v>
      </c>
      <c r="W1271" s="145">
        <f t="shared" si="1"/>
        <v>0.0004674474421</v>
      </c>
      <c r="AC1271" s="38"/>
    </row>
    <row r="1272" ht="15.75" customHeight="1">
      <c r="A1272" s="1" t="s">
        <v>1921</v>
      </c>
      <c r="B1272" s="1" t="s">
        <v>2127</v>
      </c>
      <c r="C1272" s="63">
        <v>46310.0</v>
      </c>
      <c r="D1272" s="63" t="s">
        <v>130</v>
      </c>
      <c r="E1272" s="68">
        <v>0.92611398</v>
      </c>
      <c r="F1272" s="1"/>
      <c r="G1272" s="23">
        <v>2500000.0</v>
      </c>
      <c r="H1272" s="23">
        <v>2315284.94</v>
      </c>
      <c r="I1272" s="23">
        <v>2500000.0</v>
      </c>
      <c r="J1272" s="23">
        <v>2315284.94</v>
      </c>
      <c r="K1272" s="24">
        <v>9.0031815E7</v>
      </c>
      <c r="L1272" s="1" t="s">
        <v>1776</v>
      </c>
      <c r="M1272" s="1" t="s">
        <v>2128</v>
      </c>
      <c r="N1272" s="63" t="s">
        <v>446</v>
      </c>
      <c r="O1272" s="63" t="s">
        <v>446</v>
      </c>
      <c r="P1272" s="68">
        <v>28.0</v>
      </c>
      <c r="Q1272" s="1" t="s">
        <v>2130</v>
      </c>
      <c r="R1272" s="1" t="s">
        <v>13</v>
      </c>
      <c r="S1272" s="1"/>
      <c r="T1272" s="1"/>
      <c r="U1272" s="1" t="s">
        <v>467</v>
      </c>
      <c r="V1272" s="1" t="s">
        <v>467</v>
      </c>
      <c r="W1272" s="145">
        <f t="shared" si="1"/>
        <v>0.00004736148977</v>
      </c>
      <c r="AC1272" s="38"/>
    </row>
    <row r="1273" ht="15.75" customHeight="1">
      <c r="A1273" s="1" t="s">
        <v>1921</v>
      </c>
      <c r="B1273" s="1" t="s">
        <v>2127</v>
      </c>
      <c r="C1273" s="63">
        <v>46310.0</v>
      </c>
      <c r="D1273" s="63" t="s">
        <v>130</v>
      </c>
      <c r="E1273" s="68">
        <v>0.92611394</v>
      </c>
      <c r="F1273" s="1"/>
      <c r="G1273" s="23">
        <v>2.5E7</v>
      </c>
      <c r="H1273" s="23">
        <v>2.315284862E7</v>
      </c>
      <c r="I1273" s="23">
        <v>2.5E7</v>
      </c>
      <c r="J1273" s="23">
        <v>2.315284862E7</v>
      </c>
      <c r="K1273" s="24">
        <v>360571.0</v>
      </c>
      <c r="L1273" s="1" t="s">
        <v>1776</v>
      </c>
      <c r="M1273" s="1" t="s">
        <v>2128</v>
      </c>
      <c r="N1273" s="63" t="s">
        <v>404</v>
      </c>
      <c r="O1273" s="63" t="s">
        <v>404</v>
      </c>
      <c r="P1273" s="68">
        <v>28.0</v>
      </c>
      <c r="Q1273" s="1" t="s">
        <v>2130</v>
      </c>
      <c r="R1273" s="1" t="s">
        <v>13</v>
      </c>
      <c r="S1273" s="1"/>
      <c r="T1273" s="1"/>
      <c r="U1273" s="1" t="s">
        <v>418</v>
      </c>
      <c r="V1273" s="1" t="s">
        <v>418</v>
      </c>
      <c r="W1273" s="145">
        <f t="shared" si="1"/>
        <v>0.0004736148818</v>
      </c>
      <c r="AC1273" s="38"/>
    </row>
    <row r="1274" ht="15.75" customHeight="1">
      <c r="A1274" s="1" t="s">
        <v>1926</v>
      </c>
      <c r="B1274" s="1" t="s">
        <v>2127</v>
      </c>
      <c r="C1274" s="63">
        <v>46310.0</v>
      </c>
      <c r="D1274" s="63" t="s">
        <v>130</v>
      </c>
      <c r="E1274" s="68">
        <v>0.92125206</v>
      </c>
      <c r="F1274" s="1"/>
      <c r="G1274" s="23">
        <v>2000000.0</v>
      </c>
      <c r="H1274" s="23">
        <v>1842504.11</v>
      </c>
      <c r="I1274" s="23">
        <v>2000000.0</v>
      </c>
      <c r="J1274" s="23">
        <v>1842504.11</v>
      </c>
      <c r="K1274" s="24">
        <v>1.3442185E7</v>
      </c>
      <c r="L1274" s="1" t="s">
        <v>1776</v>
      </c>
      <c r="M1274" s="1" t="s">
        <v>2128</v>
      </c>
      <c r="N1274" s="63" t="s">
        <v>946</v>
      </c>
      <c r="O1274" s="63" t="s">
        <v>946</v>
      </c>
      <c r="P1274" s="68">
        <v>30.0</v>
      </c>
      <c r="Q1274" s="1" t="s">
        <v>2130</v>
      </c>
      <c r="R1274" s="1" t="s">
        <v>13</v>
      </c>
      <c r="S1274" s="1"/>
      <c r="T1274" s="1"/>
      <c r="U1274" s="1" t="s">
        <v>952</v>
      </c>
      <c r="V1274" s="1" t="s">
        <v>952</v>
      </c>
      <c r="W1274" s="145">
        <f t="shared" si="1"/>
        <v>0.00003769028082</v>
      </c>
      <c r="AC1274" s="38"/>
    </row>
    <row r="1275" ht="15.75" customHeight="1">
      <c r="A1275" s="1" t="s">
        <v>2038</v>
      </c>
      <c r="B1275" s="1" t="s">
        <v>2127</v>
      </c>
      <c r="C1275" s="63">
        <v>46310.0</v>
      </c>
      <c r="D1275" s="63" t="s">
        <v>130</v>
      </c>
      <c r="E1275" s="68">
        <v>0.91405389</v>
      </c>
      <c r="F1275" s="1"/>
      <c r="G1275" s="23">
        <v>5134985.93</v>
      </c>
      <c r="H1275" s="23">
        <v>4693653.88</v>
      </c>
      <c r="I1275" s="23">
        <v>5134985.93</v>
      </c>
      <c r="J1275" s="23">
        <v>4693653.88</v>
      </c>
      <c r="K1275" s="24">
        <v>414.0</v>
      </c>
      <c r="L1275" s="1" t="s">
        <v>1776</v>
      </c>
      <c r="M1275" s="1" t="s">
        <v>2128</v>
      </c>
      <c r="N1275" s="63" t="s">
        <v>1048</v>
      </c>
      <c r="O1275" s="63" t="s">
        <v>1048</v>
      </c>
      <c r="P1275" s="68">
        <v>33.0</v>
      </c>
      <c r="Q1275" s="1" t="s">
        <v>2130</v>
      </c>
      <c r="R1275" s="1" t="s">
        <v>13</v>
      </c>
      <c r="S1275" s="1"/>
      <c r="T1275" s="1"/>
      <c r="U1275" s="1" t="s">
        <v>1076</v>
      </c>
      <c r="V1275" s="1" t="s">
        <v>1076</v>
      </c>
      <c r="W1275" s="145">
        <f t="shared" si="1"/>
        <v>0.00009601342643</v>
      </c>
      <c r="AC1275" s="38"/>
    </row>
    <row r="1276" ht="15.75" customHeight="1">
      <c r="A1276" s="1" t="s">
        <v>1931</v>
      </c>
      <c r="B1276" s="1" t="s">
        <v>2127</v>
      </c>
      <c r="C1276" s="63">
        <v>46311.0</v>
      </c>
      <c r="D1276" s="63" t="s">
        <v>130</v>
      </c>
      <c r="E1276" s="68">
        <v>0.91570498</v>
      </c>
      <c r="F1276" s="1"/>
      <c r="G1276" s="23">
        <v>4.0E7</v>
      </c>
      <c r="H1276" s="23">
        <v>3.662819908E7</v>
      </c>
      <c r="I1276" s="23">
        <v>4.0E7</v>
      </c>
      <c r="J1276" s="23">
        <v>3.662819908E7</v>
      </c>
      <c r="K1276" s="24">
        <v>1.3795909E7</v>
      </c>
      <c r="L1276" s="1" t="s">
        <v>1776</v>
      </c>
      <c r="M1276" s="1" t="s">
        <v>2128</v>
      </c>
      <c r="N1276" s="63" t="s">
        <v>1428</v>
      </c>
      <c r="O1276" s="63" t="s">
        <v>1428</v>
      </c>
      <c r="P1276" s="68">
        <v>32.0</v>
      </c>
      <c r="Q1276" s="1" t="s">
        <v>2130</v>
      </c>
      <c r="R1276" s="1" t="s">
        <v>13</v>
      </c>
      <c r="S1276" s="1"/>
      <c r="T1276" s="1"/>
      <c r="U1276" s="1" t="s">
        <v>1450</v>
      </c>
      <c r="V1276" s="1" t="s">
        <v>1450</v>
      </c>
      <c r="W1276" s="145">
        <f t="shared" si="1"/>
        <v>0.0007492667733</v>
      </c>
      <c r="AC1276" s="38"/>
    </row>
    <row r="1277" ht="15.75" customHeight="1">
      <c r="A1277" s="1" t="s">
        <v>1988</v>
      </c>
      <c r="B1277" s="1" t="s">
        <v>2127</v>
      </c>
      <c r="C1277" s="63">
        <v>46311.0</v>
      </c>
      <c r="D1277" s="63" t="s">
        <v>130</v>
      </c>
      <c r="E1277" s="68">
        <v>0.91329929</v>
      </c>
      <c r="F1277" s="1"/>
      <c r="G1277" s="23">
        <v>7261808.2</v>
      </c>
      <c r="H1277" s="23">
        <v>6632204.29</v>
      </c>
      <c r="I1277" s="23">
        <v>7261808.2</v>
      </c>
      <c r="J1277" s="23">
        <v>6632204.29</v>
      </c>
      <c r="K1277" s="24">
        <v>9.0000672E7</v>
      </c>
      <c r="L1277" s="1" t="s">
        <v>1776</v>
      </c>
      <c r="M1277" s="1" t="s">
        <v>2128</v>
      </c>
      <c r="N1277" s="63" t="s">
        <v>1048</v>
      </c>
      <c r="O1277" s="63" t="s">
        <v>1048</v>
      </c>
      <c r="P1277" s="68">
        <v>33.0</v>
      </c>
      <c r="Q1277" s="1" t="s">
        <v>2130</v>
      </c>
      <c r="R1277" s="1" t="s">
        <v>13</v>
      </c>
      <c r="S1277" s="1"/>
      <c r="T1277" s="1"/>
      <c r="U1277" s="1" t="s">
        <v>1074</v>
      </c>
      <c r="V1277" s="1" t="s">
        <v>1074</v>
      </c>
      <c r="W1277" s="145">
        <f t="shared" si="1"/>
        <v>0.0001356684312</v>
      </c>
      <c r="AC1277" s="38"/>
    </row>
    <row r="1278" ht="15.75" customHeight="1">
      <c r="A1278" s="1" t="s">
        <v>1983</v>
      </c>
      <c r="B1278" s="1" t="s">
        <v>2127</v>
      </c>
      <c r="C1278" s="63">
        <v>46311.0</v>
      </c>
      <c r="D1278" s="63" t="s">
        <v>130</v>
      </c>
      <c r="E1278" s="68">
        <v>0.89912556</v>
      </c>
      <c r="F1278" s="1"/>
      <c r="G1278" s="23">
        <v>3750000.0</v>
      </c>
      <c r="H1278" s="23">
        <v>3371720.86</v>
      </c>
      <c r="I1278" s="23">
        <v>3750000.0</v>
      </c>
      <c r="J1278" s="23">
        <v>3371720.86</v>
      </c>
      <c r="K1278" s="24">
        <v>6.6920206E7</v>
      </c>
      <c r="L1278" s="1" t="s">
        <v>1776</v>
      </c>
      <c r="M1278" s="1" t="s">
        <v>2128</v>
      </c>
      <c r="N1278" s="63" t="s">
        <v>765</v>
      </c>
      <c r="O1278" s="63" t="s">
        <v>765</v>
      </c>
      <c r="P1278" s="68">
        <v>39.0</v>
      </c>
      <c r="Q1278" s="1" t="s">
        <v>2130</v>
      </c>
      <c r="R1278" s="1" t="s">
        <v>13</v>
      </c>
      <c r="S1278" s="1"/>
      <c r="T1278" s="1"/>
      <c r="U1278" s="1" t="s">
        <v>770</v>
      </c>
      <c r="V1278" s="1" t="s">
        <v>770</v>
      </c>
      <c r="W1278" s="145">
        <f t="shared" si="1"/>
        <v>0.00006897195255</v>
      </c>
      <c r="AC1278" s="38"/>
    </row>
    <row r="1279" ht="15.75" customHeight="1">
      <c r="A1279" s="1" t="s">
        <v>1982</v>
      </c>
      <c r="B1279" s="1"/>
      <c r="C1279" s="63"/>
      <c r="D1279" s="63"/>
      <c r="E1279" s="68"/>
      <c r="F1279" s="1"/>
      <c r="G1279" s="23"/>
      <c r="H1279" s="23"/>
      <c r="I1279" s="23"/>
      <c r="J1279" s="23"/>
      <c r="K1279" s="24"/>
      <c r="L1279" s="1"/>
      <c r="M1279" s="1"/>
      <c r="N1279" s="63"/>
      <c r="O1279" s="63"/>
      <c r="P1279" s="68"/>
      <c r="Q1279" s="1"/>
      <c r="R1279" s="1" t="s">
        <v>13</v>
      </c>
      <c r="S1279" s="1"/>
      <c r="T1279" s="1"/>
      <c r="U1279" s="1" t="s">
        <v>1674</v>
      </c>
      <c r="V1279" s="1" t="s">
        <v>1674</v>
      </c>
      <c r="W1279" s="145">
        <f t="shared" si="1"/>
        <v>0</v>
      </c>
      <c r="AC1279" s="38"/>
    </row>
    <row r="1280" ht="15.75" customHeight="1">
      <c r="A1280" s="1" t="s">
        <v>2025</v>
      </c>
      <c r="B1280" s="1" t="s">
        <v>2127</v>
      </c>
      <c r="C1280" s="63">
        <v>46311.0</v>
      </c>
      <c r="D1280" s="63" t="s">
        <v>130</v>
      </c>
      <c r="E1280" s="68">
        <v>0.9132993</v>
      </c>
      <c r="F1280" s="1"/>
      <c r="G1280" s="23">
        <v>7190687.0</v>
      </c>
      <c r="H1280" s="23">
        <v>6567249.37</v>
      </c>
      <c r="I1280" s="23">
        <v>7190687.0</v>
      </c>
      <c r="J1280" s="23">
        <v>6567249.37</v>
      </c>
      <c r="K1280" s="24">
        <v>9.0001573E7</v>
      </c>
      <c r="L1280" s="1" t="s">
        <v>1776</v>
      </c>
      <c r="M1280" s="1" t="s">
        <v>2128</v>
      </c>
      <c r="N1280" s="63" t="s">
        <v>1048</v>
      </c>
      <c r="O1280" s="63" t="s">
        <v>1048</v>
      </c>
      <c r="P1280" s="68">
        <v>33.0</v>
      </c>
      <c r="Q1280" s="1" t="s">
        <v>2130</v>
      </c>
      <c r="R1280" s="1" t="s">
        <v>13</v>
      </c>
      <c r="S1280" s="1"/>
      <c r="T1280" s="1"/>
      <c r="U1280" s="1" t="s">
        <v>1081</v>
      </c>
      <c r="V1280" s="1" t="s">
        <v>1081</v>
      </c>
      <c r="W1280" s="145">
        <f t="shared" si="1"/>
        <v>0.0001343397128</v>
      </c>
      <c r="AC1280" s="38"/>
    </row>
    <row r="1281" ht="15.75" customHeight="1">
      <c r="A1281" s="1" t="s">
        <v>1983</v>
      </c>
      <c r="B1281" s="1" t="s">
        <v>2127</v>
      </c>
      <c r="C1281" s="63">
        <v>46314.0</v>
      </c>
      <c r="D1281" s="63" t="s">
        <v>130</v>
      </c>
      <c r="E1281" s="68">
        <v>0.89654165</v>
      </c>
      <c r="F1281" s="1"/>
      <c r="G1281" s="23">
        <v>3750000.0</v>
      </c>
      <c r="H1281" s="23">
        <v>3362031.2</v>
      </c>
      <c r="I1281" s="23">
        <v>3750000.0</v>
      </c>
      <c r="J1281" s="23">
        <v>3362031.2</v>
      </c>
      <c r="K1281" s="24">
        <v>6.6917997E7</v>
      </c>
      <c r="L1281" s="1" t="s">
        <v>1776</v>
      </c>
      <c r="M1281" s="1" t="s">
        <v>2128</v>
      </c>
      <c r="N1281" s="63" t="s">
        <v>765</v>
      </c>
      <c r="O1281" s="63" t="s">
        <v>765</v>
      </c>
      <c r="P1281" s="68">
        <v>39.0</v>
      </c>
      <c r="Q1281" s="1" t="s">
        <v>2130</v>
      </c>
      <c r="R1281" s="1" t="s">
        <v>13</v>
      </c>
      <c r="S1281" s="1"/>
      <c r="T1281" s="1"/>
      <c r="U1281" s="1" t="s">
        <v>774</v>
      </c>
      <c r="V1281" s="1" t="s">
        <v>774</v>
      </c>
      <c r="W1281" s="145">
        <f t="shared" si="1"/>
        <v>0.00006877374078</v>
      </c>
      <c r="AC1281" s="38"/>
    </row>
    <row r="1282" ht="15.75" customHeight="1">
      <c r="A1282" s="1" t="s">
        <v>1994</v>
      </c>
      <c r="B1282" s="1" t="s">
        <v>2127</v>
      </c>
      <c r="C1282" s="63">
        <v>46314.0</v>
      </c>
      <c r="D1282" s="63" t="s">
        <v>130</v>
      </c>
      <c r="E1282" s="68">
        <v>0.90615707</v>
      </c>
      <c r="F1282" s="1"/>
      <c r="G1282" s="23">
        <v>1500000.0</v>
      </c>
      <c r="H1282" s="23">
        <v>1359235.61</v>
      </c>
      <c r="I1282" s="23">
        <v>1500000.0</v>
      </c>
      <c r="J1282" s="23">
        <v>1359235.61</v>
      </c>
      <c r="K1282" s="24">
        <v>4.0</v>
      </c>
      <c r="L1282" s="1" t="s">
        <v>1776</v>
      </c>
      <c r="M1282" s="1" t="s">
        <v>2128</v>
      </c>
      <c r="N1282" s="63" t="s">
        <v>532</v>
      </c>
      <c r="O1282" s="63" t="s">
        <v>532</v>
      </c>
      <c r="P1282" s="68">
        <v>35.0</v>
      </c>
      <c r="Q1282" s="1" t="s">
        <v>2130</v>
      </c>
      <c r="R1282" s="1" t="s">
        <v>13</v>
      </c>
      <c r="S1282" s="1"/>
      <c r="T1282" s="1"/>
      <c r="U1282" s="1" t="s">
        <v>535</v>
      </c>
      <c r="V1282" s="1" t="s">
        <v>535</v>
      </c>
      <c r="W1282" s="145">
        <f t="shared" si="1"/>
        <v>0.00002780453599</v>
      </c>
      <c r="AC1282" s="38"/>
    </row>
    <row r="1283" ht="15.75" customHeight="1">
      <c r="A1283" s="1" t="s">
        <v>1917</v>
      </c>
      <c r="B1283" s="1" t="s">
        <v>2127</v>
      </c>
      <c r="C1283" s="63">
        <v>46314.0</v>
      </c>
      <c r="D1283" s="63" t="s">
        <v>130</v>
      </c>
      <c r="E1283" s="68">
        <v>0.9184702</v>
      </c>
      <c r="F1283" s="1"/>
      <c r="G1283" s="23">
        <v>1.0E7</v>
      </c>
      <c r="H1283" s="23">
        <v>9184702.0</v>
      </c>
      <c r="I1283" s="23">
        <v>1.0E7</v>
      </c>
      <c r="J1283" s="23">
        <v>9184702.0</v>
      </c>
      <c r="K1283" s="24">
        <v>726.0</v>
      </c>
      <c r="L1283" s="1" t="s">
        <v>1776</v>
      </c>
      <c r="M1283" s="1" t="s">
        <v>2128</v>
      </c>
      <c r="N1283" s="63" t="s">
        <v>1488</v>
      </c>
      <c r="O1283" s="63" t="s">
        <v>1488</v>
      </c>
      <c r="P1283" s="68">
        <v>30.0</v>
      </c>
      <c r="Q1283" s="1" t="s">
        <v>2130</v>
      </c>
      <c r="R1283" s="1" t="s">
        <v>13</v>
      </c>
      <c r="S1283" s="1"/>
      <c r="T1283" s="1"/>
      <c r="U1283" s="1" t="s">
        <v>1562</v>
      </c>
      <c r="V1283" s="1" t="s">
        <v>1562</v>
      </c>
      <c r="W1283" s="145">
        <f t="shared" si="1"/>
        <v>0.0001878823476</v>
      </c>
      <c r="AC1283" s="38"/>
    </row>
    <row r="1284" ht="15.75" customHeight="1">
      <c r="A1284" s="1" t="s">
        <v>1924</v>
      </c>
      <c r="B1284" s="1" t="s">
        <v>2127</v>
      </c>
      <c r="C1284" s="63">
        <v>46314.0</v>
      </c>
      <c r="D1284" s="63" t="s">
        <v>130</v>
      </c>
      <c r="E1284" s="68">
        <v>0.92348962</v>
      </c>
      <c r="F1284" s="1"/>
      <c r="G1284" s="23">
        <v>2.12E8</v>
      </c>
      <c r="H1284" s="23">
        <v>1.9577980025E8</v>
      </c>
      <c r="I1284" s="23">
        <v>2.12E8</v>
      </c>
      <c r="J1284" s="23">
        <v>1.9577980025E8</v>
      </c>
      <c r="K1284" s="24">
        <v>39.0</v>
      </c>
      <c r="L1284" s="1" t="s">
        <v>1776</v>
      </c>
      <c r="M1284" s="1" t="s">
        <v>2128</v>
      </c>
      <c r="N1284" s="63" t="s">
        <v>130</v>
      </c>
      <c r="O1284" s="63" t="s">
        <v>130</v>
      </c>
      <c r="P1284" s="68">
        <v>28.0</v>
      </c>
      <c r="Q1284" s="1" t="s">
        <v>2130</v>
      </c>
      <c r="R1284" s="1" t="s">
        <v>13</v>
      </c>
      <c r="S1284" s="1"/>
      <c r="T1284" s="1"/>
      <c r="U1284" s="1" t="s">
        <v>1625</v>
      </c>
      <c r="V1284" s="1" t="s">
        <v>1625</v>
      </c>
      <c r="W1284" s="145">
        <f t="shared" si="1"/>
        <v>0.004004873373</v>
      </c>
      <c r="AC1284" s="38"/>
    </row>
    <row r="1285" ht="15.75" customHeight="1">
      <c r="A1285" s="1" t="s">
        <v>1826</v>
      </c>
      <c r="B1285" s="1" t="s">
        <v>2127</v>
      </c>
      <c r="C1285" s="63">
        <v>46314.0</v>
      </c>
      <c r="D1285" s="63" t="s">
        <v>130</v>
      </c>
      <c r="E1285" s="68">
        <v>0.91598074</v>
      </c>
      <c r="F1285" s="1"/>
      <c r="G1285" s="23">
        <v>1.65E7</v>
      </c>
      <c r="H1285" s="23">
        <v>1.511368216E7</v>
      </c>
      <c r="I1285" s="23">
        <v>1.65E7</v>
      </c>
      <c r="J1285" s="23">
        <v>1.511368216E7</v>
      </c>
      <c r="K1285" s="24">
        <v>28676.0</v>
      </c>
      <c r="L1285" s="1" t="s">
        <v>1776</v>
      </c>
      <c r="M1285" s="1" t="s">
        <v>2128</v>
      </c>
      <c r="N1285" s="63" t="s">
        <v>591</v>
      </c>
      <c r="O1285" s="63" t="s">
        <v>591</v>
      </c>
      <c r="P1285" s="68">
        <v>31.0</v>
      </c>
      <c r="Q1285" s="1" t="s">
        <v>2130</v>
      </c>
      <c r="R1285" s="1" t="s">
        <v>13</v>
      </c>
      <c r="S1285" s="1"/>
      <c r="T1285" s="1"/>
      <c r="U1285" s="1" t="s">
        <v>593</v>
      </c>
      <c r="V1285" s="1" t="s">
        <v>593</v>
      </c>
      <c r="W1285" s="145">
        <f t="shared" si="1"/>
        <v>0.0003091656196</v>
      </c>
      <c r="AC1285" s="38"/>
    </row>
    <row r="1286" ht="15.75" customHeight="1">
      <c r="A1286" s="1" t="s">
        <v>1921</v>
      </c>
      <c r="B1286" s="1" t="s">
        <v>2127</v>
      </c>
      <c r="C1286" s="63">
        <v>46314.0</v>
      </c>
      <c r="D1286" s="63" t="s">
        <v>130</v>
      </c>
      <c r="E1286" s="68">
        <v>0.92348964</v>
      </c>
      <c r="F1286" s="1"/>
      <c r="G1286" s="23">
        <v>2500000.0</v>
      </c>
      <c r="H1286" s="23">
        <v>2308724.1</v>
      </c>
      <c r="I1286" s="23">
        <v>2500000.0</v>
      </c>
      <c r="J1286" s="23">
        <v>2308724.1</v>
      </c>
      <c r="K1286" s="24">
        <v>9.0031816E7</v>
      </c>
      <c r="L1286" s="1" t="s">
        <v>1776</v>
      </c>
      <c r="M1286" s="1" t="s">
        <v>2128</v>
      </c>
      <c r="N1286" s="63" t="s">
        <v>446</v>
      </c>
      <c r="O1286" s="63" t="s">
        <v>446</v>
      </c>
      <c r="P1286" s="68">
        <v>28.0</v>
      </c>
      <c r="Q1286" s="1" t="s">
        <v>2130</v>
      </c>
      <c r="R1286" s="1" t="s">
        <v>13</v>
      </c>
      <c r="S1286" s="1"/>
      <c r="T1286" s="1"/>
      <c r="U1286" s="1" t="s">
        <v>483</v>
      </c>
      <c r="V1286" s="1" t="s">
        <v>483</v>
      </c>
      <c r="W1286" s="145">
        <f t="shared" si="1"/>
        <v>0.00004722728117</v>
      </c>
      <c r="AC1286" s="38"/>
    </row>
    <row r="1287" ht="15.75" customHeight="1">
      <c r="A1287" s="1" t="s">
        <v>2003</v>
      </c>
      <c r="B1287" s="1" t="s">
        <v>2127</v>
      </c>
      <c r="C1287" s="63">
        <v>46315.0</v>
      </c>
      <c r="D1287" s="63" t="s">
        <v>130</v>
      </c>
      <c r="E1287" s="68">
        <v>0.8980858</v>
      </c>
      <c r="F1287" s="1"/>
      <c r="G1287" s="23">
        <v>6899161.77</v>
      </c>
      <c r="H1287" s="23">
        <v>6196039.23</v>
      </c>
      <c r="I1287" s="23">
        <v>6899161.77</v>
      </c>
      <c r="J1287" s="23">
        <v>6196039.23</v>
      </c>
      <c r="K1287" s="24">
        <v>6.5964607E7</v>
      </c>
      <c r="L1287" s="1" t="s">
        <v>1776</v>
      </c>
      <c r="M1287" s="1" t="s">
        <v>2128</v>
      </c>
      <c r="N1287" s="63" t="s">
        <v>446</v>
      </c>
      <c r="O1287" s="63" t="s">
        <v>446</v>
      </c>
      <c r="P1287" s="68">
        <v>38.0</v>
      </c>
      <c r="Q1287" s="1" t="s">
        <v>2130</v>
      </c>
      <c r="R1287" s="1" t="s">
        <v>13</v>
      </c>
      <c r="S1287" s="1"/>
      <c r="T1287" s="1"/>
      <c r="U1287" s="1" t="s">
        <v>520</v>
      </c>
      <c r="V1287" s="1" t="s">
        <v>520</v>
      </c>
      <c r="W1287" s="145">
        <f t="shared" si="1"/>
        <v>0.0001267462348</v>
      </c>
      <c r="AC1287" s="38"/>
    </row>
    <row r="1288" ht="15.75" customHeight="1">
      <c r="A1288" s="1" t="s">
        <v>1938</v>
      </c>
      <c r="B1288" s="1" t="s">
        <v>2127</v>
      </c>
      <c r="C1288" s="63">
        <v>46315.0</v>
      </c>
      <c r="D1288" s="63" t="s">
        <v>130</v>
      </c>
      <c r="E1288" s="68">
        <v>0.91029255</v>
      </c>
      <c r="F1288" s="1"/>
      <c r="G1288" s="23">
        <v>4.5E7</v>
      </c>
      <c r="H1288" s="23">
        <v>4.096316466E7</v>
      </c>
      <c r="I1288" s="23">
        <v>4.5E7</v>
      </c>
      <c r="J1288" s="23">
        <v>4.096316466E7</v>
      </c>
      <c r="K1288" s="24">
        <v>6.776421E7</v>
      </c>
      <c r="L1288" s="1" t="s">
        <v>1776</v>
      </c>
      <c r="M1288" s="1" t="s">
        <v>2128</v>
      </c>
      <c r="N1288" s="63" t="s">
        <v>1370</v>
      </c>
      <c r="O1288" s="63" t="s">
        <v>1370</v>
      </c>
      <c r="P1288" s="68">
        <v>33.0</v>
      </c>
      <c r="Q1288" s="1" t="s">
        <v>2130</v>
      </c>
      <c r="R1288" s="1" t="s">
        <v>13</v>
      </c>
      <c r="S1288" s="1"/>
      <c r="T1288" s="1"/>
      <c r="U1288" s="1" t="s">
        <v>1372</v>
      </c>
      <c r="V1288" s="1" t="s">
        <v>1372</v>
      </c>
      <c r="W1288" s="145">
        <f t="shared" si="1"/>
        <v>0.0008379428686</v>
      </c>
      <c r="AC1288" s="38"/>
    </row>
    <row r="1289" ht="15.75" customHeight="1">
      <c r="A1289" s="1" t="s">
        <v>1921</v>
      </c>
      <c r="B1289" s="1" t="s">
        <v>2127</v>
      </c>
      <c r="C1289" s="63">
        <v>46315.0</v>
      </c>
      <c r="D1289" s="63" t="s">
        <v>130</v>
      </c>
      <c r="E1289" s="68">
        <v>0.92283582</v>
      </c>
      <c r="F1289" s="1"/>
      <c r="G1289" s="23">
        <v>2500000.0</v>
      </c>
      <c r="H1289" s="23">
        <v>2307089.56</v>
      </c>
      <c r="I1289" s="23">
        <v>2500000.0</v>
      </c>
      <c r="J1289" s="23">
        <v>2307089.56</v>
      </c>
      <c r="K1289" s="24">
        <v>9.0031817E7</v>
      </c>
      <c r="L1289" s="1" t="s">
        <v>1776</v>
      </c>
      <c r="M1289" s="1" t="s">
        <v>2128</v>
      </c>
      <c r="N1289" s="63" t="s">
        <v>446</v>
      </c>
      <c r="O1289" s="63" t="s">
        <v>446</v>
      </c>
      <c r="P1289" s="68">
        <v>28.0</v>
      </c>
      <c r="Q1289" s="1" t="s">
        <v>2130</v>
      </c>
      <c r="R1289" s="1" t="s">
        <v>13</v>
      </c>
      <c r="S1289" s="1"/>
      <c r="T1289" s="1"/>
      <c r="U1289" s="1" t="s">
        <v>480</v>
      </c>
      <c r="V1289" s="1" t="s">
        <v>480</v>
      </c>
      <c r="W1289" s="145">
        <f t="shared" si="1"/>
        <v>0.00004719384501</v>
      </c>
      <c r="AC1289" s="38"/>
    </row>
    <row r="1290" ht="15.75" customHeight="1">
      <c r="A1290" s="1" t="s">
        <v>1921</v>
      </c>
      <c r="B1290" s="1" t="s">
        <v>2127</v>
      </c>
      <c r="C1290" s="63">
        <v>46315.0</v>
      </c>
      <c r="D1290" s="63" t="s">
        <v>130</v>
      </c>
      <c r="E1290" s="68">
        <v>0.92283578</v>
      </c>
      <c r="F1290" s="1"/>
      <c r="G1290" s="23">
        <v>2.5E7</v>
      </c>
      <c r="H1290" s="23">
        <v>2.307089452E7</v>
      </c>
      <c r="I1290" s="23">
        <v>2.5E7</v>
      </c>
      <c r="J1290" s="23">
        <v>2.307089452E7</v>
      </c>
      <c r="K1290" s="24">
        <v>360572.0</v>
      </c>
      <c r="L1290" s="1" t="s">
        <v>1776</v>
      </c>
      <c r="M1290" s="1" t="s">
        <v>2128</v>
      </c>
      <c r="N1290" s="63" t="s">
        <v>404</v>
      </c>
      <c r="O1290" s="63" t="s">
        <v>404</v>
      </c>
      <c r="P1290" s="68">
        <v>28.0</v>
      </c>
      <c r="Q1290" s="1" t="s">
        <v>2130</v>
      </c>
      <c r="R1290" s="1" t="s">
        <v>13</v>
      </c>
      <c r="S1290" s="1"/>
      <c r="T1290" s="1"/>
      <c r="U1290" s="1" t="s">
        <v>422</v>
      </c>
      <c r="V1290" s="1" t="s">
        <v>422</v>
      </c>
      <c r="W1290" s="145">
        <f t="shared" si="1"/>
        <v>0.000471938428</v>
      </c>
      <c r="AC1290" s="38"/>
    </row>
    <row r="1291" ht="15.75" customHeight="1">
      <c r="A1291" s="1" t="s">
        <v>1926</v>
      </c>
      <c r="B1291" s="1" t="s">
        <v>2127</v>
      </c>
      <c r="C1291" s="63">
        <v>46315.0</v>
      </c>
      <c r="D1291" s="63" t="s">
        <v>130</v>
      </c>
      <c r="E1291" s="68">
        <v>0.91777732</v>
      </c>
      <c r="F1291" s="1"/>
      <c r="G1291" s="23">
        <v>2000000.0</v>
      </c>
      <c r="H1291" s="23">
        <v>1835554.64</v>
      </c>
      <c r="I1291" s="23">
        <v>2000000.0</v>
      </c>
      <c r="J1291" s="23">
        <v>1835554.64</v>
      </c>
      <c r="K1291" s="24">
        <v>1.3442187E7</v>
      </c>
      <c r="L1291" s="1" t="s">
        <v>1776</v>
      </c>
      <c r="M1291" s="1" t="s">
        <v>2128</v>
      </c>
      <c r="N1291" s="63" t="s">
        <v>946</v>
      </c>
      <c r="O1291" s="63" t="s">
        <v>946</v>
      </c>
      <c r="P1291" s="68">
        <v>30.0</v>
      </c>
      <c r="Q1291" s="1" t="s">
        <v>2130</v>
      </c>
      <c r="R1291" s="1" t="s">
        <v>13</v>
      </c>
      <c r="S1291" s="1"/>
      <c r="T1291" s="1"/>
      <c r="U1291" s="1" t="s">
        <v>953</v>
      </c>
      <c r="V1291" s="1" t="s">
        <v>953</v>
      </c>
      <c r="W1291" s="145">
        <f t="shared" si="1"/>
        <v>0.0000375481224</v>
      </c>
      <c r="AC1291" s="38"/>
    </row>
    <row r="1292" ht="15.75" customHeight="1">
      <c r="A1292" s="1" t="s">
        <v>2012</v>
      </c>
      <c r="B1292" s="1" t="s">
        <v>2127</v>
      </c>
      <c r="C1292" s="63">
        <v>46316.0</v>
      </c>
      <c r="D1292" s="63" t="s">
        <v>130</v>
      </c>
      <c r="E1292" s="68">
        <v>0.89724683</v>
      </c>
      <c r="F1292" s="1"/>
      <c r="G1292" s="23">
        <v>7133529.14</v>
      </c>
      <c r="H1292" s="23">
        <v>6400536.41</v>
      </c>
      <c r="I1292" s="23">
        <v>7133529.14</v>
      </c>
      <c r="J1292" s="23">
        <v>6400536.41</v>
      </c>
      <c r="K1292" s="24">
        <v>9.000017E7</v>
      </c>
      <c r="L1292" s="1" t="s">
        <v>1776</v>
      </c>
      <c r="M1292" s="1" t="s">
        <v>2128</v>
      </c>
      <c r="N1292" s="63" t="s">
        <v>446</v>
      </c>
      <c r="O1292" s="63" t="s">
        <v>446</v>
      </c>
      <c r="P1292" s="68">
        <v>38.0</v>
      </c>
      <c r="Q1292" s="1" t="s">
        <v>2130</v>
      </c>
      <c r="R1292" s="1" t="s">
        <v>13</v>
      </c>
      <c r="S1292" s="1"/>
      <c r="T1292" s="1"/>
      <c r="U1292" s="1" t="s">
        <v>524</v>
      </c>
      <c r="V1292" s="1" t="s">
        <v>524</v>
      </c>
      <c r="W1292" s="145">
        <f t="shared" si="1"/>
        <v>0.000130929431</v>
      </c>
      <c r="AC1292" s="38"/>
    </row>
    <row r="1293" ht="15.75" customHeight="1">
      <c r="A1293" s="1" t="s">
        <v>1933</v>
      </c>
      <c r="B1293" s="1" t="s">
        <v>2127</v>
      </c>
      <c r="C1293" s="63">
        <v>46316.0</v>
      </c>
      <c r="D1293" s="63" t="s">
        <v>130</v>
      </c>
      <c r="E1293" s="68">
        <v>0.91708549</v>
      </c>
      <c r="F1293" s="1"/>
      <c r="G1293" s="23">
        <v>1.192307692E7</v>
      </c>
      <c r="H1293" s="23">
        <v>1.093448078E7</v>
      </c>
      <c r="I1293" s="23">
        <v>1.192307692E7</v>
      </c>
      <c r="J1293" s="23">
        <v>1.093448078E7</v>
      </c>
      <c r="K1293" s="24">
        <v>9.0021989E7</v>
      </c>
      <c r="L1293" s="1" t="s">
        <v>1776</v>
      </c>
      <c r="M1293" s="1" t="s">
        <v>2128</v>
      </c>
      <c r="N1293" s="63" t="s">
        <v>739</v>
      </c>
      <c r="O1293" s="63" t="s">
        <v>739</v>
      </c>
      <c r="P1293" s="68">
        <v>30.0</v>
      </c>
      <c r="Q1293" s="1" t="s">
        <v>2130</v>
      </c>
      <c r="R1293" s="1" t="s">
        <v>13</v>
      </c>
      <c r="S1293" s="1"/>
      <c r="T1293" s="1"/>
      <c r="U1293" s="1" t="s">
        <v>740</v>
      </c>
      <c r="V1293" s="1" t="s">
        <v>740</v>
      </c>
      <c r="W1293" s="145">
        <f t="shared" si="1"/>
        <v>0.0002236758382</v>
      </c>
      <c r="AC1293" s="38"/>
    </row>
    <row r="1294" ht="15.75" customHeight="1">
      <c r="A1294" s="1" t="s">
        <v>1921</v>
      </c>
      <c r="B1294" s="1" t="s">
        <v>2127</v>
      </c>
      <c r="C1294" s="63">
        <v>46316.0</v>
      </c>
      <c r="D1294" s="63" t="s">
        <v>130</v>
      </c>
      <c r="E1294" s="68">
        <v>0.92218304</v>
      </c>
      <c r="F1294" s="1"/>
      <c r="G1294" s="23">
        <v>2.5E7</v>
      </c>
      <c r="H1294" s="23">
        <v>2.305457609E7</v>
      </c>
      <c r="I1294" s="23">
        <v>2.5E7</v>
      </c>
      <c r="J1294" s="23">
        <v>2.305457609E7</v>
      </c>
      <c r="K1294" s="24">
        <v>360573.0</v>
      </c>
      <c r="L1294" s="1" t="s">
        <v>1776</v>
      </c>
      <c r="M1294" s="1" t="s">
        <v>2128</v>
      </c>
      <c r="N1294" s="63" t="s">
        <v>404</v>
      </c>
      <c r="O1294" s="63" t="s">
        <v>404</v>
      </c>
      <c r="P1294" s="68">
        <v>28.0</v>
      </c>
      <c r="Q1294" s="1" t="s">
        <v>2130</v>
      </c>
      <c r="R1294" s="1" t="s">
        <v>13</v>
      </c>
      <c r="S1294" s="1"/>
      <c r="T1294" s="1"/>
      <c r="U1294" s="1" t="s">
        <v>424</v>
      </c>
      <c r="V1294" s="1" t="s">
        <v>424</v>
      </c>
      <c r="W1294" s="145">
        <f t="shared" si="1"/>
        <v>0.000471604618</v>
      </c>
      <c r="AC1294" s="38"/>
    </row>
    <row r="1295" ht="15.75" customHeight="1">
      <c r="A1295" s="1" t="s">
        <v>1983</v>
      </c>
      <c r="B1295" s="1" t="s">
        <v>2127</v>
      </c>
      <c r="C1295" s="63">
        <v>46317.0</v>
      </c>
      <c r="D1295" s="63" t="s">
        <v>130</v>
      </c>
      <c r="E1295" s="68">
        <v>0.89397255</v>
      </c>
      <c r="F1295" s="1"/>
      <c r="G1295" s="23">
        <v>3750000.0</v>
      </c>
      <c r="H1295" s="23">
        <v>3352397.07</v>
      </c>
      <c r="I1295" s="23">
        <v>3750000.0</v>
      </c>
      <c r="J1295" s="23">
        <v>3352397.07</v>
      </c>
      <c r="K1295" s="24">
        <v>6.6918105E7</v>
      </c>
      <c r="L1295" s="1" t="s">
        <v>1776</v>
      </c>
      <c r="M1295" s="1" t="s">
        <v>2128</v>
      </c>
      <c r="N1295" s="63" t="s">
        <v>765</v>
      </c>
      <c r="O1295" s="63" t="s">
        <v>765</v>
      </c>
      <c r="P1295" s="68">
        <v>39.0</v>
      </c>
      <c r="Q1295" s="1" t="s">
        <v>2130</v>
      </c>
      <c r="R1295" s="1" t="s">
        <v>13</v>
      </c>
      <c r="S1295" s="1"/>
      <c r="T1295" s="1"/>
      <c r="U1295" s="1" t="s">
        <v>778</v>
      </c>
      <c r="V1295" s="1" t="s">
        <v>778</v>
      </c>
      <c r="W1295" s="145">
        <f t="shared" si="1"/>
        <v>0.00006857666493</v>
      </c>
      <c r="AC1295" s="38"/>
    </row>
    <row r="1296" ht="15.75" customHeight="1">
      <c r="A1296" s="1" t="s">
        <v>1917</v>
      </c>
      <c r="B1296" s="1" t="s">
        <v>2127</v>
      </c>
      <c r="C1296" s="63">
        <v>46317.0</v>
      </c>
      <c r="D1296" s="63" t="s">
        <v>130</v>
      </c>
      <c r="E1296" s="68">
        <v>0.91639487</v>
      </c>
      <c r="F1296" s="1"/>
      <c r="G1296" s="23">
        <v>1.0E7</v>
      </c>
      <c r="H1296" s="23">
        <v>9163948.66</v>
      </c>
      <c r="I1296" s="23">
        <v>1.0E7</v>
      </c>
      <c r="J1296" s="23">
        <v>9163948.66</v>
      </c>
      <c r="K1296" s="24">
        <v>727.0</v>
      </c>
      <c r="L1296" s="1" t="s">
        <v>1776</v>
      </c>
      <c r="M1296" s="1" t="s">
        <v>2128</v>
      </c>
      <c r="N1296" s="63" t="s">
        <v>1488</v>
      </c>
      <c r="O1296" s="63" t="s">
        <v>1488</v>
      </c>
      <c r="P1296" s="68">
        <v>30.0</v>
      </c>
      <c r="Q1296" s="1" t="s">
        <v>2130</v>
      </c>
      <c r="R1296" s="1" t="s">
        <v>13</v>
      </c>
      <c r="S1296" s="1"/>
      <c r="T1296" s="1"/>
      <c r="U1296" s="1" t="s">
        <v>1564</v>
      </c>
      <c r="V1296" s="1" t="s">
        <v>1564</v>
      </c>
      <c r="W1296" s="145">
        <f t="shared" si="1"/>
        <v>0.0001874578171</v>
      </c>
      <c r="AC1296" s="38"/>
    </row>
    <row r="1297" ht="15.75" customHeight="1">
      <c r="A1297" s="1" t="s">
        <v>1938</v>
      </c>
      <c r="B1297" s="1" t="s">
        <v>2127</v>
      </c>
      <c r="C1297" s="63">
        <v>46317.0</v>
      </c>
      <c r="D1297" s="63" t="s">
        <v>130</v>
      </c>
      <c r="E1297" s="68">
        <v>0.9087968</v>
      </c>
      <c r="F1297" s="1"/>
      <c r="G1297" s="23">
        <v>4.5E7</v>
      </c>
      <c r="H1297" s="23">
        <v>4.089585586E7</v>
      </c>
      <c r="I1297" s="23">
        <v>4.5E7</v>
      </c>
      <c r="J1297" s="23">
        <v>4.089585586E7</v>
      </c>
      <c r="K1297" s="24">
        <v>6.7838018E7</v>
      </c>
      <c r="L1297" s="1" t="s">
        <v>1776</v>
      </c>
      <c r="M1297" s="1" t="s">
        <v>2128</v>
      </c>
      <c r="N1297" s="63" t="s">
        <v>1381</v>
      </c>
      <c r="O1297" s="63" t="s">
        <v>1381</v>
      </c>
      <c r="P1297" s="68">
        <v>33.0</v>
      </c>
      <c r="Q1297" s="1" t="s">
        <v>2130</v>
      </c>
      <c r="R1297" s="1" t="s">
        <v>13</v>
      </c>
      <c r="S1297" s="1"/>
      <c r="T1297" s="1"/>
      <c r="U1297" s="1" t="s">
        <v>1385</v>
      </c>
      <c r="V1297" s="1" t="s">
        <v>1385</v>
      </c>
      <c r="W1297" s="145">
        <f t="shared" si="1"/>
        <v>0.0008365659991</v>
      </c>
      <c r="AC1297" s="38"/>
    </row>
    <row r="1298" ht="15.75" customHeight="1">
      <c r="A1298" s="1" t="s">
        <v>1933</v>
      </c>
      <c r="B1298" s="1" t="s">
        <v>2127</v>
      </c>
      <c r="C1298" s="63">
        <v>46317.0</v>
      </c>
      <c r="D1298" s="63" t="s">
        <v>130</v>
      </c>
      <c r="E1298" s="68">
        <v>0.921531</v>
      </c>
      <c r="F1298" s="1"/>
      <c r="G1298" s="23">
        <v>2.0E7</v>
      </c>
      <c r="H1298" s="23">
        <v>1.843062008E7</v>
      </c>
      <c r="I1298" s="23">
        <v>2.0E7</v>
      </c>
      <c r="J1298" s="23">
        <v>1.843062008E7</v>
      </c>
      <c r="K1298" s="24">
        <v>1.1092146E7</v>
      </c>
      <c r="L1298" s="1" t="s">
        <v>1776</v>
      </c>
      <c r="M1298" s="1" t="s">
        <v>2128</v>
      </c>
      <c r="N1298" s="63" t="s">
        <v>946</v>
      </c>
      <c r="O1298" s="63" t="s">
        <v>946</v>
      </c>
      <c r="P1298" s="68">
        <v>28.0</v>
      </c>
      <c r="Q1298" s="1" t="s">
        <v>2130</v>
      </c>
      <c r="R1298" s="1" t="s">
        <v>13</v>
      </c>
      <c r="S1298" s="1"/>
      <c r="T1298" s="1"/>
      <c r="U1298" s="1" t="s">
        <v>947</v>
      </c>
      <c r="V1298" s="1" t="s">
        <v>947</v>
      </c>
      <c r="W1298" s="145">
        <f t="shared" si="1"/>
        <v>0.0003770169319</v>
      </c>
      <c r="AC1298" s="38"/>
    </row>
    <row r="1299" ht="15.75" customHeight="1">
      <c r="A1299" s="1" t="s">
        <v>1921</v>
      </c>
      <c r="B1299" s="1" t="s">
        <v>2127</v>
      </c>
      <c r="C1299" s="63">
        <v>46317.0</v>
      </c>
      <c r="D1299" s="63" t="s">
        <v>130</v>
      </c>
      <c r="E1299" s="68">
        <v>0.92153111</v>
      </c>
      <c r="F1299" s="1"/>
      <c r="G1299" s="23">
        <v>2500000.0</v>
      </c>
      <c r="H1299" s="23">
        <v>2303827.77</v>
      </c>
      <c r="I1299" s="23">
        <v>2500000.0</v>
      </c>
      <c r="J1299" s="23">
        <v>2303827.77</v>
      </c>
      <c r="K1299" s="24">
        <v>9.0031818E7</v>
      </c>
      <c r="L1299" s="1" t="s">
        <v>1776</v>
      </c>
      <c r="M1299" s="1" t="s">
        <v>2128</v>
      </c>
      <c r="N1299" s="63" t="s">
        <v>446</v>
      </c>
      <c r="O1299" s="63" t="s">
        <v>446</v>
      </c>
      <c r="P1299" s="68">
        <v>28.0</v>
      </c>
      <c r="Q1299" s="1" t="s">
        <v>2130</v>
      </c>
      <c r="R1299" s="1" t="s">
        <v>13</v>
      </c>
      <c r="S1299" s="1"/>
      <c r="T1299" s="1"/>
      <c r="U1299" s="1" t="s">
        <v>468</v>
      </c>
      <c r="V1299" s="1" t="s">
        <v>468</v>
      </c>
      <c r="W1299" s="145">
        <f t="shared" si="1"/>
        <v>0.0000471271218</v>
      </c>
      <c r="AC1299" s="38"/>
    </row>
    <row r="1300" ht="15.75" customHeight="1">
      <c r="A1300" s="1" t="s">
        <v>1921</v>
      </c>
      <c r="B1300" s="1" t="s">
        <v>2127</v>
      </c>
      <c r="C1300" s="63">
        <v>46318.0</v>
      </c>
      <c r="D1300" s="63" t="s">
        <v>130</v>
      </c>
      <c r="E1300" s="68">
        <v>0.92088008</v>
      </c>
      <c r="F1300" s="1"/>
      <c r="G1300" s="23">
        <v>2500000.0</v>
      </c>
      <c r="H1300" s="23">
        <v>2302200.21</v>
      </c>
      <c r="I1300" s="23">
        <v>2500000.0</v>
      </c>
      <c r="J1300" s="23">
        <v>2302200.21</v>
      </c>
      <c r="K1300" s="24">
        <v>9.0031819E7</v>
      </c>
      <c r="L1300" s="1" t="s">
        <v>1776</v>
      </c>
      <c r="M1300" s="1" t="s">
        <v>2128</v>
      </c>
      <c r="N1300" s="63" t="s">
        <v>446</v>
      </c>
      <c r="O1300" s="63" t="s">
        <v>446</v>
      </c>
      <c r="P1300" s="68">
        <v>28.0</v>
      </c>
      <c r="Q1300" s="1" t="s">
        <v>2130</v>
      </c>
      <c r="R1300" s="1" t="s">
        <v>13</v>
      </c>
      <c r="S1300" s="1"/>
      <c r="T1300" s="1"/>
      <c r="U1300" s="1" t="s">
        <v>470</v>
      </c>
      <c r="V1300" s="1" t="s">
        <v>470</v>
      </c>
      <c r="W1300" s="145">
        <f t="shared" si="1"/>
        <v>0.00004709382842</v>
      </c>
      <c r="AC1300" s="38"/>
    </row>
    <row r="1301" ht="15.75" customHeight="1">
      <c r="A1301" s="1" t="s">
        <v>1988</v>
      </c>
      <c r="B1301" s="1" t="s">
        <v>2127</v>
      </c>
      <c r="C1301" s="63">
        <v>46321.0</v>
      </c>
      <c r="D1301" s="63" t="s">
        <v>130</v>
      </c>
      <c r="E1301" s="68">
        <v>0.90581958</v>
      </c>
      <c r="F1301" s="1"/>
      <c r="G1301" s="23">
        <v>6500236.57</v>
      </c>
      <c r="H1301" s="23">
        <v>5888041.56</v>
      </c>
      <c r="I1301" s="23">
        <v>6500236.57</v>
      </c>
      <c r="J1301" s="23">
        <v>5888041.56</v>
      </c>
      <c r="K1301" s="24">
        <v>9.0000581E7</v>
      </c>
      <c r="L1301" s="1" t="s">
        <v>1776</v>
      </c>
      <c r="M1301" s="1" t="s">
        <v>2128</v>
      </c>
      <c r="N1301" s="63" t="s">
        <v>1048</v>
      </c>
      <c r="O1301" s="63" t="s">
        <v>1048</v>
      </c>
      <c r="P1301" s="68">
        <v>33.0</v>
      </c>
      <c r="Q1301" s="1" t="s">
        <v>2130</v>
      </c>
      <c r="R1301" s="1" t="s">
        <v>13</v>
      </c>
      <c r="S1301" s="1"/>
      <c r="T1301" s="1"/>
      <c r="U1301" s="1" t="s">
        <v>1071</v>
      </c>
      <c r="V1301" s="1" t="s">
        <v>1071</v>
      </c>
      <c r="W1301" s="145">
        <f t="shared" si="1"/>
        <v>0.0001204458317</v>
      </c>
      <c r="AC1301" s="38"/>
    </row>
    <row r="1302" ht="15.75" customHeight="1">
      <c r="A1302" s="1" t="s">
        <v>1983</v>
      </c>
      <c r="B1302" s="1" t="s">
        <v>2127</v>
      </c>
      <c r="C1302" s="63">
        <v>46321.0</v>
      </c>
      <c r="D1302" s="63" t="s">
        <v>130</v>
      </c>
      <c r="E1302" s="68">
        <v>0.89056983</v>
      </c>
      <c r="F1302" s="1"/>
      <c r="G1302" s="23">
        <v>3750000.0</v>
      </c>
      <c r="H1302" s="23">
        <v>3339636.87</v>
      </c>
      <c r="I1302" s="23">
        <v>3750000.0</v>
      </c>
      <c r="J1302" s="23">
        <v>3339636.87</v>
      </c>
      <c r="K1302" s="24">
        <v>6.6918134E7</v>
      </c>
      <c r="L1302" s="1" t="s">
        <v>1776</v>
      </c>
      <c r="M1302" s="1" t="s">
        <v>2128</v>
      </c>
      <c r="N1302" s="63" t="s">
        <v>765</v>
      </c>
      <c r="O1302" s="63" t="s">
        <v>765</v>
      </c>
      <c r="P1302" s="68">
        <v>39.0</v>
      </c>
      <c r="Q1302" s="1" t="s">
        <v>2130</v>
      </c>
      <c r="R1302" s="1" t="s">
        <v>13</v>
      </c>
      <c r="S1302" s="1"/>
      <c r="T1302" s="1"/>
      <c r="U1302" s="1" t="s">
        <v>779</v>
      </c>
      <c r="V1302" s="1" t="s">
        <v>779</v>
      </c>
      <c r="W1302" s="145">
        <f t="shared" si="1"/>
        <v>0.00006831564216</v>
      </c>
      <c r="AC1302" s="38"/>
    </row>
    <row r="1303" ht="15.75" customHeight="1">
      <c r="A1303" s="1" t="s">
        <v>1924</v>
      </c>
      <c r="B1303" s="1" t="s">
        <v>2127</v>
      </c>
      <c r="C1303" s="63">
        <v>46321.0</v>
      </c>
      <c r="D1303" s="63" t="s">
        <v>130</v>
      </c>
      <c r="E1303" s="68">
        <v>0.91627977</v>
      </c>
      <c r="F1303" s="1"/>
      <c r="G1303" s="23">
        <v>7511409.47</v>
      </c>
      <c r="H1303" s="23">
        <v>6882552.56</v>
      </c>
      <c r="I1303" s="23">
        <v>7511409.47</v>
      </c>
      <c r="J1303" s="23">
        <v>6882552.56</v>
      </c>
      <c r="K1303" s="24">
        <v>9.0000775E7</v>
      </c>
      <c r="L1303" s="1" t="s">
        <v>1776</v>
      </c>
      <c r="M1303" s="1" t="s">
        <v>2128</v>
      </c>
      <c r="N1303" s="63" t="s">
        <v>130</v>
      </c>
      <c r="O1303" s="63" t="s">
        <v>130</v>
      </c>
      <c r="P1303" s="68">
        <v>29.0</v>
      </c>
      <c r="Q1303" s="1" t="s">
        <v>2130</v>
      </c>
      <c r="R1303" s="1" t="s">
        <v>13</v>
      </c>
      <c r="S1303" s="1"/>
      <c r="T1303" s="1"/>
      <c r="U1303" s="1" t="s">
        <v>1641</v>
      </c>
      <c r="V1303" s="1" t="s">
        <v>1641</v>
      </c>
      <c r="W1303" s="145">
        <f t="shared" si="1"/>
        <v>0.0001407895577</v>
      </c>
      <c r="AC1303" s="38"/>
    </row>
    <row r="1304" ht="15.75" customHeight="1">
      <c r="A1304" s="1" t="s">
        <v>1921</v>
      </c>
      <c r="B1304" s="1" t="s">
        <v>2127</v>
      </c>
      <c r="C1304" s="63">
        <v>46321.0</v>
      </c>
      <c r="D1304" s="63" t="s">
        <v>130</v>
      </c>
      <c r="E1304" s="68">
        <v>0.91893264</v>
      </c>
      <c r="F1304" s="1"/>
      <c r="G1304" s="23">
        <v>2500000.0</v>
      </c>
      <c r="H1304" s="23">
        <v>2297331.61</v>
      </c>
      <c r="I1304" s="23">
        <v>2500000.0</v>
      </c>
      <c r="J1304" s="23">
        <v>2297331.61</v>
      </c>
      <c r="K1304" s="24">
        <v>9.003182E7</v>
      </c>
      <c r="L1304" s="1" t="s">
        <v>1776</v>
      </c>
      <c r="M1304" s="1" t="s">
        <v>2128</v>
      </c>
      <c r="N1304" s="63" t="s">
        <v>446</v>
      </c>
      <c r="O1304" s="63" t="s">
        <v>446</v>
      </c>
      <c r="P1304" s="68">
        <v>28.0</v>
      </c>
      <c r="Q1304" s="1" t="s">
        <v>2130</v>
      </c>
      <c r="R1304" s="1" t="s">
        <v>13</v>
      </c>
      <c r="S1304" s="1"/>
      <c r="T1304" s="1"/>
      <c r="U1304" s="1" t="s">
        <v>472</v>
      </c>
      <c r="V1304" s="1" t="s">
        <v>472</v>
      </c>
      <c r="W1304" s="145">
        <f t="shared" si="1"/>
        <v>0.00004699423629</v>
      </c>
      <c r="AC1304" s="38"/>
    </row>
    <row r="1305" ht="15.75" customHeight="1">
      <c r="A1305" s="1" t="s">
        <v>1903</v>
      </c>
      <c r="B1305" s="1" t="s">
        <v>2127</v>
      </c>
      <c r="C1305" s="63">
        <v>46322.0</v>
      </c>
      <c r="D1305" s="63" t="s">
        <v>130</v>
      </c>
      <c r="E1305" s="68">
        <v>0.92097296</v>
      </c>
      <c r="F1305" s="1"/>
      <c r="G1305" s="23">
        <v>5.0E7</v>
      </c>
      <c r="H1305" s="23">
        <v>4.604864783E7</v>
      </c>
      <c r="I1305" s="23">
        <v>5.0E7</v>
      </c>
      <c r="J1305" s="23">
        <v>4.604864783E7</v>
      </c>
      <c r="K1305" s="24">
        <v>1415416.0</v>
      </c>
      <c r="L1305" s="1" t="s">
        <v>1776</v>
      </c>
      <c r="M1305" s="1" t="s">
        <v>2128</v>
      </c>
      <c r="N1305" s="63" t="s">
        <v>1428</v>
      </c>
      <c r="O1305" s="63" t="s">
        <v>1428</v>
      </c>
      <c r="P1305" s="68">
        <v>27.0</v>
      </c>
      <c r="Q1305" s="1" t="s">
        <v>2130</v>
      </c>
      <c r="R1305" s="1" t="s">
        <v>13</v>
      </c>
      <c r="S1305" s="1"/>
      <c r="T1305" s="1"/>
      <c r="U1305" s="1" t="s">
        <v>1427</v>
      </c>
      <c r="V1305" s="1" t="s">
        <v>1427</v>
      </c>
      <c r="W1305" s="145">
        <f t="shared" si="1"/>
        <v>0.0009419715585</v>
      </c>
      <c r="AC1305" s="38"/>
    </row>
    <row r="1306" ht="15.75" customHeight="1">
      <c r="A1306" s="1" t="s">
        <v>1921</v>
      </c>
      <c r="B1306" s="1" t="s">
        <v>2127</v>
      </c>
      <c r="C1306" s="63">
        <v>46322.0</v>
      </c>
      <c r="D1306" s="63" t="s">
        <v>130</v>
      </c>
      <c r="E1306" s="68">
        <v>0.91828527</v>
      </c>
      <c r="F1306" s="1"/>
      <c r="G1306" s="23">
        <v>2500000.0</v>
      </c>
      <c r="H1306" s="23">
        <v>2295713.18</v>
      </c>
      <c r="I1306" s="23">
        <v>2500000.0</v>
      </c>
      <c r="J1306" s="23">
        <v>2295713.18</v>
      </c>
      <c r="K1306" s="24">
        <v>9.0031821E7</v>
      </c>
      <c r="L1306" s="1" t="s">
        <v>1776</v>
      </c>
      <c r="M1306" s="1" t="s">
        <v>2128</v>
      </c>
      <c r="N1306" s="63" t="s">
        <v>446</v>
      </c>
      <c r="O1306" s="63" t="s">
        <v>446</v>
      </c>
      <c r="P1306" s="68">
        <v>28.0</v>
      </c>
      <c r="Q1306" s="1" t="s">
        <v>2130</v>
      </c>
      <c r="R1306" s="1" t="s">
        <v>13</v>
      </c>
      <c r="S1306" s="1"/>
      <c r="T1306" s="1"/>
      <c r="U1306" s="1" t="s">
        <v>481</v>
      </c>
      <c r="V1306" s="1" t="s">
        <v>481</v>
      </c>
      <c r="W1306" s="145">
        <f t="shared" si="1"/>
        <v>0.00004696112967</v>
      </c>
      <c r="AC1306" s="38"/>
    </row>
    <row r="1307" ht="15.75" customHeight="1">
      <c r="A1307" s="1" t="s">
        <v>1987</v>
      </c>
      <c r="B1307" s="1" t="s">
        <v>2127</v>
      </c>
      <c r="C1307" s="63">
        <v>46322.0</v>
      </c>
      <c r="D1307" s="63" t="s">
        <v>130</v>
      </c>
      <c r="E1307" s="68">
        <v>0.926396</v>
      </c>
      <c r="F1307" s="1"/>
      <c r="G1307" s="23">
        <v>1.9922304E7</v>
      </c>
      <c r="H1307" s="23">
        <v>1.845594272E7</v>
      </c>
      <c r="I1307" s="23">
        <v>1.9922304E7</v>
      </c>
      <c r="J1307" s="23">
        <v>1.845594272E7</v>
      </c>
      <c r="K1307" s="24">
        <v>6.7863887E7</v>
      </c>
      <c r="L1307" s="1" t="s">
        <v>1776</v>
      </c>
      <c r="M1307" s="1" t="s">
        <v>2128</v>
      </c>
      <c r="N1307" s="63" t="s">
        <v>1458</v>
      </c>
      <c r="O1307" s="63" t="s">
        <v>1458</v>
      </c>
      <c r="P1307" s="68">
        <v>25.0</v>
      </c>
      <c r="Q1307" s="1" t="s">
        <v>2130</v>
      </c>
      <c r="R1307" s="1" t="s">
        <v>13</v>
      </c>
      <c r="S1307" s="1"/>
      <c r="T1307" s="1"/>
      <c r="U1307" s="1" t="s">
        <v>1457</v>
      </c>
      <c r="V1307" s="1" t="s">
        <v>1457</v>
      </c>
      <c r="W1307" s="145">
        <f t="shared" si="1"/>
        <v>0.000377534932</v>
      </c>
      <c r="AC1307" s="38"/>
    </row>
    <row r="1308" ht="15.75" customHeight="1">
      <c r="A1308" s="1" t="s">
        <v>1916</v>
      </c>
      <c r="B1308" s="1" t="s">
        <v>2127</v>
      </c>
      <c r="C1308" s="63">
        <v>46323.0</v>
      </c>
      <c r="D1308" s="63" t="s">
        <v>130</v>
      </c>
      <c r="E1308" s="68">
        <v>0.9203461</v>
      </c>
      <c r="F1308" s="1"/>
      <c r="G1308" s="23">
        <v>1.5E7</v>
      </c>
      <c r="H1308" s="23">
        <v>1.380519152E7</v>
      </c>
      <c r="I1308" s="23">
        <v>1.5E7</v>
      </c>
      <c r="J1308" s="23">
        <v>1.380519152E7</v>
      </c>
      <c r="K1308" s="24">
        <v>234.0</v>
      </c>
      <c r="L1308" s="1" t="s">
        <v>1776</v>
      </c>
      <c r="M1308" s="1" t="s">
        <v>2128</v>
      </c>
      <c r="N1308" s="63" t="s">
        <v>1589</v>
      </c>
      <c r="O1308" s="63" t="s">
        <v>1589</v>
      </c>
      <c r="P1308" s="68">
        <v>27.0</v>
      </c>
      <c r="Q1308" s="1" t="s">
        <v>2130</v>
      </c>
      <c r="R1308" s="1" t="s">
        <v>13</v>
      </c>
      <c r="S1308" s="1"/>
      <c r="T1308" s="1"/>
      <c r="U1308" s="1" t="s">
        <v>1622</v>
      </c>
      <c r="V1308" s="1" t="s">
        <v>1622</v>
      </c>
      <c r="W1308" s="145">
        <f t="shared" si="1"/>
        <v>0.0002823991232</v>
      </c>
      <c r="AC1308" s="38"/>
    </row>
    <row r="1309" ht="15.75" customHeight="1">
      <c r="A1309" s="1" t="s">
        <v>2045</v>
      </c>
      <c r="B1309" s="1" t="s">
        <v>2127</v>
      </c>
      <c r="C1309" s="63">
        <v>46323.0</v>
      </c>
      <c r="D1309" s="63" t="s">
        <v>130</v>
      </c>
      <c r="E1309" s="68">
        <v>0.89141811</v>
      </c>
      <c r="F1309" s="1"/>
      <c r="G1309" s="23">
        <v>3511491.25</v>
      </c>
      <c r="H1309" s="23">
        <v>3130206.89</v>
      </c>
      <c r="I1309" s="23">
        <v>3511491.25</v>
      </c>
      <c r="J1309" s="23">
        <v>3130206.89</v>
      </c>
      <c r="K1309" s="24">
        <v>1.3270638E7</v>
      </c>
      <c r="L1309" s="1" t="s">
        <v>1776</v>
      </c>
      <c r="M1309" s="1" t="s">
        <v>2128</v>
      </c>
      <c r="N1309" s="63" t="s">
        <v>543</v>
      </c>
      <c r="O1309" s="63" t="s">
        <v>543</v>
      </c>
      <c r="P1309" s="68">
        <v>38.0</v>
      </c>
      <c r="Q1309" s="1" t="s">
        <v>2130</v>
      </c>
      <c r="R1309" s="1" t="s">
        <v>13</v>
      </c>
      <c r="S1309" s="1"/>
      <c r="T1309" s="1"/>
      <c r="U1309" s="1" t="s">
        <v>558</v>
      </c>
      <c r="V1309" s="1" t="s">
        <v>558</v>
      </c>
      <c r="W1309" s="145">
        <f t="shared" si="1"/>
        <v>0.00006403154059</v>
      </c>
      <c r="AC1309" s="38"/>
    </row>
    <row r="1310" ht="15.75" customHeight="1">
      <c r="A1310" s="1" t="s">
        <v>1934</v>
      </c>
      <c r="B1310" s="1" t="s">
        <v>2127</v>
      </c>
      <c r="C1310" s="63">
        <v>46323.0</v>
      </c>
      <c r="D1310" s="63" t="s">
        <v>130</v>
      </c>
      <c r="E1310" s="68">
        <v>0.91763884</v>
      </c>
      <c r="F1310" s="1"/>
      <c r="G1310" s="23">
        <v>3.0E7</v>
      </c>
      <c r="H1310" s="23">
        <v>2.752916518E7</v>
      </c>
      <c r="I1310" s="23">
        <v>3.0E7</v>
      </c>
      <c r="J1310" s="23">
        <v>2.752916518E7</v>
      </c>
      <c r="K1310" s="24">
        <v>3329634.0</v>
      </c>
      <c r="L1310" s="1" t="s">
        <v>1776</v>
      </c>
      <c r="M1310" s="1" t="s">
        <v>2128</v>
      </c>
      <c r="N1310" s="63" t="s">
        <v>628</v>
      </c>
      <c r="O1310" s="63" t="s">
        <v>628</v>
      </c>
      <c r="P1310" s="68">
        <v>28.0</v>
      </c>
      <c r="Q1310" s="1" t="s">
        <v>2130</v>
      </c>
      <c r="R1310" s="1" t="s">
        <v>13</v>
      </c>
      <c r="S1310" s="1"/>
      <c r="T1310" s="1"/>
      <c r="U1310" s="1" t="s">
        <v>658</v>
      </c>
      <c r="V1310" s="1" t="s">
        <v>658</v>
      </c>
      <c r="W1310" s="145">
        <f t="shared" si="1"/>
        <v>0.0005631368531</v>
      </c>
      <c r="AC1310" s="38"/>
    </row>
    <row r="1311" ht="15.75" customHeight="1">
      <c r="A1311" s="1" t="s">
        <v>1921</v>
      </c>
      <c r="B1311" s="1" t="s">
        <v>2127</v>
      </c>
      <c r="C1311" s="63">
        <v>46323.0</v>
      </c>
      <c r="D1311" s="63" t="s">
        <v>130</v>
      </c>
      <c r="E1311" s="68">
        <v>0.91763881</v>
      </c>
      <c r="F1311" s="1"/>
      <c r="G1311" s="23">
        <v>2500000.0</v>
      </c>
      <c r="H1311" s="23">
        <v>2294097.04</v>
      </c>
      <c r="I1311" s="23">
        <v>2500000.0</v>
      </c>
      <c r="J1311" s="23">
        <v>2294097.04</v>
      </c>
      <c r="K1311" s="24">
        <v>9.0031822E7</v>
      </c>
      <c r="L1311" s="1" t="s">
        <v>1776</v>
      </c>
      <c r="M1311" s="1" t="s">
        <v>2128</v>
      </c>
      <c r="N1311" s="63" t="s">
        <v>446</v>
      </c>
      <c r="O1311" s="63" t="s">
        <v>446</v>
      </c>
      <c r="P1311" s="68">
        <v>28.0</v>
      </c>
      <c r="Q1311" s="1" t="s">
        <v>2130</v>
      </c>
      <c r="R1311" s="1" t="s">
        <v>13</v>
      </c>
      <c r="S1311" s="1"/>
      <c r="T1311" s="1"/>
      <c r="U1311" s="1" t="s">
        <v>474</v>
      </c>
      <c r="V1311" s="1" t="s">
        <v>474</v>
      </c>
      <c r="W1311" s="145">
        <f t="shared" si="1"/>
        <v>0.0000469280699</v>
      </c>
      <c r="AC1311" s="38"/>
    </row>
    <row r="1312" ht="15.75" customHeight="1">
      <c r="A1312" s="1" t="s">
        <v>1948</v>
      </c>
      <c r="B1312" s="1" t="s">
        <v>2127</v>
      </c>
      <c r="C1312" s="63">
        <v>46323.0</v>
      </c>
      <c r="D1312" s="63" t="s">
        <v>130</v>
      </c>
      <c r="E1312" s="68">
        <v>0.91763886</v>
      </c>
      <c r="F1312" s="1"/>
      <c r="G1312" s="23">
        <v>1.0E8</v>
      </c>
      <c r="H1312" s="23">
        <v>9.176388554E7</v>
      </c>
      <c r="I1312" s="23">
        <v>1.0E8</v>
      </c>
      <c r="J1312" s="23">
        <v>9.176388554E7</v>
      </c>
      <c r="K1312" s="24">
        <v>4.0627526E7</v>
      </c>
      <c r="L1312" s="1" t="s">
        <v>1776</v>
      </c>
      <c r="M1312" s="1" t="s">
        <v>2128</v>
      </c>
      <c r="N1312" s="63" t="s">
        <v>676</v>
      </c>
      <c r="O1312" s="63" t="s">
        <v>676</v>
      </c>
      <c r="P1312" s="68">
        <v>28.0</v>
      </c>
      <c r="Q1312" s="1" t="s">
        <v>2130</v>
      </c>
      <c r="R1312" s="1" t="s">
        <v>13</v>
      </c>
      <c r="S1312" s="1"/>
      <c r="T1312" s="1"/>
      <c r="U1312" s="1" t="s">
        <v>675</v>
      </c>
      <c r="V1312" s="1" t="s">
        <v>675</v>
      </c>
      <c r="W1312" s="145">
        <f t="shared" si="1"/>
        <v>0.001877122877</v>
      </c>
      <c r="AC1312" s="38"/>
    </row>
    <row r="1313" ht="15.75" customHeight="1">
      <c r="A1313" s="1" t="s">
        <v>1983</v>
      </c>
      <c r="B1313" s="1" t="s">
        <v>2127</v>
      </c>
      <c r="C1313" s="63">
        <v>46324.0</v>
      </c>
      <c r="D1313" s="63" t="s">
        <v>130</v>
      </c>
      <c r="E1313" s="68">
        <v>0.8880348</v>
      </c>
      <c r="F1313" s="1"/>
      <c r="G1313" s="23">
        <v>3750000.0</v>
      </c>
      <c r="H1313" s="23">
        <v>3330130.48</v>
      </c>
      <c r="I1313" s="23">
        <v>3750000.0</v>
      </c>
      <c r="J1313" s="23">
        <v>3330130.48</v>
      </c>
      <c r="K1313" s="24">
        <v>6.6918205E7</v>
      </c>
      <c r="L1313" s="1" t="s">
        <v>1776</v>
      </c>
      <c r="M1313" s="1" t="s">
        <v>2128</v>
      </c>
      <c r="N1313" s="63" t="s">
        <v>765</v>
      </c>
      <c r="O1313" s="63" t="s">
        <v>765</v>
      </c>
      <c r="P1313" s="68">
        <v>39.0</v>
      </c>
      <c r="Q1313" s="1" t="s">
        <v>2130</v>
      </c>
      <c r="R1313" s="1" t="s">
        <v>13</v>
      </c>
      <c r="S1313" s="1"/>
      <c r="T1313" s="1"/>
      <c r="U1313" s="1" t="s">
        <v>784</v>
      </c>
      <c r="V1313" s="1" t="s">
        <v>784</v>
      </c>
      <c r="W1313" s="145">
        <f t="shared" si="1"/>
        <v>0.00006812117936</v>
      </c>
      <c r="AC1313" s="38"/>
    </row>
    <row r="1314" ht="15.75" customHeight="1">
      <c r="A1314" s="1" t="s">
        <v>1917</v>
      </c>
      <c r="B1314" s="1" t="s">
        <v>2127</v>
      </c>
      <c r="C1314" s="63">
        <v>46324.0</v>
      </c>
      <c r="D1314" s="63" t="s">
        <v>130</v>
      </c>
      <c r="E1314" s="68">
        <v>0.91158862</v>
      </c>
      <c r="F1314" s="1"/>
      <c r="G1314" s="23">
        <v>1.0E7</v>
      </c>
      <c r="H1314" s="23">
        <v>9115886.18</v>
      </c>
      <c r="I1314" s="23">
        <v>1.0E7</v>
      </c>
      <c r="J1314" s="23">
        <v>9115886.18</v>
      </c>
      <c r="K1314" s="24">
        <v>728.0</v>
      </c>
      <c r="L1314" s="1" t="s">
        <v>1776</v>
      </c>
      <c r="M1314" s="1" t="s">
        <v>2128</v>
      </c>
      <c r="N1314" s="63" t="s">
        <v>1488</v>
      </c>
      <c r="O1314" s="63" t="s">
        <v>1488</v>
      </c>
      <c r="P1314" s="68">
        <v>30.0</v>
      </c>
      <c r="Q1314" s="1" t="s">
        <v>2130</v>
      </c>
      <c r="R1314" s="1" t="s">
        <v>13</v>
      </c>
      <c r="S1314" s="1"/>
      <c r="T1314" s="1"/>
      <c r="U1314" s="1" t="s">
        <v>1565</v>
      </c>
      <c r="V1314" s="1" t="s">
        <v>1565</v>
      </c>
      <c r="W1314" s="145">
        <f t="shared" si="1"/>
        <v>0.0001864746505</v>
      </c>
      <c r="AC1314" s="38"/>
    </row>
    <row r="1315" ht="15.75" customHeight="1">
      <c r="A1315" s="1" t="s">
        <v>1921</v>
      </c>
      <c r="B1315" s="1" t="s">
        <v>2127</v>
      </c>
      <c r="C1315" s="63">
        <v>46324.0</v>
      </c>
      <c r="D1315" s="63" t="s">
        <v>130</v>
      </c>
      <c r="E1315" s="68">
        <v>0.91699341</v>
      </c>
      <c r="F1315" s="1"/>
      <c r="G1315" s="23">
        <v>2500000.0</v>
      </c>
      <c r="H1315" s="23">
        <v>2292483.52</v>
      </c>
      <c r="I1315" s="23">
        <v>2500000.0</v>
      </c>
      <c r="J1315" s="23">
        <v>2292483.52</v>
      </c>
      <c r="K1315" s="24">
        <v>9.0031823E7</v>
      </c>
      <c r="L1315" s="1" t="s">
        <v>1776</v>
      </c>
      <c r="M1315" s="1" t="s">
        <v>2128</v>
      </c>
      <c r="N1315" s="63" t="s">
        <v>446</v>
      </c>
      <c r="O1315" s="63" t="s">
        <v>446</v>
      </c>
      <c r="P1315" s="68">
        <v>28.0</v>
      </c>
      <c r="Q1315" s="1" t="s">
        <v>2130</v>
      </c>
      <c r="R1315" s="1" t="s">
        <v>13</v>
      </c>
      <c r="S1315" s="1"/>
      <c r="T1315" s="1"/>
      <c r="U1315" s="1" t="s">
        <v>476</v>
      </c>
      <c r="V1315" s="1" t="s">
        <v>476</v>
      </c>
      <c r="W1315" s="145">
        <f t="shared" si="1"/>
        <v>0.00004689506372</v>
      </c>
      <c r="AC1315" s="38"/>
    </row>
    <row r="1316" ht="15.75" customHeight="1">
      <c r="A1316" s="1" t="s">
        <v>1951</v>
      </c>
      <c r="B1316" s="1" t="s">
        <v>2127</v>
      </c>
      <c r="C1316" s="63">
        <v>46324.0</v>
      </c>
      <c r="D1316" s="63" t="s">
        <v>130</v>
      </c>
      <c r="E1316" s="68">
        <v>0.9335995</v>
      </c>
      <c r="F1316" s="1"/>
      <c r="G1316" s="23">
        <v>1.3E7</v>
      </c>
      <c r="H1316" s="23">
        <v>1.213679354E7</v>
      </c>
      <c r="I1316" s="23">
        <v>1.3E7</v>
      </c>
      <c r="J1316" s="23">
        <v>1.213679354E7</v>
      </c>
      <c r="K1316" s="24">
        <v>34114.0</v>
      </c>
      <c r="L1316" s="1" t="s">
        <v>1776</v>
      </c>
      <c r="M1316" s="1" t="s">
        <v>2128</v>
      </c>
      <c r="N1316" s="63" t="s">
        <v>1488</v>
      </c>
      <c r="O1316" s="63" t="s">
        <v>1488</v>
      </c>
      <c r="P1316" s="68">
        <v>22.0</v>
      </c>
      <c r="Q1316" s="1" t="s">
        <v>2130</v>
      </c>
      <c r="R1316" s="1" t="s">
        <v>13</v>
      </c>
      <c r="S1316" s="1"/>
      <c r="T1316" s="1"/>
      <c r="U1316" s="1" t="s">
        <v>1567</v>
      </c>
      <c r="V1316" s="1" t="s">
        <v>1567</v>
      </c>
      <c r="W1316" s="145">
        <f t="shared" si="1"/>
        <v>0.000248270359</v>
      </c>
      <c r="AC1316" s="38"/>
    </row>
    <row r="1317" ht="15.75" customHeight="1">
      <c r="A1317" s="1" t="s">
        <v>1956</v>
      </c>
      <c r="B1317" s="1" t="s">
        <v>2127</v>
      </c>
      <c r="C1317" s="63">
        <v>46324.0</v>
      </c>
      <c r="D1317" s="63" t="s">
        <v>130</v>
      </c>
      <c r="E1317" s="68">
        <v>0.9062469</v>
      </c>
      <c r="F1317" s="1"/>
      <c r="G1317" s="23">
        <v>1.5E7</v>
      </c>
      <c r="H1317" s="23">
        <v>1.359370345E7</v>
      </c>
      <c r="I1317" s="23">
        <v>1.5E7</v>
      </c>
      <c r="J1317" s="23">
        <v>1.359370345E7</v>
      </c>
      <c r="K1317" s="24">
        <v>6.7448999E7</v>
      </c>
      <c r="L1317" s="1" t="s">
        <v>1776</v>
      </c>
      <c r="M1317" s="1" t="s">
        <v>2128</v>
      </c>
      <c r="N1317" s="63" t="s">
        <v>1209</v>
      </c>
      <c r="O1317" s="63" t="s">
        <v>1209</v>
      </c>
      <c r="P1317" s="68">
        <v>32.0</v>
      </c>
      <c r="Q1317" s="1" t="s">
        <v>2130</v>
      </c>
      <c r="R1317" s="1" t="s">
        <v>13</v>
      </c>
      <c r="S1317" s="1"/>
      <c r="T1317" s="1"/>
      <c r="U1317" s="1" t="s">
        <v>1220</v>
      </c>
      <c r="V1317" s="1" t="s">
        <v>1220</v>
      </c>
      <c r="W1317" s="145">
        <f t="shared" si="1"/>
        <v>0.0002780729213</v>
      </c>
      <c r="AC1317" s="38"/>
    </row>
    <row r="1318" ht="15.75" customHeight="1">
      <c r="A1318" s="1" t="s">
        <v>1916</v>
      </c>
      <c r="B1318" s="1" t="s">
        <v>2127</v>
      </c>
      <c r="C1318" s="63">
        <v>46328.0</v>
      </c>
      <c r="D1318" s="63" t="s">
        <v>130</v>
      </c>
      <c r="E1318" s="68">
        <v>0.91722377</v>
      </c>
      <c r="F1318" s="1"/>
      <c r="G1318" s="23">
        <v>1.5E7</v>
      </c>
      <c r="H1318" s="23">
        <v>1.375835654E7</v>
      </c>
      <c r="I1318" s="23">
        <v>1.5E7</v>
      </c>
      <c r="J1318" s="23">
        <v>1.375835654E7</v>
      </c>
      <c r="K1318" s="24">
        <v>235.0</v>
      </c>
      <c r="L1318" s="1" t="s">
        <v>1776</v>
      </c>
      <c r="M1318" s="1" t="s">
        <v>2128</v>
      </c>
      <c r="N1318" s="63" t="s">
        <v>1589</v>
      </c>
      <c r="O1318" s="63" t="s">
        <v>1589</v>
      </c>
      <c r="P1318" s="68">
        <v>27.0</v>
      </c>
      <c r="Q1318" s="1" t="s">
        <v>2130</v>
      </c>
      <c r="R1318" s="1" t="s">
        <v>13</v>
      </c>
      <c r="S1318" s="1"/>
      <c r="T1318" s="1"/>
      <c r="U1318" s="1" t="s">
        <v>1623</v>
      </c>
      <c r="V1318" s="1" t="s">
        <v>1623</v>
      </c>
      <c r="W1318" s="145">
        <f t="shared" si="1"/>
        <v>0.0002814410664</v>
      </c>
      <c r="AC1318" s="38"/>
    </row>
    <row r="1319" ht="15.75" customHeight="1">
      <c r="A1319" s="1" t="s">
        <v>1983</v>
      </c>
      <c r="B1319" s="1" t="s">
        <v>2127</v>
      </c>
      <c r="C1319" s="63">
        <v>46328.0</v>
      </c>
      <c r="D1319" s="63" t="s">
        <v>130</v>
      </c>
      <c r="E1319" s="68">
        <v>0.88467704</v>
      </c>
      <c r="F1319" s="1"/>
      <c r="G1319" s="23">
        <v>3750000.0</v>
      </c>
      <c r="H1319" s="23">
        <v>3317538.91</v>
      </c>
      <c r="I1319" s="23">
        <v>3750000.0</v>
      </c>
      <c r="J1319" s="23">
        <v>3317538.91</v>
      </c>
      <c r="K1319" s="24">
        <v>6.6918247E7</v>
      </c>
      <c r="L1319" s="1" t="s">
        <v>1776</v>
      </c>
      <c r="M1319" s="1" t="s">
        <v>2128</v>
      </c>
      <c r="N1319" s="63" t="s">
        <v>765</v>
      </c>
      <c r="O1319" s="63" t="s">
        <v>765</v>
      </c>
      <c r="P1319" s="68">
        <v>39.0</v>
      </c>
      <c r="Q1319" s="1" t="s">
        <v>2130</v>
      </c>
      <c r="R1319" s="1" t="s">
        <v>13</v>
      </c>
      <c r="S1319" s="1"/>
      <c r="T1319" s="1"/>
      <c r="U1319" s="1" t="s">
        <v>780</v>
      </c>
      <c r="V1319" s="1" t="s">
        <v>780</v>
      </c>
      <c r="W1319" s="145">
        <f t="shared" si="1"/>
        <v>0.00006786360609</v>
      </c>
      <c r="AC1319" s="38"/>
    </row>
    <row r="1320" ht="15.75" customHeight="1">
      <c r="A1320" s="1" t="s">
        <v>1921</v>
      </c>
      <c r="B1320" s="1" t="s">
        <v>2127</v>
      </c>
      <c r="C1320" s="63">
        <v>46328.0</v>
      </c>
      <c r="D1320" s="63" t="s">
        <v>130</v>
      </c>
      <c r="E1320" s="68">
        <v>0.9144204</v>
      </c>
      <c r="F1320" s="1"/>
      <c r="G1320" s="23">
        <v>2500000.0</v>
      </c>
      <c r="H1320" s="23">
        <v>2286050.99</v>
      </c>
      <c r="I1320" s="23">
        <v>2500000.0</v>
      </c>
      <c r="J1320" s="23">
        <v>2286050.99</v>
      </c>
      <c r="K1320" s="24">
        <v>9.0031824E7</v>
      </c>
      <c r="L1320" s="1" t="s">
        <v>1776</v>
      </c>
      <c r="M1320" s="1" t="s">
        <v>2128</v>
      </c>
      <c r="N1320" s="63" t="s">
        <v>446</v>
      </c>
      <c r="O1320" s="63" t="s">
        <v>446</v>
      </c>
      <c r="P1320" s="68">
        <v>28.0</v>
      </c>
      <c r="Q1320" s="1" t="s">
        <v>2130</v>
      </c>
      <c r="R1320" s="1" t="s">
        <v>13</v>
      </c>
      <c r="S1320" s="1"/>
      <c r="T1320" s="1"/>
      <c r="U1320" s="1" t="s">
        <v>478</v>
      </c>
      <c r="V1320" s="1" t="s">
        <v>478</v>
      </c>
      <c r="W1320" s="145">
        <f t="shared" si="1"/>
        <v>0.00004676347983</v>
      </c>
      <c r="AC1320" s="38"/>
    </row>
    <row r="1321" ht="15.75" customHeight="1">
      <c r="A1321" s="1" t="s">
        <v>1944</v>
      </c>
      <c r="B1321" s="1" t="s">
        <v>2127</v>
      </c>
      <c r="C1321" s="63">
        <v>46328.0</v>
      </c>
      <c r="D1321" s="63" t="s">
        <v>130</v>
      </c>
      <c r="E1321" s="68">
        <v>0.90065652</v>
      </c>
      <c r="F1321" s="1"/>
      <c r="G1321" s="23">
        <v>3.33534247E8</v>
      </c>
      <c r="H1321" s="23">
        <v>3.003997953E8</v>
      </c>
      <c r="I1321" s="23">
        <v>3.33534247E8</v>
      </c>
      <c r="J1321" s="23">
        <v>3.003997953E8</v>
      </c>
      <c r="K1321" s="24">
        <v>155636.0</v>
      </c>
      <c r="L1321" s="1" t="s">
        <v>1776</v>
      </c>
      <c r="M1321" s="1" t="s">
        <v>2128</v>
      </c>
      <c r="N1321" s="63" t="s">
        <v>130</v>
      </c>
      <c r="O1321" s="63" t="s">
        <v>130</v>
      </c>
      <c r="P1321" s="68">
        <v>33.0</v>
      </c>
      <c r="Q1321" s="1" t="s">
        <v>2130</v>
      </c>
      <c r="R1321" s="1" t="s">
        <v>13</v>
      </c>
      <c r="S1321" s="1"/>
      <c r="T1321" s="1"/>
      <c r="U1321" s="1" t="s">
        <v>1650</v>
      </c>
      <c r="V1321" s="1" t="s">
        <v>1650</v>
      </c>
      <c r="W1321" s="145">
        <f t="shared" si="1"/>
        <v>0.006144980943</v>
      </c>
      <c r="AC1321" s="38"/>
    </row>
    <row r="1322" ht="15.75" customHeight="1">
      <c r="A1322" s="1" t="s">
        <v>2049</v>
      </c>
      <c r="B1322" s="1" t="s">
        <v>2127</v>
      </c>
      <c r="C1322" s="63">
        <v>46329.0</v>
      </c>
      <c r="D1322" s="63" t="s">
        <v>130</v>
      </c>
      <c r="E1322" s="68">
        <v>0.90266112</v>
      </c>
      <c r="F1322" s="1"/>
      <c r="G1322" s="23">
        <v>3517425.0</v>
      </c>
      <c r="H1322" s="23">
        <v>3175042.79</v>
      </c>
      <c r="I1322" s="23">
        <v>3517425.0</v>
      </c>
      <c r="J1322" s="23">
        <v>3175042.79</v>
      </c>
      <c r="K1322" s="24">
        <v>6.7525725E7</v>
      </c>
      <c r="L1322" s="1" t="s">
        <v>1776</v>
      </c>
      <c r="M1322" s="1" t="s">
        <v>2128</v>
      </c>
      <c r="N1322" s="63" t="s">
        <v>1272</v>
      </c>
      <c r="O1322" s="63" t="s">
        <v>1272</v>
      </c>
      <c r="P1322" s="68">
        <v>32.0</v>
      </c>
      <c r="Q1322" s="1" t="s">
        <v>2130</v>
      </c>
      <c r="R1322" s="1" t="s">
        <v>13</v>
      </c>
      <c r="S1322" s="1"/>
      <c r="T1322" s="1"/>
      <c r="U1322" s="1" t="s">
        <v>1282</v>
      </c>
      <c r="V1322" s="1" t="s">
        <v>1282</v>
      </c>
      <c r="W1322" s="145">
        <f t="shared" si="1"/>
        <v>0.00006494870417</v>
      </c>
      <c r="AC1322" s="38"/>
    </row>
    <row r="1323" ht="15.75" customHeight="1">
      <c r="A1323" s="1" t="s">
        <v>1951</v>
      </c>
      <c r="B1323" s="1" t="s">
        <v>2127</v>
      </c>
      <c r="C1323" s="63">
        <v>46329.0</v>
      </c>
      <c r="D1323" s="63" t="s">
        <v>130</v>
      </c>
      <c r="E1323" s="68">
        <v>0.93098004</v>
      </c>
      <c r="F1323" s="1"/>
      <c r="G1323" s="23">
        <v>1.3E7</v>
      </c>
      <c r="H1323" s="23">
        <v>1.210274055E7</v>
      </c>
      <c r="I1323" s="23">
        <v>1.3E7</v>
      </c>
      <c r="J1323" s="23">
        <v>1.210274055E7</v>
      </c>
      <c r="K1323" s="24">
        <v>34115.0</v>
      </c>
      <c r="L1323" s="1" t="s">
        <v>1776</v>
      </c>
      <c r="M1323" s="1" t="s">
        <v>2128</v>
      </c>
      <c r="N1323" s="63" t="s">
        <v>1488</v>
      </c>
      <c r="O1323" s="63" t="s">
        <v>1488</v>
      </c>
      <c r="P1323" s="68">
        <v>22.0</v>
      </c>
      <c r="Q1323" s="1" t="s">
        <v>2130</v>
      </c>
      <c r="R1323" s="1" t="s">
        <v>13</v>
      </c>
      <c r="S1323" s="1"/>
      <c r="T1323" s="1"/>
      <c r="U1323" s="1" t="s">
        <v>1569</v>
      </c>
      <c r="V1323" s="1" t="s">
        <v>1569</v>
      </c>
      <c r="W1323" s="145">
        <f t="shared" si="1"/>
        <v>0.0002475737707</v>
      </c>
      <c r="AC1323" s="38"/>
    </row>
    <row r="1324" ht="15.75" customHeight="1">
      <c r="A1324" s="1" t="s">
        <v>2040</v>
      </c>
      <c r="B1324" s="1" t="s">
        <v>2127</v>
      </c>
      <c r="C1324" s="63">
        <v>46329.0</v>
      </c>
      <c r="D1324" s="63" t="s">
        <v>130</v>
      </c>
      <c r="E1324" s="68">
        <v>0.89992373</v>
      </c>
      <c r="F1324" s="1"/>
      <c r="G1324" s="23">
        <v>1655023.2</v>
      </c>
      <c r="H1324" s="23">
        <v>1489394.66</v>
      </c>
      <c r="I1324" s="23">
        <v>1655023.2</v>
      </c>
      <c r="J1324" s="23">
        <v>1489394.66</v>
      </c>
      <c r="K1324" s="24">
        <v>610.0</v>
      </c>
      <c r="L1324" s="1" t="s">
        <v>1776</v>
      </c>
      <c r="M1324" s="1" t="s">
        <v>2128</v>
      </c>
      <c r="N1324" s="63" t="s">
        <v>1048</v>
      </c>
      <c r="O1324" s="63" t="s">
        <v>1048</v>
      </c>
      <c r="P1324" s="68">
        <v>33.0</v>
      </c>
      <c r="Q1324" s="1" t="s">
        <v>2130</v>
      </c>
      <c r="R1324" s="1" t="s">
        <v>13</v>
      </c>
      <c r="S1324" s="1"/>
      <c r="T1324" s="1"/>
      <c r="U1324" s="1" t="s">
        <v>1078</v>
      </c>
      <c r="V1324" s="1" t="s">
        <v>1078</v>
      </c>
      <c r="W1324" s="145">
        <f t="shared" si="1"/>
        <v>0.0000304670707</v>
      </c>
      <c r="AC1324" s="38"/>
    </row>
    <row r="1325" ht="15.75" customHeight="1">
      <c r="A1325" s="1" t="s">
        <v>2040</v>
      </c>
      <c r="B1325" s="1" t="s">
        <v>2127</v>
      </c>
      <c r="C1325" s="63">
        <v>46329.0</v>
      </c>
      <c r="D1325" s="63" t="s">
        <v>130</v>
      </c>
      <c r="E1325" s="68">
        <v>0.89992374</v>
      </c>
      <c r="F1325" s="1"/>
      <c r="G1325" s="23">
        <v>3772034.12</v>
      </c>
      <c r="H1325" s="23">
        <v>3394543.05</v>
      </c>
      <c r="I1325" s="23">
        <v>3772034.12</v>
      </c>
      <c r="J1325" s="23">
        <v>3394543.05</v>
      </c>
      <c r="K1325" s="24">
        <v>639.0</v>
      </c>
      <c r="L1325" s="1" t="s">
        <v>1776</v>
      </c>
      <c r="M1325" s="1" t="s">
        <v>2128</v>
      </c>
      <c r="N1325" s="63" t="s">
        <v>1048</v>
      </c>
      <c r="O1325" s="63" t="s">
        <v>1048</v>
      </c>
      <c r="P1325" s="68">
        <v>33.0</v>
      </c>
      <c r="Q1325" s="1" t="s">
        <v>2130</v>
      </c>
      <c r="R1325" s="1" t="s">
        <v>13</v>
      </c>
      <c r="S1325" s="1"/>
      <c r="T1325" s="1"/>
      <c r="U1325" s="1" t="s">
        <v>1080</v>
      </c>
      <c r="V1325" s="1" t="s">
        <v>1080</v>
      </c>
      <c r="W1325" s="145">
        <f t="shared" si="1"/>
        <v>0.00006943880348</v>
      </c>
      <c r="AC1325" s="38"/>
    </row>
    <row r="1326" ht="15.75" customHeight="1">
      <c r="A1326" s="1" t="s">
        <v>2033</v>
      </c>
      <c r="B1326" s="1" t="s">
        <v>2127</v>
      </c>
      <c r="C1326" s="63">
        <v>46329.0</v>
      </c>
      <c r="D1326" s="63" t="s">
        <v>130</v>
      </c>
      <c r="E1326" s="68">
        <v>0.89449831</v>
      </c>
      <c r="F1326" s="1"/>
      <c r="G1326" s="23">
        <v>1.086774235E7</v>
      </c>
      <c r="H1326" s="23">
        <v>9721177.13</v>
      </c>
      <c r="I1326" s="23">
        <v>1.086774235E7</v>
      </c>
      <c r="J1326" s="23">
        <v>9721177.13</v>
      </c>
      <c r="K1326" s="24">
        <v>4.0603614E7</v>
      </c>
      <c r="L1326" s="1" t="s">
        <v>1776</v>
      </c>
      <c r="M1326" s="1" t="s">
        <v>2128</v>
      </c>
      <c r="N1326" s="63" t="s">
        <v>130</v>
      </c>
      <c r="O1326" s="63" t="s">
        <v>130</v>
      </c>
      <c r="P1326" s="68">
        <v>35.0</v>
      </c>
      <c r="Q1326" s="1" t="s">
        <v>2130</v>
      </c>
      <c r="R1326" s="1" t="s">
        <v>13</v>
      </c>
      <c r="S1326" s="1"/>
      <c r="T1326" s="1"/>
      <c r="U1326" s="1" t="s">
        <v>1656</v>
      </c>
      <c r="V1326" s="1" t="s">
        <v>1656</v>
      </c>
      <c r="W1326" s="145">
        <f t="shared" si="1"/>
        <v>0.0001988564877</v>
      </c>
      <c r="AC1326" s="38"/>
    </row>
    <row r="1327" ht="15.75" customHeight="1">
      <c r="A1327" s="1" t="s">
        <v>1909</v>
      </c>
      <c r="B1327" s="1" t="s">
        <v>2127</v>
      </c>
      <c r="C1327" s="63">
        <v>46330.0</v>
      </c>
      <c r="D1327" s="63" t="s">
        <v>130</v>
      </c>
      <c r="E1327" s="68">
        <v>0.89919203</v>
      </c>
      <c r="F1327" s="1"/>
      <c r="G1327" s="23">
        <v>9.33333333E8</v>
      </c>
      <c r="H1327" s="23">
        <v>8.3924589474E8</v>
      </c>
      <c r="I1327" s="23">
        <v>9.33333333E8</v>
      </c>
      <c r="J1327" s="23">
        <v>8.3924589474E8</v>
      </c>
      <c r="K1327" s="24">
        <v>154531.0</v>
      </c>
      <c r="L1327" s="1" t="s">
        <v>1776</v>
      </c>
      <c r="M1327" s="1" t="s">
        <v>2128</v>
      </c>
      <c r="N1327" s="63" t="s">
        <v>1399</v>
      </c>
      <c r="O1327" s="63" t="s">
        <v>1399</v>
      </c>
      <c r="P1327" s="68">
        <v>33.0</v>
      </c>
      <c r="Q1327" s="1" t="s">
        <v>2130</v>
      </c>
      <c r="R1327" s="1" t="s">
        <v>13</v>
      </c>
      <c r="S1327" s="1"/>
      <c r="T1327" s="1"/>
      <c r="U1327" s="1" t="s">
        <v>1409</v>
      </c>
      <c r="V1327" s="1" t="s">
        <v>1409</v>
      </c>
      <c r="W1327" s="145">
        <f t="shared" si="1"/>
        <v>0.01716762165</v>
      </c>
      <c r="AC1327" s="38"/>
    </row>
    <row r="1328" ht="15.75" customHeight="1">
      <c r="A1328" s="1" t="s">
        <v>1912</v>
      </c>
      <c r="B1328" s="1"/>
      <c r="C1328" s="63"/>
      <c r="D1328" s="63"/>
      <c r="E1328" s="68"/>
      <c r="F1328" s="1"/>
      <c r="G1328" s="23"/>
      <c r="H1328" s="23"/>
      <c r="I1328" s="23"/>
      <c r="J1328" s="23"/>
      <c r="K1328" s="24"/>
      <c r="L1328" s="1"/>
      <c r="M1328" s="1"/>
      <c r="N1328" s="63"/>
      <c r="O1328" s="63"/>
      <c r="P1328" s="68"/>
      <c r="Q1328" s="1"/>
      <c r="R1328" s="1"/>
      <c r="S1328" s="1"/>
      <c r="T1328" s="1"/>
      <c r="U1328" s="1" t="s">
        <v>1695</v>
      </c>
      <c r="V1328" s="1" t="s">
        <v>1695</v>
      </c>
      <c r="W1328" s="145">
        <f t="shared" si="1"/>
        <v>0</v>
      </c>
      <c r="AC1328" s="38"/>
    </row>
    <row r="1329" ht="15.75" customHeight="1">
      <c r="A1329" s="1" t="s">
        <v>2104</v>
      </c>
      <c r="B1329" s="1"/>
      <c r="C1329" s="63"/>
      <c r="D1329" s="63"/>
      <c r="E1329" s="68"/>
      <c r="F1329" s="1"/>
      <c r="G1329" s="23"/>
      <c r="H1329" s="23"/>
      <c r="I1329" s="23"/>
      <c r="J1329" s="23"/>
      <c r="K1329" s="24"/>
      <c r="L1329" s="1"/>
      <c r="M1329" s="1"/>
      <c r="N1329" s="63"/>
      <c r="O1329" s="63"/>
      <c r="P1329" s="68"/>
      <c r="Q1329" s="1"/>
      <c r="R1329" s="1"/>
      <c r="S1329" s="1"/>
      <c r="T1329" s="1"/>
      <c r="U1329" s="1" t="s">
        <v>1697</v>
      </c>
      <c r="V1329" s="1" t="s">
        <v>1697</v>
      </c>
      <c r="W1329" s="145">
        <f t="shared" si="1"/>
        <v>0</v>
      </c>
      <c r="AC1329" s="38"/>
    </row>
    <row r="1330" ht="15.75" customHeight="1">
      <c r="A1330" s="1" t="s">
        <v>1956</v>
      </c>
      <c r="B1330" s="1" t="s">
        <v>2127</v>
      </c>
      <c r="C1330" s="63">
        <v>46330.0</v>
      </c>
      <c r="D1330" s="63" t="s">
        <v>130</v>
      </c>
      <c r="E1330" s="68">
        <v>0.89102632</v>
      </c>
      <c r="F1330" s="1"/>
      <c r="G1330" s="23">
        <v>2.040824114E7</v>
      </c>
      <c r="H1330" s="23">
        <v>1.818428007E7</v>
      </c>
      <c r="I1330" s="23">
        <v>2.040824114E7</v>
      </c>
      <c r="J1330" s="23">
        <v>1.818428007E7</v>
      </c>
      <c r="K1330" s="24">
        <v>6.799806E7</v>
      </c>
      <c r="L1330" s="1" t="s">
        <v>1776</v>
      </c>
      <c r="M1330" s="1" t="s">
        <v>2128</v>
      </c>
      <c r="N1330" s="63" t="s">
        <v>1488</v>
      </c>
      <c r="O1330" s="63" t="s">
        <v>1488</v>
      </c>
      <c r="P1330" s="68">
        <v>36.0</v>
      </c>
      <c r="Q1330" s="1" t="s">
        <v>2130</v>
      </c>
      <c r="R1330" s="1" t="s">
        <v>13</v>
      </c>
      <c r="S1330" s="1"/>
      <c r="T1330" s="1"/>
      <c r="U1330" s="1" t="s">
        <v>1559</v>
      </c>
      <c r="V1330" s="1" t="s">
        <v>1559</v>
      </c>
      <c r="W1330" s="145">
        <f t="shared" si="1"/>
        <v>0.0003719777984</v>
      </c>
      <c r="AC1330" s="38"/>
    </row>
    <row r="1331" ht="15.75" customHeight="1">
      <c r="A1331" s="1" t="s">
        <v>1977</v>
      </c>
      <c r="B1331" s="1" t="s">
        <v>2127</v>
      </c>
      <c r="C1331" s="63">
        <v>46330.0</v>
      </c>
      <c r="D1331" s="63" t="s">
        <v>130</v>
      </c>
      <c r="E1331" s="68">
        <v>0.90750889</v>
      </c>
      <c r="F1331" s="1"/>
      <c r="G1331" s="23">
        <v>1.09E7</v>
      </c>
      <c r="H1331" s="23">
        <v>9891846.87</v>
      </c>
      <c r="I1331" s="23">
        <v>1.09E7</v>
      </c>
      <c r="J1331" s="23">
        <v>9891846.87</v>
      </c>
      <c r="K1331" s="24">
        <v>237.0</v>
      </c>
      <c r="L1331" s="1" t="s">
        <v>1776</v>
      </c>
      <c r="M1331" s="1" t="s">
        <v>2128</v>
      </c>
      <c r="N1331" s="63" t="s">
        <v>1589</v>
      </c>
      <c r="O1331" s="63" t="s">
        <v>1589</v>
      </c>
      <c r="P1331" s="68">
        <v>30.0</v>
      </c>
      <c r="Q1331" s="1" t="s">
        <v>2130</v>
      </c>
      <c r="R1331" s="1" t="s">
        <v>13</v>
      </c>
      <c r="S1331" s="1"/>
      <c r="T1331" s="1"/>
      <c r="U1331" s="1" t="s">
        <v>1603</v>
      </c>
      <c r="V1331" s="1" t="s">
        <v>1603</v>
      </c>
      <c r="W1331" s="145">
        <f t="shared" si="1"/>
        <v>0.0002023477095</v>
      </c>
      <c r="AC1331" s="38"/>
    </row>
    <row r="1332" ht="15.75" customHeight="1">
      <c r="A1332" s="1" t="s">
        <v>1916</v>
      </c>
      <c r="B1332" s="1" t="s">
        <v>2127</v>
      </c>
      <c r="C1332" s="63">
        <v>46331.0</v>
      </c>
      <c r="D1332" s="63" t="s">
        <v>130</v>
      </c>
      <c r="E1332" s="68">
        <v>0.91536061</v>
      </c>
      <c r="F1332" s="1"/>
      <c r="G1332" s="23">
        <v>1.5E7</v>
      </c>
      <c r="H1332" s="23">
        <v>1.373040912E7</v>
      </c>
      <c r="I1332" s="23">
        <v>1.5E7</v>
      </c>
      <c r="J1332" s="23">
        <v>1.373040912E7</v>
      </c>
      <c r="K1332" s="24">
        <v>236.0</v>
      </c>
      <c r="L1332" s="1" t="s">
        <v>1776</v>
      </c>
      <c r="M1332" s="1" t="s">
        <v>2128</v>
      </c>
      <c r="N1332" s="63" t="s">
        <v>1589</v>
      </c>
      <c r="O1332" s="63" t="s">
        <v>1589</v>
      </c>
      <c r="P1332" s="68">
        <v>27.0</v>
      </c>
      <c r="Q1332" s="1" t="s">
        <v>2130</v>
      </c>
      <c r="R1332" s="1" t="s">
        <v>13</v>
      </c>
      <c r="S1332" s="1"/>
      <c r="T1332" s="1"/>
      <c r="U1332" s="1" t="s">
        <v>1624</v>
      </c>
      <c r="V1332" s="1" t="s">
        <v>1624</v>
      </c>
      <c r="W1332" s="145">
        <f t="shared" si="1"/>
        <v>0.0002808693737</v>
      </c>
      <c r="AC1332" s="38"/>
    </row>
    <row r="1333" ht="15.75" customHeight="1">
      <c r="A1333" s="1" t="s">
        <v>1983</v>
      </c>
      <c r="B1333" s="1" t="s">
        <v>2127</v>
      </c>
      <c r="C1333" s="63">
        <v>46331.0</v>
      </c>
      <c r="D1333" s="63" t="s">
        <v>130</v>
      </c>
      <c r="E1333" s="68">
        <v>0.88217539</v>
      </c>
      <c r="F1333" s="1"/>
      <c r="G1333" s="23">
        <v>3750000.0</v>
      </c>
      <c r="H1333" s="23">
        <v>3308157.73</v>
      </c>
      <c r="I1333" s="23">
        <v>3750000.0</v>
      </c>
      <c r="J1333" s="23">
        <v>3308157.73</v>
      </c>
      <c r="K1333" s="24">
        <v>6.6918287E7</v>
      </c>
      <c r="L1333" s="1" t="s">
        <v>1776</v>
      </c>
      <c r="M1333" s="1" t="s">
        <v>2128</v>
      </c>
      <c r="N1333" s="63" t="s">
        <v>765</v>
      </c>
      <c r="O1333" s="63" t="s">
        <v>765</v>
      </c>
      <c r="P1333" s="68">
        <v>39.0</v>
      </c>
      <c r="Q1333" s="1" t="s">
        <v>2130</v>
      </c>
      <c r="R1333" s="1" t="s">
        <v>13</v>
      </c>
      <c r="S1333" s="1"/>
      <c r="T1333" s="1"/>
      <c r="U1333" s="1" t="s">
        <v>781</v>
      </c>
      <c r="V1333" s="1" t="s">
        <v>781</v>
      </c>
      <c r="W1333" s="145">
        <f t="shared" si="1"/>
        <v>0.00006767170459</v>
      </c>
      <c r="AC1333" s="38"/>
    </row>
    <row r="1334" ht="15.75" customHeight="1">
      <c r="A1334" s="1" t="s">
        <v>1933</v>
      </c>
      <c r="B1334" s="1" t="s">
        <v>2127</v>
      </c>
      <c r="C1334" s="63">
        <v>46331.0</v>
      </c>
      <c r="D1334" s="63" t="s">
        <v>130</v>
      </c>
      <c r="E1334" s="68">
        <v>0.90683234</v>
      </c>
      <c r="F1334" s="1"/>
      <c r="G1334" s="23">
        <v>1.192307692E7</v>
      </c>
      <c r="H1334" s="23">
        <v>1.081223171E7</v>
      </c>
      <c r="I1334" s="23">
        <v>1.192307692E7</v>
      </c>
      <c r="J1334" s="23">
        <v>1.081223171E7</v>
      </c>
      <c r="K1334" s="24">
        <v>9.002199E7</v>
      </c>
      <c r="L1334" s="1" t="s">
        <v>1776</v>
      </c>
      <c r="M1334" s="1" t="s">
        <v>2128</v>
      </c>
      <c r="N1334" s="63" t="s">
        <v>739</v>
      </c>
      <c r="O1334" s="63" t="s">
        <v>739</v>
      </c>
      <c r="P1334" s="68">
        <v>30.0</v>
      </c>
      <c r="Q1334" s="1" t="s">
        <v>2130</v>
      </c>
      <c r="R1334" s="1" t="s">
        <v>13</v>
      </c>
      <c r="S1334" s="1"/>
      <c r="T1334" s="1"/>
      <c r="U1334" s="1" t="s">
        <v>737</v>
      </c>
      <c r="V1334" s="1" t="s">
        <v>737</v>
      </c>
      <c r="W1334" s="145">
        <f t="shared" si="1"/>
        <v>0.0002211751101</v>
      </c>
      <c r="AC1334" s="38"/>
    </row>
    <row r="1335" ht="15.75" customHeight="1">
      <c r="A1335" s="1" t="s">
        <v>1983</v>
      </c>
      <c r="B1335" s="1" t="s">
        <v>2127</v>
      </c>
      <c r="C1335" s="63">
        <v>46336.0</v>
      </c>
      <c r="D1335" s="63" t="s">
        <v>130</v>
      </c>
      <c r="E1335" s="68">
        <v>0.87803713</v>
      </c>
      <c r="F1335" s="1"/>
      <c r="G1335" s="23">
        <v>3750000.0</v>
      </c>
      <c r="H1335" s="23">
        <v>3292639.25</v>
      </c>
      <c r="I1335" s="23">
        <v>3750000.0</v>
      </c>
      <c r="J1335" s="23">
        <v>3292639.25</v>
      </c>
      <c r="K1335" s="24">
        <v>6.6918815E7</v>
      </c>
      <c r="L1335" s="1" t="s">
        <v>1776</v>
      </c>
      <c r="M1335" s="1" t="s">
        <v>2128</v>
      </c>
      <c r="N1335" s="63" t="s">
        <v>765</v>
      </c>
      <c r="O1335" s="63" t="s">
        <v>765</v>
      </c>
      <c r="P1335" s="68">
        <v>39.0</v>
      </c>
      <c r="Q1335" s="1" t="s">
        <v>2130</v>
      </c>
      <c r="R1335" s="1" t="s">
        <v>13</v>
      </c>
      <c r="S1335" s="1"/>
      <c r="T1335" s="1"/>
      <c r="U1335" s="1" t="s">
        <v>782</v>
      </c>
      <c r="V1335" s="1" t="s">
        <v>782</v>
      </c>
      <c r="W1335" s="145">
        <f t="shared" si="1"/>
        <v>0.00006735425842</v>
      </c>
      <c r="AC1335" s="38"/>
    </row>
    <row r="1336" ht="15.75" customHeight="1">
      <c r="A1336" s="1" t="s">
        <v>1915</v>
      </c>
      <c r="B1336" s="1" t="s">
        <v>2127</v>
      </c>
      <c r="C1336" s="63">
        <v>46336.0</v>
      </c>
      <c r="D1336" s="63" t="s">
        <v>130</v>
      </c>
      <c r="E1336" s="68">
        <v>0.89482739</v>
      </c>
      <c r="F1336" s="1"/>
      <c r="G1336" s="23">
        <v>9.33333333E8</v>
      </c>
      <c r="H1336" s="23">
        <v>8.3517223196E8</v>
      </c>
      <c r="I1336" s="23">
        <v>9.33333333E8</v>
      </c>
      <c r="J1336" s="23">
        <v>8.3517223196E8</v>
      </c>
      <c r="K1336" s="24">
        <v>154563.0</v>
      </c>
      <c r="L1336" s="1" t="s">
        <v>1776</v>
      </c>
      <c r="M1336" s="1" t="s">
        <v>2128</v>
      </c>
      <c r="N1336" s="63" t="s">
        <v>1412</v>
      </c>
      <c r="O1336" s="63" t="s">
        <v>1412</v>
      </c>
      <c r="P1336" s="68">
        <v>33.0</v>
      </c>
      <c r="Q1336" s="1" t="s">
        <v>2130</v>
      </c>
      <c r="R1336" s="1" t="s">
        <v>13</v>
      </c>
      <c r="S1336" s="1"/>
      <c r="T1336" s="1"/>
      <c r="U1336" s="1" t="s">
        <v>1414</v>
      </c>
      <c r="V1336" s="1" t="s">
        <v>1414</v>
      </c>
      <c r="W1336" s="145">
        <f t="shared" si="1"/>
        <v>0.01708429077</v>
      </c>
      <c r="AC1336" s="38"/>
    </row>
    <row r="1337" ht="15.75" customHeight="1">
      <c r="A1337" s="1" t="s">
        <v>1916</v>
      </c>
      <c r="B1337" s="1" t="s">
        <v>2127</v>
      </c>
      <c r="C1337" s="63">
        <v>46337.0</v>
      </c>
      <c r="D1337" s="63" t="s">
        <v>130</v>
      </c>
      <c r="E1337" s="68">
        <v>0.90572977</v>
      </c>
      <c r="F1337" s="1"/>
      <c r="G1337" s="23">
        <v>3.5E7</v>
      </c>
      <c r="H1337" s="23">
        <v>3.170054188E7</v>
      </c>
      <c r="I1337" s="23">
        <v>3.5E7</v>
      </c>
      <c r="J1337" s="23">
        <v>3.170054188E7</v>
      </c>
      <c r="K1337" s="24">
        <v>65.0</v>
      </c>
      <c r="L1337" s="1" t="s">
        <v>1776</v>
      </c>
      <c r="M1337" s="1" t="s">
        <v>2128</v>
      </c>
      <c r="N1337" s="63" t="s">
        <v>946</v>
      </c>
      <c r="O1337" s="63" t="s">
        <v>946</v>
      </c>
      <c r="P1337" s="68">
        <v>29.0</v>
      </c>
      <c r="Q1337" s="1" t="s">
        <v>2130</v>
      </c>
      <c r="R1337" s="1" t="s">
        <v>13</v>
      </c>
      <c r="S1337" s="1"/>
      <c r="T1337" s="1"/>
      <c r="U1337" s="1" t="s">
        <v>956</v>
      </c>
      <c r="V1337" s="1" t="s">
        <v>956</v>
      </c>
      <c r="W1337" s="145">
        <f t="shared" si="1"/>
        <v>0.0006484665728</v>
      </c>
      <c r="AC1337" s="38"/>
    </row>
    <row r="1338" ht="15.75" customHeight="1">
      <c r="A1338" s="1" t="s">
        <v>1988</v>
      </c>
      <c r="B1338" s="1" t="s">
        <v>2127</v>
      </c>
      <c r="C1338" s="63">
        <v>46337.0</v>
      </c>
      <c r="D1338" s="63" t="s">
        <v>130</v>
      </c>
      <c r="E1338" s="68">
        <v>0.89410395</v>
      </c>
      <c r="F1338" s="1"/>
      <c r="G1338" s="23">
        <v>5448062.43</v>
      </c>
      <c r="H1338" s="23">
        <v>4871134.12</v>
      </c>
      <c r="I1338" s="23">
        <v>5448062.43</v>
      </c>
      <c r="J1338" s="23">
        <v>4871134.12</v>
      </c>
      <c r="K1338" s="24">
        <v>9.0000595E7</v>
      </c>
      <c r="L1338" s="1" t="s">
        <v>1776</v>
      </c>
      <c r="M1338" s="1" t="s">
        <v>2128</v>
      </c>
      <c r="N1338" s="63" t="s">
        <v>1048</v>
      </c>
      <c r="O1338" s="63" t="s">
        <v>1048</v>
      </c>
      <c r="P1338" s="68">
        <v>33.0</v>
      </c>
      <c r="Q1338" s="1" t="s">
        <v>2130</v>
      </c>
      <c r="R1338" s="1" t="s">
        <v>13</v>
      </c>
      <c r="S1338" s="1"/>
      <c r="T1338" s="1"/>
      <c r="U1338" s="1" t="s">
        <v>1070</v>
      </c>
      <c r="V1338" s="1" t="s">
        <v>1070</v>
      </c>
      <c r="W1338" s="145">
        <f t="shared" si="1"/>
        <v>0.00009964396383</v>
      </c>
      <c r="AC1338" s="38"/>
    </row>
    <row r="1339" ht="15.75" customHeight="1">
      <c r="A1339" s="1" t="s">
        <v>1924</v>
      </c>
      <c r="B1339" s="1" t="s">
        <v>2127</v>
      </c>
      <c r="C1339" s="63">
        <v>46337.0</v>
      </c>
      <c r="D1339" s="63" t="s">
        <v>130</v>
      </c>
      <c r="E1339" s="68">
        <v>0.9057297</v>
      </c>
      <c r="F1339" s="1"/>
      <c r="G1339" s="23">
        <v>5109127.71</v>
      </c>
      <c r="H1339" s="23">
        <v>4627488.69</v>
      </c>
      <c r="I1339" s="23">
        <v>5109127.71</v>
      </c>
      <c r="J1339" s="23">
        <v>4627488.69</v>
      </c>
      <c r="K1339" s="24">
        <v>9.0000654E7</v>
      </c>
      <c r="L1339" s="1" t="s">
        <v>1776</v>
      </c>
      <c r="M1339" s="1" t="s">
        <v>2128</v>
      </c>
      <c r="N1339" s="63" t="s">
        <v>130</v>
      </c>
      <c r="O1339" s="63" t="s">
        <v>130</v>
      </c>
      <c r="P1339" s="68">
        <v>29.0</v>
      </c>
      <c r="Q1339" s="1" t="s">
        <v>2130</v>
      </c>
      <c r="R1339" s="1" t="s">
        <v>13</v>
      </c>
      <c r="S1339" s="1"/>
      <c r="T1339" s="1"/>
      <c r="U1339" s="1" t="s">
        <v>1645</v>
      </c>
      <c r="V1339" s="1" t="s">
        <v>1645</v>
      </c>
      <c r="W1339" s="145">
        <f t="shared" si="1"/>
        <v>0.0000946599507</v>
      </c>
      <c r="AC1339" s="38"/>
    </row>
    <row r="1340" ht="15.75" customHeight="1">
      <c r="A1340" s="1" t="s">
        <v>1948</v>
      </c>
      <c r="B1340" s="1" t="s">
        <v>2127</v>
      </c>
      <c r="C1340" s="63">
        <v>46337.0</v>
      </c>
      <c r="D1340" s="63" t="s">
        <v>130</v>
      </c>
      <c r="E1340" s="68">
        <v>0.88557849</v>
      </c>
      <c r="F1340" s="1"/>
      <c r="G1340" s="23">
        <v>8560000.0</v>
      </c>
      <c r="H1340" s="23">
        <v>7580551.84</v>
      </c>
      <c r="I1340" s="23">
        <v>8560000.0</v>
      </c>
      <c r="J1340" s="23">
        <v>7580551.84</v>
      </c>
      <c r="K1340" s="24">
        <v>1.3054211E7</v>
      </c>
      <c r="L1340" s="1" t="s">
        <v>1776</v>
      </c>
      <c r="M1340" s="1" t="s">
        <v>2128</v>
      </c>
      <c r="N1340" s="63" t="s">
        <v>446</v>
      </c>
      <c r="O1340" s="63" t="s">
        <v>446</v>
      </c>
      <c r="P1340" s="68">
        <v>36.0</v>
      </c>
      <c r="Q1340" s="1" t="s">
        <v>2130</v>
      </c>
      <c r="R1340" s="1" t="s">
        <v>13</v>
      </c>
      <c r="S1340" s="1"/>
      <c r="T1340" s="1"/>
      <c r="U1340" s="1" t="s">
        <v>453</v>
      </c>
      <c r="V1340" s="1" t="s">
        <v>453</v>
      </c>
      <c r="W1340" s="145">
        <f t="shared" si="1"/>
        <v>0.0001550678373</v>
      </c>
      <c r="AC1340" s="38"/>
    </row>
    <row r="1341" ht="15.75" customHeight="1">
      <c r="A1341" s="1" t="s">
        <v>1983</v>
      </c>
      <c r="B1341" s="1" t="s">
        <v>2127</v>
      </c>
      <c r="C1341" s="63">
        <v>46338.0</v>
      </c>
      <c r="D1341" s="63" t="s">
        <v>130</v>
      </c>
      <c r="E1341" s="68">
        <v>0.87639281</v>
      </c>
      <c r="F1341" s="1"/>
      <c r="G1341" s="23">
        <v>3750000.0</v>
      </c>
      <c r="H1341" s="23">
        <v>3286473.04</v>
      </c>
      <c r="I1341" s="23">
        <v>3750000.0</v>
      </c>
      <c r="J1341" s="23">
        <v>3286473.04</v>
      </c>
      <c r="K1341" s="24">
        <v>6.6918856E7</v>
      </c>
      <c r="L1341" s="1" t="s">
        <v>1776</v>
      </c>
      <c r="M1341" s="1" t="s">
        <v>2128</v>
      </c>
      <c r="N1341" s="63" t="s">
        <v>765</v>
      </c>
      <c r="O1341" s="63" t="s">
        <v>765</v>
      </c>
      <c r="P1341" s="68">
        <v>39.0</v>
      </c>
      <c r="Q1341" s="1" t="s">
        <v>2130</v>
      </c>
      <c r="R1341" s="1" t="s">
        <v>13</v>
      </c>
      <c r="S1341" s="1"/>
      <c r="T1341" s="1"/>
      <c r="U1341" s="1" t="s">
        <v>775</v>
      </c>
      <c r="V1341" s="1" t="s">
        <v>775</v>
      </c>
      <c r="W1341" s="145">
        <f t="shared" si="1"/>
        <v>0.00006722812237</v>
      </c>
      <c r="AC1341" s="38"/>
    </row>
    <row r="1342" ht="15.75" customHeight="1">
      <c r="A1342" s="1" t="s">
        <v>1994</v>
      </c>
      <c r="B1342" s="1" t="s">
        <v>2127</v>
      </c>
      <c r="C1342" s="63">
        <v>46338.0</v>
      </c>
      <c r="D1342" s="63" t="s">
        <v>130</v>
      </c>
      <c r="E1342" s="68">
        <v>0.89050472</v>
      </c>
      <c r="F1342" s="1"/>
      <c r="G1342" s="23">
        <v>4000000.0</v>
      </c>
      <c r="H1342" s="23">
        <v>3562018.9</v>
      </c>
      <c r="I1342" s="23">
        <v>4000000.0</v>
      </c>
      <c r="J1342" s="23">
        <v>3562018.9</v>
      </c>
      <c r="K1342" s="24">
        <v>9.0000052E7</v>
      </c>
      <c r="L1342" s="1" t="s">
        <v>1776</v>
      </c>
      <c r="M1342" s="1" t="s">
        <v>2128</v>
      </c>
      <c r="N1342" s="63" t="s">
        <v>1245</v>
      </c>
      <c r="O1342" s="63" t="s">
        <v>1245</v>
      </c>
      <c r="P1342" s="68">
        <v>34.0</v>
      </c>
      <c r="Q1342" s="1" t="s">
        <v>2130</v>
      </c>
      <c r="R1342" s="1" t="s">
        <v>13</v>
      </c>
      <c r="S1342" s="1"/>
      <c r="T1342" s="1"/>
      <c r="U1342" s="1" t="s">
        <v>1266</v>
      </c>
      <c r="V1342" s="1" t="s">
        <v>1266</v>
      </c>
      <c r="W1342" s="145">
        <f t="shared" si="1"/>
        <v>0.00007286469099</v>
      </c>
      <c r="AC1342" s="38"/>
    </row>
    <row r="1343" ht="15.75" customHeight="1">
      <c r="A1343" s="1" t="s">
        <v>1933</v>
      </c>
      <c r="B1343" s="1" t="s">
        <v>2127</v>
      </c>
      <c r="C1343" s="63">
        <v>46338.0</v>
      </c>
      <c r="D1343" s="63" t="s">
        <v>130</v>
      </c>
      <c r="E1343" s="68">
        <v>0.9050784</v>
      </c>
      <c r="F1343" s="1"/>
      <c r="G1343" s="23">
        <v>1.7118303E7</v>
      </c>
      <c r="H1343" s="23">
        <v>1.549340637E7</v>
      </c>
      <c r="I1343" s="23">
        <v>1.7118303E7</v>
      </c>
      <c r="J1343" s="23">
        <v>1.549340637E7</v>
      </c>
      <c r="K1343" s="24">
        <v>27672.0</v>
      </c>
      <c r="L1343" s="1" t="s">
        <v>1776</v>
      </c>
      <c r="M1343" s="1" t="s">
        <v>2128</v>
      </c>
      <c r="N1343" s="63" t="s">
        <v>628</v>
      </c>
      <c r="O1343" s="63" t="s">
        <v>628</v>
      </c>
      <c r="P1343" s="68">
        <v>29.0</v>
      </c>
      <c r="Q1343" s="1" t="s">
        <v>2130</v>
      </c>
      <c r="R1343" s="1" t="s">
        <v>13</v>
      </c>
      <c r="S1343" s="1"/>
      <c r="T1343" s="1"/>
      <c r="U1343" s="1" t="s">
        <v>627</v>
      </c>
      <c r="V1343" s="1" t="s">
        <v>627</v>
      </c>
      <c r="W1343" s="145">
        <f t="shared" si="1"/>
        <v>0.0003169332615</v>
      </c>
      <c r="AC1343" s="38"/>
    </row>
    <row r="1344" ht="15.75" customHeight="1">
      <c r="A1344" s="1" t="s">
        <v>1926</v>
      </c>
      <c r="B1344" s="1" t="s">
        <v>2127</v>
      </c>
      <c r="C1344" s="63">
        <v>46338.0</v>
      </c>
      <c r="D1344" s="63" t="s">
        <v>130</v>
      </c>
      <c r="E1344" s="68">
        <v>0.90507849</v>
      </c>
      <c r="F1344" s="1"/>
      <c r="G1344" s="23">
        <v>1.1E7</v>
      </c>
      <c r="H1344" s="23">
        <v>9955863.4</v>
      </c>
      <c r="I1344" s="23">
        <v>1.1E7</v>
      </c>
      <c r="J1344" s="23">
        <v>9955863.4</v>
      </c>
      <c r="K1344" s="24">
        <v>9.0000056E7</v>
      </c>
      <c r="L1344" s="1" t="s">
        <v>1776</v>
      </c>
      <c r="M1344" s="1" t="s">
        <v>2128</v>
      </c>
      <c r="N1344" s="63" t="s">
        <v>1589</v>
      </c>
      <c r="O1344" s="63" t="s">
        <v>1589</v>
      </c>
      <c r="P1344" s="68">
        <v>29.0</v>
      </c>
      <c r="Q1344" s="1" t="s">
        <v>2130</v>
      </c>
      <c r="R1344" s="1" t="s">
        <v>13</v>
      </c>
      <c r="S1344" s="1"/>
      <c r="T1344" s="1"/>
      <c r="U1344" s="1" t="s">
        <v>1594</v>
      </c>
      <c r="V1344" s="1" t="s">
        <v>1594</v>
      </c>
      <c r="W1344" s="145">
        <f t="shared" si="1"/>
        <v>0.0002036572322</v>
      </c>
      <c r="AC1344" s="38"/>
    </row>
    <row r="1345" ht="15.75" customHeight="1">
      <c r="A1345" s="1" t="s">
        <v>1948</v>
      </c>
      <c r="B1345" s="1" t="s">
        <v>2127</v>
      </c>
      <c r="C1345" s="63">
        <v>46338.0</v>
      </c>
      <c r="D1345" s="63" t="s">
        <v>130</v>
      </c>
      <c r="E1345" s="68">
        <v>0.88480561</v>
      </c>
      <c r="F1345" s="1"/>
      <c r="G1345" s="23">
        <v>8560000.0</v>
      </c>
      <c r="H1345" s="23">
        <v>7573935.98</v>
      </c>
      <c r="I1345" s="23">
        <v>8560000.0</v>
      </c>
      <c r="J1345" s="23">
        <v>7573935.98</v>
      </c>
      <c r="K1345" s="24">
        <v>1.3054212E7</v>
      </c>
      <c r="L1345" s="1" t="s">
        <v>1776</v>
      </c>
      <c r="M1345" s="1" t="s">
        <v>2128</v>
      </c>
      <c r="N1345" s="63" t="s">
        <v>446</v>
      </c>
      <c r="O1345" s="63" t="s">
        <v>446</v>
      </c>
      <c r="P1345" s="68">
        <v>36.0</v>
      </c>
      <c r="Q1345" s="1" t="s">
        <v>2130</v>
      </c>
      <c r="R1345" s="1" t="s">
        <v>13</v>
      </c>
      <c r="S1345" s="1"/>
      <c r="T1345" s="1"/>
      <c r="U1345" s="1" t="s">
        <v>444</v>
      </c>
      <c r="V1345" s="1" t="s">
        <v>444</v>
      </c>
      <c r="W1345" s="145">
        <f t="shared" si="1"/>
        <v>0.0001549325032</v>
      </c>
      <c r="AC1345" s="38"/>
    </row>
    <row r="1346" ht="15.75" customHeight="1">
      <c r="A1346" s="1" t="s">
        <v>1983</v>
      </c>
      <c r="B1346" s="1" t="s">
        <v>2127</v>
      </c>
      <c r="C1346" s="63">
        <v>46342.0</v>
      </c>
      <c r="D1346" s="63" t="s">
        <v>130</v>
      </c>
      <c r="E1346" s="68">
        <v>0.87312236</v>
      </c>
      <c r="F1346" s="1"/>
      <c r="G1346" s="23">
        <v>3750000.0</v>
      </c>
      <c r="H1346" s="23">
        <v>3274208.84</v>
      </c>
      <c r="I1346" s="23">
        <v>3750000.0</v>
      </c>
      <c r="J1346" s="23">
        <v>3274208.84</v>
      </c>
      <c r="K1346" s="24">
        <v>6.6918897E7</v>
      </c>
      <c r="L1346" s="1" t="s">
        <v>1776</v>
      </c>
      <c r="M1346" s="1" t="s">
        <v>2128</v>
      </c>
      <c r="N1346" s="63" t="s">
        <v>765</v>
      </c>
      <c r="O1346" s="63" t="s">
        <v>765</v>
      </c>
      <c r="P1346" s="68">
        <v>39.0</v>
      </c>
      <c r="Q1346" s="1" t="s">
        <v>2130</v>
      </c>
      <c r="R1346" s="1" t="s">
        <v>13</v>
      </c>
      <c r="S1346" s="1"/>
      <c r="T1346" s="1"/>
      <c r="U1346" s="1" t="s">
        <v>776</v>
      </c>
      <c r="V1346" s="1" t="s">
        <v>776</v>
      </c>
      <c r="W1346" s="145">
        <f t="shared" si="1"/>
        <v>0.00006697724579</v>
      </c>
    </row>
    <row r="1347" ht="15.75" customHeight="1">
      <c r="A1347" s="1" t="s">
        <v>1916</v>
      </c>
      <c r="B1347" s="1" t="s">
        <v>2127</v>
      </c>
      <c r="C1347" s="63">
        <v>46343.0</v>
      </c>
      <c r="D1347" s="63" t="s">
        <v>130</v>
      </c>
      <c r="E1347" s="68">
        <v>0.90183596</v>
      </c>
      <c r="F1347" s="1"/>
      <c r="G1347" s="23">
        <v>3.5E7</v>
      </c>
      <c r="H1347" s="23">
        <v>3.156425848E7</v>
      </c>
      <c r="I1347" s="23">
        <v>3.5E7</v>
      </c>
      <c r="J1347" s="23">
        <v>3.156425848E7</v>
      </c>
      <c r="K1347" s="24">
        <v>66.0</v>
      </c>
      <c r="L1347" s="1" t="s">
        <v>1776</v>
      </c>
      <c r="M1347" s="1" t="s">
        <v>2128</v>
      </c>
      <c r="N1347" s="63" t="s">
        <v>946</v>
      </c>
      <c r="O1347" s="63" t="s">
        <v>946</v>
      </c>
      <c r="P1347" s="68">
        <v>29.0</v>
      </c>
      <c r="Q1347" s="1" t="s">
        <v>2130</v>
      </c>
      <c r="R1347" s="1" t="s">
        <v>13</v>
      </c>
      <c r="S1347" s="1"/>
      <c r="T1347" s="1"/>
      <c r="U1347" s="1" t="s">
        <v>957</v>
      </c>
      <c r="V1347" s="1" t="s">
        <v>957</v>
      </c>
      <c r="W1347" s="145">
        <f t="shared" si="1"/>
        <v>0.0006456787583</v>
      </c>
      <c r="AC1347" s="38"/>
    </row>
    <row r="1348" ht="15.75" customHeight="1">
      <c r="A1348" s="1" t="s">
        <v>1982</v>
      </c>
      <c r="B1348" s="1"/>
      <c r="C1348" s="63"/>
      <c r="D1348" s="63"/>
      <c r="E1348" s="68"/>
      <c r="F1348" s="1"/>
      <c r="G1348" s="23"/>
      <c r="H1348" s="23"/>
      <c r="I1348" s="23"/>
      <c r="J1348" s="23"/>
      <c r="K1348" s="24"/>
      <c r="L1348" s="1"/>
      <c r="M1348" s="1"/>
      <c r="N1348" s="63"/>
      <c r="O1348" s="63"/>
      <c r="P1348" s="68"/>
      <c r="Q1348" s="1"/>
      <c r="R1348" s="1"/>
      <c r="S1348" s="1"/>
      <c r="T1348" s="1"/>
      <c r="U1348" s="1" t="s">
        <v>1673</v>
      </c>
      <c r="V1348" s="1" t="s">
        <v>1673</v>
      </c>
      <c r="W1348" s="145">
        <f t="shared" si="1"/>
        <v>0</v>
      </c>
      <c r="AC1348" s="38"/>
    </row>
    <row r="1349" ht="15.75" customHeight="1">
      <c r="A1349" s="1" t="s">
        <v>1948</v>
      </c>
      <c r="B1349" s="1" t="s">
        <v>2127</v>
      </c>
      <c r="C1349" s="63">
        <v>46343.0</v>
      </c>
      <c r="D1349" s="63" t="s">
        <v>130</v>
      </c>
      <c r="E1349" s="68">
        <v>0.88096171</v>
      </c>
      <c r="F1349" s="1"/>
      <c r="G1349" s="23">
        <v>9450000.0</v>
      </c>
      <c r="H1349" s="23">
        <v>8325088.18</v>
      </c>
      <c r="I1349" s="23">
        <v>9450000.0</v>
      </c>
      <c r="J1349" s="23">
        <v>8325088.18</v>
      </c>
      <c r="K1349" s="24">
        <v>6.6335143E7</v>
      </c>
      <c r="L1349" s="1" t="s">
        <v>1776</v>
      </c>
      <c r="M1349" s="1" t="s">
        <v>2128</v>
      </c>
      <c r="N1349" s="63" t="s">
        <v>446</v>
      </c>
      <c r="O1349" s="63" t="s">
        <v>446</v>
      </c>
      <c r="P1349" s="68">
        <v>36.0</v>
      </c>
      <c r="Q1349" s="1" t="s">
        <v>2130</v>
      </c>
      <c r="R1349" s="1" t="s">
        <v>13</v>
      </c>
      <c r="S1349" s="1"/>
      <c r="T1349" s="1"/>
      <c r="U1349" s="1" t="s">
        <v>447</v>
      </c>
      <c r="V1349" s="1" t="s">
        <v>447</v>
      </c>
      <c r="W1349" s="145">
        <f t="shared" si="1"/>
        <v>0.0001702980795</v>
      </c>
      <c r="AC1349" s="38"/>
    </row>
    <row r="1350" ht="15.75" customHeight="1">
      <c r="A1350" s="1" t="s">
        <v>1956</v>
      </c>
      <c r="B1350" s="1" t="s">
        <v>2127</v>
      </c>
      <c r="C1350" s="63">
        <v>46343.0</v>
      </c>
      <c r="D1350" s="63" t="s">
        <v>130</v>
      </c>
      <c r="E1350" s="68">
        <v>0.89276996</v>
      </c>
      <c r="F1350" s="1"/>
      <c r="G1350" s="23">
        <v>1.5E7</v>
      </c>
      <c r="H1350" s="23">
        <v>1.339154933E7</v>
      </c>
      <c r="I1350" s="23">
        <v>1.5E7</v>
      </c>
      <c r="J1350" s="23">
        <v>1.339154933E7</v>
      </c>
      <c r="K1350" s="24">
        <v>6.7449055E7</v>
      </c>
      <c r="L1350" s="1" t="s">
        <v>1776</v>
      </c>
      <c r="M1350" s="1" t="s">
        <v>2128</v>
      </c>
      <c r="N1350" s="63" t="s">
        <v>1209</v>
      </c>
      <c r="O1350" s="63" t="s">
        <v>1209</v>
      </c>
      <c r="P1350" s="68">
        <v>32.0</v>
      </c>
      <c r="Q1350" s="1" t="s">
        <v>2130</v>
      </c>
      <c r="R1350" s="1" t="s">
        <v>13</v>
      </c>
      <c r="S1350" s="1"/>
      <c r="T1350" s="1"/>
      <c r="U1350" s="1" t="s">
        <v>1218</v>
      </c>
      <c r="V1350" s="1" t="s">
        <v>1218</v>
      </c>
      <c r="W1350" s="145">
        <f t="shared" si="1"/>
        <v>0.0002739376548</v>
      </c>
      <c r="AC1350" s="38"/>
    </row>
    <row r="1351" ht="15.75" customHeight="1">
      <c r="A1351" s="1" t="s">
        <v>1994</v>
      </c>
      <c r="B1351" s="1" t="s">
        <v>2127</v>
      </c>
      <c r="C1351" s="63">
        <v>46344.0</v>
      </c>
      <c r="D1351" s="63" t="s">
        <v>130</v>
      </c>
      <c r="E1351" s="68">
        <v>0.88313586</v>
      </c>
      <c r="F1351" s="1"/>
      <c r="G1351" s="23">
        <v>1500000.0</v>
      </c>
      <c r="H1351" s="23">
        <v>1324703.79</v>
      </c>
      <c r="I1351" s="23">
        <v>1500000.0</v>
      </c>
      <c r="J1351" s="23">
        <v>1324703.79</v>
      </c>
      <c r="K1351" s="24">
        <v>5.0</v>
      </c>
      <c r="L1351" s="1" t="s">
        <v>1776</v>
      </c>
      <c r="M1351" s="1" t="s">
        <v>2128</v>
      </c>
      <c r="N1351" s="63" t="s">
        <v>532</v>
      </c>
      <c r="O1351" s="63" t="s">
        <v>532</v>
      </c>
      <c r="P1351" s="68">
        <v>35.0</v>
      </c>
      <c r="Q1351" s="1" t="s">
        <v>2130</v>
      </c>
      <c r="R1351" s="1" t="s">
        <v>13</v>
      </c>
      <c r="S1351" s="1"/>
      <c r="T1351" s="1"/>
      <c r="U1351" s="1" t="s">
        <v>536</v>
      </c>
      <c r="V1351" s="1" t="s">
        <v>536</v>
      </c>
      <c r="W1351" s="145">
        <f t="shared" si="1"/>
        <v>0.00002709815277</v>
      </c>
      <c r="AC1351" s="38"/>
    </row>
    <row r="1352" ht="15.75" customHeight="1">
      <c r="A1352" s="1" t="s">
        <v>1965</v>
      </c>
      <c r="B1352" s="1" t="s">
        <v>2127</v>
      </c>
      <c r="C1352" s="63">
        <v>46344.0</v>
      </c>
      <c r="D1352" s="63" t="s">
        <v>130</v>
      </c>
      <c r="E1352" s="68">
        <v>0.89509065</v>
      </c>
      <c r="F1352" s="1"/>
      <c r="G1352" s="23">
        <v>2500000.0</v>
      </c>
      <c r="H1352" s="23">
        <v>2237726.62</v>
      </c>
      <c r="I1352" s="23">
        <v>2500000.0</v>
      </c>
      <c r="J1352" s="23">
        <v>2237726.62</v>
      </c>
      <c r="K1352" s="24">
        <v>9.0003663E7</v>
      </c>
      <c r="L1352" s="1" t="s">
        <v>1776</v>
      </c>
      <c r="M1352" s="1" t="s">
        <v>2128</v>
      </c>
      <c r="N1352" s="63" t="s">
        <v>1571</v>
      </c>
      <c r="O1352" s="63" t="s">
        <v>1571</v>
      </c>
      <c r="P1352" s="68">
        <v>31.0</v>
      </c>
      <c r="Q1352" s="1" t="s">
        <v>2130</v>
      </c>
      <c r="R1352" s="1" t="s">
        <v>13</v>
      </c>
      <c r="S1352" s="1"/>
      <c r="T1352" s="1"/>
      <c r="U1352" s="1" t="s">
        <v>1586</v>
      </c>
      <c r="V1352" s="1" t="s">
        <v>1586</v>
      </c>
      <c r="W1352" s="145">
        <f t="shared" si="1"/>
        <v>0.00004577495608</v>
      </c>
      <c r="AC1352" s="38"/>
    </row>
    <row r="1353" ht="15.75" customHeight="1">
      <c r="A1353" s="1" t="s">
        <v>1948</v>
      </c>
      <c r="B1353" s="1" t="s">
        <v>2127</v>
      </c>
      <c r="C1353" s="63">
        <v>46344.0</v>
      </c>
      <c r="D1353" s="63" t="s">
        <v>130</v>
      </c>
      <c r="E1353" s="68">
        <v>0.88019686</v>
      </c>
      <c r="F1353" s="1"/>
      <c r="G1353" s="23">
        <v>9450000.0</v>
      </c>
      <c r="H1353" s="23">
        <v>8317860.36</v>
      </c>
      <c r="I1353" s="23">
        <v>9450000.0</v>
      </c>
      <c r="J1353" s="23">
        <v>8317860.36</v>
      </c>
      <c r="K1353" s="24">
        <v>6.6335193E7</v>
      </c>
      <c r="L1353" s="1" t="s">
        <v>1776</v>
      </c>
      <c r="M1353" s="1" t="s">
        <v>2128</v>
      </c>
      <c r="N1353" s="63" t="s">
        <v>446</v>
      </c>
      <c r="O1353" s="63" t="s">
        <v>446</v>
      </c>
      <c r="P1353" s="68">
        <v>36.0</v>
      </c>
      <c r="Q1353" s="1" t="s">
        <v>2130</v>
      </c>
      <c r="R1353" s="1" t="s">
        <v>13</v>
      </c>
      <c r="S1353" s="1"/>
      <c r="T1353" s="1"/>
      <c r="U1353" s="1" t="s">
        <v>449</v>
      </c>
      <c r="V1353" s="1" t="s">
        <v>449</v>
      </c>
      <c r="W1353" s="145">
        <f t="shared" si="1"/>
        <v>0.0001701502271</v>
      </c>
      <c r="AC1353" s="38"/>
    </row>
    <row r="1354" ht="15.75" customHeight="1">
      <c r="A1354" s="1" t="s">
        <v>1983</v>
      </c>
      <c r="B1354" s="1" t="s">
        <v>2127</v>
      </c>
      <c r="C1354" s="63">
        <v>46345.0</v>
      </c>
      <c r="D1354" s="63" t="s">
        <v>130</v>
      </c>
      <c r="E1354" s="68">
        <v>0.87068554</v>
      </c>
      <c r="F1354" s="1"/>
      <c r="G1354" s="23">
        <v>3750000.0</v>
      </c>
      <c r="H1354" s="23">
        <v>3265070.78</v>
      </c>
      <c r="I1354" s="23">
        <v>3750000.0</v>
      </c>
      <c r="J1354" s="23">
        <v>3265070.78</v>
      </c>
      <c r="K1354" s="24">
        <v>6.6918963E7</v>
      </c>
      <c r="L1354" s="1" t="s">
        <v>1776</v>
      </c>
      <c r="M1354" s="1" t="s">
        <v>2128</v>
      </c>
      <c r="N1354" s="63" t="s">
        <v>765</v>
      </c>
      <c r="O1354" s="63" t="s">
        <v>765</v>
      </c>
      <c r="P1354" s="68">
        <v>39.0</v>
      </c>
      <c r="Q1354" s="1" t="s">
        <v>2130</v>
      </c>
      <c r="R1354" s="1" t="s">
        <v>13</v>
      </c>
      <c r="S1354" s="1"/>
      <c r="T1354" s="1"/>
      <c r="U1354" s="1" t="s">
        <v>772</v>
      </c>
      <c r="V1354" s="1" t="s">
        <v>772</v>
      </c>
      <c r="W1354" s="145">
        <f t="shared" si="1"/>
        <v>0.00006679031755</v>
      </c>
      <c r="AC1354" s="38"/>
    </row>
    <row r="1355" ht="15.75" customHeight="1">
      <c r="A1355" s="1" t="s">
        <v>1916</v>
      </c>
      <c r="B1355" s="1" t="s">
        <v>2127</v>
      </c>
      <c r="C1355" s="63">
        <v>46351.0</v>
      </c>
      <c r="D1355" s="63" t="s">
        <v>130</v>
      </c>
      <c r="E1355" s="68">
        <v>0.89669587</v>
      </c>
      <c r="F1355" s="1"/>
      <c r="G1355" s="23">
        <v>3.0E7</v>
      </c>
      <c r="H1355" s="23">
        <v>2.690087596E7</v>
      </c>
      <c r="I1355" s="23">
        <v>3.0E7</v>
      </c>
      <c r="J1355" s="23">
        <v>2.690087596E7</v>
      </c>
      <c r="K1355" s="24">
        <v>67.0</v>
      </c>
      <c r="L1355" s="1" t="s">
        <v>1776</v>
      </c>
      <c r="M1355" s="1" t="s">
        <v>2128</v>
      </c>
      <c r="N1355" s="63" t="s">
        <v>946</v>
      </c>
      <c r="O1355" s="63" t="s">
        <v>946</v>
      </c>
      <c r="P1355" s="68">
        <v>29.0</v>
      </c>
      <c r="Q1355" s="1" t="s">
        <v>2130</v>
      </c>
      <c r="R1355" s="1" t="s">
        <v>13</v>
      </c>
      <c r="S1355" s="1"/>
      <c r="T1355" s="1"/>
      <c r="U1355" s="1" t="s">
        <v>958</v>
      </c>
      <c r="V1355" s="1" t="s">
        <v>958</v>
      </c>
      <c r="W1355" s="145">
        <f t="shared" si="1"/>
        <v>0.0005502845631</v>
      </c>
      <c r="AC1355" s="38"/>
    </row>
    <row r="1356" ht="15.75" customHeight="1">
      <c r="A1356" s="1" t="s">
        <v>1933</v>
      </c>
      <c r="B1356" s="1" t="s">
        <v>2127</v>
      </c>
      <c r="C1356" s="63">
        <v>46351.0</v>
      </c>
      <c r="D1356" s="63" t="s">
        <v>130</v>
      </c>
      <c r="E1356" s="68">
        <v>0.89351299</v>
      </c>
      <c r="F1356" s="1"/>
      <c r="G1356" s="23">
        <v>9478811.35</v>
      </c>
      <c r="H1356" s="23">
        <v>8469441.02</v>
      </c>
      <c r="I1356" s="23">
        <v>9478811.35</v>
      </c>
      <c r="J1356" s="23">
        <v>8469441.02</v>
      </c>
      <c r="K1356" s="24">
        <v>9.0020413E7</v>
      </c>
      <c r="L1356" s="1" t="s">
        <v>1776</v>
      </c>
      <c r="M1356" s="1" t="s">
        <v>2128</v>
      </c>
      <c r="N1356" s="63" t="s">
        <v>946</v>
      </c>
      <c r="O1356" s="63" t="s">
        <v>946</v>
      </c>
      <c r="P1356" s="68">
        <v>30.0</v>
      </c>
      <c r="Q1356" s="1" t="s">
        <v>2130</v>
      </c>
      <c r="R1356" s="1" t="s">
        <v>13</v>
      </c>
      <c r="S1356" s="1"/>
      <c r="T1356" s="1"/>
      <c r="U1356" s="1" t="s">
        <v>945</v>
      </c>
      <c r="V1356" s="1" t="s">
        <v>945</v>
      </c>
      <c r="W1356" s="145">
        <f t="shared" si="1"/>
        <v>0.0001732509625</v>
      </c>
      <c r="AC1356" s="38"/>
    </row>
    <row r="1357" ht="15.75" customHeight="1">
      <c r="A1357" s="1" t="s">
        <v>1948</v>
      </c>
      <c r="B1357" s="1" t="s">
        <v>2127</v>
      </c>
      <c r="C1357" s="63">
        <v>46351.0</v>
      </c>
      <c r="D1357" s="63" t="s">
        <v>130</v>
      </c>
      <c r="E1357" s="68">
        <v>0.87488025</v>
      </c>
      <c r="F1357" s="1"/>
      <c r="G1357" s="23">
        <v>9450000.0</v>
      </c>
      <c r="H1357" s="23">
        <v>8267618.4</v>
      </c>
      <c r="I1357" s="23">
        <v>9450000.0</v>
      </c>
      <c r="J1357" s="23">
        <v>8267618.4</v>
      </c>
      <c r="K1357" s="24">
        <v>6.6335232E7</v>
      </c>
      <c r="L1357" s="1" t="s">
        <v>1776</v>
      </c>
      <c r="M1357" s="1" t="s">
        <v>2128</v>
      </c>
      <c r="N1357" s="63" t="s">
        <v>446</v>
      </c>
      <c r="O1357" s="63" t="s">
        <v>446</v>
      </c>
      <c r="P1357" s="68">
        <v>36.0</v>
      </c>
      <c r="Q1357" s="1" t="s">
        <v>2130</v>
      </c>
      <c r="R1357" s="1" t="s">
        <v>13</v>
      </c>
      <c r="S1357" s="1"/>
      <c r="T1357" s="1"/>
      <c r="U1357" s="1" t="s">
        <v>451</v>
      </c>
      <c r="V1357" s="1" t="s">
        <v>451</v>
      </c>
      <c r="W1357" s="145">
        <f t="shared" si="1"/>
        <v>0.0001691224771</v>
      </c>
      <c r="AC1357" s="38"/>
    </row>
    <row r="1358" ht="15.75" customHeight="1">
      <c r="A1358" s="1" t="s">
        <v>1988</v>
      </c>
      <c r="B1358" s="1" t="s">
        <v>2127</v>
      </c>
      <c r="C1358" s="63">
        <v>46352.0</v>
      </c>
      <c r="D1358" s="63" t="s">
        <v>130</v>
      </c>
      <c r="E1358" s="68">
        <v>0.88339234</v>
      </c>
      <c r="F1358" s="1"/>
      <c r="G1358" s="23">
        <v>5448062.43</v>
      </c>
      <c r="H1358" s="23">
        <v>4812776.59</v>
      </c>
      <c r="I1358" s="23">
        <v>5448062.43</v>
      </c>
      <c r="J1358" s="23">
        <v>4812776.59</v>
      </c>
      <c r="K1358" s="24">
        <v>9.0000596E7</v>
      </c>
      <c r="L1358" s="1" t="s">
        <v>1776</v>
      </c>
      <c r="M1358" s="1" t="s">
        <v>2128</v>
      </c>
      <c r="N1358" s="63" t="s">
        <v>1048</v>
      </c>
      <c r="O1358" s="63" t="s">
        <v>1048</v>
      </c>
      <c r="P1358" s="68">
        <v>33.0</v>
      </c>
      <c r="Q1358" s="1" t="s">
        <v>2130</v>
      </c>
      <c r="R1358" s="1" t="s">
        <v>13</v>
      </c>
      <c r="S1358" s="1"/>
      <c r="T1358" s="1"/>
      <c r="U1358" s="1" t="s">
        <v>1072</v>
      </c>
      <c r="V1358" s="1" t="s">
        <v>1072</v>
      </c>
      <c r="W1358" s="145">
        <f t="shared" si="1"/>
        <v>0.00009845020166</v>
      </c>
      <c r="AC1358" s="38"/>
    </row>
    <row r="1359" ht="15.75" customHeight="1">
      <c r="A1359" s="1" t="s">
        <v>1994</v>
      </c>
      <c r="B1359" s="1" t="s">
        <v>2127</v>
      </c>
      <c r="C1359" s="63">
        <v>46352.0</v>
      </c>
      <c r="D1359" s="63" t="s">
        <v>130</v>
      </c>
      <c r="E1359" s="68">
        <v>0.88028191</v>
      </c>
      <c r="F1359" s="1"/>
      <c r="G1359" s="23">
        <v>4000000.0</v>
      </c>
      <c r="H1359" s="23">
        <v>3521127.65</v>
      </c>
      <c r="I1359" s="23">
        <v>4000000.0</v>
      </c>
      <c r="J1359" s="23">
        <v>3521127.65</v>
      </c>
      <c r="K1359" s="24">
        <v>9.0000053E7</v>
      </c>
      <c r="L1359" s="1" t="s">
        <v>1776</v>
      </c>
      <c r="M1359" s="1" t="s">
        <v>2128</v>
      </c>
      <c r="N1359" s="63" t="s">
        <v>1245</v>
      </c>
      <c r="O1359" s="63" t="s">
        <v>1245</v>
      </c>
      <c r="P1359" s="68">
        <v>34.0</v>
      </c>
      <c r="Q1359" s="1" t="s">
        <v>2130</v>
      </c>
      <c r="R1359" s="1" t="s">
        <v>13</v>
      </c>
      <c r="S1359" s="1"/>
      <c r="T1359" s="1"/>
      <c r="U1359" s="1" t="s">
        <v>1270</v>
      </c>
      <c r="V1359" s="1" t="s">
        <v>1270</v>
      </c>
      <c r="W1359" s="145">
        <f t="shared" si="1"/>
        <v>0.00007202821921</v>
      </c>
      <c r="AC1359" s="38"/>
    </row>
    <row r="1360" ht="15.75" customHeight="1">
      <c r="A1360" s="1" t="s">
        <v>1987</v>
      </c>
      <c r="B1360" s="1" t="s">
        <v>2127</v>
      </c>
      <c r="C1360" s="63">
        <v>46352.0</v>
      </c>
      <c r="D1360" s="63" t="s">
        <v>130</v>
      </c>
      <c r="E1360" s="68">
        <v>0.90909093</v>
      </c>
      <c r="F1360" s="1"/>
      <c r="G1360" s="23">
        <v>1.9922304E7</v>
      </c>
      <c r="H1360" s="23">
        <v>1.811118578E7</v>
      </c>
      <c r="I1360" s="23">
        <v>1.9922304E7</v>
      </c>
      <c r="J1360" s="23">
        <v>1.811118578E7</v>
      </c>
      <c r="K1360" s="24">
        <v>6.7863958E7</v>
      </c>
      <c r="L1360" s="1" t="s">
        <v>1776</v>
      </c>
      <c r="M1360" s="1" t="s">
        <v>2128</v>
      </c>
      <c r="N1360" s="63" t="s">
        <v>1458</v>
      </c>
      <c r="O1360" s="63" t="s">
        <v>1458</v>
      </c>
      <c r="P1360" s="68">
        <v>25.0</v>
      </c>
      <c r="Q1360" s="1" t="s">
        <v>2130</v>
      </c>
      <c r="R1360" s="1" t="s">
        <v>13</v>
      </c>
      <c r="S1360" s="1"/>
      <c r="T1360" s="1"/>
      <c r="U1360" s="1" t="s">
        <v>1459</v>
      </c>
      <c r="V1360" s="1" t="s">
        <v>1459</v>
      </c>
      <c r="W1360" s="145">
        <f t="shared" si="1"/>
        <v>0.0003704825809</v>
      </c>
      <c r="AC1360" s="38"/>
    </row>
    <row r="1361" ht="15.75" customHeight="1">
      <c r="A1361" s="1" t="s">
        <v>1956</v>
      </c>
      <c r="B1361" s="1" t="s">
        <v>2127</v>
      </c>
      <c r="C1361" s="63">
        <v>46353.0</v>
      </c>
      <c r="D1361" s="63" t="s">
        <v>130</v>
      </c>
      <c r="E1361" s="68">
        <v>0.87337314</v>
      </c>
      <c r="F1361" s="1"/>
      <c r="G1361" s="23">
        <v>2.936236171E7</v>
      </c>
      <c r="H1361" s="23">
        <v>2.564429796E7</v>
      </c>
      <c r="I1361" s="23">
        <v>2.936236171E7</v>
      </c>
      <c r="J1361" s="23">
        <v>2.564429796E7</v>
      </c>
      <c r="K1361" s="24">
        <v>6.7998146E7</v>
      </c>
      <c r="L1361" s="1" t="s">
        <v>1776</v>
      </c>
      <c r="M1361" s="1" t="s">
        <v>2128</v>
      </c>
      <c r="N1361" s="63" t="s">
        <v>1488</v>
      </c>
      <c r="O1361" s="63" t="s">
        <v>1488</v>
      </c>
      <c r="P1361" s="68">
        <v>36.0</v>
      </c>
      <c r="Q1361" s="1" t="s">
        <v>2130</v>
      </c>
      <c r="R1361" s="1" t="s">
        <v>13</v>
      </c>
      <c r="S1361" s="1"/>
      <c r="T1361" s="1"/>
      <c r="U1361" s="1" t="s">
        <v>1557</v>
      </c>
      <c r="V1361" s="1" t="s">
        <v>1557</v>
      </c>
      <c r="W1361" s="145">
        <f t="shared" si="1"/>
        <v>0.0005245799921</v>
      </c>
      <c r="AC1361" s="38"/>
    </row>
    <row r="1362" ht="15.75" customHeight="1">
      <c r="A1362" s="1" t="s">
        <v>1924</v>
      </c>
      <c r="B1362" s="1" t="s">
        <v>2127</v>
      </c>
      <c r="C1362" s="63">
        <v>46358.0</v>
      </c>
      <c r="D1362" s="63" t="s">
        <v>130</v>
      </c>
      <c r="E1362" s="68">
        <v>0.8922461</v>
      </c>
      <c r="F1362" s="1"/>
      <c r="G1362" s="23">
        <v>4103981.39</v>
      </c>
      <c r="H1362" s="23">
        <v>3661761.38</v>
      </c>
      <c r="I1362" s="23">
        <v>4103981.39</v>
      </c>
      <c r="J1362" s="23">
        <v>3661761.38</v>
      </c>
      <c r="K1362" s="24">
        <v>9.0000123E7</v>
      </c>
      <c r="L1362" s="1" t="s">
        <v>1776</v>
      </c>
      <c r="M1362" s="1" t="s">
        <v>2128</v>
      </c>
      <c r="N1362" s="63" t="s">
        <v>130</v>
      </c>
      <c r="O1362" s="63" t="s">
        <v>130</v>
      </c>
      <c r="P1362" s="68">
        <v>29.0</v>
      </c>
      <c r="Q1362" s="1" t="s">
        <v>2130</v>
      </c>
      <c r="R1362" s="1" t="s">
        <v>13</v>
      </c>
      <c r="S1362" s="1"/>
      <c r="T1362" s="1"/>
      <c r="U1362" s="1" t="s">
        <v>1642</v>
      </c>
      <c r="V1362" s="1" t="s">
        <v>1642</v>
      </c>
      <c r="W1362" s="145">
        <f t="shared" si="1"/>
        <v>0.00007490502407</v>
      </c>
      <c r="AC1362" s="38"/>
    </row>
    <row r="1363" ht="15.75" customHeight="1">
      <c r="A1363" s="1" t="s">
        <v>1977</v>
      </c>
      <c r="B1363" s="1" t="s">
        <v>2127</v>
      </c>
      <c r="C1363" s="63">
        <v>46360.0</v>
      </c>
      <c r="D1363" s="63" t="s">
        <v>130</v>
      </c>
      <c r="E1363" s="68">
        <v>0.88764604</v>
      </c>
      <c r="F1363" s="1"/>
      <c r="G1363" s="23">
        <v>1.87E7</v>
      </c>
      <c r="H1363" s="23">
        <v>1.659898096E7</v>
      </c>
      <c r="I1363" s="23">
        <v>1.87E7</v>
      </c>
      <c r="J1363" s="23">
        <v>1.659898096E7</v>
      </c>
      <c r="K1363" s="24">
        <v>238.0</v>
      </c>
      <c r="L1363" s="1" t="s">
        <v>1776</v>
      </c>
      <c r="M1363" s="1" t="s">
        <v>2128</v>
      </c>
      <c r="N1363" s="63" t="s">
        <v>1589</v>
      </c>
      <c r="O1363" s="63" t="s">
        <v>1589</v>
      </c>
      <c r="P1363" s="68">
        <v>30.0</v>
      </c>
      <c r="Q1363" s="1" t="s">
        <v>2130</v>
      </c>
      <c r="R1363" s="1" t="s">
        <v>13</v>
      </c>
      <c r="S1363" s="1"/>
      <c r="T1363" s="1"/>
      <c r="U1363" s="1" t="s">
        <v>1599</v>
      </c>
      <c r="V1363" s="1" t="s">
        <v>1599</v>
      </c>
      <c r="W1363" s="145">
        <f t="shared" si="1"/>
        <v>0.0003395489054</v>
      </c>
      <c r="AC1363" s="38"/>
    </row>
    <row r="1364" ht="15.75" customHeight="1">
      <c r="A1364" s="1" t="s">
        <v>1966</v>
      </c>
      <c r="B1364" s="1" t="s">
        <v>2127</v>
      </c>
      <c r="C1364" s="63">
        <v>46365.0</v>
      </c>
      <c r="D1364" s="63" t="s">
        <v>130</v>
      </c>
      <c r="E1364" s="68">
        <v>0.86119456</v>
      </c>
      <c r="F1364" s="1"/>
      <c r="G1364" s="23">
        <v>1.5E7</v>
      </c>
      <c r="H1364" s="23">
        <v>1.291791845E7</v>
      </c>
      <c r="I1364" s="23">
        <v>1.5E7</v>
      </c>
      <c r="J1364" s="23">
        <v>1.291791845E7</v>
      </c>
      <c r="K1364" s="24">
        <v>9.0023082E7</v>
      </c>
      <c r="L1364" s="1" t="s">
        <v>1776</v>
      </c>
      <c r="M1364" s="1" t="s">
        <v>2128</v>
      </c>
      <c r="N1364" s="63" t="s">
        <v>1048</v>
      </c>
      <c r="O1364" s="63" t="s">
        <v>1048</v>
      </c>
      <c r="P1364" s="68">
        <v>37.0</v>
      </c>
      <c r="Q1364" s="1" t="s">
        <v>2130</v>
      </c>
      <c r="R1364" s="1" t="s">
        <v>13</v>
      </c>
      <c r="S1364" s="1"/>
      <c r="T1364" s="1"/>
      <c r="U1364" s="1" t="s">
        <v>1063</v>
      </c>
      <c r="V1364" s="1" t="s">
        <v>1063</v>
      </c>
      <c r="W1364" s="145">
        <f t="shared" si="1"/>
        <v>0.0002642490572</v>
      </c>
      <c r="AC1364" s="38"/>
    </row>
    <row r="1365" ht="15.75" customHeight="1">
      <c r="A1365" s="1" t="s">
        <v>1966</v>
      </c>
      <c r="B1365" s="1" t="s">
        <v>2127</v>
      </c>
      <c r="C1365" s="63">
        <v>46365.0</v>
      </c>
      <c r="D1365" s="63" t="s">
        <v>130</v>
      </c>
      <c r="E1365" s="68">
        <v>0.86119456</v>
      </c>
      <c r="F1365" s="1"/>
      <c r="G1365" s="23">
        <v>1.5E7</v>
      </c>
      <c r="H1365" s="23">
        <v>1.291791845E7</v>
      </c>
      <c r="I1365" s="23">
        <v>1.5E7</v>
      </c>
      <c r="J1365" s="23">
        <v>1.291791845E7</v>
      </c>
      <c r="K1365" s="24">
        <v>9.0023081E7</v>
      </c>
      <c r="L1365" s="1" t="s">
        <v>1776</v>
      </c>
      <c r="M1365" s="1" t="s">
        <v>2128</v>
      </c>
      <c r="N1365" s="63" t="s">
        <v>1048</v>
      </c>
      <c r="O1365" s="63" t="s">
        <v>1048</v>
      </c>
      <c r="P1365" s="68">
        <v>37.0</v>
      </c>
      <c r="Q1365" s="1" t="s">
        <v>2130</v>
      </c>
      <c r="R1365" s="1" t="s">
        <v>13</v>
      </c>
      <c r="S1365" s="1"/>
      <c r="T1365" s="1"/>
      <c r="U1365" s="1" t="s">
        <v>1065</v>
      </c>
      <c r="V1365" s="1" t="s">
        <v>1065</v>
      </c>
      <c r="W1365" s="145">
        <f t="shared" si="1"/>
        <v>0.0002642490572</v>
      </c>
      <c r="AC1365" s="38"/>
    </row>
    <row r="1366" ht="15.75" customHeight="1">
      <c r="A1366" s="1" t="s">
        <v>1924</v>
      </c>
      <c r="B1366" s="1" t="s">
        <v>2127</v>
      </c>
      <c r="C1366" s="63">
        <v>46365.0</v>
      </c>
      <c r="D1366" s="63" t="s">
        <v>130</v>
      </c>
      <c r="E1366" s="68">
        <v>0.88784034</v>
      </c>
      <c r="F1366" s="1"/>
      <c r="G1366" s="23">
        <v>8106418.25</v>
      </c>
      <c r="H1366" s="23">
        <v>7197205.11</v>
      </c>
      <c r="I1366" s="23">
        <v>8106418.25</v>
      </c>
      <c r="J1366" s="23">
        <v>7197205.11</v>
      </c>
      <c r="K1366" s="24">
        <v>9.0000807E7</v>
      </c>
      <c r="L1366" s="1" t="s">
        <v>1776</v>
      </c>
      <c r="M1366" s="1" t="s">
        <v>2128</v>
      </c>
      <c r="N1366" s="63" t="s">
        <v>130</v>
      </c>
      <c r="O1366" s="63" t="s">
        <v>130</v>
      </c>
      <c r="P1366" s="68">
        <v>29.0</v>
      </c>
      <c r="Q1366" s="1" t="s">
        <v>2130</v>
      </c>
      <c r="R1366" s="1" t="s">
        <v>13</v>
      </c>
      <c r="S1366" s="1"/>
      <c r="T1366" s="1"/>
      <c r="U1366" s="1" t="s">
        <v>1644</v>
      </c>
      <c r="V1366" s="1" t="s">
        <v>1644</v>
      </c>
      <c r="W1366" s="145">
        <f t="shared" si="1"/>
        <v>0.0001472260931</v>
      </c>
      <c r="AC1366" s="38"/>
    </row>
    <row r="1367" ht="15.75" customHeight="1">
      <c r="A1367" s="1" t="s">
        <v>1966</v>
      </c>
      <c r="B1367" s="1" t="s">
        <v>2127</v>
      </c>
      <c r="C1367" s="63">
        <v>46366.0</v>
      </c>
      <c r="D1367" s="63" t="s">
        <v>130</v>
      </c>
      <c r="E1367" s="68">
        <v>0.86044334</v>
      </c>
      <c r="F1367" s="1"/>
      <c r="G1367" s="23">
        <v>1.5E7</v>
      </c>
      <c r="H1367" s="23">
        <v>1.29066501E7</v>
      </c>
      <c r="I1367" s="23">
        <v>1.5E7</v>
      </c>
      <c r="J1367" s="23">
        <v>1.29066501E7</v>
      </c>
      <c r="K1367" s="24">
        <v>9.0023083E7</v>
      </c>
      <c r="L1367" s="1" t="s">
        <v>1776</v>
      </c>
      <c r="M1367" s="1" t="s">
        <v>2128</v>
      </c>
      <c r="N1367" s="63" t="s">
        <v>1048</v>
      </c>
      <c r="O1367" s="63" t="s">
        <v>1048</v>
      </c>
      <c r="P1367" s="68">
        <v>37.0</v>
      </c>
      <c r="Q1367" s="1" t="s">
        <v>2130</v>
      </c>
      <c r="R1367" s="1" t="s">
        <v>13</v>
      </c>
      <c r="S1367" s="1"/>
      <c r="T1367" s="1"/>
      <c r="U1367" s="1" t="s">
        <v>1066</v>
      </c>
      <c r="V1367" s="1" t="s">
        <v>1066</v>
      </c>
      <c r="W1367" s="145">
        <f t="shared" si="1"/>
        <v>0.0002640185517</v>
      </c>
      <c r="AC1367" s="38"/>
    </row>
    <row r="1368" ht="15.75" customHeight="1">
      <c r="A1368" s="1" t="s">
        <v>1966</v>
      </c>
      <c r="B1368" s="1" t="s">
        <v>2127</v>
      </c>
      <c r="C1368" s="63">
        <v>46367.0</v>
      </c>
      <c r="D1368" s="63" t="s">
        <v>130</v>
      </c>
      <c r="E1368" s="68">
        <v>0.85969343</v>
      </c>
      <c r="F1368" s="1"/>
      <c r="G1368" s="23">
        <v>1.5E7</v>
      </c>
      <c r="H1368" s="23">
        <v>1.289540142E7</v>
      </c>
      <c r="I1368" s="23">
        <v>1.5E7</v>
      </c>
      <c r="J1368" s="23">
        <v>1.289540142E7</v>
      </c>
      <c r="K1368" s="24">
        <v>9.0023086E7</v>
      </c>
      <c r="L1368" s="1" t="s">
        <v>1776</v>
      </c>
      <c r="M1368" s="1" t="s">
        <v>2128</v>
      </c>
      <c r="N1368" s="63" t="s">
        <v>1048</v>
      </c>
      <c r="O1368" s="63" t="s">
        <v>1048</v>
      </c>
      <c r="P1368" s="68">
        <v>37.0</v>
      </c>
      <c r="Q1368" s="1" t="s">
        <v>2130</v>
      </c>
      <c r="R1368" s="1" t="s">
        <v>13</v>
      </c>
      <c r="S1368" s="1"/>
      <c r="T1368" s="1"/>
      <c r="U1368" s="1" t="s">
        <v>1067</v>
      </c>
      <c r="V1368" s="1" t="s">
        <v>1067</v>
      </c>
      <c r="W1368" s="145">
        <f t="shared" si="1"/>
        <v>0.0002637884486</v>
      </c>
      <c r="AC1368" s="38"/>
    </row>
    <row r="1369" ht="15.75" customHeight="1">
      <c r="A1369" s="1" t="s">
        <v>1994</v>
      </c>
      <c r="B1369" s="1" t="s">
        <v>2127</v>
      </c>
      <c r="C1369" s="63">
        <v>46367.0</v>
      </c>
      <c r="D1369" s="63" t="s">
        <v>130</v>
      </c>
      <c r="E1369" s="68">
        <v>0.86958613</v>
      </c>
      <c r="F1369" s="1"/>
      <c r="G1369" s="23">
        <v>4000000.0</v>
      </c>
      <c r="H1369" s="23">
        <v>3478344.52</v>
      </c>
      <c r="I1369" s="23">
        <v>4000000.0</v>
      </c>
      <c r="J1369" s="23">
        <v>3478344.52</v>
      </c>
      <c r="K1369" s="24">
        <v>9.0000054E7</v>
      </c>
      <c r="L1369" s="1" t="s">
        <v>1776</v>
      </c>
      <c r="M1369" s="1" t="s">
        <v>2128</v>
      </c>
      <c r="N1369" s="63" t="s">
        <v>1245</v>
      </c>
      <c r="O1369" s="63" t="s">
        <v>1245</v>
      </c>
      <c r="P1369" s="68">
        <v>34.0</v>
      </c>
      <c r="Q1369" s="1" t="s">
        <v>2130</v>
      </c>
      <c r="R1369" s="1" t="s">
        <v>13</v>
      </c>
      <c r="S1369" s="1"/>
      <c r="T1369" s="1"/>
      <c r="U1369" s="1" t="s">
        <v>1264</v>
      </c>
      <c r="V1369" s="1" t="s">
        <v>1264</v>
      </c>
      <c r="W1369" s="145">
        <f t="shared" si="1"/>
        <v>0.00007115304711</v>
      </c>
      <c r="AC1369" s="38"/>
    </row>
    <row r="1370" ht="15.75" customHeight="1">
      <c r="A1370" s="1" t="s">
        <v>1924</v>
      </c>
      <c r="B1370" s="1" t="s">
        <v>2127</v>
      </c>
      <c r="C1370" s="63">
        <v>46367.0</v>
      </c>
      <c r="D1370" s="63" t="s">
        <v>130</v>
      </c>
      <c r="E1370" s="68">
        <v>0.88658963</v>
      </c>
      <c r="F1370" s="1"/>
      <c r="G1370" s="23">
        <v>5311841.87</v>
      </c>
      <c r="H1370" s="23">
        <v>4709423.89</v>
      </c>
      <c r="I1370" s="23">
        <v>5311841.87</v>
      </c>
      <c r="J1370" s="23">
        <v>4709423.89</v>
      </c>
      <c r="K1370" s="24">
        <v>9.0000278E7</v>
      </c>
      <c r="L1370" s="1" t="s">
        <v>1776</v>
      </c>
      <c r="M1370" s="1" t="s">
        <v>2128</v>
      </c>
      <c r="N1370" s="63" t="s">
        <v>130</v>
      </c>
      <c r="O1370" s="63" t="s">
        <v>130</v>
      </c>
      <c r="P1370" s="68">
        <v>29.0</v>
      </c>
      <c r="Q1370" s="1" t="s">
        <v>2130</v>
      </c>
      <c r="R1370" s="1" t="s">
        <v>13</v>
      </c>
      <c r="S1370" s="1"/>
      <c r="T1370" s="1"/>
      <c r="U1370" s="1" t="s">
        <v>1639</v>
      </c>
      <c r="V1370" s="1" t="s">
        <v>1639</v>
      </c>
      <c r="W1370" s="145">
        <f t="shared" si="1"/>
        <v>0.00009633601789</v>
      </c>
      <c r="AC1370" s="38"/>
    </row>
    <row r="1371" ht="15.75" customHeight="1">
      <c r="A1371" s="1" t="s">
        <v>1941</v>
      </c>
      <c r="B1371" s="1" t="s">
        <v>2127</v>
      </c>
      <c r="C1371" s="63">
        <v>46367.0</v>
      </c>
      <c r="D1371" s="63" t="s">
        <v>130</v>
      </c>
      <c r="E1371" s="68">
        <v>0.8900703</v>
      </c>
      <c r="F1371" s="1"/>
      <c r="G1371" s="23">
        <v>6.954223E7</v>
      </c>
      <c r="H1371" s="23">
        <v>6.189747377E7</v>
      </c>
      <c r="I1371" s="23">
        <v>6.954223E7</v>
      </c>
      <c r="J1371" s="23">
        <v>6.189747377E7</v>
      </c>
      <c r="K1371" s="24">
        <v>155355.0</v>
      </c>
      <c r="L1371" s="1" t="s">
        <v>1776</v>
      </c>
      <c r="M1371" s="1" t="s">
        <v>2128</v>
      </c>
      <c r="N1371" s="63" t="s">
        <v>1571</v>
      </c>
      <c r="O1371" s="63" t="s">
        <v>1571</v>
      </c>
      <c r="P1371" s="68">
        <v>28.0</v>
      </c>
      <c r="Q1371" s="1" t="s">
        <v>2130</v>
      </c>
      <c r="R1371" s="1" t="s">
        <v>13</v>
      </c>
      <c r="S1371" s="1"/>
      <c r="T1371" s="1"/>
      <c r="U1371" s="1" t="s">
        <v>1584</v>
      </c>
      <c r="V1371" s="1" t="s">
        <v>1584</v>
      </c>
      <c r="W1371" s="145">
        <f t="shared" si="1"/>
        <v>0.001266175286</v>
      </c>
      <c r="AC1371" s="38"/>
    </row>
    <row r="1372" ht="15.75" customHeight="1">
      <c r="A1372" s="1" t="s">
        <v>1982</v>
      </c>
      <c r="B1372" s="1"/>
      <c r="C1372" s="63"/>
      <c r="D1372" s="63"/>
      <c r="E1372" s="68"/>
      <c r="F1372" s="1"/>
      <c r="G1372" s="23"/>
      <c r="H1372" s="23"/>
      <c r="I1372" s="23"/>
      <c r="J1372" s="23"/>
      <c r="K1372" s="24"/>
      <c r="L1372" s="1"/>
      <c r="M1372" s="1"/>
      <c r="N1372" s="63"/>
      <c r="O1372" s="63"/>
      <c r="P1372" s="68"/>
      <c r="Q1372" s="1"/>
      <c r="R1372" s="1"/>
      <c r="S1372" s="1"/>
      <c r="T1372" s="1"/>
      <c r="U1372" s="1" t="s">
        <v>1675</v>
      </c>
      <c r="V1372" s="1" t="s">
        <v>1675</v>
      </c>
      <c r="W1372" s="145">
        <f t="shared" si="1"/>
        <v>0</v>
      </c>
      <c r="AC1372" s="38"/>
    </row>
    <row r="1373" ht="15.75" customHeight="1">
      <c r="A1373" s="1" t="s">
        <v>1924</v>
      </c>
      <c r="B1373" s="1" t="s">
        <v>2127</v>
      </c>
      <c r="C1373" s="63">
        <v>46372.0</v>
      </c>
      <c r="D1373" s="63" t="s">
        <v>130</v>
      </c>
      <c r="E1373" s="68">
        <v>0.88347787</v>
      </c>
      <c r="F1373" s="1"/>
      <c r="G1373" s="23">
        <v>4396334.17</v>
      </c>
      <c r="H1373" s="23">
        <v>3884063.96</v>
      </c>
      <c r="I1373" s="23">
        <v>4396334.17</v>
      </c>
      <c r="J1373" s="23">
        <v>3884063.96</v>
      </c>
      <c r="K1373" s="24">
        <v>9.0000109E7</v>
      </c>
      <c r="L1373" s="1" t="s">
        <v>1776</v>
      </c>
      <c r="M1373" s="1" t="s">
        <v>2128</v>
      </c>
      <c r="N1373" s="63" t="s">
        <v>130</v>
      </c>
      <c r="O1373" s="63" t="s">
        <v>130</v>
      </c>
      <c r="P1373" s="68">
        <v>29.0</v>
      </c>
      <c r="Q1373" s="1" t="s">
        <v>2130</v>
      </c>
      <c r="R1373" s="1" t="s">
        <v>13</v>
      </c>
      <c r="S1373" s="1"/>
      <c r="T1373" s="1"/>
      <c r="U1373" s="1" t="s">
        <v>1637</v>
      </c>
      <c r="V1373" s="1" t="s">
        <v>1637</v>
      </c>
      <c r="W1373" s="145">
        <f t="shared" si="1"/>
        <v>0.00007945244766</v>
      </c>
      <c r="AC1373" s="38"/>
    </row>
    <row r="1374" ht="15.75" customHeight="1">
      <c r="A1374" s="1" t="s">
        <v>1956</v>
      </c>
      <c r="B1374" s="1" t="s">
        <v>2127</v>
      </c>
      <c r="C1374" s="63">
        <v>46374.0</v>
      </c>
      <c r="D1374" s="63" t="s">
        <v>130</v>
      </c>
      <c r="E1374" s="68">
        <v>0.85785477</v>
      </c>
      <c r="F1374" s="1"/>
      <c r="G1374" s="23">
        <v>2.257893703E7</v>
      </c>
      <c r="H1374" s="23">
        <v>1.936944883E7</v>
      </c>
      <c r="I1374" s="23">
        <v>2.257893703E7</v>
      </c>
      <c r="J1374" s="23">
        <v>1.936944883E7</v>
      </c>
      <c r="K1374" s="24">
        <v>6.7998226E7</v>
      </c>
      <c r="L1374" s="1" t="s">
        <v>1776</v>
      </c>
      <c r="M1374" s="1" t="s">
        <v>2128</v>
      </c>
      <c r="N1374" s="63" t="s">
        <v>1571</v>
      </c>
      <c r="O1374" s="63" t="s">
        <v>1571</v>
      </c>
      <c r="P1374" s="68">
        <v>36.0</v>
      </c>
      <c r="Q1374" s="1" t="s">
        <v>2130</v>
      </c>
      <c r="R1374" s="1" t="s">
        <v>13</v>
      </c>
      <c r="S1374" s="1"/>
      <c r="T1374" s="1"/>
      <c r="U1374" s="1" t="s">
        <v>1577</v>
      </c>
      <c r="V1374" s="1" t="s">
        <v>1577</v>
      </c>
      <c r="W1374" s="145">
        <f t="shared" si="1"/>
        <v>0.0003962216213</v>
      </c>
      <c r="AC1374" s="38"/>
    </row>
    <row r="1375" ht="15.75" customHeight="1">
      <c r="A1375" s="1" t="s">
        <v>1966</v>
      </c>
      <c r="B1375" s="1" t="s">
        <v>2127</v>
      </c>
      <c r="C1375" s="63">
        <v>46378.0</v>
      </c>
      <c r="D1375" s="63" t="s">
        <v>130</v>
      </c>
      <c r="E1375" s="68">
        <v>0.85153057</v>
      </c>
      <c r="F1375" s="1"/>
      <c r="G1375" s="23">
        <v>1.5E7</v>
      </c>
      <c r="H1375" s="23">
        <v>1.277295858E7</v>
      </c>
      <c r="I1375" s="23">
        <v>1.5E7</v>
      </c>
      <c r="J1375" s="23">
        <v>1.277295858E7</v>
      </c>
      <c r="K1375" s="24">
        <v>9.0023099E7</v>
      </c>
      <c r="L1375" s="1" t="s">
        <v>1776</v>
      </c>
      <c r="M1375" s="1" t="s">
        <v>2128</v>
      </c>
      <c r="N1375" s="63" t="s">
        <v>1084</v>
      </c>
      <c r="O1375" s="63" t="s">
        <v>1084</v>
      </c>
      <c r="P1375" s="68">
        <v>37.0</v>
      </c>
      <c r="Q1375" s="1" t="s">
        <v>2130</v>
      </c>
      <c r="R1375" s="1" t="s">
        <v>13</v>
      </c>
      <c r="S1375" s="1"/>
      <c r="T1375" s="1"/>
      <c r="U1375" s="1" t="s">
        <v>1097</v>
      </c>
      <c r="V1375" s="1" t="s">
        <v>1097</v>
      </c>
      <c r="W1375" s="145">
        <f t="shared" si="1"/>
        <v>0.0002612837568</v>
      </c>
      <c r="AC1375" s="38"/>
    </row>
    <row r="1376" ht="15.75" customHeight="1">
      <c r="A1376" s="1" t="s">
        <v>1994</v>
      </c>
      <c r="B1376" s="1" t="s">
        <v>2127</v>
      </c>
      <c r="C1376" s="63">
        <v>46379.0</v>
      </c>
      <c r="D1376" s="63" t="s">
        <v>130</v>
      </c>
      <c r="E1376" s="68">
        <v>0.8612148</v>
      </c>
      <c r="F1376" s="1"/>
      <c r="G1376" s="23">
        <v>4000000.0</v>
      </c>
      <c r="H1376" s="23">
        <v>3444859.19</v>
      </c>
      <c r="I1376" s="23">
        <v>4000000.0</v>
      </c>
      <c r="J1376" s="23">
        <v>3444859.19</v>
      </c>
      <c r="K1376" s="24">
        <v>9.0000055E7</v>
      </c>
      <c r="L1376" s="1" t="s">
        <v>1776</v>
      </c>
      <c r="M1376" s="1" t="s">
        <v>2128</v>
      </c>
      <c r="N1376" s="63" t="s">
        <v>1245</v>
      </c>
      <c r="O1376" s="63" t="s">
        <v>1245</v>
      </c>
      <c r="P1376" s="68">
        <v>34.0</v>
      </c>
      <c r="Q1376" s="1" t="s">
        <v>2130</v>
      </c>
      <c r="R1376" s="1" t="s">
        <v>13</v>
      </c>
      <c r="S1376" s="1"/>
      <c r="T1376" s="1"/>
      <c r="U1376" s="1" t="s">
        <v>1268</v>
      </c>
      <c r="V1376" s="1" t="s">
        <v>1268</v>
      </c>
      <c r="W1376" s="145">
        <f t="shared" si="1"/>
        <v>0.0000704680709</v>
      </c>
      <c r="AC1376" s="38"/>
    </row>
    <row r="1377" ht="15.75" customHeight="1">
      <c r="A1377" s="1" t="s">
        <v>1916</v>
      </c>
      <c r="B1377" s="1" t="s">
        <v>2127</v>
      </c>
      <c r="C1377" s="63">
        <v>46384.0</v>
      </c>
      <c r="D1377" s="63" t="s">
        <v>130</v>
      </c>
      <c r="E1377" s="68">
        <v>0.8798575</v>
      </c>
      <c r="F1377" s="1"/>
      <c r="G1377" s="23">
        <v>2.0E7</v>
      </c>
      <c r="H1377" s="23">
        <v>1.759715004E7</v>
      </c>
      <c r="I1377" s="23">
        <v>2.0E7</v>
      </c>
      <c r="J1377" s="23">
        <v>1.759715004E7</v>
      </c>
      <c r="K1377" s="24">
        <v>2.0411015E7</v>
      </c>
      <c r="L1377" s="1" t="s">
        <v>1776</v>
      </c>
      <c r="M1377" s="1" t="s">
        <v>2128</v>
      </c>
      <c r="N1377" s="63" t="s">
        <v>1589</v>
      </c>
      <c r="O1377" s="63" t="s">
        <v>1589</v>
      </c>
      <c r="P1377" s="68">
        <v>28.0</v>
      </c>
      <c r="Q1377" s="1" t="s">
        <v>2130</v>
      </c>
      <c r="R1377" s="1" t="s">
        <v>13</v>
      </c>
      <c r="S1377" s="1"/>
      <c r="T1377" s="1"/>
      <c r="U1377" s="1" t="s">
        <v>1591</v>
      </c>
      <c r="V1377" s="1" t="s">
        <v>1591</v>
      </c>
      <c r="W1377" s="145">
        <f t="shared" si="1"/>
        <v>0.0003599674611</v>
      </c>
      <c r="AC1377" s="38"/>
    </row>
    <row r="1378" ht="15.75" customHeight="1">
      <c r="A1378" s="1" t="s">
        <v>1977</v>
      </c>
      <c r="B1378" s="1" t="s">
        <v>2127</v>
      </c>
      <c r="C1378" s="63">
        <v>46393.0</v>
      </c>
      <c r="D1378" s="63" t="s">
        <v>130</v>
      </c>
      <c r="E1378" s="68">
        <v>0.8667776</v>
      </c>
      <c r="F1378" s="1"/>
      <c r="G1378" s="23">
        <v>5600000.0</v>
      </c>
      <c r="H1378" s="23">
        <v>4853954.56</v>
      </c>
      <c r="I1378" s="23">
        <v>5600000.0</v>
      </c>
      <c r="J1378" s="23">
        <v>4853954.56</v>
      </c>
      <c r="K1378" s="24">
        <v>239.0</v>
      </c>
      <c r="L1378" s="1" t="s">
        <v>1776</v>
      </c>
      <c r="M1378" s="1" t="s">
        <v>2128</v>
      </c>
      <c r="N1378" s="63" t="s">
        <v>1589</v>
      </c>
      <c r="O1378" s="63" t="s">
        <v>1589</v>
      </c>
      <c r="P1378" s="68">
        <v>30.0</v>
      </c>
      <c r="Q1378" s="1" t="s">
        <v>2130</v>
      </c>
      <c r="R1378" s="1" t="s">
        <v>13</v>
      </c>
      <c r="S1378" s="1"/>
      <c r="T1378" s="1"/>
      <c r="U1378" s="1" t="s">
        <v>1601</v>
      </c>
      <c r="V1378" s="1" t="s">
        <v>1601</v>
      </c>
      <c r="W1378" s="145">
        <f t="shared" si="1"/>
        <v>0.00009929253859</v>
      </c>
      <c r="AC1378" s="38"/>
    </row>
    <row r="1379" ht="15.75" customHeight="1">
      <c r="A1379" s="1" t="s">
        <v>1941</v>
      </c>
      <c r="B1379" s="1" t="s">
        <v>2127</v>
      </c>
      <c r="C1379" s="63">
        <v>46399.0</v>
      </c>
      <c r="D1379" s="63" t="s">
        <v>130</v>
      </c>
      <c r="E1379" s="68">
        <v>0.87103868</v>
      </c>
      <c r="F1379" s="1"/>
      <c r="G1379" s="23">
        <v>7.138929E7</v>
      </c>
      <c r="H1379" s="23">
        <v>6.218283326E7</v>
      </c>
      <c r="I1379" s="23">
        <v>7.138929E7</v>
      </c>
      <c r="J1379" s="23">
        <v>6.218283326E7</v>
      </c>
      <c r="K1379" s="24">
        <v>155356.0</v>
      </c>
      <c r="L1379" s="1" t="s">
        <v>1776</v>
      </c>
      <c r="M1379" s="1" t="s">
        <v>2128</v>
      </c>
      <c r="N1379" s="63" t="s">
        <v>1571</v>
      </c>
      <c r="O1379" s="63" t="s">
        <v>1571</v>
      </c>
      <c r="P1379" s="68">
        <v>28.0</v>
      </c>
      <c r="Q1379" s="1" t="s">
        <v>2130</v>
      </c>
      <c r="R1379" s="1" t="s">
        <v>13</v>
      </c>
      <c r="S1379" s="1"/>
      <c r="T1379" s="1"/>
      <c r="U1379" s="1" t="s">
        <v>1582</v>
      </c>
      <c r="V1379" s="1" t="s">
        <v>1582</v>
      </c>
      <c r="W1379" s="145">
        <f t="shared" si="1"/>
        <v>0.001272012602</v>
      </c>
      <c r="AC1379" s="38"/>
    </row>
    <row r="1380" ht="15.75" customHeight="1">
      <c r="A1380" s="1" t="s">
        <v>1982</v>
      </c>
      <c r="B1380" s="1"/>
      <c r="C1380" s="63"/>
      <c r="D1380" s="63"/>
      <c r="E1380" s="68"/>
      <c r="F1380" s="1"/>
      <c r="G1380" s="23"/>
      <c r="H1380" s="23"/>
      <c r="I1380" s="23"/>
      <c r="J1380" s="23"/>
      <c r="K1380" s="24"/>
      <c r="L1380" s="1"/>
      <c r="M1380" s="1"/>
      <c r="N1380" s="63"/>
      <c r="O1380" s="63"/>
      <c r="P1380" s="68"/>
      <c r="Q1380" s="1"/>
      <c r="R1380" s="1"/>
      <c r="S1380" s="1"/>
      <c r="T1380" s="1"/>
      <c r="U1380" s="1" t="s">
        <v>1684</v>
      </c>
      <c r="V1380" s="1" t="s">
        <v>1684</v>
      </c>
      <c r="W1380" s="145">
        <f t="shared" si="1"/>
        <v>0</v>
      </c>
      <c r="AC1380" s="38"/>
    </row>
    <row r="1381" ht="15.75" customHeight="1">
      <c r="A1381" s="1" t="s">
        <v>2102</v>
      </c>
      <c r="B1381" s="1"/>
      <c r="C1381" s="63"/>
      <c r="D1381" s="63"/>
      <c r="E1381" s="68"/>
      <c r="F1381" s="1"/>
      <c r="G1381" s="23"/>
      <c r="H1381" s="23"/>
      <c r="I1381" s="23"/>
      <c r="J1381" s="23"/>
      <c r="K1381" s="24"/>
      <c r="L1381" s="1"/>
      <c r="M1381" s="1"/>
      <c r="N1381" s="63"/>
      <c r="O1381" s="63"/>
      <c r="P1381" s="68"/>
      <c r="Q1381" s="1"/>
      <c r="R1381" s="1"/>
      <c r="S1381" s="1"/>
      <c r="T1381" s="1"/>
      <c r="U1381" s="1" t="s">
        <v>1669</v>
      </c>
      <c r="V1381" s="1" t="s">
        <v>1669</v>
      </c>
      <c r="W1381" s="145">
        <f t="shared" si="1"/>
        <v>0</v>
      </c>
      <c r="AC1381" s="38"/>
    </row>
    <row r="1382" ht="15.75" customHeight="1">
      <c r="A1382" s="1" t="s">
        <v>1977</v>
      </c>
      <c r="B1382" s="1" t="s">
        <v>2127</v>
      </c>
      <c r="C1382" s="63">
        <v>46428.0</v>
      </c>
      <c r="D1382" s="63" t="s">
        <v>130</v>
      </c>
      <c r="E1382" s="68">
        <v>0.84569065</v>
      </c>
      <c r="F1382" s="1"/>
      <c r="G1382" s="23">
        <v>1.25E7</v>
      </c>
      <c r="H1382" s="23">
        <v>1.057113307E7</v>
      </c>
      <c r="I1382" s="23">
        <v>1.25E7</v>
      </c>
      <c r="J1382" s="23">
        <v>1.057113307E7</v>
      </c>
      <c r="K1382" s="24">
        <v>240.0</v>
      </c>
      <c r="L1382" s="1" t="s">
        <v>1776</v>
      </c>
      <c r="M1382" s="1" t="s">
        <v>2128</v>
      </c>
      <c r="N1382" s="63" t="s">
        <v>1589</v>
      </c>
      <c r="O1382" s="63" t="s">
        <v>1589</v>
      </c>
      <c r="P1382" s="68">
        <v>30.0</v>
      </c>
      <c r="Q1382" s="1" t="s">
        <v>2130</v>
      </c>
      <c r="R1382" s="1" t="s">
        <v>13</v>
      </c>
      <c r="S1382" s="1"/>
      <c r="T1382" s="1"/>
      <c r="U1382" s="1" t="s">
        <v>1595</v>
      </c>
      <c r="V1382" s="1" t="s">
        <v>1595</v>
      </c>
      <c r="W1382" s="145">
        <f t="shared" si="1"/>
        <v>0.0002162431942</v>
      </c>
      <c r="AC1382" s="38"/>
    </row>
    <row r="1383" ht="15.75" customHeight="1">
      <c r="A1383" s="1" t="s">
        <v>1941</v>
      </c>
      <c r="B1383" s="1" t="s">
        <v>2127</v>
      </c>
      <c r="C1383" s="63">
        <v>46429.0</v>
      </c>
      <c r="D1383" s="63" t="s">
        <v>130</v>
      </c>
      <c r="E1383" s="68">
        <v>0.85392109</v>
      </c>
      <c r="F1383" s="1"/>
      <c r="G1383" s="23">
        <v>7.449558E7</v>
      </c>
      <c r="H1383" s="23">
        <v>6.361334683E7</v>
      </c>
      <c r="I1383" s="23">
        <v>7.449558E7</v>
      </c>
      <c r="J1383" s="23">
        <v>6.361334683E7</v>
      </c>
      <c r="K1383" s="24">
        <v>155357.0</v>
      </c>
      <c r="L1383" s="1" t="s">
        <v>1776</v>
      </c>
      <c r="M1383" s="1" t="s">
        <v>2128</v>
      </c>
      <c r="N1383" s="63" t="s">
        <v>1571</v>
      </c>
      <c r="O1383" s="63" t="s">
        <v>1571</v>
      </c>
      <c r="P1383" s="68">
        <v>28.0</v>
      </c>
      <c r="Q1383" s="1" t="s">
        <v>2130</v>
      </c>
      <c r="R1383" s="1" t="s">
        <v>13</v>
      </c>
      <c r="S1383" s="1"/>
      <c r="T1383" s="1"/>
      <c r="U1383" s="1" t="s">
        <v>1580</v>
      </c>
      <c r="V1383" s="1" t="s">
        <v>1580</v>
      </c>
      <c r="W1383" s="145">
        <f t="shared" si="1"/>
        <v>0.001301275201</v>
      </c>
      <c r="AC1383" s="38"/>
    </row>
    <row r="1384" ht="15.75" customHeight="1">
      <c r="A1384" s="1" t="s">
        <v>1982</v>
      </c>
      <c r="B1384" s="1"/>
      <c r="C1384" s="63"/>
      <c r="D1384" s="63"/>
      <c r="E1384" s="68"/>
      <c r="F1384" s="1"/>
      <c r="G1384" s="23"/>
      <c r="H1384" s="23"/>
      <c r="I1384" s="23"/>
      <c r="J1384" s="23"/>
      <c r="K1384" s="24"/>
      <c r="L1384" s="1"/>
      <c r="M1384" s="1"/>
      <c r="N1384" s="63"/>
      <c r="O1384" s="63"/>
      <c r="P1384" s="68"/>
      <c r="Q1384" s="1"/>
      <c r="R1384" s="1"/>
      <c r="S1384" s="1"/>
      <c r="T1384" s="1"/>
      <c r="U1384" s="1" t="s">
        <v>1686</v>
      </c>
      <c r="V1384" s="1" t="s">
        <v>1686</v>
      </c>
      <c r="W1384" s="145">
        <f t="shared" si="1"/>
        <v>0</v>
      </c>
      <c r="AC1384" s="38"/>
    </row>
    <row r="1385" ht="15.75" customHeight="1">
      <c r="A1385" s="1" t="s">
        <v>1977</v>
      </c>
      <c r="B1385" s="1" t="s">
        <v>2127</v>
      </c>
      <c r="C1385" s="63">
        <v>46434.0</v>
      </c>
      <c r="D1385" s="63" t="s">
        <v>130</v>
      </c>
      <c r="E1385" s="68">
        <v>0.84217818</v>
      </c>
      <c r="F1385" s="1"/>
      <c r="G1385" s="23">
        <v>1.25E7</v>
      </c>
      <c r="H1385" s="23">
        <v>1.052722725E7</v>
      </c>
      <c r="I1385" s="23">
        <v>1.25E7</v>
      </c>
      <c r="J1385" s="23">
        <v>1.052722725E7</v>
      </c>
      <c r="K1385" s="24">
        <v>241.0</v>
      </c>
      <c r="L1385" s="1" t="s">
        <v>1776</v>
      </c>
      <c r="M1385" s="1" t="s">
        <v>2128</v>
      </c>
      <c r="N1385" s="63" t="s">
        <v>1589</v>
      </c>
      <c r="O1385" s="63" t="s">
        <v>1589</v>
      </c>
      <c r="P1385" s="68">
        <v>30.0</v>
      </c>
      <c r="Q1385" s="1" t="s">
        <v>2130</v>
      </c>
      <c r="R1385" s="1" t="s">
        <v>13</v>
      </c>
      <c r="S1385" s="1"/>
      <c r="T1385" s="1"/>
      <c r="U1385" s="1" t="s">
        <v>1597</v>
      </c>
      <c r="V1385" s="1" t="s">
        <v>1597</v>
      </c>
      <c r="W1385" s="145">
        <f t="shared" si="1"/>
        <v>0.0002153450563</v>
      </c>
      <c r="AC1385" s="38"/>
    </row>
    <row r="1386" ht="15.75" customHeight="1">
      <c r="A1386" s="1" t="s">
        <v>1982</v>
      </c>
      <c r="B1386" s="1"/>
      <c r="C1386" s="63"/>
      <c r="D1386" s="63"/>
      <c r="E1386" s="68"/>
      <c r="F1386" s="1"/>
      <c r="G1386" s="23"/>
      <c r="H1386" s="23"/>
      <c r="I1386" s="23"/>
      <c r="J1386" s="23"/>
      <c r="K1386" s="24"/>
      <c r="L1386" s="1"/>
      <c r="M1386" s="1"/>
      <c r="N1386" s="63"/>
      <c r="O1386" s="63"/>
      <c r="P1386" s="68"/>
      <c r="Q1386" s="1"/>
      <c r="R1386" s="1"/>
      <c r="S1386" s="1"/>
      <c r="T1386" s="1"/>
      <c r="U1386" s="1"/>
      <c r="V1386" s="1" t="s">
        <v>1678</v>
      </c>
      <c r="W1386" s="145">
        <f t="shared" si="1"/>
        <v>0</v>
      </c>
      <c r="AC1386" s="38"/>
    </row>
    <row r="1387" ht="15.75" customHeight="1">
      <c r="A1387" s="1" t="s">
        <v>1982</v>
      </c>
      <c r="B1387" s="1"/>
      <c r="C1387" s="63"/>
      <c r="D1387" s="63"/>
      <c r="E1387" s="68"/>
      <c r="F1387" s="1"/>
      <c r="G1387" s="23"/>
      <c r="H1387" s="23"/>
      <c r="I1387" s="23"/>
      <c r="J1387" s="23"/>
      <c r="K1387" s="24"/>
      <c r="L1387" s="1"/>
      <c r="M1387" s="1"/>
      <c r="N1387" s="63"/>
      <c r="O1387" s="63"/>
      <c r="P1387" s="68"/>
      <c r="Q1387" s="1"/>
      <c r="R1387" s="1"/>
      <c r="S1387" s="1"/>
      <c r="T1387" s="1"/>
      <c r="U1387" s="1"/>
      <c r="V1387" s="1" t="s">
        <v>1682</v>
      </c>
      <c r="W1387" s="145">
        <f t="shared" si="1"/>
        <v>0</v>
      </c>
      <c r="AC1387" s="38"/>
    </row>
    <row r="1388" ht="15.75" customHeight="1">
      <c r="A1388" s="1" t="s">
        <v>1982</v>
      </c>
      <c r="B1388" s="1"/>
      <c r="C1388" s="63"/>
      <c r="D1388" s="63"/>
      <c r="E1388" s="68"/>
      <c r="F1388" s="1"/>
      <c r="G1388" s="23"/>
      <c r="H1388" s="23"/>
      <c r="I1388" s="23"/>
      <c r="J1388" s="23"/>
      <c r="K1388" s="24"/>
      <c r="L1388" s="1"/>
      <c r="M1388" s="1"/>
      <c r="N1388" s="63"/>
      <c r="O1388" s="63"/>
      <c r="P1388" s="68"/>
      <c r="Q1388" s="1"/>
      <c r="R1388" s="1"/>
      <c r="S1388" s="1"/>
      <c r="T1388" s="1"/>
      <c r="U1388" s="1"/>
      <c r="V1388" s="1" t="s">
        <v>1680</v>
      </c>
      <c r="W1388" s="145">
        <f t="shared" si="1"/>
        <v>0</v>
      </c>
      <c r="AC1388" s="38"/>
    </row>
    <row r="1389" ht="15.75" customHeight="1">
      <c r="A1389" s="1" t="s">
        <v>1982</v>
      </c>
      <c r="B1389" s="1"/>
      <c r="C1389" s="63"/>
      <c r="D1389" s="63"/>
      <c r="E1389" s="68"/>
      <c r="F1389" s="1"/>
      <c r="G1389" s="23"/>
      <c r="H1389" s="23"/>
      <c r="I1389" s="23"/>
      <c r="J1389" s="23"/>
      <c r="K1389" s="24"/>
      <c r="L1389" s="1"/>
      <c r="M1389" s="1"/>
      <c r="N1389" s="63"/>
      <c r="O1389" s="63"/>
      <c r="P1389" s="68"/>
      <c r="Q1389" s="1"/>
      <c r="R1389" s="1"/>
      <c r="S1389" s="1"/>
      <c r="T1389" s="1"/>
      <c r="U1389" s="1"/>
      <c r="V1389" s="1" t="s">
        <v>1676</v>
      </c>
      <c r="W1389" s="145">
        <f t="shared" si="1"/>
        <v>0</v>
      </c>
      <c r="AC1389" s="38"/>
    </row>
    <row r="1390" ht="15.75" customHeight="1">
      <c r="A1390" s="1" t="s">
        <v>2102</v>
      </c>
      <c r="B1390" s="1"/>
      <c r="C1390" s="63"/>
      <c r="D1390" s="63"/>
      <c r="E1390" s="68"/>
      <c r="F1390" s="1"/>
      <c r="G1390" s="23"/>
      <c r="H1390" s="23"/>
      <c r="I1390" s="23"/>
      <c r="J1390" s="23"/>
      <c r="K1390" s="24"/>
      <c r="L1390" s="1"/>
      <c r="M1390" s="1"/>
      <c r="N1390" s="63"/>
      <c r="O1390" s="63"/>
      <c r="P1390" s="68"/>
      <c r="Q1390" s="1"/>
      <c r="R1390" s="1"/>
      <c r="S1390" s="1"/>
      <c r="T1390" s="1"/>
      <c r="U1390" s="1"/>
      <c r="V1390" s="1" t="s">
        <v>1665</v>
      </c>
      <c r="W1390" s="145">
        <f t="shared" si="1"/>
        <v>0</v>
      </c>
      <c r="AC1390" s="38"/>
    </row>
    <row r="1391" ht="15.75" customHeight="1">
      <c r="A1391" s="1" t="s">
        <v>2102</v>
      </c>
      <c r="B1391" s="1"/>
      <c r="C1391" s="63"/>
      <c r="D1391" s="63"/>
      <c r="E1391" s="68"/>
      <c r="F1391" s="1"/>
      <c r="G1391" s="23"/>
      <c r="H1391" s="23"/>
      <c r="I1391" s="23"/>
      <c r="J1391" s="23"/>
      <c r="K1391" s="24"/>
      <c r="L1391" s="1"/>
      <c r="M1391" s="1"/>
      <c r="N1391" s="63"/>
      <c r="O1391" s="63"/>
      <c r="P1391" s="68"/>
      <c r="Q1391" s="1"/>
      <c r="R1391" s="1"/>
      <c r="S1391" s="1"/>
      <c r="T1391" s="1"/>
      <c r="U1391" s="1"/>
      <c r="V1391" s="1" t="s">
        <v>1662</v>
      </c>
      <c r="W1391" s="145">
        <f t="shared" si="1"/>
        <v>0</v>
      </c>
      <c r="AC1391" s="38"/>
    </row>
    <row r="1392" ht="15.75" customHeight="1">
      <c r="A1392" s="1" t="s">
        <v>2102</v>
      </c>
      <c r="B1392" s="1"/>
      <c r="C1392" s="63"/>
      <c r="D1392" s="63"/>
      <c r="E1392" s="68"/>
      <c r="F1392" s="1"/>
      <c r="G1392" s="23"/>
      <c r="H1392" s="23"/>
      <c r="I1392" s="23"/>
      <c r="J1392" s="23"/>
      <c r="K1392" s="24"/>
      <c r="L1392" s="1"/>
      <c r="M1392" s="1"/>
      <c r="N1392" s="63"/>
      <c r="O1392" s="63"/>
      <c r="P1392" s="68"/>
      <c r="Q1392" s="1"/>
      <c r="R1392" s="1"/>
      <c r="S1392" s="1"/>
      <c r="T1392" s="1"/>
      <c r="U1392" s="1"/>
      <c r="V1392" s="1" t="s">
        <v>1667</v>
      </c>
      <c r="W1392" s="145">
        <f t="shared" si="1"/>
        <v>0</v>
      </c>
      <c r="AC1392" s="38"/>
    </row>
  </sheetData>
  <autoFilter ref="$A$3:$AI$3">
    <sortState ref="A3:AI3">
      <sortCondition ref="B3"/>
      <sortCondition ref="C3"/>
    </sortState>
  </autoFilter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5.71"/>
    <col customWidth="1" min="3" max="3" width="26.0"/>
    <col customWidth="1" min="4" max="4" width="24.0"/>
    <col customWidth="1" min="5" max="5" width="22.57"/>
    <col customWidth="1" min="6" max="6" width="15.0"/>
    <col customWidth="1" min="7" max="7" width="24.0"/>
    <col customWidth="1" min="8" max="8" width="55.0"/>
    <col customWidth="1" min="9" max="9" width="18.0"/>
    <col customWidth="1" min="10" max="10" width="15.0"/>
    <col customWidth="1" min="11" max="26" width="10.71"/>
  </cols>
  <sheetData>
    <row r="1">
      <c r="A1" s="138" t="s">
        <v>2145</v>
      </c>
      <c r="B1" s="138"/>
      <c r="C1" s="138"/>
      <c r="D1" s="138"/>
      <c r="E1" s="138"/>
      <c r="F1" s="138"/>
      <c r="G1" s="138"/>
      <c r="H1" s="138"/>
      <c r="I1" s="138"/>
      <c r="J1" s="138"/>
    </row>
    <row r="2">
      <c r="A2" s="18" t="s">
        <v>2112</v>
      </c>
      <c r="B2" s="18" t="s">
        <v>2146</v>
      </c>
      <c r="C2" s="18" t="s">
        <v>2147</v>
      </c>
      <c r="D2" s="18" t="s">
        <v>2148</v>
      </c>
      <c r="E2" s="18" t="s">
        <v>2149</v>
      </c>
      <c r="F2" s="18" t="s">
        <v>2108</v>
      </c>
      <c r="G2" s="18" t="s">
        <v>2112</v>
      </c>
      <c r="H2" s="18" t="s">
        <v>2150</v>
      </c>
      <c r="I2" s="18" t="s">
        <v>2112</v>
      </c>
      <c r="J2" s="18" t="s">
        <v>2151</v>
      </c>
    </row>
    <row r="3">
      <c r="A3" s="18" t="s">
        <v>2119</v>
      </c>
      <c r="B3" s="18" t="s">
        <v>2119</v>
      </c>
      <c r="C3" s="18"/>
      <c r="D3" s="18"/>
      <c r="E3" s="18"/>
      <c r="F3" s="18" t="s">
        <v>2152</v>
      </c>
      <c r="G3" s="18" t="s">
        <v>2153</v>
      </c>
      <c r="H3" s="18"/>
      <c r="I3" s="18" t="s">
        <v>2154</v>
      </c>
      <c r="J3" s="18"/>
    </row>
    <row r="4">
      <c r="A4" s="1" t="s">
        <v>1776</v>
      </c>
      <c r="B4" s="1" t="s">
        <v>2155</v>
      </c>
      <c r="C4" s="1" t="s">
        <v>2156</v>
      </c>
      <c r="D4" s="68">
        <v>1.786942928879582E10</v>
      </c>
      <c r="E4" s="23">
        <v>3.079930158644E10</v>
      </c>
      <c r="F4" s="1" t="s">
        <v>1752</v>
      </c>
      <c r="G4" s="63" t="s">
        <v>130</v>
      </c>
      <c r="H4" s="1" t="s">
        <v>2157</v>
      </c>
      <c r="I4" s="69">
        <v>1.723575</v>
      </c>
      <c r="J4" s="68">
        <v>84.2901883</v>
      </c>
    </row>
    <row r="5">
      <c r="A5" s="1" t="s">
        <v>1776</v>
      </c>
      <c r="B5" s="1" t="s">
        <v>2158</v>
      </c>
      <c r="C5" s="1" t="s">
        <v>2156</v>
      </c>
      <c r="D5" s="68">
        <v>5.81503535541496E8</v>
      </c>
      <c r="E5" s="23">
        <v>1.00226495627E9</v>
      </c>
      <c r="F5" s="1" t="s">
        <v>1752</v>
      </c>
      <c r="G5" s="63" t="s">
        <v>130</v>
      </c>
      <c r="H5" s="1" t="s">
        <v>2157</v>
      </c>
      <c r="I5" s="69">
        <v>1.723575</v>
      </c>
      <c r="J5" s="68">
        <v>2.74295512</v>
      </c>
    </row>
    <row r="6">
      <c r="A6" s="1" t="s">
        <v>1776</v>
      </c>
      <c r="B6" s="1" t="s">
        <v>2159</v>
      </c>
      <c r="C6" s="1" t="s">
        <v>2156</v>
      </c>
      <c r="D6" s="68">
        <v>3.34081676288218E8</v>
      </c>
      <c r="E6" s="23">
        <v>5.7581482521E8</v>
      </c>
      <c r="F6" s="1" t="s">
        <v>1752</v>
      </c>
      <c r="G6" s="63" t="s">
        <v>130</v>
      </c>
      <c r="H6" s="1" t="s">
        <v>2157</v>
      </c>
      <c r="I6" s="69">
        <v>1.723575</v>
      </c>
      <c r="J6" s="68">
        <v>1.57586496</v>
      </c>
    </row>
    <row r="7">
      <c r="A7" s="1" t="s">
        <v>1776</v>
      </c>
      <c r="B7" s="1" t="s">
        <v>2155</v>
      </c>
      <c r="C7" s="1" t="s">
        <v>2160</v>
      </c>
      <c r="D7" s="68">
        <v>3.264109572325582E9</v>
      </c>
      <c r="E7" s="23">
        <v>5.5844638799E9</v>
      </c>
      <c r="F7" s="1" t="s">
        <v>1752</v>
      </c>
      <c r="G7" s="63" t="s">
        <v>130</v>
      </c>
      <c r="H7" s="1" t="s">
        <v>2157</v>
      </c>
      <c r="I7" s="69">
        <v>1.710869</v>
      </c>
      <c r="J7" s="68">
        <v>95.07345063</v>
      </c>
    </row>
    <row r="8">
      <c r="A8" s="1" t="s">
        <v>1776</v>
      </c>
      <c r="B8" s="1" t="s">
        <v>2161</v>
      </c>
      <c r="C8" s="1" t="s">
        <v>2156</v>
      </c>
      <c r="D8" s="68">
        <v>1.807834101991314E9</v>
      </c>
      <c r="E8" s="23">
        <v>3.11593766234E9</v>
      </c>
      <c r="F8" s="1" t="s">
        <v>1752</v>
      </c>
      <c r="G8" s="63" t="s">
        <v>130</v>
      </c>
      <c r="H8" s="1" t="s">
        <v>2157</v>
      </c>
      <c r="I8" s="69">
        <v>1.723575</v>
      </c>
      <c r="J8" s="68">
        <v>8.5275626</v>
      </c>
    </row>
    <row r="9">
      <c r="A9" s="1" t="s">
        <v>1776</v>
      </c>
      <c r="B9" s="1" t="s">
        <v>2155</v>
      </c>
      <c r="C9" s="1" t="s">
        <v>2162</v>
      </c>
      <c r="D9" s="68">
        <v>4.084992702033945E9</v>
      </c>
      <c r="E9" s="23">
        <v>5.83248313509E9</v>
      </c>
      <c r="F9" s="1" t="s">
        <v>1752</v>
      </c>
      <c r="G9" s="63" t="s">
        <v>130</v>
      </c>
      <c r="H9" s="1" t="s">
        <v>2157</v>
      </c>
      <c r="I9" s="69">
        <v>1.427783</v>
      </c>
      <c r="J9" s="68">
        <v>90.11951907</v>
      </c>
    </row>
    <row r="10">
      <c r="A10" s="1" t="s">
        <v>1776</v>
      </c>
      <c r="B10" s="1" t="s">
        <v>2163</v>
      </c>
      <c r="C10" s="1" t="s">
        <v>2160</v>
      </c>
      <c r="D10" s="68">
        <v>1.69140773328529E8</v>
      </c>
      <c r="E10" s="23">
        <v>2.8937770572E8</v>
      </c>
      <c r="F10" s="1" t="s">
        <v>1752</v>
      </c>
      <c r="G10" s="63" t="s">
        <v>130</v>
      </c>
      <c r="H10" s="1" t="s">
        <v>2157</v>
      </c>
      <c r="I10" s="69">
        <v>1.710869</v>
      </c>
      <c r="J10" s="68">
        <v>4.92654937</v>
      </c>
    </row>
    <row r="11">
      <c r="A11" s="1" t="s">
        <v>1776</v>
      </c>
      <c r="B11" s="1" t="s">
        <v>2163</v>
      </c>
      <c r="C11" s="1" t="s">
        <v>2162</v>
      </c>
      <c r="D11" s="68">
        <v>4.47868484937123E8</v>
      </c>
      <c r="E11" s="23">
        <v>6.3945900903E8</v>
      </c>
      <c r="F11" s="1" t="s">
        <v>1752</v>
      </c>
      <c r="G11" s="63" t="s">
        <v>130</v>
      </c>
      <c r="H11" s="1" t="s">
        <v>2157</v>
      </c>
      <c r="I11" s="69">
        <v>1.427783</v>
      </c>
      <c r="J11" s="68">
        <v>9.88048093</v>
      </c>
    </row>
    <row r="12">
      <c r="A12" s="1" t="s">
        <v>1776</v>
      </c>
      <c r="B12" s="1" t="s">
        <v>2164</v>
      </c>
      <c r="C12" s="1" t="s">
        <v>2156</v>
      </c>
      <c r="D12" s="68">
        <v>2.90751767770748E8</v>
      </c>
      <c r="E12" s="23">
        <v>5.0113247814E8</v>
      </c>
      <c r="F12" s="1" t="s">
        <v>1752</v>
      </c>
      <c r="G12" s="63" t="s">
        <v>130</v>
      </c>
      <c r="H12" s="1" t="s">
        <v>2157</v>
      </c>
      <c r="I12" s="69">
        <v>1.723575</v>
      </c>
      <c r="J12" s="68">
        <v>1.37147756</v>
      </c>
    </row>
    <row r="13">
      <c r="A13" s="1" t="s">
        <v>1776</v>
      </c>
      <c r="B13" s="1" t="s">
        <v>2163</v>
      </c>
      <c r="C13" s="1" t="s">
        <v>2156</v>
      </c>
      <c r="D13" s="68">
        <v>3.16292106612251E8</v>
      </c>
      <c r="E13" s="23">
        <v>5.4515316765E8</v>
      </c>
      <c r="F13" s="1" t="s">
        <v>1752</v>
      </c>
      <c r="G13" s="63" t="s">
        <v>130</v>
      </c>
      <c r="H13" s="1" t="s">
        <v>2157</v>
      </c>
      <c r="I13" s="69">
        <v>1.723575</v>
      </c>
      <c r="J13" s="68">
        <v>1.49195147</v>
      </c>
    </row>
    <row r="14">
      <c r="A14" s="147"/>
      <c r="B14" s="147"/>
      <c r="C14" s="147"/>
      <c r="D14" s="148">
        <v>2.9166004009625027E10</v>
      </c>
      <c r="E14" s="149">
        <v>4.888538840579E10</v>
      </c>
      <c r="F14" s="147"/>
      <c r="G14" s="147"/>
      <c r="H14" s="147"/>
      <c r="I14" s="147"/>
      <c r="J14" s="1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2023-01-13T17:18:52Z</dcterms:created>
  <dc:creator>Leandro Stimoli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
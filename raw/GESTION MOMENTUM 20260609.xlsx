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zofingenarg.sharepoint.com/sites/I_Mesa/Documentos compartidos/Mesa/Fondos/FCI Momentum/GESTION MOMENTUM/"/>
    </mc:Choice>
  </mc:AlternateContent>
  <xr:revisionPtr revIDLastSave="4651" documentId="8_{EB75218D-2B89-4C0B-9C31-74AD954AF6A1}" xr6:coauthVersionLast="47" xr6:coauthVersionMax="47" xr10:uidLastSave="{6671BAC5-3FC7-4E2C-BD86-5A8CB2332576}"/>
  <bookViews>
    <workbookView xWindow="-120" yWindow="-120" windowWidth="29040" windowHeight="15720" tabRatio="796" xr2:uid="{2DE2B979-DFAC-496B-9F16-62E42257CB8D}"/>
  </bookViews>
  <sheets>
    <sheet name="GESTION MOMENTUM" sheetId="1" r:id="rId1"/>
    <sheet name="Parametros" sheetId="2" r:id="rId2"/>
    <sheet name="Cheques pendientes" sheetId="3" r:id="rId3"/>
    <sheet name="Concentración" sheetId="55" r:id="rId4"/>
    <sheet name="Reporte de Cheques" sheetId="7" r:id="rId5"/>
    <sheet name="Posicion cuotapartista" sheetId="56" r:id="rId6"/>
  </sheets>
  <definedNames>
    <definedName name="_xlnm._FilterDatabase" localSheetId="2" hidden="1">'Cheques pendientes'!$A$1:$I$98</definedName>
    <definedName name="_xlnm._FilterDatabase" localSheetId="0" hidden="1">'GESTION MOMENTUM'!$A$42:$I$125</definedName>
    <definedName name="_xlnm._FilterDatabase" localSheetId="5" hidden="1">'Posicion cuotapartista'!#REF!</definedName>
    <definedName name="_xlnm._FilterDatabase" localSheetId="4" hidden="1">'Reporte de Cheques'!$A$3:$AI$3</definedName>
  </definedNames>
  <calcPr calcId="191029"/>
  <pivotCaches>
    <pivotCache cacheId="4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56" l="1"/>
  <c r="L32" i="1"/>
  <c r="L12" i="1"/>
  <c r="L11" i="1"/>
  <c r="L13" i="1"/>
  <c r="I96" i="3"/>
  <c r="L15" i="3" l="1"/>
  <c r="E99" i="3" a="1"/>
  <c r="I93" i="3"/>
  <c r="I94" i="3"/>
  <c r="I95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L23" i="1"/>
  <c r="E99" i="3" l="1"/>
  <c r="D10" i="2" l="1"/>
  <c r="F10" i="2" s="1"/>
  <c r="L14" i="1" l="1"/>
  <c r="L40" i="1"/>
  <c r="L42" i="1" l="1"/>
  <c r="L41" i="1"/>
  <c r="D11" i="2" l="1"/>
  <c r="F11" i="2" l="1"/>
  <c r="D2" i="2" l="1"/>
  <c r="E16" i="2"/>
  <c r="F16" i="2" s="1"/>
  <c r="E21" i="2"/>
  <c r="F21" i="2" s="1"/>
  <c r="E20" i="2"/>
  <c r="F20" i="2" s="1"/>
  <c r="E19" i="2"/>
  <c r="F19" i="2" s="1"/>
  <c r="E18" i="2"/>
  <c r="F18" i="2" s="1"/>
  <c r="E17" i="2"/>
  <c r="F17" i="2" s="1"/>
  <c r="F13" i="2" l="1"/>
  <c r="F22" i="2"/>
  <c r="C23" i="2" l="1"/>
  <c r="L10" i="1"/>
  <c r="L18" i="1" s="1"/>
  <c r="V33" i="3"/>
  <c r="V34" i="3"/>
  <c r="U3" i="3" a="1"/>
  <c r="L12" i="3"/>
  <c r="L8" i="3"/>
  <c r="M15" i="3" s="1"/>
  <c r="L11" i="3"/>
  <c r="V32" i="3" l="1"/>
  <c r="V31" i="3"/>
  <c r="V30" i="3"/>
  <c r="V29" i="3"/>
  <c r="V27" i="3"/>
  <c r="V28" i="3"/>
  <c r="U3" i="3"/>
  <c r="V3" i="3" s="1"/>
  <c r="M11" i="3"/>
  <c r="V23" i="3"/>
  <c r="V12" i="3"/>
  <c r="V17" i="3"/>
  <c r="V5" i="3"/>
  <c r="V9" i="3"/>
  <c r="L13" i="3"/>
  <c r="V18" i="3"/>
  <c r="V6" i="3"/>
  <c r="V16" i="3"/>
  <c r="V4" i="3"/>
  <c r="V22" i="3"/>
  <c r="V10" i="3"/>
  <c r="V21" i="3"/>
  <c r="V11" i="3"/>
  <c r="V20" i="3"/>
  <c r="V8" i="3"/>
  <c r="V19" i="3"/>
  <c r="V7" i="3"/>
  <c r="V26" i="3"/>
  <c r="V15" i="3"/>
  <c r="V25" i="3"/>
  <c r="V14" i="3"/>
  <c r="V24" i="3"/>
  <c r="V13" i="3"/>
  <c r="K21" i="3" l="1" a="1"/>
  <c r="K21" i="3" s="1"/>
  <c r="O21" i="3" s="1"/>
  <c r="O30" i="3" l="1"/>
  <c r="M40" i="3"/>
  <c r="M46" i="3"/>
  <c r="M43" i="3"/>
  <c r="O51" i="3"/>
  <c r="O39" i="3"/>
  <c r="M48" i="3"/>
  <c r="M28" i="3"/>
  <c r="O33" i="3"/>
  <c r="O23" i="3"/>
  <c r="O29" i="3"/>
  <c r="M38" i="3"/>
  <c r="M34" i="3"/>
  <c r="M23" i="3"/>
  <c r="M30" i="3"/>
  <c r="M50" i="3"/>
  <c r="O42" i="3"/>
  <c r="M35" i="3"/>
  <c r="M42" i="3"/>
  <c r="O44" i="3"/>
  <c r="O48" i="3"/>
  <c r="M47" i="3"/>
  <c r="O52" i="3"/>
  <c r="O32" i="3"/>
  <c r="O36" i="3"/>
  <c r="O47" i="3"/>
  <c r="O40" i="3"/>
  <c r="M31" i="3"/>
  <c r="O22" i="3"/>
  <c r="O24" i="3"/>
  <c r="O35" i="3"/>
  <c r="M24" i="3"/>
  <c r="M21" i="3"/>
  <c r="M39" i="3"/>
  <c r="O25" i="3"/>
  <c r="M36" i="3"/>
  <c r="M25" i="3"/>
  <c r="M22" i="3"/>
  <c r="M32" i="3"/>
  <c r="M51" i="3"/>
  <c r="M27" i="3"/>
  <c r="M37" i="3"/>
  <c r="M33" i="3"/>
  <c r="M44" i="3"/>
  <c r="O43" i="3"/>
  <c r="M29" i="3"/>
  <c r="O46" i="3"/>
  <c r="M49" i="3"/>
  <c r="M45" i="3"/>
  <c r="O50" i="3"/>
  <c r="O31" i="3"/>
  <c r="M41" i="3"/>
  <c r="O34" i="3"/>
  <c r="O45" i="3"/>
  <c r="O49" i="3"/>
  <c r="O38" i="3"/>
  <c r="O28" i="3"/>
  <c r="O26" i="3"/>
  <c r="O37" i="3"/>
  <c r="M52" i="3"/>
  <c r="O41" i="3"/>
  <c r="M26" i="3"/>
  <c r="O27" i="3"/>
  <c r="I3" i="3" l="1"/>
  <c r="I2" i="3"/>
  <c r="L27" i="1" l="1"/>
  <c r="W2" i="7"/>
  <c r="D1" i="2"/>
  <c r="G2" i="2"/>
  <c r="I2" i="2" s="1"/>
  <c r="I3" i="2" s="1"/>
  <c r="D3" i="2"/>
  <c r="D4" i="2"/>
  <c r="D5" i="2"/>
  <c r="W911" i="7" l="1"/>
  <c r="W829" i="7"/>
  <c r="W409" i="7"/>
  <c r="W1026" i="7"/>
  <c r="W1079" i="7"/>
  <c r="W311" i="7"/>
  <c r="W629" i="7"/>
  <c r="W630" i="7"/>
  <c r="W275" i="7"/>
  <c r="W320" i="7"/>
  <c r="W838" i="7"/>
  <c r="W864" i="7"/>
  <c r="W1145" i="7"/>
  <c r="W1243" i="7"/>
  <c r="W809" i="7"/>
  <c r="W857" i="7"/>
  <c r="W680" i="7"/>
  <c r="W706" i="7"/>
  <c r="W448" i="7"/>
  <c r="W48" i="7"/>
  <c r="W1137" i="7"/>
  <c r="W323" i="7"/>
  <c r="W1305" i="7"/>
  <c r="W877" i="7"/>
  <c r="W430" i="7"/>
  <c r="W160" i="7"/>
  <c r="W614" i="7"/>
  <c r="W1309" i="7"/>
  <c r="W1175" i="7"/>
  <c r="W832" i="7"/>
  <c r="W1075" i="7"/>
  <c r="W1332" i="7"/>
  <c r="W213" i="7"/>
  <c r="W1110" i="7"/>
  <c r="W49" i="7"/>
  <c r="W44" i="7"/>
  <c r="W66" i="7"/>
  <c r="W1056" i="7"/>
  <c r="W1007" i="7"/>
  <c r="W1094" i="7"/>
  <c r="W468" i="7"/>
  <c r="W1013" i="7"/>
  <c r="W769" i="7"/>
  <c r="W40" i="7"/>
  <c r="W1071" i="7"/>
  <c r="W1187" i="7"/>
  <c r="W96" i="7"/>
  <c r="W403" i="7"/>
  <c r="W52" i="7"/>
  <c r="W634" i="7"/>
  <c r="W10" i="7"/>
  <c r="W141" i="7"/>
  <c r="W1229" i="7"/>
  <c r="W908" i="7"/>
  <c r="W849" i="7"/>
  <c r="W172" i="7"/>
  <c r="W799" i="7"/>
  <c r="W252" i="7"/>
  <c r="W572" i="7"/>
  <c r="W1163" i="7"/>
  <c r="W1063" i="7"/>
  <c r="W60" i="7"/>
  <c r="W792" i="7"/>
  <c r="W1255" i="7"/>
  <c r="W535" i="7"/>
  <c r="W1179" i="7"/>
  <c r="W933" i="7"/>
  <c r="W1129" i="7"/>
  <c r="W177" i="7"/>
  <c r="W948" i="7"/>
  <c r="W982" i="7"/>
  <c r="W1339" i="7"/>
  <c r="W1177" i="7"/>
  <c r="W1263" i="7"/>
  <c r="W902" i="7"/>
  <c r="W334" i="7"/>
  <c r="W922" i="7"/>
  <c r="W108" i="7"/>
  <c r="W1142" i="7"/>
  <c r="W731" i="7"/>
  <c r="W1171" i="7"/>
  <c r="W1274" i="7"/>
  <c r="W565" i="7"/>
  <c r="W157" i="7"/>
  <c r="W350" i="7"/>
  <c r="W1043" i="7"/>
  <c r="W665" i="7"/>
  <c r="W431" i="7"/>
  <c r="W147" i="7"/>
  <c r="W490" i="7"/>
  <c r="W520" i="7"/>
  <c r="W63" i="7"/>
  <c r="W1069" i="7"/>
  <c r="W17" i="7"/>
  <c r="W1100" i="7"/>
  <c r="W687" i="7"/>
  <c r="W721" i="7"/>
  <c r="W693" i="7"/>
  <c r="W538" i="7"/>
  <c r="W123" i="7"/>
  <c r="W622" i="7"/>
  <c r="W576" i="7"/>
  <c r="W568" i="7"/>
  <c r="W483" i="7"/>
  <c r="W1250" i="7"/>
  <c r="W527" i="7"/>
  <c r="W467" i="7"/>
  <c r="W1131" i="7"/>
  <c r="W676" i="7"/>
  <c r="W132" i="7"/>
  <c r="W1182" i="7"/>
  <c r="W357" i="7"/>
  <c r="W854" i="7"/>
  <c r="W714" i="7"/>
  <c r="W1324" i="7"/>
  <c r="W1166" i="7"/>
  <c r="W728" i="7"/>
  <c r="W1016" i="7"/>
  <c r="W122" i="7"/>
  <c r="W195" i="7"/>
  <c r="W130" i="7"/>
  <c r="W191" i="7"/>
  <c r="W477" i="7"/>
  <c r="W116" i="7"/>
  <c r="W1126" i="7"/>
  <c r="W884" i="7"/>
  <c r="W221" i="7"/>
  <c r="W943" i="7"/>
  <c r="W1121" i="7"/>
  <c r="W508" i="7"/>
  <c r="W907" i="7"/>
  <c r="W810" i="7"/>
  <c r="W426" i="7"/>
  <c r="W1164" i="7"/>
  <c r="W771" i="7"/>
  <c r="W228" i="7"/>
  <c r="W719" i="7"/>
  <c r="W655" i="7"/>
  <c r="W131" i="7"/>
  <c r="W77" i="7"/>
  <c r="W25" i="7"/>
  <c r="W489" i="7"/>
  <c r="W1093" i="7"/>
  <c r="W787" i="7"/>
  <c r="W528" i="7"/>
  <c r="W308" i="7"/>
  <c r="W1116" i="7"/>
  <c r="W585" i="7"/>
  <c r="W1292" i="7"/>
  <c r="W869" i="7"/>
  <c r="W1291" i="7"/>
  <c r="W659" i="7"/>
  <c r="W797" i="7"/>
  <c r="W338" i="7"/>
  <c r="W310" i="7"/>
  <c r="W514" i="7"/>
  <c r="W1125" i="7"/>
  <c r="W976" i="7"/>
  <c r="W1080" i="7"/>
  <c r="W260" i="7"/>
  <c r="W415" i="7"/>
  <c r="W663" i="7"/>
  <c r="W84" i="7"/>
  <c r="W229" i="7"/>
  <c r="W162" i="7"/>
  <c r="W588" i="7"/>
  <c r="W19" i="7"/>
  <c r="W230" i="7"/>
  <c r="W202" i="7"/>
  <c r="W920" i="7"/>
  <c r="W979" i="7"/>
  <c r="W1119" i="7"/>
  <c r="W67" i="7"/>
  <c r="W38" i="7"/>
  <c r="W358" i="7"/>
  <c r="W824" i="7"/>
  <c r="W1221" i="7"/>
  <c r="W451" i="7"/>
  <c r="W1066" i="7"/>
  <c r="W352" i="7"/>
  <c r="W1326" i="7"/>
  <c r="W331" i="7"/>
  <c r="W821" i="7"/>
  <c r="W1288" i="7"/>
  <c r="W888" i="7"/>
  <c r="W240" i="7"/>
  <c r="W1068" i="7"/>
  <c r="W479" i="7"/>
  <c r="W1296" i="7"/>
  <c r="W1270" i="7"/>
  <c r="W968" i="7"/>
  <c r="W1138" i="7"/>
  <c r="W878" i="7"/>
  <c r="W1287" i="7"/>
  <c r="W291" i="7"/>
  <c r="W833" i="7"/>
  <c r="W874" i="7"/>
  <c r="W217" i="7"/>
  <c r="W1264" i="7"/>
  <c r="W897" i="7"/>
  <c r="W375" i="7"/>
  <c r="W820" i="7"/>
  <c r="W828" i="7"/>
  <c r="W37" i="7"/>
  <c r="W919" i="7"/>
  <c r="W456" i="7"/>
  <c r="W1127" i="7"/>
  <c r="W102" i="7"/>
  <c r="W208" i="7"/>
  <c r="W45" i="7"/>
  <c r="W751" i="7"/>
  <c r="W129" i="7"/>
  <c r="W50" i="7"/>
  <c r="W273" i="7"/>
  <c r="W81" i="7"/>
  <c r="W1051" i="7"/>
  <c r="W748" i="7"/>
  <c r="W861" i="7"/>
  <c r="W83" i="7"/>
  <c r="W1154" i="7"/>
  <c r="W72" i="7"/>
  <c r="W545" i="7"/>
  <c r="W460" i="7"/>
  <c r="W1151" i="7"/>
  <c r="W1298" i="7"/>
  <c r="W726" i="7"/>
  <c r="W419" i="7"/>
  <c r="W151" i="7"/>
  <c r="W423" i="7"/>
  <c r="W314" i="7"/>
  <c r="W1246" i="7"/>
  <c r="W608" i="7"/>
  <c r="W328" i="7"/>
  <c r="W286" i="7"/>
  <c r="W710" i="7"/>
  <c r="W318" i="7"/>
  <c r="W681" i="7"/>
  <c r="W1302" i="7"/>
  <c r="W301" i="7"/>
  <c r="W667" i="7"/>
  <c r="W894" i="7"/>
  <c r="W1261" i="7"/>
  <c r="W503" i="7"/>
  <c r="W712" i="7"/>
  <c r="W487" i="7"/>
  <c r="W377" i="7"/>
  <c r="W1076" i="7"/>
  <c r="W75" i="7"/>
  <c r="W436" i="7"/>
  <c r="W677" i="7"/>
  <c r="W699" i="7"/>
  <c r="W1237" i="7"/>
  <c r="W1306" i="7"/>
  <c r="W1224" i="7"/>
  <c r="W384" i="7"/>
  <c r="W15" i="7"/>
  <c r="W1199" i="7"/>
  <c r="W747" i="7"/>
  <c r="W35" i="7"/>
  <c r="W570" i="7"/>
  <c r="W302" i="7"/>
  <c r="W170" i="7"/>
  <c r="W175" i="7"/>
  <c r="W238" i="7"/>
  <c r="W1299" i="7"/>
  <c r="W1031" i="7"/>
  <c r="W200" i="7"/>
  <c r="W1327" i="7"/>
  <c r="W1346" i="7"/>
  <c r="W958" i="7"/>
  <c r="W632" i="7"/>
  <c r="W600" i="7"/>
  <c r="W713" i="7"/>
  <c r="W949" i="7"/>
  <c r="W469" i="7"/>
  <c r="W232" i="7"/>
  <c r="W480" i="7"/>
  <c r="W247" i="7"/>
  <c r="W1193" i="7"/>
  <c r="W853" i="7"/>
  <c r="W839" i="7"/>
  <c r="W1070" i="7"/>
  <c r="W1073" i="7"/>
  <c r="W1333" i="7"/>
  <c r="W870" i="7"/>
  <c r="W1057" i="7"/>
  <c r="W406" i="7"/>
  <c r="W382" i="7"/>
  <c r="W823" i="7"/>
  <c r="W532" i="7"/>
  <c r="W474" i="7"/>
  <c r="W94" i="7"/>
  <c r="W1108" i="7"/>
  <c r="W293" i="7"/>
  <c r="W8" i="7"/>
  <c r="W443" i="7"/>
  <c r="W408" i="7"/>
  <c r="W980" i="7"/>
  <c r="W442" i="7"/>
  <c r="W1022" i="7"/>
  <c r="W1025" i="7"/>
  <c r="W995" i="7"/>
  <c r="W1096" i="7"/>
  <c r="W269" i="7"/>
  <c r="W504" i="7"/>
  <c r="W903" i="7"/>
  <c r="W882" i="7"/>
  <c r="W321" i="7"/>
  <c r="W1251" i="7"/>
  <c r="W924" i="7"/>
  <c r="W1159" i="7"/>
  <c r="W410" i="7"/>
  <c r="W1282" i="7"/>
  <c r="W185" i="7"/>
  <c r="W319" i="7"/>
  <c r="W602" i="7"/>
  <c r="W1202" i="7"/>
  <c r="W529" i="7"/>
  <c r="W561" i="7"/>
  <c r="W579" i="7"/>
  <c r="W100" i="7"/>
  <c r="W917" i="7"/>
  <c r="W404" i="7"/>
  <c r="W71" i="7"/>
  <c r="W79" i="7"/>
  <c r="W791" i="7"/>
  <c r="W47" i="7"/>
  <c r="W183" i="7"/>
  <c r="W214" i="7"/>
  <c r="W762" i="7"/>
  <c r="W664" i="7"/>
  <c r="W1297" i="7"/>
  <c r="W984" i="7"/>
  <c r="W727" i="7"/>
  <c r="W1130" i="7"/>
  <c r="W246" i="7"/>
  <c r="W272" i="7"/>
  <c r="W703" i="7"/>
  <c r="W786" i="7"/>
  <c r="W1230" i="7"/>
  <c r="W914" i="7"/>
  <c r="W1319" i="7"/>
  <c r="W1023" i="7"/>
  <c r="W364" i="7"/>
  <c r="W1049" i="7"/>
  <c r="W1217" i="7"/>
  <c r="W798" i="7"/>
  <c r="W593" i="7"/>
  <c r="W1103" i="7"/>
  <c r="W1085" i="7"/>
  <c r="W1195" i="7"/>
  <c r="W1218" i="7"/>
  <c r="W425" i="7"/>
  <c r="W656" i="7"/>
  <c r="W14" i="7"/>
  <c r="W1078" i="7"/>
  <c r="W1161" i="7"/>
  <c r="W218" i="7"/>
  <c r="W219" i="7"/>
  <c r="W427" i="7"/>
  <c r="W745" i="7"/>
  <c r="W955" i="7"/>
  <c r="W1053" i="7"/>
  <c r="W187" i="7"/>
  <c r="W178" i="7"/>
  <c r="W407" i="7"/>
  <c r="W1189" i="7"/>
  <c r="W1152" i="7"/>
  <c r="W1004" i="7"/>
  <c r="W1340" i="7"/>
  <c r="W641" i="7"/>
  <c r="W1128" i="7"/>
  <c r="W607" i="7"/>
  <c r="W62" i="7"/>
  <c r="W595" i="7"/>
  <c r="W1252" i="7"/>
  <c r="W1226" i="7"/>
  <c r="W1010" i="7"/>
  <c r="W583" i="7"/>
  <c r="W126" i="7"/>
  <c r="W300" i="7"/>
  <c r="W876" i="7"/>
  <c r="W598" i="7"/>
  <c r="W492" i="7"/>
  <c r="W257" i="7"/>
  <c r="W685" i="7"/>
  <c r="W305" i="7"/>
  <c r="W138" i="7"/>
  <c r="W736" i="7"/>
  <c r="W893" i="7"/>
  <c r="W617" i="7"/>
  <c r="W983" i="7"/>
  <c r="W1285" i="7"/>
  <c r="W1247" i="7"/>
  <c r="W306" i="7"/>
  <c r="W1011" i="7"/>
  <c r="W56" i="7"/>
  <c r="W1265" i="7"/>
  <c r="W250" i="7"/>
  <c r="W1228" i="7"/>
  <c r="W1257" i="7"/>
  <c r="W216" i="7"/>
  <c r="W30" i="7"/>
  <c r="W150" i="7"/>
  <c r="W722" i="7"/>
  <c r="W1314" i="7"/>
  <c r="W992" i="7"/>
  <c r="W841" i="7"/>
  <c r="W1009" i="7"/>
  <c r="W1140" i="7"/>
  <c r="W653" i="7"/>
  <c r="W856" i="7"/>
  <c r="W106" i="7"/>
  <c r="W136" i="7"/>
  <c r="W1061" i="7"/>
  <c r="W173" i="7"/>
  <c r="W761" i="7"/>
  <c r="W315" i="7"/>
  <c r="W1233" i="7"/>
  <c r="W543" i="7"/>
  <c r="W1134" i="7"/>
  <c r="W241" i="7"/>
  <c r="W896" i="7"/>
  <c r="W971" i="7"/>
  <c r="W891" i="7"/>
  <c r="W1284" i="7"/>
  <c r="W41" i="7"/>
  <c r="W1178" i="7"/>
  <c r="W485" i="7"/>
  <c r="W1275" i="7"/>
  <c r="W383" i="7"/>
  <c r="W1136" i="7"/>
  <c r="W733" i="7"/>
  <c r="W707" i="7"/>
  <c r="W741" i="7"/>
  <c r="W1047" i="7"/>
  <c r="W363" i="7"/>
  <c r="W309" i="7"/>
  <c r="W497" i="7"/>
  <c r="W822" i="7"/>
  <c r="W58" i="7"/>
  <c r="W1239" i="7"/>
  <c r="W292" i="7"/>
  <c r="W885" i="7"/>
  <c r="W198" i="7"/>
  <c r="W539" i="7"/>
  <c r="W243" i="7"/>
  <c r="W1089" i="7"/>
  <c r="W222" i="7"/>
  <c r="W1307" i="7"/>
  <c r="W767" i="7"/>
  <c r="W1318" i="7"/>
  <c r="W564" i="7"/>
  <c r="W159" i="7"/>
  <c r="W1054" i="7"/>
  <c r="W1194" i="7"/>
  <c r="W551" i="7"/>
  <c r="W1238" i="7"/>
  <c r="W137" i="7"/>
  <c r="W258" i="7"/>
  <c r="W1268" i="7"/>
  <c r="W718" i="7"/>
  <c r="W725" i="7"/>
  <c r="W909" i="7"/>
  <c r="W416" i="7"/>
  <c r="W259" i="7"/>
  <c r="W701" i="7"/>
  <c r="W455" i="7"/>
  <c r="W954" i="7"/>
  <c r="W78" i="7"/>
  <c r="W452" i="7"/>
  <c r="W42" i="7"/>
  <c r="W359" i="7"/>
  <c r="W1315" i="7"/>
  <c r="W223" i="7"/>
  <c r="W781" i="7"/>
  <c r="W887" i="7"/>
  <c r="W441" i="7"/>
  <c r="W1133" i="7"/>
  <c r="W209" i="7"/>
  <c r="W845" i="7"/>
  <c r="W755" i="7"/>
  <c r="W851" i="7"/>
  <c r="W111" i="7"/>
  <c r="W36" i="7"/>
  <c r="W1295" i="7"/>
  <c r="W525" i="7"/>
  <c r="W1212" i="7"/>
  <c r="W1240" i="7"/>
  <c r="W967" i="7"/>
  <c r="W385" i="7"/>
  <c r="W429" i="7"/>
  <c r="W912" i="7"/>
  <c r="W277" i="7"/>
  <c r="W153" i="7"/>
  <c r="W536" i="7"/>
  <c r="W1204" i="7"/>
  <c r="W890" i="7"/>
  <c r="W844" i="7"/>
  <c r="W276" i="7"/>
  <c r="W1170" i="7"/>
  <c r="W631" i="7"/>
  <c r="W730" i="7"/>
  <c r="W207" i="7"/>
  <c r="W1290" i="7"/>
  <c r="W542" i="7"/>
  <c r="W231" i="7"/>
  <c r="W944" i="7"/>
  <c r="W915" i="7"/>
  <c r="W168" i="7"/>
  <c r="W105" i="7"/>
  <c r="W918" i="7"/>
  <c r="W428" i="7"/>
  <c r="W190" i="7"/>
  <c r="W848" i="7"/>
  <c r="W281" i="7"/>
  <c r="W691" i="7"/>
  <c r="W541" i="7"/>
  <c r="W294" i="7"/>
  <c r="W615" i="7"/>
  <c r="W609" i="7"/>
  <c r="W780" i="7"/>
  <c r="W135" i="7"/>
  <c r="W386" i="7"/>
  <c r="W1172" i="7"/>
  <c r="W154" i="7"/>
  <c r="W830" i="7"/>
  <c r="W196" i="7"/>
  <c r="W1320" i="7"/>
  <c r="W282" i="7"/>
  <c r="W1329" i="7"/>
  <c r="W871" i="7"/>
  <c r="W511" i="7"/>
  <c r="W624" i="7"/>
  <c r="W412" i="7"/>
  <c r="W1242" i="7"/>
  <c r="W648" i="7"/>
  <c r="W784" i="7"/>
  <c r="W1328" i="7"/>
  <c r="W254" i="7"/>
  <c r="W1139" i="7"/>
  <c r="W697" i="7"/>
  <c r="W140" i="7"/>
  <c r="W817" i="7"/>
  <c r="W557" i="7"/>
  <c r="W635" i="7"/>
  <c r="W92" i="7"/>
  <c r="W700" i="7"/>
  <c r="W351" i="7"/>
  <c r="W148" i="7"/>
  <c r="W1203" i="7"/>
  <c r="W1086" i="7"/>
  <c r="W235" i="7"/>
  <c r="W963" i="7"/>
  <c r="W225" i="7"/>
  <c r="W1215" i="7"/>
  <c r="W163" i="7"/>
  <c r="W239" i="7"/>
  <c r="W901" i="7"/>
  <c r="W975" i="7"/>
  <c r="W934" i="7"/>
  <c r="W921" i="7"/>
  <c r="W458" i="7"/>
  <c r="W1273" i="7"/>
  <c r="W39" i="7"/>
  <c r="W931" i="7"/>
  <c r="W1102" i="7"/>
  <c r="W515" i="7"/>
  <c r="W649" i="7"/>
  <c r="W1115" i="7"/>
  <c r="W466" i="7"/>
  <c r="W895" i="7"/>
  <c r="W1219" i="7"/>
  <c r="W432" i="7"/>
  <c r="W738" i="7"/>
  <c r="W482" i="7"/>
  <c r="W875" i="7"/>
  <c r="W620" i="7"/>
  <c r="W642" i="7"/>
  <c r="W1317" i="7"/>
  <c r="W507" i="7"/>
  <c r="W553" i="7"/>
  <c r="W253" i="7"/>
  <c r="W488" i="7"/>
  <c r="W936" i="7"/>
  <c r="W596" i="7"/>
  <c r="W43" i="7"/>
  <c r="W262" i="7"/>
  <c r="W679" i="7"/>
  <c r="W758" i="7"/>
  <c r="W855" i="7"/>
  <c r="W618" i="7"/>
  <c r="W435" i="7"/>
  <c r="W1041" i="7"/>
  <c r="W1325" i="7"/>
  <c r="W1118" i="7"/>
  <c r="W399" i="7"/>
  <c r="W1168" i="7"/>
  <c r="W392" i="7"/>
  <c r="W1060" i="7"/>
  <c r="W611" i="7"/>
  <c r="W1223" i="7"/>
  <c r="W715" i="7"/>
  <c r="W1211" i="7"/>
  <c r="W348" i="7"/>
  <c r="W873" i="7"/>
  <c r="W1074" i="7"/>
  <c r="W434" i="7"/>
  <c r="W1087" i="7"/>
  <c r="W176" i="7"/>
  <c r="W165" i="7"/>
  <c r="W668" i="7"/>
  <c r="W186" i="7"/>
  <c r="W27" i="7"/>
  <c r="W395" i="7"/>
  <c r="W939" i="7"/>
  <c r="W184" i="7"/>
  <c r="W1181" i="7"/>
  <c r="W249" i="7"/>
  <c r="W24" i="7"/>
  <c r="W174" i="7"/>
  <c r="W438" i="7"/>
  <c r="W740" i="7"/>
  <c r="W324" i="7"/>
  <c r="W996" i="7"/>
  <c r="W59" i="7"/>
  <c r="W1090" i="7"/>
  <c r="W285" i="7"/>
  <c r="W549" i="7"/>
  <c r="W1311" i="7"/>
  <c r="W768" i="7"/>
  <c r="W109" i="7"/>
  <c r="W1002" i="7"/>
  <c r="W533" i="7"/>
  <c r="W777" i="7"/>
  <c r="W994" i="7"/>
  <c r="W233" i="7"/>
  <c r="W98" i="7"/>
  <c r="W526" i="7"/>
  <c r="W264" i="7"/>
  <c r="W813" i="7"/>
  <c r="W574" i="7"/>
  <c r="W396" i="7"/>
  <c r="W1005" i="7"/>
  <c r="W1059" i="7"/>
  <c r="W1157" i="7"/>
  <c r="W274" i="7"/>
  <c r="W242" i="7"/>
  <c r="W298" i="7"/>
  <c r="W840" i="7"/>
  <c r="W1109" i="7"/>
  <c r="W69" i="7"/>
  <c r="W1210" i="7"/>
  <c r="W1289" i="7"/>
  <c r="W513" i="7"/>
  <c r="W942" i="7"/>
  <c r="W953" i="7"/>
  <c r="W461" i="7"/>
  <c r="W1099" i="7"/>
  <c r="W1030" i="7"/>
  <c r="W1342" i="7"/>
  <c r="W1143" i="7"/>
  <c r="W1039" i="7"/>
  <c r="W169" i="7"/>
  <c r="W374" i="7"/>
  <c r="W1081" i="7"/>
  <c r="W80" i="7"/>
  <c r="W450" i="7"/>
  <c r="W952" i="7"/>
  <c r="W690" i="7"/>
  <c r="W156" i="7"/>
  <c r="W1141" i="7"/>
  <c r="W418" i="7"/>
  <c r="W836" i="7"/>
  <c r="W236" i="7"/>
  <c r="W370" i="7"/>
  <c r="W279" i="7"/>
  <c r="W998" i="7"/>
  <c r="W1322" i="7"/>
  <c r="W1146" i="7"/>
  <c r="W85" i="7"/>
  <c r="W53" i="7"/>
  <c r="W13" i="7"/>
  <c r="W886" i="7"/>
  <c r="W1028" i="7"/>
  <c r="W764" i="7"/>
  <c r="W1084" i="7"/>
  <c r="W29" i="7"/>
  <c r="W904" i="7"/>
  <c r="W166" i="7"/>
  <c r="W925" i="7"/>
  <c r="W1132" i="7"/>
  <c r="W552" i="7"/>
  <c r="W255" i="7"/>
  <c r="W343" i="7"/>
  <c r="W371" i="7"/>
  <c r="W672" i="7"/>
  <c r="W1067" i="7"/>
  <c r="W1258" i="7"/>
  <c r="W234" i="7"/>
  <c r="W889" i="7"/>
  <c r="W1256" i="7"/>
  <c r="W778" i="7"/>
  <c r="W113" i="7"/>
  <c r="W586" i="7"/>
  <c r="W1245" i="7"/>
  <c r="W524" i="7"/>
  <c r="W192" i="7"/>
  <c r="W973" i="7"/>
  <c r="W1045" i="7"/>
  <c r="W1104" i="7"/>
  <c r="W1150" i="7"/>
  <c r="W1120" i="7"/>
  <c r="W774" i="7"/>
  <c r="W1344" i="7"/>
  <c r="W1072" i="7"/>
  <c r="W569" i="7"/>
  <c r="W571" i="7"/>
  <c r="W205" i="7"/>
  <c r="W643" i="7"/>
  <c r="W390" i="7"/>
  <c r="W800" i="7"/>
  <c r="W1259" i="7"/>
  <c r="W959" i="7"/>
  <c r="W335" i="7"/>
  <c r="W64" i="7"/>
  <c r="W89" i="7"/>
  <c r="W303" i="7"/>
  <c r="W940" i="7"/>
  <c r="W509" i="7"/>
  <c r="W645" i="7"/>
  <c r="W843" i="7"/>
  <c r="W562" i="7"/>
  <c r="W463" i="7"/>
  <c r="W956" i="7"/>
  <c r="W297" i="7"/>
  <c r="W783" i="7"/>
  <c r="W678" i="7"/>
  <c r="W1276" i="7"/>
  <c r="W950" i="7"/>
  <c r="W1281" i="7"/>
  <c r="W863" i="7"/>
  <c r="W847" i="7"/>
  <c r="W686" i="7"/>
  <c r="W1029" i="7"/>
  <c r="W531" i="7"/>
  <c r="W263" i="7"/>
  <c r="W1231" i="7"/>
  <c r="W290" i="7"/>
  <c r="W21" i="7"/>
  <c r="W540" i="7"/>
  <c r="W88" i="7"/>
  <c r="W794" i="7"/>
  <c r="W640" i="7"/>
  <c r="W1236" i="7"/>
  <c r="W913" i="7"/>
  <c r="W367" i="7"/>
  <c r="W299" i="7"/>
  <c r="W1183" i="7"/>
  <c r="W796" i="7"/>
  <c r="W268" i="7"/>
  <c r="W1227" i="7"/>
  <c r="W1174" i="7"/>
  <c r="W417" i="7"/>
  <c r="W1207" i="7"/>
  <c r="W575" i="7"/>
  <c r="W55" i="7"/>
  <c r="W124" i="7"/>
  <c r="W750" i="7"/>
  <c r="W1106" i="7"/>
  <c r="W158" i="7"/>
  <c r="W1144" i="7"/>
  <c r="W1083" i="7"/>
  <c r="W811" i="7"/>
  <c r="W1048" i="7"/>
  <c r="W1117" i="7"/>
  <c r="W1014" i="7"/>
  <c r="W312" i="7"/>
  <c r="W807" i="7"/>
  <c r="W720" i="7"/>
  <c r="W22" i="7"/>
  <c r="W999" i="7"/>
  <c r="W189" i="7"/>
  <c r="W1206" i="7"/>
  <c r="W133" i="7"/>
  <c r="W742" i="7"/>
  <c r="W834" i="7"/>
  <c r="W433" i="7"/>
  <c r="W765" i="7"/>
  <c r="W646" i="7"/>
  <c r="W633" i="7"/>
  <c r="W1065" i="7"/>
  <c r="W28" i="7"/>
  <c r="W1266" i="7"/>
  <c r="W517" i="7"/>
  <c r="W814" i="7"/>
  <c r="W486" i="7"/>
  <c r="W1304" i="7"/>
  <c r="W1135" i="7"/>
  <c r="W1269" i="7"/>
  <c r="W704" i="7"/>
  <c r="W1234" i="7"/>
  <c r="W581" i="7"/>
  <c r="W683" i="7"/>
  <c r="W977" i="7"/>
  <c r="W454" i="7"/>
  <c r="W1220" i="7"/>
  <c r="W582" i="7"/>
  <c r="W119" i="7"/>
  <c r="W181" i="7"/>
  <c r="W87" i="7"/>
  <c r="W548" i="7"/>
  <c r="W397" i="7"/>
  <c r="W1034" i="7"/>
  <c r="W1345" i="7"/>
  <c r="W926" i="7"/>
  <c r="W580" i="7"/>
  <c r="W245" i="7"/>
  <c r="W1001" i="7"/>
  <c r="W892" i="7"/>
  <c r="W145" i="7"/>
  <c r="W638" i="7"/>
  <c r="W400" i="7"/>
  <c r="W1214" i="7"/>
  <c r="W831" i="7"/>
  <c r="W1033" i="7"/>
  <c r="W414" i="7"/>
  <c r="W340" i="7"/>
  <c r="W621" i="7"/>
  <c r="W90" i="7"/>
  <c r="W537" i="7"/>
  <c r="W872" i="7"/>
  <c r="W938" i="7"/>
  <c r="W805" i="7"/>
  <c r="W1225" i="7"/>
  <c r="W899" i="7"/>
  <c r="W636" i="7"/>
  <c r="W142" i="7"/>
  <c r="W180" i="7"/>
  <c r="W283" i="7"/>
  <c r="W112" i="7"/>
  <c r="W389" i="7"/>
  <c r="W776" i="7"/>
  <c r="W644" i="7"/>
  <c r="W1216" i="7"/>
  <c r="W804" i="7"/>
  <c r="W46" i="7"/>
  <c r="W1186" i="7"/>
  <c r="W969" i="7"/>
  <c r="W473" i="7"/>
  <c r="W530" i="7"/>
  <c r="W754" i="7"/>
  <c r="W818" i="7"/>
  <c r="W295" i="7"/>
  <c r="W1032" i="7"/>
  <c r="W333" i="7"/>
  <c r="W496" i="7"/>
  <c r="W104" i="7"/>
  <c r="W923" i="7"/>
  <c r="W365" i="7"/>
  <c r="W444" i="7"/>
  <c r="W606" i="7"/>
  <c r="W164" i="7"/>
  <c r="W1335" i="7"/>
  <c r="W110" i="7"/>
  <c r="W224" i="7"/>
  <c r="W373" i="7"/>
  <c r="W1300" i="7"/>
  <c r="W372" i="7"/>
  <c r="W558" i="7"/>
  <c r="W619" i="7"/>
  <c r="W692" i="7"/>
  <c r="W852" i="7"/>
  <c r="W421" i="7"/>
  <c r="W599" i="7"/>
  <c r="W988" i="7"/>
  <c r="W462" i="7"/>
  <c r="W394" i="7"/>
  <c r="W411" i="7"/>
  <c r="W698" i="7"/>
  <c r="W547" i="7"/>
  <c r="W1097" i="7"/>
  <c r="W563" i="7"/>
  <c r="W756" i="7"/>
  <c r="W491" i="7"/>
  <c r="W603" i="7"/>
  <c r="W766" i="7"/>
  <c r="W1191" i="7"/>
  <c r="W1253" i="7"/>
  <c r="W296" i="7"/>
  <c r="W1149" i="7"/>
  <c r="W1038" i="7"/>
  <c r="W1055" i="7"/>
  <c r="W578" i="7"/>
  <c r="W929" i="7"/>
  <c r="W960" i="7"/>
  <c r="W1148" i="7"/>
  <c r="W1112" i="7"/>
  <c r="W51" i="7"/>
  <c r="W1050" i="7"/>
  <c r="W1162" i="7"/>
  <c r="W1082" i="7"/>
  <c r="W1330" i="7"/>
  <c r="W316" i="7"/>
  <c r="W115" i="7"/>
  <c r="W1122" i="7"/>
  <c r="W33" i="7"/>
  <c r="W868" i="7"/>
  <c r="W271" i="7"/>
  <c r="W981" i="7"/>
  <c r="W806" i="7"/>
  <c r="W1271" i="7"/>
  <c r="W405" i="7"/>
  <c r="W906" i="7"/>
  <c r="W1277" i="7"/>
  <c r="W826" i="7"/>
  <c r="W500" i="7"/>
  <c r="W1036" i="7"/>
  <c r="W9" i="7"/>
  <c r="W705" i="7"/>
  <c r="W1280" i="7"/>
  <c r="W270" i="7"/>
  <c r="W1180" i="7"/>
  <c r="W505" i="7"/>
  <c r="W986" i="7"/>
  <c r="W1037" i="7"/>
  <c r="W775" i="7"/>
  <c r="W1338" i="7"/>
  <c r="W376" i="7"/>
  <c r="W695" i="7"/>
  <c r="W337" i="7"/>
  <c r="W101" i="7"/>
  <c r="W86" i="7"/>
  <c r="W210" i="7"/>
  <c r="W566" i="7"/>
  <c r="W842" i="7"/>
  <c r="W120" i="7"/>
  <c r="W128" i="7"/>
  <c r="W476" i="7"/>
  <c r="W420" i="7"/>
  <c r="W1213" i="7"/>
  <c r="W910" i="7"/>
  <c r="W835" i="7"/>
  <c r="W650" i="7"/>
  <c r="W930" i="7"/>
  <c r="W402" i="7"/>
  <c r="W1313" i="7"/>
  <c r="W422" i="7"/>
  <c r="W965" i="7"/>
  <c r="W662" i="7"/>
  <c r="W879" i="7"/>
  <c r="W361" i="7"/>
  <c r="W734" i="7"/>
  <c r="W623" i="7"/>
  <c r="W107" i="7"/>
  <c r="W790" i="7"/>
  <c r="W674" i="7"/>
  <c r="W4" i="7"/>
  <c r="W1208" i="7"/>
  <c r="W626" i="7"/>
  <c r="W1044" i="7"/>
  <c r="W669" i="7"/>
  <c r="W387" i="7"/>
  <c r="W1272" i="7"/>
  <c r="W1200" i="7"/>
  <c r="W1209" i="7"/>
  <c r="W288" i="7"/>
  <c r="W1173" i="7"/>
  <c r="W801" i="7"/>
  <c r="W493" i="7"/>
  <c r="W898" i="7"/>
  <c r="W1167" i="7"/>
  <c r="W589" i="7"/>
  <c r="W802" i="7"/>
  <c r="W12" i="7"/>
  <c r="W380" i="7"/>
  <c r="W54" i="7"/>
  <c r="W673" i="7"/>
  <c r="W501" i="7"/>
  <c r="W744" i="7"/>
  <c r="W289" i="7"/>
  <c r="W743" i="7"/>
  <c r="W437" i="7"/>
  <c r="W1310" i="7"/>
  <c r="W732" i="7"/>
  <c r="W1098" i="7"/>
  <c r="W1334" i="7"/>
  <c r="W1058" i="7"/>
  <c r="W612" i="7"/>
  <c r="W591" i="7"/>
  <c r="W946" i="7"/>
  <c r="W1343" i="7"/>
  <c r="W332" i="7"/>
  <c r="W862" i="7"/>
  <c r="W339" i="7"/>
  <c r="W1232" i="7"/>
  <c r="W819" i="7"/>
  <c r="W671" i="7"/>
  <c r="W757" i="7"/>
  <c r="W737" i="7"/>
  <c r="W628" i="7"/>
  <c r="W34" i="7"/>
  <c r="W759" i="7"/>
  <c r="W1019" i="7"/>
  <c r="W287" i="7"/>
  <c r="W266" i="7"/>
  <c r="W1064" i="7"/>
  <c r="W675" i="7"/>
  <c r="W204" i="7"/>
  <c r="W261" i="7"/>
  <c r="W723" i="7"/>
  <c r="W68" i="7"/>
  <c r="W18" i="7"/>
  <c r="W201" i="7"/>
  <c r="W114" i="7"/>
  <c r="W1165" i="7"/>
  <c r="W584" i="7"/>
  <c r="W360" i="7"/>
  <c r="W993" i="7"/>
  <c r="W597" i="7"/>
  <c r="W1283" i="7"/>
  <c r="W592" i="7"/>
  <c r="W657" i="7"/>
  <c r="W256" i="7"/>
  <c r="W248" i="7"/>
  <c r="W760" i="7"/>
  <c r="W134" i="7"/>
  <c r="W670" i="7"/>
  <c r="W7" i="7"/>
  <c r="W709" i="7"/>
  <c r="W388" i="7"/>
  <c r="W1052" i="7"/>
  <c r="W937" i="7"/>
  <c r="W867" i="7"/>
  <c r="W881" i="7"/>
  <c r="W1192" i="7"/>
  <c r="W161" i="7"/>
  <c r="W1006" i="7"/>
  <c r="W559" i="7"/>
  <c r="W93" i="7"/>
  <c r="W61" i="7"/>
  <c r="W1184" i="7"/>
  <c r="W660" i="7"/>
  <c r="W749" i="7"/>
  <c r="W342" i="7"/>
  <c r="W20" i="7"/>
  <c r="W1303" i="7"/>
  <c r="W816" i="7"/>
  <c r="W226" i="7"/>
  <c r="W1105" i="7"/>
  <c r="W556" i="7"/>
  <c r="W1301" i="7"/>
  <c r="W688" i="7"/>
  <c r="W716" i="7"/>
  <c r="W1336" i="7"/>
  <c r="W1003" i="7"/>
  <c r="W459" i="7"/>
  <c r="W964" i="7"/>
  <c r="W594" i="7"/>
  <c r="W379" i="7"/>
  <c r="W369" i="7"/>
  <c r="W985" i="7"/>
  <c r="W516" i="7"/>
  <c r="W1088" i="7"/>
  <c r="W1021" i="7"/>
  <c r="W97" i="7"/>
  <c r="W1235" i="7"/>
  <c r="W464" i="7"/>
  <c r="W1190" i="7"/>
  <c r="W472" i="7"/>
  <c r="W317" i="7"/>
  <c r="W639" i="7"/>
  <c r="W951" i="7"/>
  <c r="W368" i="7"/>
  <c r="W512" i="7"/>
  <c r="W494" i="7"/>
  <c r="W381" i="7"/>
  <c r="W244" i="7"/>
  <c r="W1197" i="7"/>
  <c r="W502" i="7"/>
  <c r="W329" i="7"/>
  <c r="W484" i="7"/>
  <c r="W74" i="7"/>
  <c r="W544" i="7"/>
  <c r="W193" i="7"/>
  <c r="W265" i="7"/>
  <c r="W325" i="7"/>
  <c r="W555" i="7"/>
  <c r="W560" i="7"/>
  <c r="W326" i="7"/>
  <c r="W206" i="7"/>
  <c r="W708" i="7"/>
  <c r="W947" i="7"/>
  <c r="W1062" i="7"/>
  <c r="W689" i="7"/>
  <c r="W989" i="7"/>
  <c r="W1262" i="7"/>
  <c r="W1185" i="7"/>
  <c r="W1316" i="7"/>
  <c r="W523" i="7"/>
  <c r="W155" i="7"/>
  <c r="W1248" i="7"/>
  <c r="W978" i="7"/>
  <c r="W825" i="7"/>
  <c r="W103" i="7"/>
  <c r="W735" i="7"/>
  <c r="W519" i="7"/>
  <c r="W1201" i="7"/>
  <c r="W313" i="7"/>
  <c r="W991" i="7"/>
  <c r="W211" i="7"/>
  <c r="W179" i="7"/>
  <c r="W304" i="7"/>
  <c r="W1018" i="7"/>
  <c r="W905" i="7"/>
  <c r="W970" i="7"/>
  <c r="W945" i="7"/>
  <c r="W1042" i="7"/>
  <c r="W393" i="7"/>
  <c r="W803" i="7"/>
  <c r="W1347" i="7"/>
  <c r="W1156" i="7"/>
  <c r="W827" i="7"/>
  <c r="W341" i="7"/>
  <c r="W1153" i="7"/>
  <c r="W1294" i="7"/>
  <c r="W330" i="7"/>
  <c r="W812" i="7"/>
  <c r="W322" i="7"/>
  <c r="W637" i="7"/>
  <c r="W1267" i="7"/>
  <c r="W711" i="7"/>
  <c r="W475" i="7"/>
  <c r="W815" i="7"/>
  <c r="W1095" i="7"/>
  <c r="W481" i="7"/>
  <c r="W471" i="7"/>
  <c r="W1017" i="7"/>
  <c r="W534" i="7"/>
  <c r="W215" i="7"/>
  <c r="W554" i="7"/>
  <c r="W1147" i="7"/>
  <c r="W1027" i="7"/>
  <c r="W1176" i="7"/>
  <c r="W1000" i="7"/>
  <c r="W837" i="7"/>
  <c r="W724" i="7"/>
  <c r="W684" i="7"/>
  <c r="W605" i="7"/>
  <c r="W883" i="7"/>
  <c r="W550" i="7"/>
  <c r="W398" i="7"/>
  <c r="W127" i="7"/>
  <c r="W808" i="7"/>
  <c r="W445" i="7"/>
  <c r="W1091" i="7"/>
  <c r="W1312" i="7"/>
  <c r="W197" i="7"/>
  <c r="W651" i="7"/>
  <c r="W846" i="7"/>
  <c r="W1111" i="7"/>
  <c r="W900" i="7"/>
  <c r="W573" i="7"/>
  <c r="W753" i="7"/>
  <c r="W793" i="7"/>
  <c r="W152" i="7"/>
  <c r="W447" i="7"/>
  <c r="W1331" i="7"/>
  <c r="W795" i="7"/>
  <c r="W378" i="7"/>
  <c r="W752" i="7"/>
  <c r="W782" i="7"/>
  <c r="W1254" i="7"/>
  <c r="W1155" i="7"/>
  <c r="W278" i="7"/>
  <c r="W1046" i="7"/>
  <c r="W577" i="7"/>
  <c r="W696" i="7"/>
  <c r="W1260" i="7"/>
  <c r="W1008" i="7"/>
  <c r="W773" i="7"/>
  <c r="W587" i="7"/>
  <c r="W354" i="7"/>
  <c r="W366" i="7"/>
  <c r="W353" i="7"/>
  <c r="W746" i="7"/>
  <c r="W927" i="7"/>
  <c r="W610" i="7"/>
  <c r="W962" i="7"/>
  <c r="W345" i="7"/>
  <c r="W652" i="7"/>
  <c r="W1077" i="7"/>
  <c r="W31" i="7"/>
  <c r="W91" i="7"/>
  <c r="W972" i="7"/>
  <c r="W446" i="7"/>
  <c r="W763" i="7"/>
  <c r="W1012" i="7"/>
  <c r="W1321" i="7"/>
  <c r="W865" i="7"/>
  <c r="W522" i="7"/>
  <c r="W866" i="7"/>
  <c r="W1249" i="7"/>
  <c r="W627" i="7"/>
  <c r="W654" i="7"/>
  <c r="W860" i="7"/>
  <c r="W6" i="7"/>
  <c r="W850" i="7"/>
  <c r="W23" i="7"/>
  <c r="W613" i="7"/>
  <c r="W772" i="7"/>
  <c r="W139" i="7"/>
  <c r="W284" i="7"/>
  <c r="W356" i="7"/>
  <c r="W251" i="7"/>
  <c r="W859" i="7"/>
  <c r="W1188" i="7"/>
  <c r="W65" i="7"/>
  <c r="W118" i="7"/>
  <c r="W146" i="7"/>
  <c r="W117" i="7"/>
  <c r="W73" i="7"/>
  <c r="W495" i="7"/>
  <c r="W57" i="7"/>
  <c r="W440" i="7"/>
  <c r="W167" i="7"/>
  <c r="W604" i="7"/>
  <c r="W267" i="7"/>
  <c r="W499" i="7"/>
  <c r="W1198" i="7"/>
  <c r="W188" i="7"/>
  <c r="W344" i="7"/>
  <c r="W1244" i="7"/>
  <c r="W1293" i="7"/>
  <c r="W647" i="7"/>
  <c r="W401" i="7"/>
  <c r="W694" i="7"/>
  <c r="W70" i="7"/>
  <c r="W928" i="7"/>
  <c r="W957" i="7"/>
  <c r="W280" i="7"/>
  <c r="W739" i="7"/>
  <c r="W362" i="7"/>
  <c r="W391" i="7"/>
  <c r="W661" i="7"/>
  <c r="W506" i="7"/>
  <c r="W149" i="7"/>
  <c r="W307" i="7"/>
  <c r="W729" i="7"/>
  <c r="W1020" i="7"/>
  <c r="W1169" i="7"/>
  <c r="W518" i="7"/>
  <c r="W717" i="7"/>
  <c r="W355" i="7"/>
  <c r="W16" i="7"/>
  <c r="W616" i="7"/>
  <c r="W1323" i="7"/>
  <c r="W125" i="7"/>
  <c r="W227" i="7"/>
  <c r="W99" i="7"/>
  <c r="W237" i="7"/>
  <c r="W121" i="7"/>
  <c r="W788" i="7"/>
  <c r="W1222" i="7"/>
  <c r="W1337" i="7"/>
  <c r="W666" i="7"/>
  <c r="W858" i="7"/>
  <c r="W336" i="7"/>
  <c r="W974" i="7"/>
  <c r="W702" i="7"/>
  <c r="W1114" i="7"/>
  <c r="W1107" i="7"/>
  <c r="W1123" i="7"/>
  <c r="W465" i="7"/>
  <c r="W347" i="7"/>
  <c r="W11" i="7"/>
  <c r="W1158" i="7"/>
  <c r="W1101" i="7"/>
  <c r="W1035" i="7"/>
  <c r="W439" i="7"/>
  <c r="W625" i="7"/>
  <c r="W95" i="7"/>
  <c r="W1024" i="7"/>
  <c r="W26" i="7"/>
  <c r="W990" i="7"/>
  <c r="W590" i="7"/>
  <c r="W1308" i="7"/>
  <c r="W935" i="7"/>
  <c r="W682" i="7"/>
  <c r="W916" i="7"/>
  <c r="W658" i="7"/>
  <c r="W789" i="7"/>
  <c r="W785" i="7"/>
  <c r="W194" i="7"/>
  <c r="W413" i="7"/>
  <c r="W779" i="7"/>
  <c r="W143" i="7"/>
  <c r="W1205" i="7"/>
  <c r="W182" i="7"/>
  <c r="W82" i="7"/>
  <c r="W1124" i="7"/>
  <c r="W601" i="7"/>
  <c r="W470" i="7"/>
  <c r="W966" i="7"/>
  <c r="W770" i="7"/>
  <c r="W1160" i="7"/>
  <c r="W327" i="7"/>
  <c r="W1040" i="7"/>
  <c r="W199" i="7"/>
  <c r="W567" i="7"/>
  <c r="W449" i="7"/>
  <c r="W5" i="7"/>
  <c r="W1279" i="7"/>
  <c r="W1092" i="7"/>
  <c r="W997" i="7"/>
  <c r="W453" i="7"/>
  <c r="W1341" i="7"/>
  <c r="W1241" i="7"/>
  <c r="W478" i="7"/>
  <c r="W987" i="7"/>
  <c r="W546" i="7"/>
  <c r="W1286" i="7"/>
  <c r="W457" i="7"/>
  <c r="W1196" i="7"/>
  <c r="W932" i="7"/>
  <c r="W346" i="7"/>
  <c r="W1113" i="7"/>
  <c r="W424" i="7"/>
  <c r="W349" i="7"/>
  <c r="W220" i="7"/>
  <c r="W144" i="7"/>
  <c r="W510" i="7"/>
  <c r="W521" i="7"/>
  <c r="W32" i="7"/>
  <c r="W1015" i="7"/>
  <c r="W212" i="7"/>
  <c r="W171" i="7"/>
  <c r="W498" i="7"/>
  <c r="W941" i="7"/>
  <c r="W203" i="7"/>
  <c r="W76" i="7"/>
  <c r="W961" i="7"/>
  <c r="W880" i="7"/>
  <c r="W1278" i="7"/>
  <c r="M7" i="1"/>
  <c r="M11" i="1" l="1"/>
  <c r="M12" i="1"/>
  <c r="N7" i="1"/>
  <c r="M10" i="1"/>
  <c r="N11" i="1" l="1"/>
  <c r="N12" i="1"/>
  <c r="M27" i="1"/>
  <c r="N10" i="1"/>
  <c r="N27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<sst xmlns="http://schemas.openxmlformats.org/spreadsheetml/2006/main" count="20051" uniqueCount="2103">
  <si>
    <t>Valor Cierre Mes Anterior</t>
  </si>
  <si>
    <t>(4)</t>
  </si>
  <si>
    <t xml:space="preserve">Total      </t>
  </si>
  <si>
    <t>Liquidez Efectiva (2)</t>
  </si>
  <si>
    <t xml:space="preserve">% (1) </t>
  </si>
  <si>
    <t>Valor Inicio de Operaciones</t>
  </si>
  <si>
    <t>(1)</t>
  </si>
  <si>
    <t>Disponibilidades</t>
  </si>
  <si>
    <t>Denominación</t>
  </si>
  <si>
    <t>Descripción</t>
  </si>
  <si>
    <t>PROV. HONORARIOS SOC. DEPOSITARIA</t>
  </si>
  <si>
    <t>PROVISIONES</t>
  </si>
  <si>
    <t xml:space="preserve"> </t>
  </si>
  <si>
    <t>Valor Día Anterior</t>
  </si>
  <si>
    <t>DISPONIBILIDADES</t>
  </si>
  <si>
    <t>PROV. HONORARIOS SOCIEDAD GERENTE</t>
  </si>
  <si>
    <t>Compra</t>
  </si>
  <si>
    <t>FONDOS COMUNES DE INVERSION</t>
  </si>
  <si>
    <t>PASIVO</t>
  </si>
  <si>
    <t>COMAFI $ Nº 24148/3</t>
  </si>
  <si>
    <t>Clase A</t>
  </si>
  <si>
    <t>Variación</t>
  </si>
  <si>
    <t>Clase C</t>
  </si>
  <si>
    <t>Clase B</t>
  </si>
  <si>
    <t>Liquidez Corriente (3)</t>
  </si>
  <si>
    <t>Valor de Cuotaparte (5)</t>
  </si>
  <si>
    <t>EN PESOS</t>
  </si>
  <si>
    <t>ACTIVO</t>
  </si>
  <si>
    <t/>
  </si>
  <si>
    <t>Valor Patrimonial del Fondo</t>
  </si>
  <si>
    <t>Fecha</t>
  </si>
  <si>
    <t>Valor del Día</t>
  </si>
  <si>
    <t>Precio</t>
  </si>
  <si>
    <t>TOTAL</t>
  </si>
  <si>
    <t>Min</t>
  </si>
  <si>
    <t>en Pymes</t>
  </si>
  <si>
    <t>Max</t>
  </si>
  <si>
    <t>Money Market</t>
  </si>
  <si>
    <t>cheques x librador</t>
  </si>
  <si>
    <t>Caja cierre</t>
  </si>
  <si>
    <t>Valor Cierre Año Anterior</t>
  </si>
  <si>
    <t>ESTADO</t>
  </si>
  <si>
    <t>LIBRADOR</t>
  </si>
  <si>
    <t>x titulo en Pymes</t>
  </si>
  <si>
    <t>PN actual</t>
  </si>
  <si>
    <t>PN reservado</t>
  </si>
  <si>
    <t>P&amp;L</t>
  </si>
  <si>
    <t>Tasa</t>
  </si>
  <si>
    <t>FONDO</t>
  </si>
  <si>
    <t>CHPD</t>
  </si>
  <si>
    <t>VTO</t>
  </si>
  <si>
    <t>MONEDA</t>
  </si>
  <si>
    <t>MONTO</t>
  </si>
  <si>
    <t>DIAS DE MORA</t>
  </si>
  <si>
    <t>No</t>
  </si>
  <si>
    <t>Abreviatura</t>
  </si>
  <si>
    <t>Fecha Liquidación</t>
  </si>
  <si>
    <t>Fecha Concertación</t>
  </si>
  <si>
    <t>Nro. de Operación</t>
  </si>
  <si>
    <t>Tasa de Descuento</t>
  </si>
  <si>
    <t>Agente</t>
  </si>
  <si>
    <t>Nombre</t>
  </si>
  <si>
    <t>Importe Actual</t>
  </si>
  <si>
    <t>Importe Nominal</t>
  </si>
  <si>
    <t>Fecha de Vencimiento</t>
  </si>
  <si>
    <t>Sociedad de Garantía Recíproca / Librador</t>
  </si>
  <si>
    <t>Cheque de Pago Diferido y Pagaré</t>
  </si>
  <si>
    <t>Venta</t>
  </si>
  <si>
    <t>Vendido</t>
  </si>
  <si>
    <t>Fondo</t>
  </si>
  <si>
    <t>Moneda Fondo</t>
  </si>
  <si>
    <t>Moneda Cheque</t>
  </si>
  <si>
    <t>Tipo de Cambio (Cheque/Fondo)</t>
  </si>
  <si>
    <t>Moneda</t>
  </si>
  <si>
    <t>Reporte de Cheques de Pago Diferido</t>
  </si>
  <si>
    <t>Total general</t>
  </si>
  <si>
    <t>Total</t>
  </si>
  <si>
    <t>PFRemuneradasCaucion</t>
  </si>
  <si>
    <t>BANCO DEL SOL</t>
  </si>
  <si>
    <t>MONTO $</t>
  </si>
  <si>
    <t>EGRESOS EN EL DIA Clase B</t>
  </si>
  <si>
    <t>Código CAFCI</t>
  </si>
  <si>
    <t>Activos Pyme</t>
  </si>
  <si>
    <t>% Pyme</t>
  </si>
  <si>
    <t>Vto. Cheques</t>
  </si>
  <si>
    <t>Vto. Pagarés Dollar Linked</t>
  </si>
  <si>
    <t>Neg. Cheques / Pagare</t>
  </si>
  <si>
    <t>Cheques pendientes</t>
  </si>
  <si>
    <t>COMAFI $ Nº 24301/4</t>
  </si>
  <si>
    <t>07/10/2021</t>
  </si>
  <si>
    <t>FCI ABIERTO MOMENTUM PYMES</t>
  </si>
  <si>
    <t>INVERSIONES</t>
  </si>
  <si>
    <t>Inversiones</t>
  </si>
  <si>
    <t>IsinCode</t>
  </si>
  <si>
    <t xml:space="preserve">Cantidad      </t>
  </si>
  <si>
    <t xml:space="preserve">Cierre </t>
  </si>
  <si>
    <t xml:space="preserve">Costo </t>
  </si>
  <si>
    <t xml:space="preserve">Var </t>
  </si>
  <si>
    <t>Vencimiento</t>
  </si>
  <si>
    <t>Plazo Fijo</t>
  </si>
  <si>
    <t>Nominal</t>
  </si>
  <si>
    <t>Actual</t>
  </si>
  <si>
    <t>AMOMPY</t>
  </si>
  <si>
    <t>Momentum Capital Investment S.A.</t>
  </si>
  <si>
    <t>CONEXION SALUD SRL</t>
  </si>
  <si>
    <t>NIRO CONSTRUYE S. A.</t>
  </si>
  <si>
    <t>%</t>
  </si>
  <si>
    <t>Suma de %</t>
  </si>
  <si>
    <t xml:space="preserve">Ctte Momentum </t>
  </si>
  <si>
    <t>PROV. GASTOS SOCIEDAD DEPOSITARIA</t>
  </si>
  <si>
    <t>Lista de feriados 2025</t>
  </si>
  <si>
    <t>F G SANITARIOS S R L</t>
  </si>
  <si>
    <t>*MAV030300645</t>
  </si>
  <si>
    <t>*MAV100300802</t>
  </si>
  <si>
    <t>UKUMARI SOCIEDAD ANONIMA.</t>
  </si>
  <si>
    <t>FRIGORIFICO GENERAL PICO S A</t>
  </si>
  <si>
    <t>*MAV200500842</t>
  </si>
  <si>
    <t>*MAV300500862</t>
  </si>
  <si>
    <t>MERCOL RAUL ALBERTO Y MERCOL MAURICIO EDUARDO.</t>
  </si>
  <si>
    <t>DEUDAS EN PESOS</t>
  </si>
  <si>
    <t>CREDITOS</t>
  </si>
  <si>
    <t>11/08/2025</t>
  </si>
  <si>
    <t>INTANSIA S.R.L</t>
  </si>
  <si>
    <t>$</t>
  </si>
  <si>
    <t>PENDIENTE</t>
  </si>
  <si>
    <t>Cheques de Pago Diferido en Dolar 3500</t>
  </si>
  <si>
    <t>Posición en Garantía</t>
  </si>
  <si>
    <t>Cantidad</t>
  </si>
  <si>
    <t>Valuación</t>
  </si>
  <si>
    <t>BSP LARTI SA</t>
  </si>
  <si>
    <t>Dolar 3500</t>
  </si>
  <si>
    <t>MIANI CLARA A Y MIANI ADA CLELIA</t>
  </si>
  <si>
    <t>DEMAGRO SRL</t>
  </si>
  <si>
    <t>PREVISIÓN INCOBRABLES</t>
  </si>
  <si>
    <t>PREVISIONADO</t>
  </si>
  <si>
    <t>03/09/2025</t>
  </si>
  <si>
    <t>13/11/2025</t>
  </si>
  <si>
    <t>MASTER DESIGN HOME SRL</t>
  </si>
  <si>
    <t>DRACONIS S.A.</t>
  </si>
  <si>
    <t>GROUP DIEZ S.A.</t>
  </si>
  <si>
    <t>Maradona Wines</t>
  </si>
  <si>
    <t>VITALCAN S.A.</t>
  </si>
  <si>
    <t>AKAI ENERGY LED SRL</t>
  </si>
  <si>
    <t>*MAV051100567</t>
  </si>
  <si>
    <t>*MAV121100675</t>
  </si>
  <si>
    <t>SAN MARCOS TRADING S.A.</t>
  </si>
  <si>
    <t>30/12/2025</t>
  </si>
  <si>
    <t>*MAV091000727</t>
  </si>
  <si>
    <t>NVX SAS</t>
  </si>
  <si>
    <t>*MAV111100890</t>
  </si>
  <si>
    <t>BiBank S.A.</t>
  </si>
  <si>
    <t>*MAV271100809</t>
  </si>
  <si>
    <t>14/04/2026</t>
  </si>
  <si>
    <t>17/03/2026</t>
  </si>
  <si>
    <t>03/03/2026</t>
  </si>
  <si>
    <t>31/03/2026</t>
  </si>
  <si>
    <t>*MAV181100773</t>
  </si>
  <si>
    <t>*MAV191100661</t>
  </si>
  <si>
    <t>*MAV201100887</t>
  </si>
  <si>
    <t>*MAV211100687</t>
  </si>
  <si>
    <t>*MAV221100992</t>
  </si>
  <si>
    <t>28/04/2026</t>
  </si>
  <si>
    <t>*MAV150501075</t>
  </si>
  <si>
    <t>19/05/2026</t>
  </si>
  <si>
    <t>Fidus S.G.R.</t>
  </si>
  <si>
    <t>FF AMFAyS S49 Clase A</t>
  </si>
  <si>
    <t>AR0711423134</t>
  </si>
  <si>
    <t>31/12/2026</t>
  </si>
  <si>
    <t>*MAV170700987</t>
  </si>
  <si>
    <t>21/07/2026</t>
  </si>
  <si>
    <t>*MAV120601248</t>
  </si>
  <si>
    <t>17/06/2026</t>
  </si>
  <si>
    <t>*MAV260600989</t>
  </si>
  <si>
    <t>30/06/2026</t>
  </si>
  <si>
    <t>*MAV290500940</t>
  </si>
  <si>
    <t>02/06/2026</t>
  </si>
  <si>
    <t>*MAV061100646</t>
  </si>
  <si>
    <t>*MAV201001014</t>
  </si>
  <si>
    <t>*MAV271000879</t>
  </si>
  <si>
    <t>*MAV301000860</t>
  </si>
  <si>
    <t>*MAV031100816</t>
  </si>
  <si>
    <t>*MAV151000873</t>
  </si>
  <si>
    <t>*MAV231000788</t>
  </si>
  <si>
    <t>Tipo</t>
  </si>
  <si>
    <t>Concertación</t>
  </si>
  <si>
    <t>Plazo</t>
  </si>
  <si>
    <t>PASE</t>
  </si>
  <si>
    <t>DANBURY S. A</t>
  </si>
  <si>
    <t>*MAV140801099</t>
  </si>
  <si>
    <t>19/08/2026</t>
  </si>
  <si>
    <t>*MAV280800986</t>
  </si>
  <si>
    <t>01/09/2026</t>
  </si>
  <si>
    <t>*MAV310701190</t>
  </si>
  <si>
    <t>04/08/2026</t>
  </si>
  <si>
    <t>SES SA</t>
  </si>
  <si>
    <t>Caucion MAV</t>
  </si>
  <si>
    <t>FUTUROS</t>
  </si>
  <si>
    <t>INVLAC CONSTRUCCIONES S.R.L</t>
  </si>
  <si>
    <t>ACINDAR PYMES SGR</t>
  </si>
  <si>
    <t>*MAV181100869</t>
  </si>
  <si>
    <t>*MAV031100940</t>
  </si>
  <si>
    <t>*MAV041100892</t>
  </si>
  <si>
    <t>*MAV051100722</t>
  </si>
  <si>
    <t>*MAV071100935</t>
  </si>
  <si>
    <t>*MAV121100854</t>
  </si>
  <si>
    <t>*MAV141101053</t>
  </si>
  <si>
    <t>*MAV141101054</t>
  </si>
  <si>
    <t>*MAV151101337</t>
  </si>
  <si>
    <t>*MAV171100932</t>
  </si>
  <si>
    <t>TARJETA NARANJA SA</t>
  </si>
  <si>
    <t>INC SOCIEDAD ANONIMA</t>
  </si>
  <si>
    <t>TITULOS PUBLICOS</t>
  </si>
  <si>
    <t>21/01/2026</t>
  </si>
  <si>
    <t>Vto Pase</t>
  </si>
  <si>
    <t>FCI IEB Ahorro - Clase E</t>
  </si>
  <si>
    <t>*MAV171200694</t>
  </si>
  <si>
    <t>*MAV311200688</t>
  </si>
  <si>
    <t>DOSAM SOCIEDAD DE RESPONSABILIDAD LIMITADA</t>
  </si>
  <si>
    <t>*MAV160100806</t>
  </si>
  <si>
    <t>*MAV210100764</t>
  </si>
  <si>
    <t>*MAV260100805</t>
  </si>
  <si>
    <t>*MAV210100774</t>
  </si>
  <si>
    <t>GROCAL S.A.</t>
  </si>
  <si>
    <t>TRADICION VALORES S.A.</t>
  </si>
  <si>
    <t>*MAV260100839</t>
  </si>
  <si>
    <t>*MAV280100704</t>
  </si>
  <si>
    <t>*MAV300100888</t>
  </si>
  <si>
    <t>*MAV310101295</t>
  </si>
  <si>
    <t>Suscripciones</t>
  </si>
  <si>
    <t>Rescates</t>
  </si>
  <si>
    <t>13/02/2026</t>
  </si>
  <si>
    <t>01/04/2026</t>
  </si>
  <si>
    <t>*MAV151201389</t>
  </si>
  <si>
    <t>*MAV020200696</t>
  </si>
  <si>
    <t>*MAV030200785</t>
  </si>
  <si>
    <t>*MAV300100900</t>
  </si>
  <si>
    <t>*MAV300100901</t>
  </si>
  <si>
    <t>*MAV291101201</t>
  </si>
  <si>
    <t>*MAV291200938</t>
  </si>
  <si>
    <t>RABU INVERSIONES SRL</t>
  </si>
  <si>
    <t>LOPEZ LUCIA SOLEDAD</t>
  </si>
  <si>
    <t>PORT PLA S.R.L.</t>
  </si>
  <si>
    <t>10/03/2026</t>
  </si>
  <si>
    <t>06/03/2026</t>
  </si>
  <si>
    <t>11/03/2026</t>
  </si>
  <si>
    <t>23/02/2026</t>
  </si>
  <si>
    <t>26/03/2026</t>
  </si>
  <si>
    <t>EL FIERRO SRL</t>
  </si>
  <si>
    <t>*MAV020100774</t>
  </si>
  <si>
    <t>*MAV020200731</t>
  </si>
  <si>
    <t>*MAV050100914</t>
  </si>
  <si>
    <t>*MAV090100782</t>
  </si>
  <si>
    <t>*MAV120100963</t>
  </si>
  <si>
    <t>*MAV160100849</t>
  </si>
  <si>
    <t>*MAV190100896</t>
  </si>
  <si>
    <t>*MAV230100842</t>
  </si>
  <si>
    <t>*MAV270100949</t>
  </si>
  <si>
    <t>29/01/2026</t>
  </si>
  <si>
    <t>*MAV300100917</t>
  </si>
  <si>
    <t>05/03/2026</t>
  </si>
  <si>
    <t>26/02/2026</t>
  </si>
  <si>
    <t>LAROCCA NEUMATICOS S A</t>
  </si>
  <si>
    <t>25/02/2026</t>
  </si>
  <si>
    <t>*MAV120101031</t>
  </si>
  <si>
    <t>*MAV140100871</t>
  </si>
  <si>
    <t>INDUSTRIAS ERCA S A</t>
  </si>
  <si>
    <t>09/03/2026</t>
  </si>
  <si>
    <t>Clase D (Blanqueo Ley 27.743)</t>
  </si>
  <si>
    <t>*MAV100201142</t>
  </si>
  <si>
    <t>12/02/2026</t>
  </si>
  <si>
    <t>*MAV190200644</t>
  </si>
  <si>
    <t>*MAV210100850</t>
  </si>
  <si>
    <t>FINEX CABA S. A.</t>
  </si>
  <si>
    <t>Cuotapartista</t>
  </si>
  <si>
    <t>Tipo de Valor Cuotaparte</t>
  </si>
  <si>
    <t>Cuotapartes</t>
  </si>
  <si>
    <t>Inversión</t>
  </si>
  <si>
    <t>Tipo de Inversor</t>
  </si>
  <si>
    <t>Porcentaje</t>
  </si>
  <si>
    <t>Símbolo</t>
  </si>
  <si>
    <t>Fecha Valor Cuotaparte</t>
  </si>
  <si>
    <t>Valor Cuotaparte</t>
  </si>
  <si>
    <t>MOMENTUM CAPITAL INVESTMENT S.A. (ACDI)</t>
  </si>
  <si>
    <t>A</t>
  </si>
  <si>
    <t>Agentes de Colocación y Distribución Integral de FCIs</t>
  </si>
  <si>
    <t>B</t>
  </si>
  <si>
    <t>C</t>
  </si>
  <si>
    <t>ALYCBUR S.A. (ACDI)</t>
  </si>
  <si>
    <t>*MAV200101319</t>
  </si>
  <si>
    <t>*MAV200101320</t>
  </si>
  <si>
    <t>*MAV200101321</t>
  </si>
  <si>
    <t>*MAV200101322</t>
  </si>
  <si>
    <t>*MAV210100855</t>
  </si>
  <si>
    <t>*MAV220100909</t>
  </si>
  <si>
    <t>*MAV230100905</t>
  </si>
  <si>
    <t>*MAV230100906</t>
  </si>
  <si>
    <t>*MAV230100907</t>
  </si>
  <si>
    <t>*MAV230100908</t>
  </si>
  <si>
    <t>Paccioli Group Sociedad Anonima</t>
  </si>
  <si>
    <t>BANCO DE LA CIUDAD DE BUENOS AIRES</t>
  </si>
  <si>
    <t>*MAV181201122</t>
  </si>
  <si>
    <t>16/03/2026</t>
  </si>
  <si>
    <t>24/02/2026</t>
  </si>
  <si>
    <t>BUNYAR S.R.L.</t>
  </si>
  <si>
    <t>MY50B - VD FF AMFAYS S.50 CL.B $</t>
  </si>
  <si>
    <t>AR0695284973</t>
  </si>
  <si>
    <t>13/01/2027</t>
  </si>
  <si>
    <t>MY50C - VD FF AMFAYS S.50 CL.C $</t>
  </si>
  <si>
    <t>AR0890638411</t>
  </si>
  <si>
    <t>13/04/2027</t>
  </si>
  <si>
    <t>DROGUERIA GARZON SA</t>
  </si>
  <si>
    <t>12/03/2026</t>
  </si>
  <si>
    <t>19/03/2026</t>
  </si>
  <si>
    <t>I-LED ARGENTINA S.A.</t>
  </si>
  <si>
    <t>*MAV240101107</t>
  </si>
  <si>
    <t>*MAV280201387</t>
  </si>
  <si>
    <t>*MAV100201185</t>
  </si>
  <si>
    <t>*MAV110300951</t>
  </si>
  <si>
    <t>*MAV210200955</t>
  </si>
  <si>
    <t>08/04/2026</t>
  </si>
  <si>
    <t>13/04/2026</t>
  </si>
  <si>
    <t>27/03/2026</t>
  </si>
  <si>
    <t>25/03/2026</t>
  </si>
  <si>
    <t>07/04/2026</t>
  </si>
  <si>
    <t>06/04/2026</t>
  </si>
  <si>
    <t>REMOLQUES OMBU S.A</t>
  </si>
  <si>
    <t>Coloca caucion MAV</t>
  </si>
  <si>
    <t>CO2D7 - Título provincia de Córdoba 05/12/27</t>
  </si>
  <si>
    <t>AR0569903542</t>
  </si>
  <si>
    <t>05/12/2027</t>
  </si>
  <si>
    <t>LR7AO - ON Laboratorios Richmond Serie 7 Cl A Vto 10/12/26</t>
  </si>
  <si>
    <t>AR0905777444</t>
  </si>
  <si>
    <t>10/12/2026</t>
  </si>
  <si>
    <t>EMOVA MOVILIDAD S.A.</t>
  </si>
  <si>
    <t>29/04/2026</t>
  </si>
  <si>
    <t>29/05/2026</t>
  </si>
  <si>
    <t>18/03/2026</t>
  </si>
  <si>
    <t>Compra/Venta de Bonos</t>
  </si>
  <si>
    <t>AVAL FEDERAL S.G.R.</t>
  </si>
  <si>
    <t>MILLS S.G.R.</t>
  </si>
  <si>
    <t>*MAV110401018</t>
  </si>
  <si>
    <t>15/04/2026</t>
  </si>
  <si>
    <t>*MAV140301075</t>
  </si>
  <si>
    <t>05/05/2026</t>
  </si>
  <si>
    <t>22/04/2026</t>
  </si>
  <si>
    <t>Fut Rofex DLR072026</t>
  </si>
  <si>
    <t>30/07/2026</t>
  </si>
  <si>
    <t>#UMV250180006</t>
  </si>
  <si>
    <t>27/01/2028</t>
  </si>
  <si>
    <t>#UMV250770007</t>
  </si>
  <si>
    <t>28/07/2027</t>
  </si>
  <si>
    <t>#UMV250780006</t>
  </si>
  <si>
    <t>27/07/2028</t>
  </si>
  <si>
    <t>#UMV250170065</t>
  </si>
  <si>
    <t>27/01/2027</t>
  </si>
  <si>
    <t>THE CRAZY COW S.R.L.</t>
  </si>
  <si>
    <t>ZOFINGEN SECURITIES S.A. (ACDI)</t>
  </si>
  <si>
    <t>BUROMAHTIK SA</t>
  </si>
  <si>
    <t>09/04/2026</t>
  </si>
  <si>
    <t>30/04/2026</t>
  </si>
  <si>
    <t>06/05/2026</t>
  </si>
  <si>
    <t>05/06/2026</t>
  </si>
  <si>
    <t>ALLIANCE ONE TOBACCO ARGENTINA</t>
  </si>
  <si>
    <t>10/04/2026</t>
  </si>
  <si>
    <t>16/04/2026</t>
  </si>
  <si>
    <t>PLANTIUM S.A.</t>
  </si>
  <si>
    <t>21/04/2026</t>
  </si>
  <si>
    <t>12/05/2026</t>
  </si>
  <si>
    <t>30/03/2026</t>
  </si>
  <si>
    <t>03/06/2026</t>
  </si>
  <si>
    <t>Fut Rofex DLR052026</t>
  </si>
  <si>
    <t>22/05/2026</t>
  </si>
  <si>
    <t>*MAV190600820</t>
  </si>
  <si>
    <t>23/06/2026</t>
  </si>
  <si>
    <t>24/04/2026</t>
  </si>
  <si>
    <t>GREEN TRADE SOCIEDAD ANONIMA</t>
  </si>
  <si>
    <t>*MAV160300869</t>
  </si>
  <si>
    <t>11/05/2026</t>
  </si>
  <si>
    <t>17/04/2026</t>
  </si>
  <si>
    <t>04/05/2026</t>
  </si>
  <si>
    <t>METALFOR SA</t>
  </si>
  <si>
    <t>08/05/2026</t>
  </si>
  <si>
    <t>20/05/2026</t>
  </si>
  <si>
    <t>14/05/2026</t>
  </si>
  <si>
    <t>13/05/2026</t>
  </si>
  <si>
    <t>CEIBO CREDITOS S.A.</t>
  </si>
  <si>
    <t>*ACI280700201</t>
  </si>
  <si>
    <t>*ACI280600193</t>
  </si>
  <si>
    <t>01/07/2026</t>
  </si>
  <si>
    <t>01/06/2026</t>
  </si>
  <si>
    <t>18/05/2026</t>
  </si>
  <si>
    <t>26/05/2026</t>
  </si>
  <si>
    <t>POLIMEROS EXPRESS SA</t>
  </si>
  <si>
    <t>Rentas y Amortizaciones</t>
  </si>
  <si>
    <t>04/06/2026</t>
  </si>
  <si>
    <t>27/04/2026</t>
  </si>
  <si>
    <t>% PN</t>
  </si>
  <si>
    <t>Prevision a aplicar</t>
  </si>
  <si>
    <t>LIBRADORES PENDIENTES</t>
  </si>
  <si>
    <t>LIBRADOR PENDIENTE</t>
  </si>
  <si>
    <t>VIGENTE</t>
  </si>
  <si>
    <t>LIPSA SRL</t>
  </si>
  <si>
    <t>12/06/2026</t>
  </si>
  <si>
    <t>*MAV100601258</t>
  </si>
  <si>
    <t>*MAV150701442</t>
  </si>
  <si>
    <t>17/07/2026</t>
  </si>
  <si>
    <t>*MAV120601308</t>
  </si>
  <si>
    <t>*MAV180600915</t>
  </si>
  <si>
    <t>22/06/2026</t>
  </si>
  <si>
    <t>*MAV290701035</t>
  </si>
  <si>
    <t>31/07/2026</t>
  </si>
  <si>
    <t>*MAV120801367</t>
  </si>
  <si>
    <t>14/08/2026</t>
  </si>
  <si>
    <t>*MAV130700768</t>
  </si>
  <si>
    <t>15/07/2026</t>
  </si>
  <si>
    <t>*MAV110600884</t>
  </si>
  <si>
    <t>16/06/2026</t>
  </si>
  <si>
    <t>*MAV120601309</t>
  </si>
  <si>
    <t>*MAV130800916</t>
  </si>
  <si>
    <t>18/08/2026</t>
  </si>
  <si>
    <t>*MAV140701247</t>
  </si>
  <si>
    <t>16/07/2026</t>
  </si>
  <si>
    <t>*MAV140801103</t>
  </si>
  <si>
    <t>*MAV150701443</t>
  </si>
  <si>
    <t>*MAV160601113</t>
  </si>
  <si>
    <t>18/06/2026</t>
  </si>
  <si>
    <t>EL AUDITOR SA</t>
  </si>
  <si>
    <t>Posición de Cuotapartista</t>
  </si>
  <si>
    <t>20/04/2026</t>
  </si>
  <si>
    <t>28/05/2026</t>
  </si>
  <si>
    <t>ELIAS SEMILLAS E INSUMOS SRL</t>
  </si>
  <si>
    <t>23/04/2026</t>
  </si>
  <si>
    <t>*MAV090601094</t>
  </si>
  <si>
    <t>11/06/2026</t>
  </si>
  <si>
    <t>*MAV110600888</t>
  </si>
  <si>
    <t>AYVU S.A.</t>
  </si>
  <si>
    <t>*MAV190600834</t>
  </si>
  <si>
    <t>*MAV260601012</t>
  </si>
  <si>
    <t>*MAV060601073</t>
  </si>
  <si>
    <t>10/06/2026</t>
  </si>
  <si>
    <t>*MAV120601317</t>
  </si>
  <si>
    <t>*MAV140500902</t>
  </si>
  <si>
    <t>*MAV300601797</t>
  </si>
  <si>
    <t>02/07/2026</t>
  </si>
  <si>
    <t>Casa Hutton SA</t>
  </si>
  <si>
    <t>DISTRIBUIDORA LEO SRL</t>
  </si>
  <si>
    <t>*MAV120601321</t>
  </si>
  <si>
    <t>ASOCIACION ATLETICA ARGENTINOS JUNIORS</t>
  </si>
  <si>
    <t>Garantías</t>
  </si>
  <si>
    <t>Contratos a shortear</t>
  </si>
  <si>
    <t>Contratos Shorteados</t>
  </si>
  <si>
    <t>Mayo</t>
  </si>
  <si>
    <t>Junio</t>
  </si>
  <si>
    <t>Julio</t>
  </si>
  <si>
    <t>Saldo de Garantias</t>
  </si>
  <si>
    <t>Bono</t>
  </si>
  <si>
    <t>VN</t>
  </si>
  <si>
    <t>Aforo</t>
  </si>
  <si>
    <t>Garantia Requerida</t>
  </si>
  <si>
    <t>Total $ por contrato</t>
  </si>
  <si>
    <t>Garantías RFX (MOMENTUM)</t>
  </si>
  <si>
    <t>*MAV150601007</t>
  </si>
  <si>
    <t>*MAV160601141</t>
  </si>
  <si>
    <t>LA NUEVA METROPOL SOCIEDAD ANONIMA DE TRANSPORTE AUTOMOTOR COMERCIAL E IND</t>
  </si>
  <si>
    <t>Garantia</t>
  </si>
  <si>
    <t>Compra/Venta Bonos</t>
  </si>
  <si>
    <t>VD FF SECUBONO 245 CL.A $</t>
  </si>
  <si>
    <t>AR0822887474</t>
  </si>
  <si>
    <t>28/08/2026</t>
  </si>
  <si>
    <t>*MAV050801071</t>
  </si>
  <si>
    <t>07/08/2026</t>
  </si>
  <si>
    <t>15/05/2026</t>
  </si>
  <si>
    <t>21/05/2026</t>
  </si>
  <si>
    <t>07/05/2026</t>
  </si>
  <si>
    <t>COTO</t>
  </si>
  <si>
    <t>Fut Rofex DLR062026</t>
  </si>
  <si>
    <t>#UMV010760032</t>
  </si>
  <si>
    <t>03/07/2026</t>
  </si>
  <si>
    <t>PAMPA VIDA S.R.L.</t>
  </si>
  <si>
    <t>MY51B - VD FF AMFAYS Serie 51 Clase B</t>
  </si>
  <si>
    <t>AR0207834935</t>
  </si>
  <si>
    <t>15/03/2027</t>
  </si>
  <si>
    <t>MY51C - VD FF AMFAYS Serie 51 Clase C</t>
  </si>
  <si>
    <t>AR0601005553</t>
  </si>
  <si>
    <t>15/11/2027</t>
  </si>
  <si>
    <t>*MAV120601382</t>
  </si>
  <si>
    <t>*MAV240601092</t>
  </si>
  <si>
    <t>26/06/2026</t>
  </si>
  <si>
    <t>*MAV160700952</t>
  </si>
  <si>
    <t>20/07/2026</t>
  </si>
  <si>
    <t>*MAV220701194</t>
  </si>
  <si>
    <t>24/07/2026</t>
  </si>
  <si>
    <t>*MAV270700762</t>
  </si>
  <si>
    <t>29/07/2026</t>
  </si>
  <si>
    <t>*MAV140701264</t>
  </si>
  <si>
    <t>*MAV150701468</t>
  </si>
  <si>
    <t>*MAV160700955</t>
  </si>
  <si>
    <t>*MAV170701009</t>
  </si>
  <si>
    <t>*MAV230700923</t>
  </si>
  <si>
    <t>27/07/2026</t>
  </si>
  <si>
    <t>*MAV290701056</t>
  </si>
  <si>
    <t>*MAV160601164</t>
  </si>
  <si>
    <t>*MAV200700914</t>
  </si>
  <si>
    <t>22/07/2026</t>
  </si>
  <si>
    <t>*MAV240701043</t>
  </si>
  <si>
    <t>28/07/2026</t>
  </si>
  <si>
    <t>*MAV270700763</t>
  </si>
  <si>
    <t>*MAV300601821</t>
  </si>
  <si>
    <t>TRANS BOX SRL</t>
  </si>
  <si>
    <t>*MAV090601120</t>
  </si>
  <si>
    <t>*MAV120601388</t>
  </si>
  <si>
    <t>*MAV160601170</t>
  </si>
  <si>
    <t>*MAV230601260</t>
  </si>
  <si>
    <t>25/06/2026</t>
  </si>
  <si>
    <t>27/05/2026</t>
  </si>
  <si>
    <t>*MIL040600024</t>
  </si>
  <si>
    <t>08/06/2026</t>
  </si>
  <si>
    <t>*MIL090600032</t>
  </si>
  <si>
    <t>*MIL110600024</t>
  </si>
  <si>
    <t>*MIL160600031</t>
  </si>
  <si>
    <t>*MIL180600020</t>
  </si>
  <si>
    <t>*MIL230600032</t>
  </si>
  <si>
    <t>*MIL250600022</t>
  </si>
  <si>
    <t>29/06/2026</t>
  </si>
  <si>
    <t>*MIL260600027</t>
  </si>
  <si>
    <t>*MIL300600053</t>
  </si>
  <si>
    <t>*MAV090601125</t>
  </si>
  <si>
    <t>VICTORIO PODESTA Y CIA S.A.</t>
  </si>
  <si>
    <t xml:space="preserve">                                                                                                                                                                                                                 Todos los importes están expresados en Pesos  </t>
  </si>
  <si>
    <t>TITULO PUBLICO en Pesos</t>
  </si>
  <si>
    <t>OBLIGACIONES NEGOCIABLES en Pesos</t>
  </si>
  <si>
    <t>FIDEICOMISOS FINANCIEROS en Pesos</t>
  </si>
  <si>
    <t>FUTUROS en Pesos</t>
  </si>
  <si>
    <t>TITULO PROVINCIAL en Pesos</t>
  </si>
  <si>
    <t>Aperturas, Pases y Cauciones en Pesos</t>
  </si>
  <si>
    <t>Cheques de Pago Diferido en Pesos</t>
  </si>
  <si>
    <t>#UMV010760033</t>
  </si>
  <si>
    <t>Papeles-ROFEX-Por Futuro-FUTUROS-Pesos</t>
  </si>
  <si>
    <t>Pesos</t>
  </si>
  <si>
    <t>ESPECIALIDADES AGROPECUARIAS S.A.</t>
  </si>
  <si>
    <t>DHN DESARROLLADORA SRL</t>
  </si>
  <si>
    <t>*MAV100601387</t>
  </si>
  <si>
    <t>*MAV110600917</t>
  </si>
  <si>
    <t>*MAV310701236</t>
  </si>
  <si>
    <t>*MAV040600716</t>
  </si>
  <si>
    <t>SERVICIOS DE PRODUCCIONES ARTISTICAS SRL</t>
  </si>
  <si>
    <t>*MAV300601846</t>
  </si>
  <si>
    <t>*MAV170701013</t>
  </si>
  <si>
    <t>19/06/2026</t>
  </si>
  <si>
    <t>*MAV170601035</t>
  </si>
  <si>
    <t>TALLERES METALURGICOS CRUCIANELLI SA</t>
  </si>
  <si>
    <t>*MAV150601055</t>
  </si>
  <si>
    <t>*MAV150701477</t>
  </si>
  <si>
    <t>*MAV140801110</t>
  </si>
  <si>
    <t>*MAV160700961</t>
  </si>
  <si>
    <t>*MAV170601050</t>
  </si>
  <si>
    <t>DROGUERIA DISVAL S R L</t>
  </si>
  <si>
    <t>*MAV080600773</t>
  </si>
  <si>
    <t>COOPERATIVA DE VIVIENDA CREDITO Y CONSUMO PARA EL DESARROLLO LIMITADA</t>
  </si>
  <si>
    <t>*MAV260601067</t>
  </si>
  <si>
    <t>*MAV170701024</t>
  </si>
  <si>
    <t>*MAV100701281</t>
  </si>
  <si>
    <t>*MAV140701282</t>
  </si>
  <si>
    <t>*MAV010701039</t>
  </si>
  <si>
    <t>*MAV240701056</t>
  </si>
  <si>
    <t>*MAV150701506</t>
  </si>
  <si>
    <t>*MAV250601028</t>
  </si>
  <si>
    <t>*MAV190600933</t>
  </si>
  <si>
    <t>*MAV220600806</t>
  </si>
  <si>
    <t>24/06/2026</t>
  </si>
  <si>
    <t>*MAV230601300</t>
  </si>
  <si>
    <t>*MAV290600704</t>
  </si>
  <si>
    <t>*MAV240601142</t>
  </si>
  <si>
    <t>*MAV260601080</t>
  </si>
  <si>
    <t>*MAV300601881</t>
  </si>
  <si>
    <t>*MAV250601029</t>
  </si>
  <si>
    <t>*MAV260601072</t>
  </si>
  <si>
    <t>*MAV290600703</t>
  </si>
  <si>
    <t>*MAV290600705</t>
  </si>
  <si>
    <t>*MAV300601877</t>
  </si>
  <si>
    <t>*MAV250601031</t>
  </si>
  <si>
    <t>*MAV260601088</t>
  </si>
  <si>
    <t>*MAV290600706</t>
  </si>
  <si>
    <t>*MAV300601878</t>
  </si>
  <si>
    <t>*MAV110600949</t>
  </si>
  <si>
    <t>*MAV300601876</t>
  </si>
  <si>
    <t>*MAV180600990</t>
  </si>
  <si>
    <t>*MAV250601030</t>
  </si>
  <si>
    <t>*MAV050601166</t>
  </si>
  <si>
    <t>09/06/2026</t>
  </si>
  <si>
    <t>CELULOSA CAMPANA SA</t>
  </si>
  <si>
    <t>COOPERATIVA DE TRABAJO ASISTEN LIMITADA</t>
  </si>
  <si>
    <t>*MAV300601897</t>
  </si>
  <si>
    <t>*MAV300801312</t>
  </si>
  <si>
    <t>02/09/2026</t>
  </si>
  <si>
    <t>#UMV030860027</t>
  </si>
  <si>
    <t>05/08/2026</t>
  </si>
  <si>
    <t>LW GROUP SRL</t>
  </si>
  <si>
    <t>Pase</t>
  </si>
  <si>
    <t>*MAV010701052</t>
  </si>
  <si>
    <t>*AAR010700018</t>
  </si>
  <si>
    <t>*AAR020700017</t>
  </si>
  <si>
    <t>06/07/2026</t>
  </si>
  <si>
    <t>*AAR240600038</t>
  </si>
  <si>
    <t>*AAR300600039</t>
  </si>
  <si>
    <t>*AAR010700017</t>
  </si>
  <si>
    <t>*AAR030700014</t>
  </si>
  <si>
    <t>07/07/2026</t>
  </si>
  <si>
    <t>*AAR050600040</t>
  </si>
  <si>
    <t>*AAR080700032</t>
  </si>
  <si>
    <t>14/07/2026</t>
  </si>
  <si>
    <t>*AAR100700021</t>
  </si>
  <si>
    <t>*AAR120600012</t>
  </si>
  <si>
    <t>*AAR150700042</t>
  </si>
  <si>
    <t>*AAR170600024</t>
  </si>
  <si>
    <t>*AAR170700014</t>
  </si>
  <si>
    <t>*AAR190600019</t>
  </si>
  <si>
    <t>*AAR220700016</t>
  </si>
  <si>
    <t>*AAR240600037</t>
  </si>
  <si>
    <t>*AAR240700018</t>
  </si>
  <si>
    <t>*AAR260600015</t>
  </si>
  <si>
    <t>*AAR280700029</t>
  </si>
  <si>
    <t>%INC050600021</t>
  </si>
  <si>
    <t>%INC050600022</t>
  </si>
  <si>
    <t>%INC190600019</t>
  </si>
  <si>
    <t>*MAV100601462</t>
  </si>
  <si>
    <t>*MAV170601089</t>
  </si>
  <si>
    <t>*MAV070800967</t>
  </si>
  <si>
    <t>11/08/2026</t>
  </si>
  <si>
    <t>*MAV140801114</t>
  </si>
  <si>
    <t>*MAV170701219</t>
  </si>
  <si>
    <t>*MAV210801063</t>
  </si>
  <si>
    <t>25/08/2026</t>
  </si>
  <si>
    <t>*MAV240701063</t>
  </si>
  <si>
    <t>*MAV310701252</t>
  </si>
  <si>
    <t>*MAV050801095</t>
  </si>
  <si>
    <t>*MAV050601198</t>
  </si>
  <si>
    <t>*MAV060700702</t>
  </si>
  <si>
    <t>08/07/2026</t>
  </si>
  <si>
    <t>AVAL AR SGR</t>
  </si>
  <si>
    <t>SION S A</t>
  </si>
  <si>
    <t>BROADBANDTECH SA</t>
  </si>
  <si>
    <t>*MAV040600763</t>
  </si>
  <si>
    <t>*MAV050601204</t>
  </si>
  <si>
    <t>*MAV080600801</t>
  </si>
  <si>
    <t>*MAV090601185</t>
  </si>
  <si>
    <t>*MAV100601471</t>
  </si>
  <si>
    <t>*MAV110600960</t>
  </si>
  <si>
    <t>*MAV120601480</t>
  </si>
  <si>
    <t>*MAV160601255</t>
  </si>
  <si>
    <t>*MAV170601091</t>
  </si>
  <si>
    <t>*MAV180601006</t>
  </si>
  <si>
    <t>*MAV190600954</t>
  </si>
  <si>
    <t>*MAV220600829</t>
  </si>
  <si>
    <t>*MAV040600761</t>
  </si>
  <si>
    <t>*MAV050601202</t>
  </si>
  <si>
    <t>*MAV080600800</t>
  </si>
  <si>
    <t>*MAV090601184</t>
  </si>
  <si>
    <t>*MAV100601469</t>
  </si>
  <si>
    <t>*MAV110600959</t>
  </si>
  <si>
    <t>*MAV230601319</t>
  </si>
  <si>
    <t>*MAV240601164</t>
  </si>
  <si>
    <t>*MAV260601132</t>
  </si>
  <si>
    <t>*MAV300601920</t>
  </si>
  <si>
    <t>*MAV040600762</t>
  </si>
  <si>
    <t>*MAV050601203</t>
  </si>
  <si>
    <t>*MAV080600802</t>
  </si>
  <si>
    <t>*MAV200600993</t>
  </si>
  <si>
    <t>*MAV240601163</t>
  </si>
  <si>
    <t>*MAV060601119</t>
  </si>
  <si>
    <t>*MAV100601470</t>
  </si>
  <si>
    <t>*MAV130601122</t>
  </si>
  <si>
    <t>*MAV170601090</t>
  </si>
  <si>
    <t>*MAV300501509</t>
  </si>
  <si>
    <t>*MAV130601121</t>
  </si>
  <si>
    <t>%INC100600020</t>
  </si>
  <si>
    <t>%INC100600021</t>
  </si>
  <si>
    <t>%INC100600022</t>
  </si>
  <si>
    <t>%INC100600023</t>
  </si>
  <si>
    <t>%INC130600024</t>
  </si>
  <si>
    <t>%INC130600025</t>
  </si>
  <si>
    <t>%INC130600026</t>
  </si>
  <si>
    <t>%INC140600036</t>
  </si>
  <si>
    <t>%INC170600022</t>
  </si>
  <si>
    <t>*MIL220700034</t>
  </si>
  <si>
    <t>*MIL250700032</t>
  </si>
  <si>
    <t>*MIL310700029</t>
  </si>
  <si>
    <t>*MIL260600028</t>
  </si>
  <si>
    <t>*MIL260600029</t>
  </si>
  <si>
    <t>*MIL300600056</t>
  </si>
  <si>
    <t>*MIL300600057</t>
  </si>
  <si>
    <t>#UMV010760034</t>
  </si>
  <si>
    <t>#UMV030860028</t>
  </si>
  <si>
    <t>PROYECTOS DEL NORTE SRL</t>
  </si>
  <si>
    <t>P I S R L</t>
  </si>
  <si>
    <t>*MAV300701114</t>
  </si>
  <si>
    <t>03/08/2026</t>
  </si>
  <si>
    <t>*MIL300600058</t>
  </si>
  <si>
    <t>*MIL100700041</t>
  </si>
  <si>
    <t>*MAV090601193</t>
  </si>
  <si>
    <t>*MAV090601194</t>
  </si>
  <si>
    <t>*MAV280800998</t>
  </si>
  <si>
    <t>*MAV310701258</t>
  </si>
  <si>
    <t>AREA RIO NEGRO NORTE</t>
  </si>
  <si>
    <t>*AFB300600009</t>
  </si>
  <si>
    <t>*AFB310700008</t>
  </si>
  <si>
    <t>Vinculos S.G.R.</t>
  </si>
  <si>
    <t>*MAV280301013</t>
  </si>
  <si>
    <t>*MIL100600033</t>
  </si>
  <si>
    <t>*MIL200600038</t>
  </si>
  <si>
    <t>*MIL060700029</t>
  </si>
  <si>
    <t>*MIL050600026</t>
  </si>
  <si>
    <t>*MAV140601123</t>
  </si>
  <si>
    <t>*MAV140701323</t>
  </si>
  <si>
    <t>*MAV150501546</t>
  </si>
  <si>
    <t>*MAV280801000</t>
  </si>
  <si>
    <t>*MAV130800927</t>
  </si>
  <si>
    <t>*MAV290600741</t>
  </si>
  <si>
    <t>*MAV290701080</t>
  </si>
  <si>
    <t>*MAV300501529</t>
  </si>
  <si>
    <t>*MAV040600790</t>
  </si>
  <si>
    <t>*MAV040600791</t>
  </si>
  <si>
    <t>*MAV040600792</t>
  </si>
  <si>
    <t>*MAV080600842</t>
  </si>
  <si>
    <t>*MAV080600843</t>
  </si>
  <si>
    <t>*MAV050601246</t>
  </si>
  <si>
    <t>*MAV180601026</t>
  </si>
  <si>
    <t>*MAV100501303</t>
  </si>
  <si>
    <t>*MAV170501125</t>
  </si>
  <si>
    <t>*MAV070601038</t>
  </si>
  <si>
    <t>*MAV140601126</t>
  </si>
  <si>
    <t>*MAV210600984</t>
  </si>
  <si>
    <t>*MAV240501044</t>
  </si>
  <si>
    <t>*MAV310501406</t>
  </si>
  <si>
    <t>*MAV100601545</t>
  </si>
  <si>
    <t>*MAV090800974</t>
  </si>
  <si>
    <t>12/08/2026</t>
  </si>
  <si>
    <t>*MAV200700987</t>
  </si>
  <si>
    <t>*MAV300601956</t>
  </si>
  <si>
    <t>QUILMES</t>
  </si>
  <si>
    <t>*MAV060700762</t>
  </si>
  <si>
    <t>*MAV130700961</t>
  </si>
  <si>
    <t>*MAV220600860</t>
  </si>
  <si>
    <t>*MAV290600749</t>
  </si>
  <si>
    <t>*MAV190601003</t>
  </si>
  <si>
    <t>*MAV240601193</t>
  </si>
  <si>
    <t>*MAV300601958</t>
  </si>
  <si>
    <t>#MAV110660031</t>
  </si>
  <si>
    <t>#MAV100660034</t>
  </si>
  <si>
    <t>*MAV050801102</t>
  </si>
  <si>
    <t>*MAV130700971</t>
  </si>
  <si>
    <t>NEW ARRECIFE S.A.</t>
  </si>
  <si>
    <t>TRIAL INTERNATIONAL S.A.</t>
  </si>
  <si>
    <t>%INC280600029</t>
  </si>
  <si>
    <t>%INC280600031</t>
  </si>
  <si>
    <t>%INC280600030</t>
  </si>
  <si>
    <t>%INC070600043</t>
  </si>
  <si>
    <t>%INC070600044</t>
  </si>
  <si>
    <t>%INC220600023</t>
  </si>
  <si>
    <t>%INC220600024</t>
  </si>
  <si>
    <t>%INC230600018</t>
  </si>
  <si>
    <t>*MAV120801432</t>
  </si>
  <si>
    <t>*MIL100700042</t>
  </si>
  <si>
    <t>*MIL100700043</t>
  </si>
  <si>
    <t>*MIL100700044</t>
  </si>
  <si>
    <t>*MIL100700045</t>
  </si>
  <si>
    <t>*MIL100700046</t>
  </si>
  <si>
    <t>*MIL100700047</t>
  </si>
  <si>
    <t>*MIL200700043</t>
  </si>
  <si>
    <t>*MIL270700024</t>
  </si>
  <si>
    <t>*MIL220600031</t>
  </si>
  <si>
    <t>*MIL220700035</t>
  </si>
  <si>
    <t>*MIL220700036</t>
  </si>
  <si>
    <t>*MIL290700024</t>
  </si>
  <si>
    <t>*MIL290700025</t>
  </si>
  <si>
    <t>*MAV130700974</t>
  </si>
  <si>
    <t>*MAV020901140</t>
  </si>
  <si>
    <t>04/09/2026</t>
  </si>
  <si>
    <t>*MAV050801106</t>
  </si>
  <si>
    <t>*MAV190801107</t>
  </si>
  <si>
    <t>21/08/2026</t>
  </si>
  <si>
    <t>*MAV260801138</t>
  </si>
  <si>
    <t>*MAV220701228</t>
  </si>
  <si>
    <t>*MAV290701088</t>
  </si>
  <si>
    <t>*MAV120801434</t>
  </si>
  <si>
    <t>*MAV060700774</t>
  </si>
  <si>
    <t>*MAV080701187</t>
  </si>
  <si>
    <t>*MAV120601553</t>
  </si>
  <si>
    <t>ENTRENUTS SRL</t>
  </si>
  <si>
    <t>V Y V ALIMENTOS S.A.</t>
  </si>
  <si>
    <t>#MAV120660035</t>
  </si>
  <si>
    <t>#MAV120660036</t>
  </si>
  <si>
    <t>*MAV150601145</t>
  </si>
  <si>
    <t>*MAV010701098</t>
  </si>
  <si>
    <t>*MAV130901052</t>
  </si>
  <si>
    <t>16/09/2026</t>
  </si>
  <si>
    <t>*MAV010901130</t>
  </si>
  <si>
    <t>03/09/2026</t>
  </si>
  <si>
    <t>*MAV150901457</t>
  </si>
  <si>
    <t>17/09/2026</t>
  </si>
  <si>
    <t>*MAV110900971</t>
  </si>
  <si>
    <t>15/09/2026</t>
  </si>
  <si>
    <t>*MAV120901447</t>
  </si>
  <si>
    <t>*MAV310801101</t>
  </si>
  <si>
    <t>*MAV300801317</t>
  </si>
  <si>
    <t>*MAV290801169</t>
  </si>
  <si>
    <t>*MAV280801005</t>
  </si>
  <si>
    <t>*MAV140900802</t>
  </si>
  <si>
    <t>*MAV160801087</t>
  </si>
  <si>
    <t>20/08/2026</t>
  </si>
  <si>
    <t>*MAV130800932</t>
  </si>
  <si>
    <t>*MAV140801128</t>
  </si>
  <si>
    <t>*MAV200801170</t>
  </si>
  <si>
    <t>24/08/2026</t>
  </si>
  <si>
    <t>*MAV200801171</t>
  </si>
  <si>
    <t>*MAV130800931</t>
  </si>
  <si>
    <t>*MAV140801129</t>
  </si>
  <si>
    <t>*MAV160801088</t>
  </si>
  <si>
    <t>CONAVAL SGR</t>
  </si>
  <si>
    <t>Movil SGR</t>
  </si>
  <si>
    <t>JUARROS JOSE LUIS</t>
  </si>
  <si>
    <t>ACERIAS 4 C SA</t>
  </si>
  <si>
    <t>VM METALURGICA SRL</t>
  </si>
  <si>
    <t>PN ACTUAL</t>
  </si>
  <si>
    <t>5% MM</t>
  </si>
  <si>
    <t>20% CAUCION</t>
  </si>
  <si>
    <t>*MOV250600056</t>
  </si>
  <si>
    <t>*AFB140800011</t>
  </si>
  <si>
    <t>*AFB150900012</t>
  </si>
  <si>
    <t>*MOV100700068</t>
  </si>
  <si>
    <t>*MOV140800051</t>
  </si>
  <si>
    <t>*MOV280800055</t>
  </si>
  <si>
    <t>*MOV300700055</t>
  </si>
  <si>
    <t>*CVA280800007</t>
  </si>
  <si>
    <t>*CVA040900007</t>
  </si>
  <si>
    <t>08/09/2026</t>
  </si>
  <si>
    <t>*CVA310800024</t>
  </si>
  <si>
    <t>*AFB050600015</t>
  </si>
  <si>
    <t>*MOV100700072</t>
  </si>
  <si>
    <t>*MOV090600056</t>
  </si>
  <si>
    <t>*MOV090600055</t>
  </si>
  <si>
    <t>*MOV080600040</t>
  </si>
  <si>
    <t>*MOV070600042</t>
  </si>
  <si>
    <t>*MOV070600041</t>
  </si>
  <si>
    <t>*MOV060600069</t>
  </si>
  <si>
    <t>*MOV060600068</t>
  </si>
  <si>
    <t>*MOV060600067</t>
  </si>
  <si>
    <t>*MOV060600066</t>
  </si>
  <si>
    <t>*MOV060600065</t>
  </si>
  <si>
    <t>*MOV100600082</t>
  </si>
  <si>
    <t>*FID140700021</t>
  </si>
  <si>
    <t>*FID140700020</t>
  </si>
  <si>
    <t>*NEU130800014</t>
  </si>
  <si>
    <t>*NEU160700021</t>
  </si>
  <si>
    <t>*NEU300700019</t>
  </si>
  <si>
    <t>*NEU290800019</t>
  </si>
  <si>
    <t>*NEU280700020</t>
  </si>
  <si>
    <t>*NEU260800027</t>
  </si>
  <si>
    <t>*NEU230700018</t>
  </si>
  <si>
    <t>*NEU220800025</t>
  </si>
  <si>
    <t>26/08/2026</t>
  </si>
  <si>
    <t>*MAV210701197</t>
  </si>
  <si>
    <t>23/07/2026</t>
  </si>
  <si>
    <t>#MAV150660057</t>
  </si>
  <si>
    <t>*MAV300701130</t>
  </si>
  <si>
    <t>*MAV250701294</t>
  </si>
  <si>
    <t>*MAV130601164</t>
  </si>
  <si>
    <t>*MAV220600889</t>
  </si>
  <si>
    <t>*MAV200701011</t>
  </si>
  <si>
    <t>*MAV030800729</t>
  </si>
  <si>
    <t>*MAV170901008</t>
  </si>
  <si>
    <t>21/09/2026</t>
  </si>
  <si>
    <t>*FED030800023</t>
  </si>
  <si>
    <t>*FED030800024</t>
  </si>
  <si>
    <t>*FED040800020</t>
  </si>
  <si>
    <t>06/08/2026</t>
  </si>
  <si>
    <t>*FED040800021</t>
  </si>
  <si>
    <t>*FED050800034</t>
  </si>
  <si>
    <t>*FED100700045</t>
  </si>
  <si>
    <t>*MAV300701132</t>
  </si>
  <si>
    <t>*MAV300801320</t>
  </si>
  <si>
    <t>*MAV300601996</t>
  </si>
  <si>
    <t>*MAV090700468</t>
  </si>
  <si>
    <t>*MAV090800977</t>
  </si>
  <si>
    <t>*MAV130800934</t>
  </si>
  <si>
    <t>*MAV270800957</t>
  </si>
  <si>
    <t>31/08/2026</t>
  </si>
  <si>
    <t>*MAV061001203</t>
  </si>
  <si>
    <t>08/10/2026</t>
  </si>
  <si>
    <t>*MAV061001204</t>
  </si>
  <si>
    <t>*MAV011000998</t>
  </si>
  <si>
    <t>05/10/2026</t>
  </si>
  <si>
    <t>*MAV051000897</t>
  </si>
  <si>
    <t>07/10/2026</t>
  </si>
  <si>
    <t>*MAV051000898</t>
  </si>
  <si>
    <t>#UMV131160016</t>
  </si>
  <si>
    <t>17/11/2026</t>
  </si>
  <si>
    <t>#UMV141060033</t>
  </si>
  <si>
    <t>16/10/2026</t>
  </si>
  <si>
    <t>#UMV131260004</t>
  </si>
  <si>
    <t>16/12/2026</t>
  </si>
  <si>
    <t>#UMV110670002</t>
  </si>
  <si>
    <t>15/06/2027</t>
  </si>
  <si>
    <t>#UMV130370002</t>
  </si>
  <si>
    <t>17/03/2027</t>
  </si>
  <si>
    <t>#UMV120570002</t>
  </si>
  <si>
    <t>14/05/2027</t>
  </si>
  <si>
    <t>#UMV120470004</t>
  </si>
  <si>
    <t>14/04/2027</t>
  </si>
  <si>
    <t>#UMV120170009</t>
  </si>
  <si>
    <t>14/01/2027</t>
  </si>
  <si>
    <t>#UMV110270012</t>
  </si>
  <si>
    <t>15/02/2027</t>
  </si>
  <si>
    <t>APEXAR TECHNOLOGIES SA</t>
  </si>
  <si>
    <t>INTERTEXTIL SRL</t>
  </si>
  <si>
    <t>PUNTO PACK SRL</t>
  </si>
  <si>
    <t>TEXTUM SA</t>
  </si>
  <si>
    <t>LOGICA CONSULTING GROUP SAU</t>
  </si>
  <si>
    <t>KEY TECHNOLOGY SRL</t>
  </si>
  <si>
    <t>GEOPOLIS SA</t>
  </si>
  <si>
    <t>CONSTRUCCIONES S&amp;C SAS</t>
  </si>
  <si>
    <t>BILOMAT</t>
  </si>
  <si>
    <t>AGROREDES SRL</t>
  </si>
  <si>
    <t>Neuquén Pymes S.G.R. </t>
  </si>
  <si>
    <t>*INP030700051</t>
  </si>
  <si>
    <t>*INP170700067</t>
  </si>
  <si>
    <t>*INP130700050</t>
  </si>
  <si>
    <t>*INP200700070</t>
  </si>
  <si>
    <t>*INP230700044</t>
  </si>
  <si>
    <t>*INP240700062</t>
  </si>
  <si>
    <t>*INP270700048</t>
  </si>
  <si>
    <t>*INP280700068</t>
  </si>
  <si>
    <t>*INP290700068</t>
  </si>
  <si>
    <t>*INP300700064</t>
  </si>
  <si>
    <t>*INP310700079</t>
  </si>
  <si>
    <t>*INP100600105</t>
  </si>
  <si>
    <t>*INP090600066</t>
  </si>
  <si>
    <t>*INP110600061</t>
  </si>
  <si>
    <t>*ACI110900205</t>
  </si>
  <si>
    <t>*ACI120800233</t>
  </si>
  <si>
    <t>*FED090800026</t>
  </si>
  <si>
    <t>*FED150600061</t>
  </si>
  <si>
    <t>*FED150700056</t>
  </si>
  <si>
    <t>*FED300600128</t>
  </si>
  <si>
    <t>*FED300700061</t>
  </si>
  <si>
    <t>*NEU050600015</t>
  </si>
  <si>
    <t>*NEU310800017</t>
  </si>
  <si>
    <t>*NEU210900016</t>
  </si>
  <si>
    <t>23/09/2026</t>
  </si>
  <si>
    <t>*NEU280800014</t>
  </si>
  <si>
    <t>*NEU280800013</t>
  </si>
  <si>
    <t>*NEU300900058</t>
  </si>
  <si>
    <t>02/10/2026</t>
  </si>
  <si>
    <t>*NEU300700021</t>
  </si>
  <si>
    <t>*NEU300700020</t>
  </si>
  <si>
    <t>*MAV180601052</t>
  </si>
  <si>
    <t>*MAV100701382</t>
  </si>
  <si>
    <t>*MAV030700970</t>
  </si>
  <si>
    <t>*MAV050601328</t>
  </si>
  <si>
    <t>*MAV120601596</t>
  </si>
  <si>
    <t>*MAV190601033</t>
  </si>
  <si>
    <t>*MAV260601211</t>
  </si>
  <si>
    <t>*FED220600024</t>
  </si>
  <si>
    <t>*FED240600044</t>
  </si>
  <si>
    <t>*FED130700032</t>
  </si>
  <si>
    <t>*FED160600041</t>
  </si>
  <si>
    <t>*FED170600046</t>
  </si>
  <si>
    <t>*FED190600063</t>
  </si>
  <si>
    <t>*MAV100701387</t>
  </si>
  <si>
    <t>*MAV230601370</t>
  </si>
  <si>
    <t>*FED220600025</t>
  </si>
  <si>
    <t>*FED230600046</t>
  </si>
  <si>
    <t>*FED250600040</t>
  </si>
  <si>
    <t>*MAV170701366</t>
  </si>
  <si>
    <t>*MAV260601213</t>
  </si>
  <si>
    <t>*MAV190601036</t>
  </si>
  <si>
    <t>*MAV030700971</t>
  </si>
  <si>
    <t>*MAV200601042</t>
  </si>
  <si>
    <t>*MAV210701206</t>
  </si>
  <si>
    <t>*MAV260701074</t>
  </si>
  <si>
    <t>*MAV290501302</t>
  </si>
  <si>
    <t>*MAV080901113</t>
  </si>
  <si>
    <t>10/09/2026</t>
  </si>
  <si>
    <t>*MAV120601599</t>
  </si>
  <si>
    <t>*MAV230700964</t>
  </si>
  <si>
    <t>*MAV280701169</t>
  </si>
  <si>
    <t>*MAV310801103</t>
  </si>
  <si>
    <t>*MAV040801017</t>
  </si>
  <si>
    <t>*MAV110801261</t>
  </si>
  <si>
    <t>13/08/2026</t>
  </si>
  <si>
    <t>*MAV180801225</t>
  </si>
  <si>
    <t>*MAV280701170</t>
  </si>
  <si>
    <t>LITTLE BLUE SRL</t>
  </si>
  <si>
    <t>INTEGRA PYMES SGR</t>
  </si>
  <si>
    <t>VINOX SRL</t>
  </si>
  <si>
    <t>VITIVINICOLA ROCAL SRL</t>
  </si>
  <si>
    <t>*MOV240700053</t>
  </si>
  <si>
    <t>*MOV270700045</t>
  </si>
  <si>
    <t>*MOV280700075</t>
  </si>
  <si>
    <t>*MOV290700053</t>
  </si>
  <si>
    <t>*MOV300700056</t>
  </si>
  <si>
    <t>*MOV310700075</t>
  </si>
  <si>
    <t>*MOV021000043</t>
  </si>
  <si>
    <t>06/10/2026</t>
  </si>
  <si>
    <t>*MOV040900048</t>
  </si>
  <si>
    <t>*MOV091000054</t>
  </si>
  <si>
    <t>14/10/2026</t>
  </si>
  <si>
    <t>*MOV100900072</t>
  </si>
  <si>
    <t>14/09/2026</t>
  </si>
  <si>
    <t>*MOV130900059</t>
  </si>
  <si>
    <t>*MOV131000082</t>
  </si>
  <si>
    <t>15/10/2026</t>
  </si>
  <si>
    <t>*MOV160900067</t>
  </si>
  <si>
    <t>18/09/2026</t>
  </si>
  <si>
    <t>*MOV161000057</t>
  </si>
  <si>
    <t>20/10/2026</t>
  </si>
  <si>
    <t>*MOV181000045</t>
  </si>
  <si>
    <t>21/10/2026</t>
  </si>
  <si>
    <t>*MOV210800042</t>
  </si>
  <si>
    <t>*MOV210900051</t>
  </si>
  <si>
    <t>*MOV230800052</t>
  </si>
  <si>
    <t>*MOV250900071</t>
  </si>
  <si>
    <t>29/09/2026</t>
  </si>
  <si>
    <t>*MOV260800071</t>
  </si>
  <si>
    <t>*MOV300900114</t>
  </si>
  <si>
    <t>*MOV310800090</t>
  </si>
  <si>
    <t>*MOV280800056</t>
  </si>
  <si>
    <t>*FID200700022</t>
  </si>
  <si>
    <t>*CMP020700021</t>
  </si>
  <si>
    <t>*CMP230600024</t>
  </si>
  <si>
    <t>*CMP190600039</t>
  </si>
  <si>
    <t>*CMP250600031</t>
  </si>
  <si>
    <t>*CMP030700027</t>
  </si>
  <si>
    <t>*CMP240600051</t>
  </si>
  <si>
    <t>*CMP220600034</t>
  </si>
  <si>
    <t>*CMP260600025</t>
  </si>
  <si>
    <t>*PRO150700020</t>
  </si>
  <si>
    <t>*PRO220700012</t>
  </si>
  <si>
    <t>*PRO290700011</t>
  </si>
  <si>
    <t>*PRO080700009</t>
  </si>
  <si>
    <t>*MIL230700028</t>
  </si>
  <si>
    <t>*MIL240700031</t>
  </si>
  <si>
    <t>*MAV190601038</t>
  </si>
  <si>
    <t>*MAV050601340</t>
  </si>
  <si>
    <t>*TRD180600032</t>
  </si>
  <si>
    <t>*TRD230600027</t>
  </si>
  <si>
    <t>*TRD230600026</t>
  </si>
  <si>
    <t>*TRD230600028</t>
  </si>
  <si>
    <t>*TRD250600019</t>
  </si>
  <si>
    <t>*TRD250600020</t>
  </si>
  <si>
    <t>*TRD180600034</t>
  </si>
  <si>
    <t>*TRD180600033</t>
  </si>
  <si>
    <t>LOS GROBO SGR</t>
  </si>
  <si>
    <t>TREND SGR</t>
  </si>
  <si>
    <t>CAMPO AVAL SGR</t>
  </si>
  <si>
    <t>S.E.S. S.A. - CONSTRUERE INGENIERIA S.A.</t>
  </si>
  <si>
    <t>*AAR101100035</t>
  </si>
  <si>
    <t>12/11/2026</t>
  </si>
  <si>
    <t>*AAR131100017</t>
  </si>
  <si>
    <t>*AAR161100027</t>
  </si>
  <si>
    <t>18/11/2026</t>
  </si>
  <si>
    <t>*AAR201100017</t>
  </si>
  <si>
    <t>25/11/2026</t>
  </si>
  <si>
    <t>*AAR091100027</t>
  </si>
  <si>
    <t>11/11/2026</t>
  </si>
  <si>
    <t>*INP170800028</t>
  </si>
  <si>
    <t>*INP180800042</t>
  </si>
  <si>
    <t>*INP130700051</t>
  </si>
  <si>
    <t>*INP240700064</t>
  </si>
  <si>
    <t>*INP110800047</t>
  </si>
  <si>
    <t>*INP140800093</t>
  </si>
  <si>
    <t>*AFB280900003</t>
  </si>
  <si>
    <t>30/09/2026</t>
  </si>
  <si>
    <t>*MOV021000044</t>
  </si>
  <si>
    <t>*MOV051000047</t>
  </si>
  <si>
    <t>*MOV071000055</t>
  </si>
  <si>
    <t>09/10/2026</t>
  </si>
  <si>
    <t>*MOV091000055</t>
  </si>
  <si>
    <t>*MOV131000083</t>
  </si>
  <si>
    <t>*MOV201000066</t>
  </si>
  <si>
    <t>22/10/2026</t>
  </si>
  <si>
    <t>*MOV211000064</t>
  </si>
  <si>
    <t>23/10/2026</t>
  </si>
  <si>
    <t>*MOV221000057</t>
  </si>
  <si>
    <t>26/10/2026</t>
  </si>
  <si>
    <t>*MOV261000050</t>
  </si>
  <si>
    <t>28/10/2026</t>
  </si>
  <si>
    <t>*MOV271000069</t>
  </si>
  <si>
    <t>29/10/2026</t>
  </si>
  <si>
    <t>*MOV291000063</t>
  </si>
  <si>
    <t>02/11/2026</t>
  </si>
  <si>
    <t>*MOV161000058</t>
  </si>
  <si>
    <t>*MOV231000049</t>
  </si>
  <si>
    <t>27/10/2026</t>
  </si>
  <si>
    <t>*MOV151000067</t>
  </si>
  <si>
    <t>19/10/2026</t>
  </si>
  <si>
    <t>*INP130600062</t>
  </si>
  <si>
    <t>*INP120600075</t>
  </si>
  <si>
    <t>*INP110600062</t>
  </si>
  <si>
    <t>*INP240700065</t>
  </si>
  <si>
    <t>*INP270700049</t>
  </si>
  <si>
    <t>*INP290700069</t>
  </si>
  <si>
    <t>*INP300700065</t>
  </si>
  <si>
    <t>*INP150700098</t>
  </si>
  <si>
    <t>*INP070700054</t>
  </si>
  <si>
    <t>13/07/2026</t>
  </si>
  <si>
    <t>*PRO270600010</t>
  </si>
  <si>
    <t>*INP230900060</t>
  </si>
  <si>
    <t>25/09/2026</t>
  </si>
  <si>
    <t>*INP160900050</t>
  </si>
  <si>
    <t>*INP210900041</t>
  </si>
  <si>
    <t>*INP160700041</t>
  </si>
  <si>
    <t>*FED280700037</t>
  </si>
  <si>
    <t>*FED120800028</t>
  </si>
  <si>
    <t>*FID180900021</t>
  </si>
  <si>
    <t>22/09/2026</t>
  </si>
  <si>
    <t>*PRO240600012</t>
  </si>
  <si>
    <t>*TRD210700023</t>
  </si>
  <si>
    <t>*TRD040800019</t>
  </si>
  <si>
    <t>*MAV010701100</t>
  </si>
  <si>
    <t>*MAV180601074</t>
  </si>
  <si>
    <t>*MIL200800030</t>
  </si>
  <si>
    <t>*MIL240800016</t>
  </si>
  <si>
    <t>*MIL250800026</t>
  </si>
  <si>
    <t>27/08/2026</t>
  </si>
  <si>
    <t>*MIL260800029</t>
  </si>
  <si>
    <t>*MIL270800027</t>
  </si>
  <si>
    <t>*MIL280800029</t>
  </si>
  <si>
    <t>*MIL210800020</t>
  </si>
  <si>
    <t>*MAV190601050</t>
  </si>
  <si>
    <t>*MAV140601153</t>
  </si>
  <si>
    <t>*MAV010701115</t>
  </si>
  <si>
    <t>*MAV250701301</t>
  </si>
  <si>
    <t>*MAV280801009</t>
  </si>
  <si>
    <t>*MAV290600785</t>
  </si>
  <si>
    <t>*MAV300701144</t>
  </si>
  <si>
    <t>*MAV030800733</t>
  </si>
  <si>
    <t>*MAV100701396</t>
  </si>
  <si>
    <t>*MAV150601194</t>
  </si>
  <si>
    <t>*MAV170901010</t>
  </si>
  <si>
    <t>*MAV230801002</t>
  </si>
  <si>
    <t>*MAV030700983</t>
  </si>
  <si>
    <t>*MAV040900869</t>
  </si>
  <si>
    <t>*MAV161001047</t>
  </si>
  <si>
    <t>*MAV300602011</t>
  </si>
  <si>
    <t>*MAV160601365</t>
  </si>
  <si>
    <t>*MAV250901124</t>
  </si>
  <si>
    <t>*MAV050901228</t>
  </si>
  <si>
    <t>09/09/2026</t>
  </si>
  <si>
    <t>*MAV171001314</t>
  </si>
  <si>
    <t>*MAV260901222</t>
  </si>
  <si>
    <t>*MAV200801174</t>
  </si>
  <si>
    <t>*MIL150700044</t>
  </si>
  <si>
    <t>*MIL200700045</t>
  </si>
  <si>
    <t>*MIL250700033</t>
  </si>
  <si>
    <t>*MIL300700030</t>
  </si>
  <si>
    <t>*MAV120601625</t>
  </si>
  <si>
    <t>*MAV100601628</t>
  </si>
  <si>
    <t>*MAV090601294</t>
  </si>
  <si>
    <t>*MAV110601049</t>
  </si>
  <si>
    <t>*MAV080600997</t>
  </si>
  <si>
    <t>*MAV290600787</t>
  </si>
  <si>
    <t>BUENA ONDA TELEVISORA COLOR SRL</t>
  </si>
  <si>
    <t>BODEGAS Y VIÑEDOS SANTA ELENA SRL</t>
  </si>
  <si>
    <t>BAYIT EMPRESA CONSTRUCTORA SRL</t>
  </si>
  <si>
    <t>VH FABRICS SRL</t>
  </si>
  <si>
    <t>Fut Rofex DLR082026</t>
  </si>
  <si>
    <t>*INP310700080</t>
  </si>
  <si>
    <t>*MAV150701604</t>
  </si>
  <si>
    <t>*MAV150801344</t>
  </si>
  <si>
    <t>*MAV151001338</t>
  </si>
  <si>
    <t>*MAV151101538</t>
  </si>
  <si>
    <t>*MAV150901465</t>
  </si>
  <si>
    <t>*MAV200701047</t>
  </si>
  <si>
    <t>#MAV020760016</t>
  </si>
  <si>
    <t>#INT020760001</t>
  </si>
  <si>
    <t>*INP250700071</t>
  </si>
  <si>
    <t>*MAV310801104</t>
  </si>
  <si>
    <t>*MAV210801077</t>
  </si>
  <si>
    <t>#UMV030860029</t>
  </si>
  <si>
    <t>#UMV010960009</t>
  </si>
  <si>
    <t>COOPERATIVA DE TABACALEROS DE JUJUY LTDA</t>
  </si>
  <si>
    <t>VBC3O - ON BANCO DE VALORES CL.3 24/10/26 $</t>
  </si>
  <si>
    <t>AR0531585807</t>
  </si>
  <si>
    <t>24/10/2026</t>
  </si>
  <si>
    <t>*MAV060700792</t>
  </si>
  <si>
    <t>*MIL010800019</t>
  </si>
  <si>
    <t>*MIL110700039</t>
  </si>
  <si>
    <t>*MIL210800021</t>
  </si>
  <si>
    <t>*MIL220700038</t>
  </si>
  <si>
    <t>*MAV090601306</t>
  </si>
  <si>
    <t>*MAV240601239</t>
  </si>
  <si>
    <t>*MAV250601115</t>
  </si>
  <si>
    <t>*MAV060800856</t>
  </si>
  <si>
    <t>10/08/2026</t>
  </si>
  <si>
    <t>*MAV270800960</t>
  </si>
  <si>
    <t>*MAV090700481</t>
  </si>
  <si>
    <t>*MAV130800942</t>
  </si>
  <si>
    <t>*MAV200801181</t>
  </si>
  <si>
    <t>*MAV100601649</t>
  </si>
  <si>
    <t>*MAV011001000</t>
  </si>
  <si>
    <t>*MAV070800991</t>
  </si>
  <si>
    <t>*MAV240800762</t>
  </si>
  <si>
    <t>*MAV030800739</t>
  </si>
  <si>
    <t>*MAV261000813</t>
  </si>
  <si>
    <t>*MAV030900796</t>
  </si>
  <si>
    <t>07/09/2026</t>
  </si>
  <si>
    <t>*MAV090800979</t>
  </si>
  <si>
    <t>*MAV090901126</t>
  </si>
  <si>
    <t>11/09/2026</t>
  </si>
  <si>
    <t>*MAV120801457</t>
  </si>
  <si>
    <t>*MAV090901127</t>
  </si>
  <si>
    <t>*MAV160901235</t>
  </si>
  <si>
    <t>*MAV160901236</t>
  </si>
  <si>
    <t>*MAV160901237</t>
  </si>
  <si>
    <t>*MAV160901238</t>
  </si>
  <si>
    <t>*MAV180801234</t>
  </si>
  <si>
    <t>*MAV180801235</t>
  </si>
  <si>
    <t>*MAV180801236</t>
  </si>
  <si>
    <t>*MAV180801237</t>
  </si>
  <si>
    <t>*MAV160901239</t>
  </si>
  <si>
    <t>*MAV160901240</t>
  </si>
  <si>
    <t>*MAV160901241</t>
  </si>
  <si>
    <t>*MAV160901242</t>
  </si>
  <si>
    <t>*MAV180801238</t>
  </si>
  <si>
    <t>*MAV180801239</t>
  </si>
  <si>
    <t>*MAV180801240</t>
  </si>
  <si>
    <t>*MAV180801241</t>
  </si>
  <si>
    <t>*MAV180801242</t>
  </si>
  <si>
    <t>*MAV180801243</t>
  </si>
  <si>
    <t>*MAV180801244</t>
  </si>
  <si>
    <t>*MAV160901244</t>
  </si>
  <si>
    <t>*MAV160901245</t>
  </si>
  <si>
    <t>*MAV160901243</t>
  </si>
  <si>
    <t>*MAV160901246</t>
  </si>
  <si>
    <t>*MAV160901247</t>
  </si>
  <si>
    <t>BILOROOM</t>
  </si>
  <si>
    <t>MONEY MARKET en Pesos</t>
  </si>
  <si>
    <t>*MAV150901468</t>
  </si>
  <si>
    <t>*MAV300901858</t>
  </si>
  <si>
    <t>*MAV151001343</t>
  </si>
  <si>
    <t>*MIL190800025</t>
  </si>
  <si>
    <t>*MIL170800018</t>
  </si>
  <si>
    <t>*MIL280800030</t>
  </si>
  <si>
    <t>*MIL270800028</t>
  </si>
  <si>
    <t>*MIL210800022</t>
  </si>
  <si>
    <t>*MIL250800027</t>
  </si>
  <si>
    <t>*MIL200800031</t>
  </si>
  <si>
    <t>*MIL240800017</t>
  </si>
  <si>
    <t>*MIL260800030</t>
  </si>
  <si>
    <t>*MIL180800036</t>
  </si>
  <si>
    <t>*MIL070700029</t>
  </si>
  <si>
    <t>*MIL030700016</t>
  </si>
  <si>
    <t>*MIL010700023</t>
  </si>
  <si>
    <t>*MIL290600031</t>
  </si>
  <si>
    <t>*MIL300600062</t>
  </si>
  <si>
    <t>*MAV130701035</t>
  </si>
  <si>
    <t>*MIL080900027</t>
  </si>
  <si>
    <t>*MIL140800022</t>
  </si>
  <si>
    <t>*MIL210800023</t>
  </si>
  <si>
    <t>*MIL200700046</t>
  </si>
  <si>
    <t>*MIL220700040</t>
  </si>
  <si>
    <t>*MIL240700033</t>
  </si>
  <si>
    <t>*MIL140700053</t>
  </si>
  <si>
    <t>*MIL040700024</t>
  </si>
  <si>
    <t>*MIL250700034</t>
  </si>
  <si>
    <t>*MIL060700031</t>
  </si>
  <si>
    <t>*MIL130700044</t>
  </si>
  <si>
    <t>*MIL200700047</t>
  </si>
  <si>
    <t>*MIL210600024</t>
  </si>
  <si>
    <t>*MIL260600033</t>
  </si>
  <si>
    <t>*MIL270700025</t>
  </si>
  <si>
    <t>#IGA030660001</t>
  </si>
  <si>
    <t>#IGA120660002</t>
  </si>
  <si>
    <t>#IGA190660001</t>
  </si>
  <si>
    <t>#IGA230660001</t>
  </si>
  <si>
    <t>#IGA080660002</t>
  </si>
  <si>
    <t>#IGA170660001</t>
  </si>
  <si>
    <t>*MAV280701203</t>
  </si>
  <si>
    <t>*MAV240701132</t>
  </si>
  <si>
    <t>*MAV160601411</t>
  </si>
  <si>
    <t>*MAV160601412</t>
  </si>
  <si>
    <t>*INP100600108</t>
  </si>
  <si>
    <t>*AFD270600019</t>
  </si>
  <si>
    <t>*MAV300602100</t>
  </si>
  <si>
    <t>*MAV290600827</t>
  </si>
  <si>
    <t>*MAV260601277</t>
  </si>
  <si>
    <t>*MAV140701399</t>
  </si>
  <si>
    <t>*MAV290600831</t>
  </si>
  <si>
    <t>*MAV290701134</t>
  </si>
  <si>
    <t>*MAV030800746</t>
  </si>
  <si>
    <t>AGROTRANSPORTE ALDAO S.A.</t>
  </si>
  <si>
    <t>GRUPO 88 S.A.</t>
  </si>
  <si>
    <t>Affidavit S.G.R.</t>
  </si>
  <si>
    <t>*NEU101100035</t>
  </si>
  <si>
    <t>*INP120800052</t>
  </si>
  <si>
    <t>*INP220800066</t>
  </si>
  <si>
    <t>*INP180800044</t>
  </si>
  <si>
    <t>*INP270700051</t>
  </si>
  <si>
    <t>*INP220700080</t>
  </si>
  <si>
    <t>*INP060800056</t>
  </si>
  <si>
    <t>*INP240700067</t>
  </si>
  <si>
    <t>*INP290700073</t>
  </si>
  <si>
    <t>*INP150800068</t>
  </si>
  <si>
    <t>*INP290700072</t>
  </si>
  <si>
    <t>*INP280700072</t>
  </si>
  <si>
    <t>*INP270700050</t>
  </si>
  <si>
    <t>*INP220700079</t>
  </si>
  <si>
    <t>*INP210700080</t>
  </si>
  <si>
    <t>*INP160700044</t>
  </si>
  <si>
    <t>*INP100700075</t>
  </si>
  <si>
    <t>*INP060700044</t>
  </si>
  <si>
    <t>*INP030700057</t>
  </si>
  <si>
    <t>*INP010700054</t>
  </si>
  <si>
    <t>*INP020900036</t>
  </si>
  <si>
    <t>*INP260800068</t>
  </si>
  <si>
    <t>*INP250800064</t>
  </si>
  <si>
    <t>*NEU200800029</t>
  </si>
  <si>
    <t>*NEU040900012</t>
  </si>
  <si>
    <t>*INP210800035</t>
  </si>
  <si>
    <t>*INP050600070</t>
  </si>
  <si>
    <t>*INP120600077</t>
  </si>
  <si>
    <t>*INP090600070</t>
  </si>
  <si>
    <t>*INP160600075</t>
  </si>
  <si>
    <t>*MAV220701306</t>
  </si>
  <si>
    <t>*MAV220701307</t>
  </si>
  <si>
    <t>*MAV220701308</t>
  </si>
  <si>
    <t>*FID270800026</t>
  </si>
  <si>
    <t>*FID260900031</t>
  </si>
  <si>
    <t>*FID261000025</t>
  </si>
  <si>
    <t>*FID050600036</t>
  </si>
  <si>
    <t>*FID120600027</t>
  </si>
  <si>
    <t>*MIL060700032</t>
  </si>
  <si>
    <t>*MIL100700050</t>
  </si>
  <si>
    <t>*MIL210700043</t>
  </si>
  <si>
    <t>*MIL280600026</t>
  </si>
  <si>
    <t>*MIL070700030</t>
  </si>
  <si>
    <t>*MIL080700030</t>
  </si>
  <si>
    <t>*MIL020800023</t>
  </si>
  <si>
    <t>*MIL150600041</t>
  </si>
  <si>
    <t>*MIL200700049</t>
  </si>
  <si>
    <t>*MIL220600032</t>
  </si>
  <si>
    <t>*MIL200600039</t>
  </si>
  <si>
    <t>*MIL200700050</t>
  </si>
  <si>
    <t>*MIL210600025</t>
  </si>
  <si>
    <t>*MIL210700044</t>
  </si>
  <si>
    <t>*MIL020900026</t>
  </si>
  <si>
    <t>*MIL040900019</t>
  </si>
  <si>
    <t>*MIL070900021</t>
  </si>
  <si>
    <t>*MIL070700031</t>
  </si>
  <si>
    <t>*MAV110801282</t>
  </si>
  <si>
    <t>*MAV270800969</t>
  </si>
  <si>
    <t>*MAV020700846</t>
  </si>
  <si>
    <t>*MAV300602111</t>
  </si>
  <si>
    <t>*MAV200701092</t>
  </si>
  <si>
    <t>*MAV220600984</t>
  </si>
  <si>
    <t>*MAV290600841</t>
  </si>
  <si>
    <t>CREDICUOTAS CONSUMO SA</t>
  </si>
  <si>
    <t>G&amp;T LOGISTICA SA</t>
  </si>
  <si>
    <t>*AAR241000023</t>
  </si>
  <si>
    <t>*CUY080600010</t>
  </si>
  <si>
    <t>*CUY090600023</t>
  </si>
  <si>
    <t>*CUY150600029</t>
  </si>
  <si>
    <t>*CUY160600030</t>
  </si>
  <si>
    <t>*CUY220600023</t>
  </si>
  <si>
    <t>*CUY230600036</t>
  </si>
  <si>
    <t>*CUY290600023</t>
  </si>
  <si>
    <t>*CUY300600035</t>
  </si>
  <si>
    <t>*CUY040800025</t>
  </si>
  <si>
    <t>*CUY060700025</t>
  </si>
  <si>
    <t>*CUY070700022</t>
  </si>
  <si>
    <t>*CUY100800020</t>
  </si>
  <si>
    <t>*CUY110800024</t>
  </si>
  <si>
    <t>*CUY130700038</t>
  </si>
  <si>
    <t>*CUY140700024</t>
  </si>
  <si>
    <t>*CUY170800021</t>
  </si>
  <si>
    <t>*CUY030800022</t>
  </si>
  <si>
    <t>*CUY200700030</t>
  </si>
  <si>
    <t>*CUY210700026</t>
  </si>
  <si>
    <t>*CUY240800027</t>
  </si>
  <si>
    <t>*CUY250800056</t>
  </si>
  <si>
    <t>*CUY270700036</t>
  </si>
  <si>
    <t>*CUY280700024</t>
  </si>
  <si>
    <t>*CUY180800042</t>
  </si>
  <si>
    <t>*INP050800057</t>
  </si>
  <si>
    <t>*INP050600071</t>
  </si>
  <si>
    <t>*INP030700058</t>
  </si>
  <si>
    <t>*MAV150601261</t>
  </si>
  <si>
    <t>*PRO140700017</t>
  </si>
  <si>
    <t>*PRO290600005</t>
  </si>
  <si>
    <t>*PRO230600016</t>
  </si>
  <si>
    <t>*PRO200600024</t>
  </si>
  <si>
    <t>*PRO200600023</t>
  </si>
  <si>
    <t>*MAV090601353</t>
  </si>
  <si>
    <t>*MAV100601764</t>
  </si>
  <si>
    <t>%INC010800022</t>
  </si>
  <si>
    <t>*MAV100800966</t>
  </si>
  <si>
    <t>*MAV100701434</t>
  </si>
  <si>
    <t>*MAV170701431</t>
  </si>
  <si>
    <t>*MAV140701413</t>
  </si>
  <si>
    <t>*MAV310801112</t>
  </si>
  <si>
    <t>*MAV310801113</t>
  </si>
  <si>
    <t>CUYO AVAL SGR</t>
  </si>
  <si>
    <t>YAGUA COLI S.A.</t>
  </si>
  <si>
    <t>*MAV170701437</t>
  </si>
  <si>
    <t>*MAV130701116</t>
  </si>
  <si>
    <t>*MAV150701651</t>
  </si>
  <si>
    <t>*MAV170601219</t>
  </si>
  <si>
    <t>LAVORO FRANCO LUCIANO</t>
  </si>
  <si>
    <t>*MAV030701051</t>
  </si>
  <si>
    <t>PEREZ SEBASTIAN LEONEL</t>
  </si>
  <si>
    <t>*MAV070701178</t>
  </si>
  <si>
    <t>*MAV060800872</t>
  </si>
  <si>
    <t>*NEU120900015</t>
  </si>
  <si>
    <t>*NEU190900025</t>
  </si>
  <si>
    <t>*NEU260900020</t>
  </si>
  <si>
    <t>*NEU300900061</t>
  </si>
  <si>
    <t>CUDEMO VERONICA TERESA</t>
  </si>
  <si>
    <t>*MAV260601308</t>
  </si>
  <si>
    <t>#MAV030760052</t>
  </si>
  <si>
    <t>*MAV010701150</t>
  </si>
  <si>
    <t>*INP030800027</t>
  </si>
  <si>
    <t>*INP060800057</t>
  </si>
  <si>
    <t>*BIF210700008</t>
  </si>
  <si>
    <t>*BIF310700007</t>
  </si>
  <si>
    <t>*MIL040900020</t>
  </si>
  <si>
    <t>*MIL100700051</t>
  </si>
  <si>
    <t>*MIL120600032</t>
  </si>
  <si>
    <t>*MIL140800023</t>
  </si>
  <si>
    <t>*MIL050800016</t>
  </si>
  <si>
    <t>JOSE MORETTA S.A.</t>
  </si>
  <si>
    <t>*MAV150801357</t>
  </si>
  <si>
    <t>*PRO030800006</t>
  </si>
  <si>
    <t>Lecap S30N6</t>
  </si>
  <si>
    <t>AR0451031345</t>
  </si>
  <si>
    <t>30/11/2026</t>
  </si>
  <si>
    <t>*MAV220601018</t>
  </si>
  <si>
    <t>*MAV250601194</t>
  </si>
  <si>
    <t>*MAV190601138</t>
  </si>
  <si>
    <t>#MAV080760029</t>
  </si>
  <si>
    <t>*MAV010701178</t>
  </si>
  <si>
    <t>*MAV060700866</t>
  </si>
  <si>
    <t>*MAV070701195</t>
  </si>
  <si>
    <t>*MAV080701273</t>
  </si>
  <si>
    <t>*MAV180801262</t>
  </si>
  <si>
    <t>#MAV220660051</t>
  </si>
  <si>
    <t>#MAV220660052</t>
  </si>
  <si>
    <t>EMPRESA DIST SUR S.A. EDESUR S.A.</t>
  </si>
  <si>
    <t>*MAV050901234</t>
  </si>
  <si>
    <t>*MAV010701183</t>
  </si>
  <si>
    <t>*MAV020700893</t>
  </si>
  <si>
    <t>*MAV030701081</t>
  </si>
  <si>
    <t>*MAV110601157</t>
  </si>
  <si>
    <t>*MAV190601151</t>
  </si>
  <si>
    <t>*MAV060601256</t>
  </si>
  <si>
    <t>*MAV070701218</t>
  </si>
  <si>
    <t>*MAV200601160</t>
  </si>
  <si>
    <t>*MAV250601205</t>
  </si>
  <si>
    <t>*MAV260601332</t>
  </si>
  <si>
    <t>DESDE EL MAR S.A.</t>
  </si>
  <si>
    <t>*NEU031100019</t>
  </si>
  <si>
    <t>05/11/2026</t>
  </si>
  <si>
    <t>*NEU191000011</t>
  </si>
  <si>
    <t>*NEU080800033</t>
  </si>
  <si>
    <t>*NEU080900027</t>
  </si>
  <si>
    <t>*MAV080601161</t>
  </si>
  <si>
    <t>*MAV080601162</t>
  </si>
  <si>
    <t>*MAV080601163</t>
  </si>
  <si>
    <t>*MAV080601165</t>
  </si>
  <si>
    <t>#MAV080760032</t>
  </si>
  <si>
    <t>#MAV130760053</t>
  </si>
  <si>
    <t>*MAV080701292</t>
  </si>
  <si>
    <t>*MAV160701096</t>
  </si>
  <si>
    <t>*MAV120601814</t>
  </si>
  <si>
    <t>*MAV110900982</t>
  </si>
  <si>
    <t>*MAV110701223</t>
  </si>
  <si>
    <t>*MAV110801321</t>
  </si>
  <si>
    <t>*MAV040900876</t>
  </si>
  <si>
    <t>*MAV070900746</t>
  </si>
  <si>
    <t>*MAV010901143</t>
  </si>
  <si>
    <t>*MAV020901153</t>
  </si>
  <si>
    <t>*MAV220601046</t>
  </si>
  <si>
    <t>*MAV090700498</t>
  </si>
  <si>
    <t>*MAV220801198</t>
  </si>
  <si>
    <t>*MAV230701030</t>
  </si>
  <si>
    <t>*MAV150801364</t>
  </si>
  <si>
    <t>*BIF190600006</t>
  </si>
  <si>
    <t>*BIF220700005</t>
  </si>
  <si>
    <t>*MAV070801075</t>
  </si>
  <si>
    <t>*MAV110801326</t>
  </si>
  <si>
    <t>*MAV030701106</t>
  </si>
  <si>
    <t>*MAV050701033</t>
  </si>
  <si>
    <t>FGF TRAPANI</t>
  </si>
  <si>
    <t>CASSAB HNOS S.R.L.</t>
  </si>
  <si>
    <t>AMERICA PAMPA AGROINDUSTRIAL S.A.</t>
  </si>
  <si>
    <t>*MAV310701416</t>
  </si>
  <si>
    <t>*MAV310801141</t>
  </si>
  <si>
    <t>*MAV061001207</t>
  </si>
  <si>
    <t>*MAV081001027</t>
  </si>
  <si>
    <t>13/10/2026</t>
  </si>
  <si>
    <t>*MAV141001310</t>
  </si>
  <si>
    <t>*MAV171101249</t>
  </si>
  <si>
    <t>19/11/2026</t>
  </si>
  <si>
    <t>*MAV151001351</t>
  </si>
  <si>
    <t>*MAV101101561</t>
  </si>
  <si>
    <t>*MAV121101139</t>
  </si>
  <si>
    <t>16/11/2026</t>
  </si>
  <si>
    <t>*MAV201001458</t>
  </si>
  <si>
    <t>*MAV221000981</t>
  </si>
  <si>
    <t>*MAV291001079</t>
  </si>
  <si>
    <t>*MAV031101211</t>
  </si>
  <si>
    <t>*MAV051100975</t>
  </si>
  <si>
    <t>10/11/2026</t>
  </si>
  <si>
    <t>*MAV271001267</t>
  </si>
  <si>
    <t>*MAV270700938</t>
  </si>
  <si>
    <t>*MAV030800838</t>
  </si>
  <si>
    <t>*MAV130701169</t>
  </si>
  <si>
    <t>*MAV200701140</t>
  </si>
  <si>
    <t>*MAV170701525</t>
  </si>
  <si>
    <t>*MAV200701147</t>
  </si>
  <si>
    <t>*MAV060700916</t>
  </si>
  <si>
    <t>*MAV120701200</t>
  </si>
  <si>
    <t>*MAV030701116</t>
  </si>
  <si>
    <t>*MAV130701175</t>
  </si>
  <si>
    <t>*MAV040701074</t>
  </si>
  <si>
    <t>*MAV310701425</t>
  </si>
  <si>
    <t>LAGAVULIN S.A.</t>
  </si>
  <si>
    <t>TECNOGRAFIC</t>
  </si>
  <si>
    <t>REGCEN S.R.L.</t>
  </si>
  <si>
    <t>ANDALUCIA SRL</t>
  </si>
  <si>
    <t>ROTATIVOS UNICOM SRL</t>
  </si>
  <si>
    <t>GRAFICA IGMA S.R.L</t>
  </si>
  <si>
    <t>*MAV090901138</t>
  </si>
  <si>
    <t>*MAV150801372</t>
  </si>
  <si>
    <t>*MAV290801184</t>
  </si>
  <si>
    <t>*MAV080801225</t>
  </si>
  <si>
    <t>*MAV220801199</t>
  </si>
  <si>
    <t>*MAV290701192</t>
  </si>
  <si>
    <t>*MAV080901141</t>
  </si>
  <si>
    <t>*MAV150901500</t>
  </si>
  <si>
    <t>*MAV170601281</t>
  </si>
  <si>
    <t>*MAV160601570</t>
  </si>
  <si>
    <t>*MAV180601215</t>
  </si>
  <si>
    <t>Fut Rofex DLR092026</t>
  </si>
  <si>
    <t>*MAV130901057</t>
  </si>
  <si>
    <t>*MAV150901501</t>
  </si>
  <si>
    <t>*MAV230801012</t>
  </si>
  <si>
    <t>*MAV150601400</t>
  </si>
  <si>
    <t>*MAV190601217</t>
  </si>
  <si>
    <t>*MAV150901502</t>
  </si>
  <si>
    <t>*MAV150701756</t>
  </si>
  <si>
    <t>*MAV210701311</t>
  </si>
  <si>
    <t>*MAV230701047</t>
  </si>
  <si>
    <t>#UMV011060013</t>
  </si>
  <si>
    <t>S A BUCCOLINI C I F I A</t>
  </si>
  <si>
    <t>EN DOLARES</t>
  </si>
  <si>
    <t>*MAV090700511</t>
  </si>
  <si>
    <t>*MAV100701523</t>
  </si>
  <si>
    <t>*MAV110701243</t>
  </si>
  <si>
    <t>*MAV240601367</t>
  </si>
  <si>
    <t>*MAV290600938</t>
  </si>
  <si>
    <t>*MAV150901503</t>
  </si>
  <si>
    <t>*MAV120801558</t>
  </si>
  <si>
    <t>*MAV120901457</t>
  </si>
  <si>
    <t>*MAV190901194</t>
  </si>
  <si>
    <t>*MAV200801228</t>
  </si>
  <si>
    <t>*MAV260901228</t>
  </si>
  <si>
    <t>*MAV270800997</t>
  </si>
  <si>
    <t>*MAV110801360</t>
  </si>
  <si>
    <t>#UMV010760038</t>
  </si>
  <si>
    <t>LOS INCAS DESARROLLOS</t>
  </si>
  <si>
    <t>*MAV130701284</t>
  </si>
  <si>
    <t>*MAV290701214</t>
  </si>
  <si>
    <t>*MAV300701240</t>
  </si>
  <si>
    <t>*MAV310701462</t>
  </si>
  <si>
    <t>*MAV310701461</t>
  </si>
  <si>
    <t>*MAV310701460</t>
  </si>
  <si>
    <t>*MAV140801231</t>
  </si>
  <si>
    <t>*MAV100701537</t>
  </si>
  <si>
    <t>*MAV120601964</t>
  </si>
  <si>
    <t>*MAV190601268</t>
  </si>
  <si>
    <t>*MAV260601441</t>
  </si>
  <si>
    <t>*MAV070801108</t>
  </si>
  <si>
    <t>*MAV170701563</t>
  </si>
  <si>
    <t>*MAV240701233</t>
  </si>
  <si>
    <t>*MAV310701459</t>
  </si>
  <si>
    <t>*MAV050601635</t>
  </si>
  <si>
    <t>*MAV030701138</t>
  </si>
  <si>
    <t>*MAV150601440</t>
  </si>
  <si>
    <t>*MAV150701779</t>
  </si>
  <si>
    <t>*MAV200701183</t>
  </si>
  <si>
    <t>*MAV220601141</t>
  </si>
  <si>
    <t>*MAV290600956</t>
  </si>
  <si>
    <t>*MAV160901253</t>
  </si>
  <si>
    <t>*MAV200801233</t>
  </si>
  <si>
    <t>*MAV210900773</t>
  </si>
  <si>
    <t>*MAV240800820</t>
  </si>
  <si>
    <t>*MAV280900819</t>
  </si>
  <si>
    <t>*MAV310801175</t>
  </si>
  <si>
    <t>#UMV010760039</t>
  </si>
  <si>
    <t>#UMV030860035</t>
  </si>
  <si>
    <t>#UMV010960013</t>
  </si>
  <si>
    <t>#UMV011060014</t>
  </si>
  <si>
    <t>*MAV190601287</t>
  </si>
  <si>
    <t>*MAV250601288</t>
  </si>
  <si>
    <t>*MAV190601291</t>
  </si>
  <si>
    <t>*MAV160701166</t>
  </si>
  <si>
    <t>*MAV220701394</t>
  </si>
  <si>
    <t>*MAV270700973</t>
  </si>
  <si>
    <t>*MAV110701258</t>
  </si>
  <si>
    <t>*MAV160701168</t>
  </si>
  <si>
    <t>*MAV170701635</t>
  </si>
  <si>
    <t>*MAV200701203</t>
  </si>
  <si>
    <t>*MAV230701065</t>
  </si>
  <si>
    <t>*MAV240701245</t>
  </si>
  <si>
    <t>*MAV140701525</t>
  </si>
  <si>
    <t>*MAV120901461</t>
  </si>
  <si>
    <t>*MAV090800990</t>
  </si>
  <si>
    <t>*MAV200801245</t>
  </si>
  <si>
    <t>GIVA LOGISTIC SRL</t>
  </si>
  <si>
    <t>*MAV200601256</t>
  </si>
  <si>
    <t>*MAV040701105</t>
  </si>
  <si>
    <t>*MAV270601240</t>
  </si>
  <si>
    <t>PAY PER TIC SA</t>
  </si>
  <si>
    <t>#MAV200760063</t>
  </si>
  <si>
    <t>*MAV010901169</t>
  </si>
  <si>
    <t>*MAV080901145</t>
  </si>
  <si>
    <t>*MAV150901509</t>
  </si>
  <si>
    <t>*MAV250801412</t>
  </si>
  <si>
    <t>*MAV021000917</t>
  </si>
  <si>
    <t>*MAV091001085</t>
  </si>
  <si>
    <t>*MAV180901014</t>
  </si>
  <si>
    <t>*MAV250901137</t>
  </si>
  <si>
    <t>*MAV130701312</t>
  </si>
  <si>
    <t>*MAV210701333</t>
  </si>
  <si>
    <t>*MAV280701292</t>
  </si>
  <si>
    <t>*MAV070701293</t>
  </si>
  <si>
    <t>*MAV060800923</t>
  </si>
  <si>
    <t>*MAV070801124</t>
  </si>
  <si>
    <t>*MAV190701002</t>
  </si>
  <si>
    <t>*MAV300701258</t>
  </si>
  <si>
    <t>Agosto</t>
  </si>
  <si>
    <t>Septiembre</t>
  </si>
  <si>
    <t>*MAV050801234</t>
  </si>
  <si>
    <t>*MAV310701486</t>
  </si>
  <si>
    <t>*MAV030800874</t>
  </si>
  <si>
    <t>*MAV010701292</t>
  </si>
  <si>
    <t>*MAV100601983</t>
  </si>
  <si>
    <t>*MAV120602040</t>
  </si>
  <si>
    <t>*MAV160601664</t>
  </si>
  <si>
    <t>*MAV170601349</t>
  </si>
  <si>
    <t>*MAV180601305</t>
  </si>
  <si>
    <t>*MAV250601315</t>
  </si>
  <si>
    <t>*MAV280601107</t>
  </si>
  <si>
    <t>*MAV300602338</t>
  </si>
  <si>
    <t>*MAV130601328</t>
  </si>
  <si>
    <t>COARD S A</t>
  </si>
  <si>
    <t>SUPERMERCADOS MAYORISTAS YAGUAR SOCIEDAD ANONIMA</t>
  </si>
  <si>
    <t>*MAV200701243</t>
  </si>
  <si>
    <t>*MAV200801263</t>
  </si>
  <si>
    <t>*MAV030701186</t>
  </si>
  <si>
    <t>*MAV080701399</t>
  </si>
  <si>
    <t>*MAV020700980</t>
  </si>
  <si>
    <t>*MAV310701511</t>
  </si>
  <si>
    <t>*MAV310701512</t>
  </si>
  <si>
    <t>*MAV010801140</t>
  </si>
  <si>
    <t>*MAV040801135</t>
  </si>
  <si>
    <t>*MAV280701317</t>
  </si>
  <si>
    <t>*MAV290701251</t>
  </si>
  <si>
    <t>*MAV300701271</t>
  </si>
  <si>
    <t>*MAV040900920</t>
  </si>
  <si>
    <t>*MAV310701515</t>
  </si>
  <si>
    <t>*MAV170701671</t>
  </si>
  <si>
    <t>*MAV150901518</t>
  </si>
  <si>
    <t>*MAV140900871</t>
  </si>
  <si>
    <t>*MAV110900995</t>
  </si>
  <si>
    <t>*MAV100901186</t>
  </si>
  <si>
    <t>*MAV090901145</t>
  </si>
  <si>
    <t>*MAV080901149</t>
  </si>
  <si>
    <t>*MAV010901182</t>
  </si>
  <si>
    <t>QUALITET SA</t>
  </si>
  <si>
    <t>*MAV150701847</t>
  </si>
  <si>
    <t>*MAV010901181</t>
  </si>
  <si>
    <t>*MAV010901180</t>
  </si>
  <si>
    <t>*MAV070900791</t>
  </si>
  <si>
    <t>*MAV040900921</t>
  </si>
  <si>
    <t>*MAV030900818</t>
  </si>
  <si>
    <t>*MAV020901169</t>
  </si>
  <si>
    <t>PROLIB SAS</t>
  </si>
  <si>
    <t>*MAV170800745</t>
  </si>
  <si>
    <t>*MAV100801131</t>
  </si>
  <si>
    <t>*MAV240800853</t>
  </si>
  <si>
    <t>*MAV310801202</t>
  </si>
  <si>
    <t>TORO DIGITAL SA</t>
  </si>
  <si>
    <t>*MAV140900870</t>
  </si>
  <si>
    <t>MA SEOANE RIERA SRL</t>
  </si>
  <si>
    <t>*MAV100901187</t>
  </si>
  <si>
    <t>HARJUICE SRL</t>
  </si>
  <si>
    <t>*MAV010901183</t>
  </si>
  <si>
    <t>*MAV020901170</t>
  </si>
  <si>
    <t>*MAV030900819</t>
  </si>
  <si>
    <t>*MAV040900923</t>
  </si>
  <si>
    <t>TECNO AGRIC RIO CUARTO SAS</t>
  </si>
  <si>
    <t>*MAV310701530</t>
  </si>
  <si>
    <t>*MAV310701531</t>
  </si>
  <si>
    <t>*MAV310701532</t>
  </si>
  <si>
    <t>EL TREBOL SRL</t>
  </si>
  <si>
    <t>*MAV010701315</t>
  </si>
  <si>
    <t>ASOCIACION DEL FUTBOL ARGENTINO</t>
  </si>
  <si>
    <t>MAVR260600067</t>
  </si>
  <si>
    <t>*MAV060701015</t>
  </si>
  <si>
    <t>*MAV240701281</t>
  </si>
  <si>
    <t>*MAV100901188</t>
  </si>
  <si>
    <t>*MAV040900922</t>
  </si>
  <si>
    <t>*MAV050901245</t>
  </si>
  <si>
    <t>*MAV080901150</t>
  </si>
  <si>
    <t>*MAV090901146</t>
  </si>
  <si>
    <t>*MAV030900820</t>
  </si>
  <si>
    <t>LEIDA S.A.</t>
  </si>
  <si>
    <t>*MAV110701290</t>
  </si>
  <si>
    <t>*MAV310701523</t>
  </si>
  <si>
    <t>CAUCION</t>
  </si>
  <si>
    <t>MAVR030700105</t>
  </si>
  <si>
    <t>MAVR080700082</t>
  </si>
  <si>
    <t>*MAV100801143</t>
  </si>
  <si>
    <t>*MAV170800753</t>
  </si>
  <si>
    <t>*MAV030900826</t>
  </si>
  <si>
    <t>*NEU201100026</t>
  </si>
  <si>
    <t>*NEU201000037</t>
  </si>
  <si>
    <t>*NEU190900027</t>
  </si>
  <si>
    <t>*NEU300900063</t>
  </si>
  <si>
    <t>*NEU120900021</t>
  </si>
  <si>
    <t>*NEU300900064</t>
  </si>
  <si>
    <t>*INP121000042</t>
  </si>
  <si>
    <t>*INP161000050</t>
  </si>
  <si>
    <t>*MAV040701126</t>
  </si>
  <si>
    <t>*MAV050701062</t>
  </si>
  <si>
    <t>*PRO061100023</t>
  </si>
  <si>
    <t>*PRO131100018</t>
  </si>
  <si>
    <t>*PRO201100027</t>
  </si>
  <si>
    <t>*ACI280600223</t>
  </si>
  <si>
    <t>*ACI250700361</t>
  </si>
  <si>
    <t>*ACI220700283</t>
  </si>
  <si>
    <t>*ACI190700175</t>
  </si>
  <si>
    <t>*ACI180800202</t>
  </si>
  <si>
    <t>*ACI160700208</t>
  </si>
  <si>
    <t>*ACI150800332</t>
  </si>
  <si>
    <t>*ACI130700173</t>
  </si>
  <si>
    <t>*ACI120800246</t>
  </si>
  <si>
    <t>*ACI210800309</t>
  </si>
  <si>
    <t>*ACI240800158</t>
  </si>
  <si>
    <t>*ACI280800203</t>
  </si>
  <si>
    <t>*ACI010700324</t>
  </si>
  <si>
    <t>*ACI030800138</t>
  </si>
  <si>
    <t>*ACI040700235</t>
  </si>
  <si>
    <t>*ACI060800164</t>
  </si>
  <si>
    <t>*ACI070700239</t>
  </si>
  <si>
    <t>*ACI090800238</t>
  </si>
  <si>
    <t>*ACI100700332</t>
  </si>
  <si>
    <t>*ACI280700242</t>
  </si>
  <si>
    <t>*ACI310700409</t>
  </si>
  <si>
    <t>*MAV240800868</t>
  </si>
  <si>
    <t>*MAV210900782</t>
  </si>
  <si>
    <t>*MAV230701095</t>
  </si>
  <si>
    <t>*MAV230701094</t>
  </si>
  <si>
    <t>*MAV240800866</t>
  </si>
  <si>
    <t>*MAV210900783</t>
  </si>
  <si>
    <t>*MAV210900784</t>
  </si>
  <si>
    <t>*MAV210900785</t>
  </si>
  <si>
    <t>*MAV210900786</t>
  </si>
  <si>
    <t>*MAV230701096</t>
  </si>
  <si>
    <t>*MAV230701097</t>
  </si>
  <si>
    <t>*MAV230701098</t>
  </si>
  <si>
    <t>*MAV230701099</t>
  </si>
  <si>
    <t>*MAV230701100</t>
  </si>
  <si>
    <t>*MAV230701101</t>
  </si>
  <si>
    <t>*MAV230701102</t>
  </si>
  <si>
    <t>*MAV240800867</t>
  </si>
  <si>
    <t>*MAV030800891</t>
  </si>
  <si>
    <t>*MAV270701028</t>
  </si>
  <si>
    <t>*MAV290701277</t>
  </si>
  <si>
    <t>*MAV280701342</t>
  </si>
  <si>
    <t>*MAV220701449</t>
  </si>
  <si>
    <t>*MAV270701033</t>
  </si>
  <si>
    <t>*MAV140701602</t>
  </si>
  <si>
    <t>*MAV160701249</t>
  </si>
  <si>
    <t>*MAV170701734</t>
  </si>
  <si>
    <t>*MAV240701317</t>
  </si>
  <si>
    <t>*MAV150701881</t>
  </si>
  <si>
    <t>*MAV200701280</t>
  </si>
  <si>
    <t>*MAV250701414</t>
  </si>
  <si>
    <t>*MAV140801289</t>
  </si>
  <si>
    <t>*MAV210801180</t>
  </si>
  <si>
    <t>*MAV240701318</t>
  </si>
  <si>
    <t>*MAV280801098</t>
  </si>
  <si>
    <t>*MAV310701551</t>
  </si>
  <si>
    <t>*MAV070801167</t>
  </si>
  <si>
    <t>*MAV130701386</t>
  </si>
  <si>
    <t>*MAV050801250</t>
  </si>
  <si>
    <t>*MAV130801036</t>
  </si>
  <si>
    <t>*MAV140701601</t>
  </si>
  <si>
    <t>*MAV190801208</t>
  </si>
  <si>
    <t>*MAV200701283</t>
  </si>
  <si>
    <t>*MAV270701034</t>
  </si>
  <si>
    <t>*MAV180701314</t>
  </si>
  <si>
    <t>*MAV250701415</t>
  </si>
  <si>
    <t>*MAV160701248</t>
  </si>
  <si>
    <t>*MAV040801146</t>
  </si>
  <si>
    <t>*MAV150701880</t>
  </si>
  <si>
    <t>*MAV250701413</t>
  </si>
  <si>
    <t>*MAV140900894</t>
  </si>
  <si>
    <t>*MAV150901522</t>
  </si>
  <si>
    <t>*MAV170701735</t>
  </si>
  <si>
    <t>*MAV140701603</t>
  </si>
  <si>
    <t>*MAV160701247</t>
  </si>
  <si>
    <t>*MAV210701389</t>
  </si>
  <si>
    <t>*MAV170701736</t>
  </si>
  <si>
    <t>*MAV220701450</t>
  </si>
  <si>
    <t>*MAV200701281</t>
  </si>
  <si>
    <t>*MAV200701282</t>
  </si>
  <si>
    <t>*MAV230701126</t>
  </si>
  <si>
    <t>HIADES SRL</t>
  </si>
  <si>
    <t>OJEDA ARIEL RUBEN</t>
  </si>
  <si>
    <t>ABANS PROCESOS SRL</t>
  </si>
  <si>
    <t>VIA PRINT SRL</t>
  </si>
  <si>
    <t>AGROPECUARIA LA PODEROSA SA</t>
  </si>
  <si>
    <t>VEO VISUAL</t>
  </si>
  <si>
    <t>ANDRIMARSIL SRL</t>
  </si>
  <si>
    <t>NUEVAS CARTULINAS SRL</t>
  </si>
  <si>
    <t>QUELEER SA</t>
  </si>
  <si>
    <t>MADETEC SA</t>
  </si>
  <si>
    <t>LITORAL CLEAN SRL</t>
  </si>
  <si>
    <t>BLACKFOX SRL</t>
  </si>
  <si>
    <t>CASA BODE SRL</t>
  </si>
  <si>
    <t>COLLEVECCHIO HNOS SA</t>
  </si>
  <si>
    <t>EDUCACION POPULAR ASOCIACION CIVIL</t>
  </si>
  <si>
    <t>GRAFICOS SRL SRL</t>
  </si>
  <si>
    <t>LA PAMPAGONIA SRL</t>
  </si>
  <si>
    <t>INDUSTRIAS J A M SOCIEDAD ANONIMA INDUSTRIAL Y COMERCIAL</t>
  </si>
  <si>
    <t>LA GRAFICA SRL</t>
  </si>
  <si>
    <t>AKIAN GRAFICA EDITORA SOCIEDAD ANONIMA</t>
  </si>
  <si>
    <t>GRAFICA EMEDE SRL</t>
  </si>
  <si>
    <t>VENTIMIGLIA SRL</t>
  </si>
  <si>
    <t>SERVIPLAST S A</t>
  </si>
  <si>
    <t>*MAV270701035</t>
  </si>
  <si>
    <t>*MAV160901262</t>
  </si>
  <si>
    <t>*MAV230901174</t>
  </si>
  <si>
    <t>*MAV240800875</t>
  </si>
  <si>
    <t>*MAV300901898</t>
  </si>
  <si>
    <t>*MAV031001149</t>
  </si>
  <si>
    <t>*MAV160701255</t>
  </si>
  <si>
    <t>#MAV010860008</t>
  </si>
  <si>
    <t>#UMV010960019</t>
  </si>
  <si>
    <t>INGRESOS EN EL DIA Clase A</t>
  </si>
  <si>
    <t>EGRESOS EN EL DIA Clase A</t>
  </si>
  <si>
    <t>SALDO TOTAL DE CUOTAPARTES Clase A</t>
  </si>
  <si>
    <t>INGRESOS EN EL DIA Clase B</t>
  </si>
  <si>
    <t>SALDO TOTAL DE CUOTAPARTES Clase B</t>
  </si>
  <si>
    <t>INGRESOS EN EL DIA Clase C</t>
  </si>
  <si>
    <t>EGRESOS EN EL DIA Clase C</t>
  </si>
  <si>
    <t>SALDO TOTAL DE CUOTAPARTES Clase C</t>
  </si>
  <si>
    <t>INGRESOS EN EL DIA Clase D (Blanqueo Ley 27.743)</t>
  </si>
  <si>
    <t>EGRESOS EN EL DIA Clase D (Blanqueo Ley 27.743)</t>
  </si>
  <si>
    <t>SALDO TOTAL DE CUOTAPARTES Clase D (Blanqueo Ley 27.743)</t>
  </si>
  <si>
    <t>CANTIDAD TOTAL DE PARTICIPES</t>
  </si>
  <si>
    <t>(1) Sobre el Patrimonio Neto</t>
  </si>
  <si>
    <t>(2) Activo - Inversiones - (Pasivo - Provisiones)</t>
  </si>
  <si>
    <t>(3) Patrimonio Neto - (Inversiones - Cuentas Bancarias)</t>
  </si>
  <si>
    <t>(4) Sobre Activo</t>
  </si>
  <si>
    <t>(6) Afectado a una Garantía</t>
  </si>
  <si>
    <t>(5) Los Valores de Cuotapartes están expresados en miles.</t>
  </si>
  <si>
    <t>Pago Honorarios y Gastos SG y SD</t>
  </si>
  <si>
    <t>SALLEO SRL</t>
  </si>
  <si>
    <t>LA MANTOVANA DE SERVICIOS GENERALES SA</t>
  </si>
  <si>
    <t>*MAV120801634</t>
  </si>
  <si>
    <t>*MAV140900905</t>
  </si>
  <si>
    <t>*MAV210900798</t>
  </si>
  <si>
    <t>*MAV260801222</t>
  </si>
  <si>
    <t>*MAV280900830</t>
  </si>
  <si>
    <t>*MAV300801345</t>
  </si>
  <si>
    <t>*MAV140701618</t>
  </si>
  <si>
    <t>*MAV190801220</t>
  </si>
  <si>
    <t>*MAV240701329</t>
  </si>
  <si>
    <t>*MAV300701306</t>
  </si>
  <si>
    <t>*MAV040801154</t>
  </si>
  <si>
    <t>*MAV050801267</t>
  </si>
  <si>
    <t>*MAV030800905</t>
  </si>
  <si>
    <t>*MAV050801268</t>
  </si>
  <si>
    <t>#MAV040860041</t>
  </si>
  <si>
    <t>*MAV031200912</t>
  </si>
  <si>
    <t>09/12/2026</t>
  </si>
  <si>
    <t>*MAV031200913</t>
  </si>
  <si>
    <t>*MAV041200911</t>
  </si>
  <si>
    <t>*MAV091201366</t>
  </si>
  <si>
    <t>11/12/2026</t>
  </si>
  <si>
    <t>*MAV180901026</t>
  </si>
  <si>
    <t>*MAV091100786</t>
  </si>
  <si>
    <t>*MAV221000987</t>
  </si>
  <si>
    <t>*MAV231100828</t>
  </si>
  <si>
    <t>26/11/2026</t>
  </si>
  <si>
    <t>*MAV141001328</t>
  </si>
  <si>
    <t>*MAV180901027</t>
  </si>
  <si>
    <t>*MAV121000892</t>
  </si>
  <si>
    <t>*MAV300901921</t>
  </si>
  <si>
    <t>*MAV301001239</t>
  </si>
  <si>
    <t>03/11/2026</t>
  </si>
  <si>
    <t>*MAV301001240</t>
  </si>
  <si>
    <t>*MAV141001327</t>
  </si>
  <si>
    <t>*MAV200901305</t>
  </si>
  <si>
    <t>*MAV120602122</t>
  </si>
  <si>
    <t>*MAV090601542</t>
  </si>
  <si>
    <t>*MAV180601378</t>
  </si>
  <si>
    <t>*MAV220601300</t>
  </si>
  <si>
    <t>FARMCITY SA</t>
  </si>
  <si>
    <t>DIA ARGENTINA S.A</t>
  </si>
  <si>
    <t>GRUB SA</t>
  </si>
  <si>
    <t>RECIWORLD SRL</t>
  </si>
  <si>
    <t>WORK PROJECT GROUP SA</t>
  </si>
  <si>
    <t>TRANSPORTE ZAVIOLA</t>
  </si>
  <si>
    <t>ANKAS DEL SUR SRL</t>
  </si>
  <si>
    <t>MY52B - FF AMFAYS 52 CL.B $</t>
  </si>
  <si>
    <t>AR0013738833</t>
  </si>
  <si>
    <t>15/12/2027</t>
  </si>
  <si>
    <t>MY52C - FF AMFAYS 52 CL.C $</t>
  </si>
  <si>
    <t>AR0959603397</t>
  </si>
  <si>
    <t>15/02/2028</t>
  </si>
  <si>
    <t>*MAV040801168</t>
  </si>
  <si>
    <t>*MAV200801291</t>
  </si>
  <si>
    <t>*MAV270801044</t>
  </si>
  <si>
    <t>*MAV030800921</t>
  </si>
  <si>
    <t>*MAV040801170</t>
  </si>
  <si>
    <t>*MAV060800947</t>
  </si>
  <si>
    <t>*MAV070801180</t>
  </si>
  <si>
    <t>*MAV120801652</t>
  </si>
  <si>
    <t>*MAV230701137</t>
  </si>
  <si>
    <t>*MAV240701338</t>
  </si>
  <si>
    <t>*MAV280701366</t>
  </si>
  <si>
    <t>*MAV300701319</t>
  </si>
  <si>
    <t>*MAV100801166</t>
  </si>
  <si>
    <t>*MAV181201190</t>
  </si>
  <si>
    <t>22/12/2026</t>
  </si>
  <si>
    <t>*MAV310801247</t>
  </si>
  <si>
    <t>*MAV110801415</t>
  </si>
  <si>
    <t>*MAV200801295</t>
  </si>
  <si>
    <t>*MAV010901221</t>
  </si>
  <si>
    <t>*MAV240800885</t>
  </si>
  <si>
    <t>*MAV250801460</t>
  </si>
  <si>
    <t>*MAV260801235</t>
  </si>
  <si>
    <t>*MAV270801053</t>
  </si>
  <si>
    <t>*MAV280801125</t>
  </si>
  <si>
    <t>*MAV310801249</t>
  </si>
  <si>
    <t>*MAV100801171</t>
  </si>
  <si>
    <t>*MAV120801669</t>
  </si>
  <si>
    <t>*MAV130801046</t>
  </si>
  <si>
    <t>*MAV140801306</t>
  </si>
  <si>
    <t>*MAV180801393</t>
  </si>
  <si>
    <t>*MAV190801232</t>
  </si>
  <si>
    <t>*MAV210801215</t>
  </si>
  <si>
    <t>#MAV120860029</t>
  </si>
  <si>
    <t>SIGMA AGRO S.A.</t>
  </si>
  <si>
    <t>GABRIEL E KELLY Y COMPANIA S.A.</t>
  </si>
  <si>
    <t>*MIL170900034</t>
  </si>
  <si>
    <t>*MIL210900024</t>
  </si>
  <si>
    <t>24/09/2026</t>
  </si>
  <si>
    <t>*MIL220900044</t>
  </si>
  <si>
    <t>*MIL200900039</t>
  </si>
  <si>
    <t>*MIL170900035</t>
  </si>
  <si>
    <t>*MIL180900029</t>
  </si>
  <si>
    <t>*MIL190900031</t>
  </si>
  <si>
    <t>*MIL220900045</t>
  </si>
  <si>
    <t>*MIL200900040</t>
  </si>
  <si>
    <t>*MIL240800021</t>
  </si>
  <si>
    <t>*MIL230900027</t>
  </si>
  <si>
    <t>28/09/2026</t>
  </si>
  <si>
    <t>*MIL240900034</t>
  </si>
  <si>
    <t>*MIL170900036</t>
  </si>
  <si>
    <t>*MIL250900029</t>
  </si>
  <si>
    <t>*MIL280800034</t>
  </si>
  <si>
    <t>*MIL270800031</t>
  </si>
  <si>
    <t>*MAV170901057</t>
  </si>
  <si>
    <t>*MAV180901036</t>
  </si>
  <si>
    <t>*MAV210900806</t>
  </si>
  <si>
    <t>*MAV220901283</t>
  </si>
  <si>
    <t>*MAV100901257</t>
  </si>
  <si>
    <t>*MAV110901015</t>
  </si>
  <si>
    <t>*MAV090901172</t>
  </si>
  <si>
    <t>FORESTADORA TAPEBICUA</t>
  </si>
  <si>
    <t>#MAV030860055</t>
  </si>
  <si>
    <t>*MAV140900929</t>
  </si>
  <si>
    <t>*MAV150901540</t>
  </si>
  <si>
    <t>*MAV160901282</t>
  </si>
  <si>
    <t>*MAV170901058</t>
  </si>
  <si>
    <t>*MAV170901059</t>
  </si>
  <si>
    <t>*MAV170901060</t>
  </si>
  <si>
    <t>*MAV180901037</t>
  </si>
  <si>
    <t>*MAV030701309</t>
  </si>
  <si>
    <t>04/11/2026</t>
  </si>
  <si>
    <t>#UMV021160025</t>
  </si>
  <si>
    <t>*MAV140900928</t>
  </si>
  <si>
    <t>*MAV150901539</t>
  </si>
  <si>
    <t>*MAV160901281</t>
  </si>
  <si>
    <t>*PRO030700015</t>
  </si>
  <si>
    <t>LIBRERIA DEL SUR SH</t>
  </si>
  <si>
    <t>*MAV200701329</t>
  </si>
  <si>
    <t>CASANO GRAFICA SA</t>
  </si>
  <si>
    <t>*MAV050801292</t>
  </si>
  <si>
    <t>GRUPO PLEYART SA</t>
  </si>
  <si>
    <t>*MAV050801293</t>
  </si>
  <si>
    <t>*MAV100801178</t>
  </si>
  <si>
    <t>*MAV130801054</t>
  </si>
  <si>
    <t>*MAV190801238</t>
  </si>
  <si>
    <t>INDUSTRIA GRAFICA MARTIN SA</t>
  </si>
  <si>
    <t>*MAV200701327</t>
  </si>
  <si>
    <t>*MAV240701358</t>
  </si>
  <si>
    <t>*MAV270701080</t>
  </si>
  <si>
    <t>CATALEIA SA</t>
  </si>
  <si>
    <t>*MAV310701662</t>
  </si>
  <si>
    <t>IGAR SRL</t>
  </si>
  <si>
    <t>*MAV030800940</t>
  </si>
  <si>
    <t>LAS 6 EMES SAS</t>
  </si>
  <si>
    <t>*MAV200701328</t>
  </si>
  <si>
    <t>*MAV080901170</t>
  </si>
  <si>
    <t>*MAV150901542</t>
  </si>
  <si>
    <t>*MAV080701502</t>
  </si>
  <si>
    <t>*MAV080701503</t>
  </si>
  <si>
    <t>*MAV240701354</t>
  </si>
  <si>
    <t>*MAV250701431</t>
  </si>
  <si>
    <t>SCHMIDT DIEGO ARIEL</t>
  </si>
  <si>
    <t>*MAV180601393</t>
  </si>
  <si>
    <t>UNCIPRES IMPORTACIONES SA</t>
  </si>
  <si>
    <t>*MAV290701309</t>
  </si>
  <si>
    <t>*MAV300701334</t>
  </si>
  <si>
    <t>SANDYPACK SRL</t>
  </si>
  <si>
    <t>*MAV010801165</t>
  </si>
  <si>
    <t>RIVAS LUIS HECTOR Y RIVAS FABIAN HECTOR SH</t>
  </si>
  <si>
    <t>*MAV310701663</t>
  </si>
  <si>
    <t>PROYECCION GRAFICA SRL</t>
  </si>
  <si>
    <t>*MAV260701143</t>
  </si>
  <si>
    <t>LINEA PUNTO CERO SRL</t>
  </si>
  <si>
    <t>*MAV010801167</t>
  </si>
  <si>
    <t>*MAV120901482</t>
  </si>
  <si>
    <t>*MAV150801456</t>
  </si>
  <si>
    <t>*MAV250701432</t>
  </si>
  <si>
    <t>*MAV290801216</t>
  </si>
  <si>
    <t>LIBRERIAS IMPULSO SAS</t>
  </si>
  <si>
    <t>*MAV180801398</t>
  </si>
  <si>
    <t>*MAV110901014</t>
  </si>
  <si>
    <t>*MAV180901035</t>
  </si>
  <si>
    <t>*MAV210801221</t>
  </si>
  <si>
    <t>*MAV240800890</t>
  </si>
  <si>
    <t>*MAV250901157</t>
  </si>
  <si>
    <t>*MAV300801351</t>
  </si>
  <si>
    <t>*MAV190801237</t>
  </si>
  <si>
    <t>*MAV220801234</t>
  </si>
  <si>
    <t>*MAV090901171</t>
  </si>
  <si>
    <t>*MAV150901538</t>
  </si>
  <si>
    <t>*MAV220901282</t>
  </si>
  <si>
    <t>*MAV280801128</t>
  </si>
  <si>
    <t>385 COMERCIAL SA</t>
  </si>
  <si>
    <t>*MAV280701376</t>
  </si>
  <si>
    <t>LIBRERIA HELIOS SRL</t>
  </si>
  <si>
    <t>*MAV280701375</t>
  </si>
  <si>
    <t>*MAV080801261</t>
  </si>
  <si>
    <t>FORMATO GRAFICO S R L</t>
  </si>
  <si>
    <t>*MAV010801166</t>
  </si>
  <si>
    <t>INKPAPER SA</t>
  </si>
  <si>
    <t>*MAV030800939</t>
  </si>
  <si>
    <t>*MAV040801171</t>
  </si>
  <si>
    <t>*MAV050801290</t>
  </si>
  <si>
    <t>*MAV050801291</t>
  </si>
  <si>
    <t>*MAV060800954</t>
  </si>
  <si>
    <t>*MAV290701308</t>
  </si>
  <si>
    <t>*MAV300701333</t>
  </si>
  <si>
    <t>*INP240800044</t>
  </si>
  <si>
    <t>*INP180900068</t>
  </si>
  <si>
    <t>%CP1130600001</t>
  </si>
  <si>
    <t>*MAV090801006</t>
  </si>
  <si>
    <t>*MAV180701336</t>
  </si>
  <si>
    <t>*MAV260801238</t>
  </si>
  <si>
    <t>*MAV080701510</t>
  </si>
  <si>
    <t>*MAV190801242</t>
  </si>
  <si>
    <t>*MAV260701145</t>
  </si>
  <si>
    <t>*MAV210900809</t>
  </si>
  <si>
    <t>*MAV131101027</t>
  </si>
  <si>
    <t>*MAV180901040</t>
  </si>
  <si>
    <t>*MAV271001273</t>
  </si>
  <si>
    <t>MOBEL SOCIEDAD ANONIMA</t>
  </si>
  <si>
    <t>C P S COMUNICACIONES S.A.U.</t>
  </si>
  <si>
    <t>9/6/2026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</si>
  <si>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10:20:59</t>
  </si>
  <si>
    <t xml:space="preserve">                                                                                                                Informe de Gestión al 8/6/2026</t>
  </si>
  <si>
    <t>RESCATES</t>
  </si>
  <si>
    <t>*MAV060800959</t>
  </si>
  <si>
    <t>*MAV070801204</t>
  </si>
  <si>
    <t>#MAV110860043</t>
  </si>
  <si>
    <t>*MAV101001396</t>
  </si>
  <si>
    <t>*MAV310701686</t>
  </si>
  <si>
    <t>*MAV040801224</t>
  </si>
  <si>
    <t>*MAV070801215</t>
  </si>
  <si>
    <t xml:space="preserve">La Duration del Fondo es de 25 días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</si>
  <si>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Carolina Valfre</t>
  </si>
  <si>
    <t>A M F A Y S ASOCIACION MUTUAL</t>
  </si>
  <si>
    <t>1 US3 = 1445,3977163583 $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</si>
</sst>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#,##0.0"/>
    <numFmt numFmtId="166" formatCode="#,##0.000"/>
    <numFmt numFmtId="167" formatCode="#,##0.00000000"/>
    <numFmt numFmtId="168" formatCode="#,##0.000000000"/>
    <numFmt numFmtId="169" formatCode="#,##0.0000000000"/>
    <numFmt numFmtId="170" formatCode="#,##0.000000"/>
    <numFmt numFmtId="171" formatCode="_(* #,##0_);_(* \(#,##0\);_(* &quot;-&quot;??_);_(@_)"/>
    <numFmt numFmtId="172" formatCode="_(* #,##0.00000000_);_(* \(#,##0.00000000\);_(* &quot;-&quot;??_);_(@_)"/>
    <numFmt numFmtId="173" formatCode="#,##0.0000"/>
    <numFmt numFmtId="174" formatCode="_ * #,##0.00_ ;_ * \-#,##0.00_ ;_ * &quot;-&quot;??_ ;_ @_ "/>
    <numFmt numFmtId="175" formatCode="_(* #,##0.000000_);_(* \(#,##0.000000\);_(* &quot;-&quot;??_);_(@_)"/>
    <numFmt numFmtId="176" formatCode="_-* #,##0.00\ _€_-;\-* #,##0.00\ _€_-;_-* &quot;-&quot;??\ _€_-;_-@_-"/>
    <numFmt numFmtId="177" formatCode="_-* #,##0.00000000\ _€_-;\-* #,##0.00000000\ _€_-;_-* &quot;-&quot;????????\ _€_-;_-@_-"/>
    <numFmt numFmtId="178" formatCode="_ * #,##0_ ;_ * \-#,##0_ ;_ * &quot;-&quot;??_ ;_ @_ "/>
    <numFmt numFmtId="179" formatCode="_(&quot;$&quot;* #,##0.00_);_(&quot;$&quot;* \(#,##0.00\);_(&quot;$&quot;* &quot;-&quot;??_);_(@_)"/>
    <numFmt numFmtId="180" formatCode="_-* #,##0_-;\-* #,##0_-;_-* &quot;-&quot;??_-;_-@_-"/>
    <numFmt numFmtId="181" formatCode="_(* #,##0.0000000_);_(* \(#,##0.0000000\);_(* &quot;-&quot;??_);_(@_)"/>
    <numFmt numFmtId="182" formatCode="_ * #,##0.00000_ ;_ * \-#,##0.00000_ ;_ * &quot;-&quot;??_ ;_ @_ "/>
    <numFmt numFmtId="183" formatCode="dd/mm/yyyy"/>
    <numFmt numFmtId="184" formatCode="#,##0.0000000"/>
  </numFmts>
  <fonts count="35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FFFF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8"/>
      <color rgb="FF212529"/>
      <name val="Lato-Regular"/>
    </font>
    <font>
      <b/>
      <sz val="10"/>
      <name val="Arial"/>
      <family val="2"/>
    </font>
    <font>
      <sz val="8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00">
    <xf numFmtId="0" fontId="0" fillId="0" borderId="0"/>
    <xf numFmtId="0" fontId="8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10" applyNumberFormat="0" applyAlignment="0" applyProtection="0"/>
    <xf numFmtId="0" fontId="25" fillId="14" borderId="11" applyNumberFormat="0" applyAlignment="0" applyProtection="0"/>
    <xf numFmtId="0" fontId="26" fillId="14" borderId="10" applyNumberFormat="0" applyAlignment="0" applyProtection="0"/>
    <xf numFmtId="0" fontId="27" fillId="0" borderId="12" applyNumberFormat="0" applyFill="0" applyAlignment="0" applyProtection="0"/>
    <xf numFmtId="0" fontId="7" fillId="15" borderId="13" applyNumberFormat="0" applyAlignment="0" applyProtection="0"/>
    <xf numFmtId="0" fontId="9" fillId="0" borderId="0" applyNumberFormat="0" applyFill="0" applyBorder="0" applyAlignment="0" applyProtection="0"/>
    <xf numFmtId="0" fontId="4" fillId="16" borderId="14" applyNumberFormat="0" applyFont="0" applyAlignment="0" applyProtection="0"/>
    <xf numFmtId="0" fontId="28" fillId="0" borderId="0" applyNumberFormat="0" applyFill="0" applyBorder="0" applyAlignment="0" applyProtection="0"/>
    <xf numFmtId="0" fontId="5" fillId="0" borderId="15" applyNumberFormat="0" applyFill="0" applyAlignment="0" applyProtection="0"/>
    <xf numFmtId="0" fontId="6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6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6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6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6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6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36" borderId="0" applyNumberFormat="0" applyBorder="0" applyAlignment="0" applyProtection="0"/>
    <xf numFmtId="0" fontId="6" fillId="40" borderId="0" applyNumberFormat="0" applyBorder="0" applyAlignment="0" applyProtection="0"/>
    <xf numFmtId="43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9" fillId="12" borderId="0" applyNumberFormat="0" applyBorder="0" applyAlignment="0" applyProtection="0"/>
    <xf numFmtId="44" fontId="4" fillId="0" borderId="0" applyFont="0" applyFill="0" applyBorder="0" applyAlignment="0" applyProtection="0"/>
  </cellStyleXfs>
  <cellXfs count="165">
    <xf numFmtId="0" fontId="0" fillId="0" borderId="0" xfId="0"/>
    <xf numFmtId="0" fontId="10" fillId="2" borderId="0" xfId="0" applyFont="1" applyFill="1" applyAlignment="1">
      <alignment horizontal="left"/>
    </xf>
    <xf numFmtId="14" fontId="10" fillId="2" borderId="0" xfId="0" applyNumberFormat="1" applyFont="1" applyFill="1" applyAlignment="1">
      <alignment horizontal="center"/>
    </xf>
    <xf numFmtId="3" fontId="0" fillId="0" borderId="0" xfId="0" applyNumberFormat="1"/>
    <xf numFmtId="0" fontId="5" fillId="0" borderId="0" xfId="0" applyFont="1"/>
    <xf numFmtId="171" fontId="0" fillId="0" borderId="0" xfId="0" applyNumberFormat="1"/>
    <xf numFmtId="171" fontId="5" fillId="0" borderId="0" xfId="0" applyNumberFormat="1" applyFont="1"/>
    <xf numFmtId="171" fontId="4" fillId="0" borderId="0" xfId="2" applyNumberFormat="1" applyFont="1"/>
    <xf numFmtId="0" fontId="0" fillId="0" borderId="1" xfId="0" applyBorder="1"/>
    <xf numFmtId="0" fontId="9" fillId="0" borderId="0" xfId="0" applyFont="1"/>
    <xf numFmtId="0" fontId="11" fillId="0" borderId="0" xfId="0" applyFont="1"/>
    <xf numFmtId="10" fontId="4" fillId="0" borderId="0" xfId="20" applyNumberFormat="1" applyFont="1"/>
    <xf numFmtId="0" fontId="8" fillId="0" borderId="0" xfId="1"/>
    <xf numFmtId="0" fontId="12" fillId="0" borderId="0" xfId="0" applyFont="1"/>
    <xf numFmtId="0" fontId="10" fillId="2" borderId="0" xfId="0" applyFont="1" applyFill="1" applyAlignment="1">
      <alignment horizontal="center" wrapText="1"/>
    </xf>
    <xf numFmtId="3" fontId="12" fillId="0" borderId="0" xfId="0" applyNumberFormat="1" applyFont="1"/>
    <xf numFmtId="14" fontId="12" fillId="0" borderId="0" xfId="0" applyNumberFormat="1" applyFont="1" applyAlignment="1">
      <alignment horizontal="center"/>
    </xf>
    <xf numFmtId="3" fontId="9" fillId="0" borderId="0" xfId="0" applyNumberFormat="1" applyFont="1"/>
    <xf numFmtId="4" fontId="12" fillId="0" borderId="0" xfId="0" applyNumberFormat="1" applyFont="1"/>
    <xf numFmtId="164" fontId="4" fillId="0" borderId="0" xfId="2" applyFont="1"/>
    <xf numFmtId="0" fontId="12" fillId="0" borderId="0" xfId="0" applyFont="1" applyAlignment="1">
      <alignment horizontal="right"/>
    </xf>
    <xf numFmtId="43" fontId="0" fillId="0" borderId="0" xfId="0" applyNumberFormat="1"/>
    <xf numFmtId="10" fontId="12" fillId="0" borderId="0" xfId="0" applyNumberFormat="1" applyFont="1"/>
    <xf numFmtId="164" fontId="12" fillId="0" borderId="0" xfId="2" applyFont="1"/>
    <xf numFmtId="4" fontId="0" fillId="0" borderId="0" xfId="0" applyNumberFormat="1"/>
    <xf numFmtId="9" fontId="0" fillId="0" borderId="0" xfId="0" applyNumberFormat="1"/>
    <xf numFmtId="164" fontId="4" fillId="3" borderId="0" xfId="2" applyFont="1" applyFill="1"/>
    <xf numFmtId="0" fontId="0" fillId="0" borderId="2" xfId="0" applyBorder="1"/>
    <xf numFmtId="167" fontId="12" fillId="0" borderId="0" xfId="0" applyNumberFormat="1" applyFont="1"/>
    <xf numFmtId="9" fontId="4" fillId="0" borderId="0" xfId="20" applyFont="1" applyAlignment="1">
      <alignment horizontal="center"/>
    </xf>
    <xf numFmtId="3" fontId="0" fillId="5" borderId="0" xfId="0" applyNumberFormat="1" applyFill="1"/>
    <xf numFmtId="0" fontId="0" fillId="5" borderId="1" xfId="0" applyFill="1" applyBorder="1"/>
    <xf numFmtId="165" fontId="14" fillId="0" borderId="0" xfId="0" applyNumberFormat="1" applyFont="1"/>
    <xf numFmtId="171" fontId="9" fillId="0" borderId="0" xfId="2" applyNumberFormat="1" applyFont="1"/>
    <xf numFmtId="0" fontId="5" fillId="6" borderId="5" xfId="0" applyFont="1" applyFill="1" applyBorder="1"/>
    <xf numFmtId="0" fontId="5" fillId="6" borderId="4" xfId="0" applyFont="1" applyFill="1" applyBorder="1"/>
    <xf numFmtId="3" fontId="0" fillId="0" borderId="2" xfId="0" applyNumberFormat="1" applyBorder="1"/>
    <xf numFmtId="164" fontId="4" fillId="0" borderId="2" xfId="2" applyFont="1" applyFill="1" applyBorder="1"/>
    <xf numFmtId="171" fontId="11" fillId="0" borderId="0" xfId="2" applyNumberFormat="1" applyFont="1" applyFill="1"/>
    <xf numFmtId="171" fontId="12" fillId="0" borderId="0" xfId="2" applyNumberFormat="1" applyFont="1"/>
    <xf numFmtId="171" fontId="5" fillId="0" borderId="0" xfId="2" applyNumberFormat="1" applyFont="1" applyFill="1"/>
    <xf numFmtId="171" fontId="9" fillId="0" borderId="1" xfId="2" applyNumberFormat="1" applyFont="1" applyBorder="1"/>
    <xf numFmtId="171" fontId="11" fillId="0" borderId="0" xfId="2" applyNumberFormat="1" applyFont="1"/>
    <xf numFmtId="171" fontId="4" fillId="0" borderId="1" xfId="2" applyNumberFormat="1" applyFont="1" applyBorder="1"/>
    <xf numFmtId="164" fontId="5" fillId="6" borderId="4" xfId="2" applyFont="1" applyFill="1" applyBorder="1"/>
    <xf numFmtId="0" fontId="15" fillId="0" borderId="0" xfId="0" applyFont="1"/>
    <xf numFmtId="0" fontId="16" fillId="0" borderId="0" xfId="0" applyFont="1"/>
    <xf numFmtId="14" fontId="0" fillId="0" borderId="2" xfId="0" applyNumberFormat="1" applyBorder="1"/>
    <xf numFmtId="10" fontId="5" fillId="3" borderId="0" xfId="20" applyNumberFormat="1" applyFont="1" applyFill="1"/>
    <xf numFmtId="3" fontId="3" fillId="0" borderId="0" xfId="0" applyNumberFormat="1" applyFont="1"/>
    <xf numFmtId="0" fontId="5" fillId="6" borderId="2" xfId="0" applyFont="1" applyFill="1" applyBorder="1"/>
    <xf numFmtId="171" fontId="4" fillId="0" borderId="0" xfId="2" applyNumberFormat="1" applyFont="1" applyFill="1"/>
    <xf numFmtId="14" fontId="0" fillId="0" borderId="0" xfId="0" applyNumberFormat="1"/>
    <xf numFmtId="0" fontId="6" fillId="5" borderId="0" xfId="0" applyFont="1" applyFill="1"/>
    <xf numFmtId="164" fontId="15" fillId="0" borderId="0" xfId="2" applyFont="1"/>
    <xf numFmtId="164" fontId="10" fillId="2" borderId="0" xfId="2" applyFont="1" applyFill="1" applyAlignment="1">
      <alignment horizontal="center" wrapText="1"/>
    </xf>
    <xf numFmtId="164" fontId="4" fillId="0" borderId="0" xfId="2" applyFont="1" applyFill="1"/>
    <xf numFmtId="14" fontId="15" fillId="0" borderId="0" xfId="0" applyNumberFormat="1" applyFont="1"/>
    <xf numFmtId="14" fontId="10" fillId="2" borderId="0" xfId="0" applyNumberFormat="1" applyFont="1" applyFill="1" applyAlignment="1">
      <alignment horizontal="center" wrapText="1"/>
    </xf>
    <xf numFmtId="10" fontId="4" fillId="8" borderId="0" xfId="20" applyNumberFormat="1" applyFont="1" applyFill="1"/>
    <xf numFmtId="164" fontId="12" fillId="0" borderId="0" xfId="2" applyFont="1" applyFill="1"/>
    <xf numFmtId="164" fontId="5" fillId="3" borderId="0" xfId="2" applyFont="1" applyFill="1"/>
    <xf numFmtId="0" fontId="0" fillId="9" borderId="2" xfId="0" applyFill="1" applyBorder="1"/>
    <xf numFmtId="14" fontId="0" fillId="9" borderId="2" xfId="0" applyNumberFormat="1" applyFill="1" applyBorder="1"/>
    <xf numFmtId="164" fontId="4" fillId="9" borderId="2" xfId="2" applyFont="1" applyFill="1" applyBorder="1"/>
    <xf numFmtId="3" fontId="0" fillId="9" borderId="2" xfId="0" applyNumberFormat="1" applyFill="1" applyBorder="1"/>
    <xf numFmtId="0" fontId="13" fillId="5" borderId="0" xfId="0" applyFont="1" applyFill="1"/>
    <xf numFmtId="0" fontId="0" fillId="5" borderId="0" xfId="0" applyFill="1"/>
    <xf numFmtId="0" fontId="9" fillId="5" borderId="0" xfId="0" applyFont="1" applyFill="1"/>
    <xf numFmtId="0" fontId="5" fillId="5" borderId="0" xfId="0" applyFont="1" applyFill="1"/>
    <xf numFmtId="43" fontId="4" fillId="0" borderId="2" xfId="95" applyFont="1" applyFill="1" applyBorder="1"/>
    <xf numFmtId="3" fontId="9" fillId="5" borderId="0" xfId="0" applyNumberFormat="1" applyFont="1" applyFill="1"/>
    <xf numFmtId="0" fontId="14" fillId="5" borderId="0" xfId="0" applyFont="1" applyFill="1"/>
    <xf numFmtId="14" fontId="14" fillId="5" borderId="0" xfId="0" applyNumberFormat="1" applyFont="1" applyFill="1" applyAlignment="1">
      <alignment horizontal="center"/>
    </xf>
    <xf numFmtId="3" fontId="14" fillId="5" borderId="0" xfId="0" applyNumberFormat="1" applyFont="1" applyFill="1"/>
    <xf numFmtId="168" fontId="14" fillId="5" borderId="0" xfId="0" applyNumberFormat="1" applyFont="1" applyFill="1"/>
    <xf numFmtId="4" fontId="14" fillId="5" borderId="0" xfId="0" applyNumberFormat="1" applyFont="1" applyFill="1"/>
    <xf numFmtId="169" fontId="14" fillId="5" borderId="0" xfId="0" applyNumberFormat="1" applyFont="1" applyFill="1"/>
    <xf numFmtId="43" fontId="0" fillId="5" borderId="0" xfId="0" applyNumberFormat="1" applyFill="1"/>
    <xf numFmtId="171" fontId="9" fillId="5" borderId="0" xfId="2" applyNumberFormat="1" applyFont="1" applyFill="1"/>
    <xf numFmtId="171" fontId="0" fillId="5" borderId="0" xfId="0" applyNumberFormat="1" applyFill="1"/>
    <xf numFmtId="171" fontId="9" fillId="5" borderId="0" xfId="0" applyNumberFormat="1" applyFont="1" applyFill="1"/>
    <xf numFmtId="165" fontId="12" fillId="5" borderId="0" xfId="0" applyNumberFormat="1" applyFont="1" applyFill="1"/>
    <xf numFmtId="4" fontId="0" fillId="5" borderId="0" xfId="0" applyNumberFormat="1" applyFill="1"/>
    <xf numFmtId="164" fontId="0" fillId="5" borderId="0" xfId="0" applyNumberFormat="1" applyFill="1"/>
    <xf numFmtId="164" fontId="4" fillId="5" borderId="0" xfId="2" applyFont="1" applyFill="1"/>
    <xf numFmtId="164" fontId="0" fillId="5" borderId="0" xfId="2" applyFont="1" applyFill="1"/>
    <xf numFmtId="175" fontId="4" fillId="5" borderId="0" xfId="2" applyNumberFormat="1" applyFont="1" applyFill="1"/>
    <xf numFmtId="164" fontId="12" fillId="5" borderId="0" xfId="2" applyFont="1" applyFill="1"/>
    <xf numFmtId="0" fontId="5" fillId="5" borderId="0" xfId="0" applyFont="1" applyFill="1" applyAlignment="1">
      <alignment horizontal="center"/>
    </xf>
    <xf numFmtId="0" fontId="12" fillId="5" borderId="0" xfId="0" applyFont="1" applyFill="1"/>
    <xf numFmtId="43" fontId="5" fillId="5" borderId="0" xfId="0" applyNumberFormat="1" applyFont="1" applyFill="1"/>
    <xf numFmtId="0" fontId="0" fillId="5" borderId="0" xfId="0" applyFill="1" applyAlignment="1">
      <alignment horizontal="center"/>
    </xf>
    <xf numFmtId="169" fontId="12" fillId="0" borderId="0" xfId="0" applyNumberFormat="1" applyFont="1"/>
    <xf numFmtId="4" fontId="30" fillId="0" borderId="0" xfId="0" applyNumberFormat="1" applyFont="1"/>
    <xf numFmtId="177" fontId="0" fillId="5" borderId="0" xfId="0" applyNumberFormat="1" applyFill="1"/>
    <xf numFmtId="43" fontId="0" fillId="7" borderId="0" xfId="0" applyNumberFormat="1" applyFill="1"/>
    <xf numFmtId="10" fontId="5" fillId="3" borderId="0" xfId="20" applyNumberFormat="1" applyFont="1" applyFill="1" applyBorder="1"/>
    <xf numFmtId="176" fontId="0" fillId="5" borderId="0" xfId="0" applyNumberFormat="1" applyFill="1"/>
    <xf numFmtId="4" fontId="32" fillId="0" borderId="0" xfId="0" applyNumberFormat="1" applyFont="1"/>
    <xf numFmtId="9" fontId="9" fillId="5" borderId="0" xfId="20" applyFont="1" applyFill="1"/>
    <xf numFmtId="164" fontId="0" fillId="0" borderId="0" xfId="2" applyFont="1"/>
    <xf numFmtId="4" fontId="3" fillId="5" borderId="0" xfId="0" applyNumberFormat="1" applyFont="1" applyFill="1"/>
    <xf numFmtId="4" fontId="33" fillId="5" borderId="0" xfId="0" applyNumberFormat="1" applyFont="1" applyFill="1"/>
    <xf numFmtId="10" fontId="0" fillId="5" borderId="0" xfId="20" applyNumberFormat="1" applyFont="1" applyFill="1"/>
    <xf numFmtId="0" fontId="5" fillId="4" borderId="0" xfId="0" applyFont="1" applyFill="1"/>
    <xf numFmtId="164" fontId="5" fillId="4" borderId="0" xfId="2" applyFont="1" applyFill="1"/>
    <xf numFmtId="164" fontId="0" fillId="5" borderId="1" xfId="2" applyFont="1" applyFill="1" applyBorder="1"/>
    <xf numFmtId="0" fontId="5" fillId="8" borderId="0" xfId="0" applyFont="1" applyFill="1" applyAlignment="1">
      <alignment horizontal="center"/>
    </xf>
    <xf numFmtId="164" fontId="0" fillId="5" borderId="3" xfId="2" applyFont="1" applyFill="1" applyBorder="1"/>
    <xf numFmtId="0" fontId="0" fillId="5" borderId="3" xfId="0" applyFill="1" applyBorder="1"/>
    <xf numFmtId="0" fontId="5" fillId="42" borderId="3" xfId="0" applyFont="1" applyFill="1" applyBorder="1" applyAlignment="1">
      <alignment horizontal="center"/>
    </xf>
    <xf numFmtId="0" fontId="7" fillId="43" borderId="2" xfId="0" applyFont="1" applyFill="1" applyBorder="1" applyAlignment="1">
      <alignment horizontal="center"/>
    </xf>
    <xf numFmtId="174" fontId="0" fillId="0" borderId="2" xfId="21" applyFont="1" applyBorder="1" applyAlignment="1">
      <alignment horizontal="center"/>
    </xf>
    <xf numFmtId="178" fontId="0" fillId="0" borderId="2" xfId="21" applyNumberFormat="1" applyFont="1" applyFill="1" applyBorder="1" applyAlignment="1">
      <alignment horizontal="center"/>
    </xf>
    <xf numFmtId="178" fontId="0" fillId="0" borderId="2" xfId="21" applyNumberFormat="1" applyFont="1" applyBorder="1" applyAlignment="1">
      <alignment horizontal="center"/>
    </xf>
    <xf numFmtId="174" fontId="5" fillId="0" borderId="16" xfId="21" applyFont="1" applyFill="1" applyBorder="1" applyAlignment="1">
      <alignment horizontal="center"/>
    </xf>
    <xf numFmtId="179" fontId="5" fillId="0" borderId="17" xfId="0" applyNumberFormat="1" applyFont="1" applyBorder="1"/>
    <xf numFmtId="0" fontId="7" fillId="43" borderId="18" xfId="0" applyFont="1" applyFill="1" applyBorder="1"/>
    <xf numFmtId="0" fontId="7" fillId="43" borderId="19" xfId="0" applyFont="1" applyFill="1" applyBorder="1"/>
    <xf numFmtId="0" fontId="7" fillId="43" borderId="6" xfId="0" applyFont="1" applyFill="1" applyBorder="1"/>
    <xf numFmtId="0" fontId="7" fillId="43" borderId="4" xfId="0" applyFont="1" applyFill="1" applyBorder="1" applyAlignment="1">
      <alignment horizontal="center"/>
    </xf>
    <xf numFmtId="172" fontId="4" fillId="5" borderId="0" xfId="2" applyNumberFormat="1" applyFont="1" applyFill="1"/>
    <xf numFmtId="178" fontId="0" fillId="8" borderId="2" xfId="21" applyNumberFormat="1" applyFont="1" applyFill="1" applyBorder="1" applyAlignment="1">
      <alignment horizontal="center"/>
    </xf>
    <xf numFmtId="44" fontId="4" fillId="0" borderId="2" xfId="99" applyFont="1" applyBorder="1" applyAlignment="1">
      <alignment horizontal="center"/>
    </xf>
    <xf numFmtId="179" fontId="5" fillId="5" borderId="0" xfId="0" applyNumberFormat="1" applyFont="1" applyFill="1"/>
    <xf numFmtId="9" fontId="4" fillId="5" borderId="0" xfId="20" applyFont="1" applyFill="1"/>
    <xf numFmtId="171" fontId="4" fillId="5" borderId="0" xfId="2" applyNumberFormat="1" applyFont="1" applyFill="1"/>
    <xf numFmtId="9" fontId="4" fillId="5" borderId="0" xfId="20" applyFont="1" applyFill="1" applyAlignment="1">
      <alignment horizontal="center"/>
    </xf>
    <xf numFmtId="181" fontId="0" fillId="5" borderId="0" xfId="2" applyNumberFormat="1" applyFont="1" applyFill="1"/>
    <xf numFmtId="10" fontId="4" fillId="5" borderId="0" xfId="20" applyNumberFormat="1" applyFont="1" applyFill="1"/>
    <xf numFmtId="0" fontId="12" fillId="0" borderId="2" xfId="0" applyFont="1" applyBorder="1"/>
    <xf numFmtId="182" fontId="0" fillId="0" borderId="2" xfId="21" applyNumberFormat="1" applyFont="1" applyBorder="1" applyAlignment="1">
      <alignment horizontal="center"/>
    </xf>
    <xf numFmtId="9" fontId="0" fillId="0" borderId="2" xfId="20" applyFont="1" applyBorder="1" applyAlignment="1">
      <alignment horizontal="center"/>
    </xf>
    <xf numFmtId="180" fontId="0" fillId="0" borderId="2" xfId="0" applyNumberFormat="1" applyBorder="1" applyAlignment="1">
      <alignment horizontal="center"/>
    </xf>
    <xf numFmtId="9" fontId="0" fillId="0" borderId="4" xfId="20" applyFont="1" applyBorder="1" applyAlignment="1">
      <alignment horizontal="center"/>
    </xf>
    <xf numFmtId="180" fontId="0" fillId="0" borderId="4" xfId="0" applyNumberFormat="1" applyBorder="1" applyAlignment="1">
      <alignment horizontal="center"/>
    </xf>
    <xf numFmtId="0" fontId="5" fillId="5" borderId="20" xfId="0" applyFont="1" applyFill="1" applyBorder="1"/>
    <xf numFmtId="180" fontId="5" fillId="5" borderId="21" xfId="0" applyNumberFormat="1" applyFont="1" applyFill="1" applyBorder="1"/>
    <xf numFmtId="183" fontId="12" fillId="0" borderId="0" xfId="0" applyNumberFormat="1" applyFont="1" applyAlignment="1">
      <alignment horizontal="center"/>
    </xf>
    <xf numFmtId="0" fontId="5" fillId="0" borderId="2" xfId="0" applyFont="1" applyBorder="1"/>
    <xf numFmtId="43" fontId="4" fillId="9" borderId="2" xfId="95" applyFont="1" applyFill="1" applyBorder="1"/>
    <xf numFmtId="171" fontId="9" fillId="0" borderId="0" xfId="2" applyNumberFormat="1" applyFont="1" applyFill="1"/>
    <xf numFmtId="4" fontId="0" fillId="5" borderId="2" xfId="0" applyNumberFormat="1" applyFill="1" applyBorder="1"/>
    <xf numFmtId="0" fontId="0" fillId="5" borderId="2" xfId="0" applyFill="1" applyBorder="1" applyAlignment="1">
      <alignment horizontal="center"/>
    </xf>
    <xf numFmtId="4" fontId="5" fillId="8" borderId="2" xfId="0" applyNumberFormat="1" applyFont="1" applyFill="1" applyBorder="1"/>
    <xf numFmtId="0" fontId="5" fillId="8" borderId="2" xfId="0" applyFont="1" applyFill="1" applyBorder="1" applyAlignment="1">
      <alignment horizontal="center"/>
    </xf>
    <xf numFmtId="4" fontId="31" fillId="41" borderId="0" xfId="0" applyNumberFormat="1" applyFont="1" applyFill="1"/>
    <xf numFmtId="0" fontId="31" fillId="41" borderId="0" xfId="0" applyFont="1" applyFill="1"/>
    <xf numFmtId="167" fontId="31" fillId="41" borderId="0" xfId="0" applyNumberFormat="1" applyFont="1" applyFill="1"/>
    <xf numFmtId="173" fontId="12" fillId="0" borderId="0" xfId="0" applyNumberFormat="1" applyFont="1"/>
    <xf numFmtId="165" fontId="12" fillId="0" borderId="0" xfId="0" applyNumberFormat="1" applyFont="1"/>
    <xf numFmtId="166" fontId="12" fillId="0" borderId="0" xfId="0" applyNumberFormat="1" applyFont="1"/>
    <xf numFmtId="184" fontId="12" fillId="0" borderId="0" xfId="0" applyNumberFormat="1" applyFont="1"/>
    <xf numFmtId="168" fontId="12" fillId="0" borderId="0" xfId="0" applyNumberFormat="1" applyFont="1"/>
    <xf numFmtId="170" fontId="12" fillId="0" borderId="0" xfId="0" applyNumberFormat="1" applyFont="1"/>
    <xf numFmtId="0" fontId="0" fillId="0" borderId="22" xfId="0" pivotButton="1" applyBorder="1"/>
    <xf numFmtId="0" fontId="0" fillId="0" borderId="23" xfId="0" applyBorder="1"/>
    <xf numFmtId="0" fontId="0" fillId="0" borderId="22" xfId="0" applyBorder="1"/>
    <xf numFmtId="9" fontId="0" fillId="0" borderId="23" xfId="0" applyNumberFormat="1" applyBorder="1"/>
    <xf numFmtId="0" fontId="0" fillId="0" borderId="24" xfId="0" applyBorder="1"/>
    <xf numFmtId="9" fontId="0" fillId="0" borderId="25" xfId="0" applyNumberFormat="1" applyBorder="1"/>
    <xf numFmtId="0" fontId="0" fillId="0" borderId="26" xfId="0" applyBorder="1"/>
    <xf numFmtId="9" fontId="0" fillId="0" borderId="27" xfId="0" applyNumberFormat="1" applyBorder="1"/>
    <xf numFmtId="10" fontId="0" fillId="0" borderId="23" xfId="0" applyNumberFormat="1" applyBorder="1"/>
  </cellXfs>
  <cellStyles count="100">
    <cellStyle name="20% - Énfasis1" xfId="64" builtinId="30" customBuiltin="1"/>
    <cellStyle name="20% - Énfasis2" xfId="68" builtinId="34" customBuiltin="1"/>
    <cellStyle name="20% - Énfasis3" xfId="72" builtinId="38" customBuiltin="1"/>
    <cellStyle name="20% - Énfasis4" xfId="76" builtinId="42" customBuiltin="1"/>
    <cellStyle name="20% - Énfasis5" xfId="80" builtinId="46" customBuiltin="1"/>
    <cellStyle name="20% - Énfasis6" xfId="84" builtinId="50" customBuiltin="1"/>
    <cellStyle name="40% - Énfasis1" xfId="65" builtinId="31" customBuiltin="1"/>
    <cellStyle name="40% - Énfasis2" xfId="69" builtinId="35" customBuiltin="1"/>
    <cellStyle name="40% - Énfasis3" xfId="73" builtinId="39" customBuiltin="1"/>
    <cellStyle name="40% - Énfasis4" xfId="77" builtinId="43" customBuiltin="1"/>
    <cellStyle name="40% - Énfasis5" xfId="81" builtinId="47" customBuiltin="1"/>
    <cellStyle name="40% - Énfasis6" xfId="85" builtinId="51" customBuiltin="1"/>
    <cellStyle name="60% - Énfasis1" xfId="66" builtinId="32" customBuiltin="1"/>
    <cellStyle name="60% - Énfasis1 2" xfId="87" xr:uid="{DDB7F2CB-ECB8-4FDF-9EF9-B28CA8744368}"/>
    <cellStyle name="60% - Énfasis2" xfId="70" builtinId="36" customBuiltin="1"/>
    <cellStyle name="60% - Énfasis2 2" xfId="88" xr:uid="{70E70764-9367-4794-A623-7E8A1D658DA0}"/>
    <cellStyle name="60% - Énfasis3" xfId="74" builtinId="40" customBuiltin="1"/>
    <cellStyle name="60% - Énfasis3 2" xfId="89" xr:uid="{01C8F05E-3330-43DC-A913-A9CDF7246CF0}"/>
    <cellStyle name="60% - Énfasis4" xfId="78" builtinId="44" customBuiltin="1"/>
    <cellStyle name="60% - Énfasis4 2" xfId="90" xr:uid="{FE5539DD-03BC-4B77-BBF7-5A3D3C887AFA}"/>
    <cellStyle name="60% - Énfasis5" xfId="82" builtinId="48" customBuiltin="1"/>
    <cellStyle name="60% - Énfasis5 2" xfId="91" xr:uid="{B6345A4C-3D96-4717-9A5E-0F0991081288}"/>
    <cellStyle name="60% - Énfasis6" xfId="86" builtinId="52" customBuiltin="1"/>
    <cellStyle name="60% - Énfasis6 2" xfId="92" xr:uid="{0C9847EB-0A53-44A6-B4CD-3B9E2EFAEFFA}"/>
    <cellStyle name="Bueno" xfId="51" builtinId="26" customBuiltin="1"/>
    <cellStyle name="Cálculo" xfId="56" builtinId="22" customBuiltin="1"/>
    <cellStyle name="Celda de comprobación" xfId="58" builtinId="23" customBuiltin="1"/>
    <cellStyle name="Celda vinculada" xfId="57" builtinId="24" customBuiltin="1"/>
    <cellStyle name="Encabezado 1" xfId="47" builtinId="16" customBuiltin="1"/>
    <cellStyle name="Encabezado 4" xfId="50" builtinId="19" customBuiltin="1"/>
    <cellStyle name="Énfasis1" xfId="63" builtinId="29" customBuiltin="1"/>
    <cellStyle name="Énfasis2" xfId="67" builtinId="33" customBuiltin="1"/>
    <cellStyle name="Énfasis3" xfId="71" builtinId="37" customBuiltin="1"/>
    <cellStyle name="Énfasis4" xfId="75" builtinId="41" customBuiltin="1"/>
    <cellStyle name="Énfasis5" xfId="79" builtinId="45" customBuiltin="1"/>
    <cellStyle name="Énfasis6" xfId="83" builtinId="49" customBuiltin="1"/>
    <cellStyle name="Entrada" xfId="54" builtinId="20" customBuiltin="1"/>
    <cellStyle name="Hipervínculo" xfId="1" builtinId="8"/>
    <cellStyle name="Incorrecto" xfId="52" builtinId="27" customBuiltin="1"/>
    <cellStyle name="Millares" xfId="2" builtinId="3"/>
    <cellStyle name="Millares 2" xfId="3" xr:uid="{B87FD789-5781-4FD2-9B9B-3785615A7EBC}"/>
    <cellStyle name="Millares 2 2" xfId="4" xr:uid="{A9997EE6-112E-419A-B6A6-FFF21602EBB6}"/>
    <cellStyle name="Millares 2 2 2" xfId="5" xr:uid="{8EFF2944-DF8A-4190-8006-E2AAAB629E09}"/>
    <cellStyle name="Millares 2 2 2 2" xfId="6" xr:uid="{F2F83FF9-FBAA-4855-B37E-20383E8B0B11}"/>
    <cellStyle name="Millares 2 2 2 2 2" xfId="7" xr:uid="{79BCFF83-ABDD-4221-8B4C-1EB33AE74C45}"/>
    <cellStyle name="Millares 2 2 2 2 2 2" xfId="26" xr:uid="{274D4935-2AF9-449E-8195-512B66739207}"/>
    <cellStyle name="Millares 2 2 2 2 3" xfId="25" xr:uid="{E402D405-1682-4934-877B-534C991BA44D}"/>
    <cellStyle name="Millares 2 2 2 3" xfId="8" xr:uid="{51216F40-CB12-416E-8AC0-AF4EC853AD6E}"/>
    <cellStyle name="Millares 2 2 2 3 2" xfId="27" xr:uid="{26DCA597-7E00-4802-9A86-AC061DE8DB91}"/>
    <cellStyle name="Millares 2 2 2 4" xfId="24" xr:uid="{362009E2-A464-4720-BC3F-E0BB85854091}"/>
    <cellStyle name="Millares 2 2 3" xfId="9" xr:uid="{818627A0-205C-44B1-89F8-974C6359EA53}"/>
    <cellStyle name="Millares 2 2 3 2" xfId="10" xr:uid="{8ADB1F4A-204B-40D0-AA8E-231FB8BF8236}"/>
    <cellStyle name="Millares 2 2 3 2 2" xfId="29" xr:uid="{96FB5764-FE6F-4172-9C93-CA1A60BBBA82}"/>
    <cellStyle name="Millares 2 2 3 3" xfId="28" xr:uid="{DFDC27F1-AA1F-4A76-8A05-9C148C607BD0}"/>
    <cellStyle name="Millares 2 2 4" xfId="11" xr:uid="{71488509-93F5-4E16-A072-CBA4E6C8C01F}"/>
    <cellStyle name="Millares 2 2 4 2" xfId="30" xr:uid="{11937C8D-A177-4335-832B-5ABF955DD14E}"/>
    <cellStyle name="Millares 2 2 5" xfId="23" xr:uid="{42025F3C-A62B-44CB-8EC8-FB236EDC162B}"/>
    <cellStyle name="Millares 2 3" xfId="12" xr:uid="{12DBF8F1-26A5-4860-90E3-EB4BA95FF599}"/>
    <cellStyle name="Millares 2 3 2" xfId="13" xr:uid="{307BBE22-1CA7-4B83-AC36-4CDBE315D15C}"/>
    <cellStyle name="Millares 2 3 2 2" xfId="14" xr:uid="{24DAAD9E-88EB-4678-905A-BAF0E688C181}"/>
    <cellStyle name="Millares 2 3 2 2 2" xfId="33" xr:uid="{35FC7ABF-1982-4A6B-9425-D0876E1244EE}"/>
    <cellStyle name="Millares 2 3 2 3" xfId="32" xr:uid="{48CCD49F-8A0E-4577-A89E-8BC4E9E14611}"/>
    <cellStyle name="Millares 2 3 3" xfId="15" xr:uid="{B1FF5FA3-FB73-4AA1-9147-7F206D8F51B2}"/>
    <cellStyle name="Millares 2 3 3 2" xfId="34" xr:uid="{661DD83F-0953-4C44-A27E-40EA3B2D0797}"/>
    <cellStyle name="Millares 2 3 4" xfId="31" xr:uid="{2AA8F1F6-716F-430D-9916-A2C8BC170BE0}"/>
    <cellStyle name="Millares 2 4" xfId="16" xr:uid="{5512F15D-BAC0-4470-84E8-C25E503E94C2}"/>
    <cellStyle name="Millares 2 4 2" xfId="17" xr:uid="{73EE40EF-83F3-4914-8407-0C9DA877C0F2}"/>
    <cellStyle name="Millares 2 4 2 2" xfId="36" xr:uid="{4D46D9AE-863A-4E36-9A43-7B971D5E7198}"/>
    <cellStyle name="Millares 2 4 3" xfId="35" xr:uid="{B68C1B94-0932-4B4E-AAF9-EDD9216FF5D9}"/>
    <cellStyle name="Millares 2 5" xfId="18" xr:uid="{384810C5-9D20-4731-B43C-5BC077CBE90B}"/>
    <cellStyle name="Millares 2 5 2" xfId="37" xr:uid="{D7E0C93A-00AD-4ACC-96AB-714B61F23A62}"/>
    <cellStyle name="Millares 2 6" xfId="22" xr:uid="{D5865EC8-6CCC-411E-BEF4-E56201200A09}"/>
    <cellStyle name="Millares 3" xfId="19" xr:uid="{6A8771C6-2915-4D72-BDBE-E7A715FACCAE}"/>
    <cellStyle name="Millares 3 2" xfId="38" xr:uid="{A88C1478-8790-459B-B16E-AC5EB38F23D6}"/>
    <cellStyle name="Millares 3 3" xfId="94" xr:uid="{FFB578B1-A510-457C-BFCB-A0767447F0F5}"/>
    <cellStyle name="Millares 4" xfId="39" xr:uid="{5C594C2D-04ED-4A35-811C-3849F0265A72}"/>
    <cellStyle name="Millares 4 2" xfId="95" xr:uid="{31C446CA-EAFF-42C3-B48B-C6920DD5ED73}"/>
    <cellStyle name="Millares 5" xfId="21" xr:uid="{05D835D3-671C-43EA-AE2A-E4CAE777313F}"/>
    <cellStyle name="Millares 5 2" xfId="96" xr:uid="{1BC4C5CD-D0B7-463C-A41F-9097224D5073}"/>
    <cellStyle name="Millares 6" xfId="93" xr:uid="{9CD5B9E2-A7BA-4B08-A4D7-720E801EE607}"/>
    <cellStyle name="Moneda" xfId="99" builtinId="4"/>
    <cellStyle name="Moneda 2" xfId="97" xr:uid="{97E148CA-D753-4EDB-81CA-0C23BA3BFFED}"/>
    <cellStyle name="Neutral" xfId="53" builtinId="28" customBuiltin="1"/>
    <cellStyle name="Neutral 2" xfId="98" xr:uid="{FBE16525-C6E7-48A8-87EC-C7CCE74F62CF}"/>
    <cellStyle name="Normal" xfId="0" builtinId="0"/>
    <cellStyle name="Normal 2" xfId="40" xr:uid="{F3A401D2-1E24-4F64-9C89-27AFD7470532}"/>
    <cellStyle name="Normal 3" xfId="41" xr:uid="{2735BF24-98D2-4340-AA68-B4526E3F01BB}"/>
    <cellStyle name="Normal 3 2" xfId="42" xr:uid="{A1570DD6-C067-43DB-BF5E-1B4F75262081}"/>
    <cellStyle name="Normal 6" xfId="43" xr:uid="{0B38CE4A-0760-43FF-8D68-01B382D2872E}"/>
    <cellStyle name="Notas" xfId="60" builtinId="10" customBuiltin="1"/>
    <cellStyle name="Porcentaje" xfId="20" builtinId="5"/>
    <cellStyle name="Porcentaje 2" xfId="45" xr:uid="{46BA56FB-ED8B-4BB0-9E7A-510F85E1EA05}"/>
    <cellStyle name="Porcentaje 3" xfId="44" xr:uid="{C39DC0B4-5DDC-4B9D-8A66-61C3F62C82B8}"/>
    <cellStyle name="Salida" xfId="55" builtinId="21" customBuiltin="1"/>
    <cellStyle name="Texto de advertencia" xfId="59" builtinId="11" customBuiltin="1"/>
    <cellStyle name="Texto explicativo" xfId="61" builtinId="53" customBuiltin="1"/>
    <cellStyle name="Título" xfId="46" builtinId="15" customBuiltin="1"/>
    <cellStyle name="Título 2" xfId="48" builtinId="17" customBuiltin="1"/>
    <cellStyle name="Título 3" xfId="49" builtinId="18" customBuiltin="1"/>
    <cellStyle name="Total" xfId="62" builtinId="25" customBuiltin="1"/>
  </cellStyles>
  <dxfs count="15">
    <dxf>
      <numFmt numFmtId="14" formatCode="0.00%"/>
    </dxf>
    <dxf>
      <numFmt numFmtId="13" formatCode="0%"/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3" formatCode="0%"/>
    </dxf>
    <dxf>
      <numFmt numFmtId="14" formatCode="0.00%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a Valfre" refreshedDate="46182.444320833332" createdVersion="8" refreshedVersion="8" recordCount="1362" xr:uid="{2ADC35D0-82AB-4BD0-826C-8651D6F55B87}">
  <cacheSource type="worksheet">
    <worksheetSource ref="A3:W65252" sheet="Reporte de Cheques"/>
  </cacheSource>
  <cacheFields count="23">
    <cacheField name="Sociedad de Garantía Recíproca / Librador" numFmtId="0">
      <sharedItems containsBlank="1" count="510">
        <s v="LIBRERIA DEL SUR SH"/>
        <s v="CASANO GRAFICA SA"/>
        <s v="GRUPO PLEYART SA"/>
        <s v="INDUSTRIA GRAFICA MARTIN SA"/>
        <s v="CATALEIA SA"/>
        <s v="IGAR SRL"/>
        <s v="LAS 6 EMES SAS"/>
        <s v="MOBEL SOCIEDAD ANONIMA"/>
        <s v="LAROCCA NEUMATICOS S A"/>
        <s v="DOSAM SOCIEDAD DE RESPONSABILIDAD LIMITADA"/>
        <s v="SION S A"/>
        <s v="DHN DESARROLLADORA SRL"/>
        <s v="INDUSTRIAS J A M SOCIEDAD ANONIMA INDUSTRIAL Y COMERCIAL"/>
        <s v="Neuquén Pymes S.G.R. "/>
        <s v="SAN MARCOS TRADING S.A."/>
        <s v="V Y V ALIMENTOS S.A."/>
        <s v="ASOCIACION DEL FUTBOL ARGENTINO"/>
        <s v="C P S COMUNICACIONES S.A.U."/>
        <s v="TALLERES METALURGICOS CRUCIANELLI SA"/>
        <s v="LIPSA SRL"/>
        <s v="S A BUCCOLINI C I F I A"/>
        <s v="FARMCITY SA"/>
        <s v="SES SA"/>
        <s v="SERVIPLAST S A"/>
        <s v="A M F A Y S ASOCIACION MUTUAL"/>
        <s v="EMPRESA DIST SUR S.A. EDESUR S.A."/>
        <s v="SIGMA AGRO S.A."/>
        <s v="METALFOR SA"/>
        <s v="JOSE MORETTA S.A."/>
        <s v="DESDE EL MAR S.A."/>
        <s v="CASSAB HNOS S.R.L."/>
        <s v="AMERICA PAMPA AGROINDUSTRIAL S.A."/>
        <s v="REGCEN S.R.L."/>
        <s v="ANDALUCIA SRL"/>
        <s v="ROTATIVOS UNICOM SRL"/>
        <s v="GRAFICA IGMA S.R.L"/>
        <s v="LOS INCAS DESARROLLOS"/>
        <s v="GIVA LOGISTIC SRL"/>
        <s v="PAY PER TIC SA"/>
        <s v="COARD S A"/>
        <s v="SUPERMERCADOS MAYORISTAS YAGUAR SOCIEDAD ANONIMA"/>
        <s v="PROLIB SAS"/>
        <s v="TORO DIGITAL SA"/>
        <s v="MA SEOANE RIERA SRL"/>
        <s v="HARJUICE SRL"/>
        <s v="TECNO AGRIC RIO CUARTO SAS"/>
        <s v="EL TREBOL SRL"/>
        <s v="HIADES SRL"/>
        <s v="OJEDA ARIEL RUBEN"/>
        <s v="ABANS PROCESOS SRL"/>
        <s v="VIA PRINT SRL"/>
        <s v="AGROPECUARIA LA PODEROSA SA"/>
        <s v="VEO VISUAL"/>
        <s v="ANDRIMARSIL SRL"/>
        <s v="NUEVAS CARTULINAS SRL"/>
        <s v="QUELEER SA"/>
        <s v="MADETEC SA"/>
        <s v="LITORAL CLEAN SRL"/>
        <s v="BLACKFOX SRL"/>
        <s v="CASA BODE SRL"/>
        <s v="COLLEVECCHIO HNOS SA"/>
        <s v="EDUCACION POPULAR ASOCIACION CIVIL"/>
        <s v="GRAFICOS SRL SRL"/>
        <s v="LA PAMPAGONIA SRL"/>
        <s v="SALLEO SRL"/>
        <s v="GRUB SA"/>
        <s v="RECIWORLD SRL"/>
        <s v="WORK PROJECT GROUP SA"/>
        <s v="TRANSPORTE ZAVIOLA"/>
        <s v="ANKAS DEL SUR SRL"/>
        <s v="SCHMIDT DIEGO ARIEL"/>
        <s v="UNCIPRES IMPORTACIONES SA"/>
        <s v="SANDYPACK SRL"/>
        <s v="RIVAS LUIS HECTOR Y RIVAS FABIAN HECTOR SH"/>
        <s v="PROYECCION GRAFICA SRL"/>
        <s v="LINEA PUNTO CERO SRL"/>
        <s v="LIBRERIAS IMPULSO SAS"/>
        <s v="385 COMERCIAL SA"/>
        <s v="LIBRERIA HELIOS SRL"/>
        <s v="PROYECTOS DEL NORTE SRL"/>
        <s v="NEW ARRECIFE S.A."/>
        <s v="TRIAL INTERNATIONAL S.A."/>
        <s v="ENTRENUTS SRL"/>
        <s v="JUARROS JOSE LUIS"/>
        <s v="ACERIAS 4 C SA"/>
        <s v="VM METALURGICA SRL"/>
        <s v="APEXAR TECHNOLOGIES SA"/>
        <s v="INTERTEXTIL SRL"/>
        <s v="PUNTO PACK SRL"/>
        <s v="TEXTUM SA"/>
        <s v="LOGICA CONSULTING GROUP SAU"/>
        <s v="KEY TECHNOLOGY SRL"/>
        <s v="GEOPOLIS SA"/>
        <s v="CONSTRUCCIONES S&amp;C SAS"/>
        <s v="BILOMAT"/>
        <s v="AGROREDES SRL"/>
        <s v="VINOX SRL"/>
        <s v="VITIVINICOLA ROCAL SRL"/>
        <s v="S.E.S. S.A. - CONSTRUERE INGENIERIA S.A."/>
        <s v="BUENA ONDA TELEVISORA COLOR SRL"/>
        <s v="BODEGAS Y VIÑEDOS SANTA ELENA SRL"/>
        <s v="BAYIT EMPRESA CONSTRUCTORA SRL"/>
        <s v="VH FABRICS SRL"/>
        <s v="BILOROOM"/>
        <s v="GRUPO 88 S.A."/>
        <s v="G&amp;T LOGISTICA SA"/>
        <s v="YAGUA COLI S.A."/>
        <s v="CUDEMO VERONICA TERESA"/>
        <s v="LAVORO FRANCO LUCIANO"/>
        <s v="PEREZ SEBASTIAN LEONEL"/>
        <s v="ELIAS SEMILLAS E INSUMOS SRL"/>
        <s v="AYVU S.A."/>
        <s v="DISTRIBUIDORA LEO SRL"/>
        <s v="ASOCIACION ATLETICA ARGENTINOS JUNIORS"/>
        <s v="LA MANTOVANA DE SERVICIOS GENERALES SA"/>
        <s v="VICTORIO PODESTA Y CIA S.A."/>
        <s v="ESPECIALIDADES AGROPECUARIAS S.A."/>
        <s v="INKPAPER SA"/>
        <s v="SERVICIOS DE PRODUCCIONES ARTISTICAS SRL"/>
        <s v="COOPERATIVA DE VIVIENDA CREDITO Y CONSUMO PARA EL DESARROLLO LIMITADA"/>
        <s v="COOPERATIVA DE TRABAJO ASISTEN LIMITADA"/>
        <s v="LA GRAFICA SRL"/>
        <s v="LW GROUP SRL"/>
        <s v="BROADBANDTECH SA"/>
        <s v="I-LED ARGENTINA S.A."/>
        <s v="DEMAGRO SRL"/>
        <s v="BSP LARTI SA"/>
        <s v="COOPERATIVA DE TABACALEROS DE JUJUY LTDA"/>
        <s v="INTANSIA S.R.L"/>
        <s v="DROGUERIA DISVAL S R L"/>
        <s v="PLANTIUM S.A."/>
        <s v="EL FIERRO SRL"/>
        <s v="NVX SAS"/>
        <s v="DANBURY S. A"/>
        <s v="AREA RIO NEGRO NORTE"/>
        <s v="GABRIEL E KELLY Y COMPANIA S.A."/>
        <s v="REMOLQUES OMBU S.A"/>
        <s v="EMOVA MOVILIDAD S.A."/>
        <s v="PAMPA VIDA S.R.L."/>
        <s v="THE CRAZY COW S.R.L."/>
        <s v="GREEN TRADE SOCIEDAD ANONIMA"/>
        <s v="AKIAN GRAFICA EDITORA SOCIEDAD ANONIMA"/>
        <s v="GRAFICA EMEDE SRL"/>
        <s v="LEIDA S.A."/>
        <s v="VENTIMIGLIA SRL"/>
        <s v="P I S R L"/>
        <s v="FORMATO GRAFICO S R L"/>
        <s v="MILLS S.G.R."/>
        <s v="CAMPO AVAL SGR"/>
        <s v="AVAL AR SGR"/>
        <s v="AVAL FEDERAL S.G.R."/>
        <s v="Vinculos S.G.R."/>
        <s v="INTEGRA PYMES SGR"/>
        <s v="TREND SGR"/>
        <s v="BiBank S.A."/>
        <s v="Affidavit S.G.R."/>
        <s v="Fidus S.G.R."/>
        <s v="LA NUEVA METROPOL SOCIEDAD ANONIMA DE TRANSPORTE AUTOMOTOR COMERCIAL E IND"/>
        <s v="LAGAVULIN S.A."/>
        <s v="VITALCAN S.A."/>
        <s v="CELULOSA CAMPANA SA"/>
        <s v="TECNOGRAFIC"/>
        <s v="FORESTADORA TAPEBICUA"/>
        <s v="Casa Hutton SA"/>
        <s v="TARJETA NARANJA SA"/>
        <s v="FGF TRAPANI"/>
        <s v="POLIMEROS EXPRESS SA"/>
        <s v="DROGUERIA GARZON SA"/>
        <s v="QUALITET SA"/>
        <s v="LITTLE BLUE SRL"/>
        <s v="QUILMES"/>
        <s v="ALLIANCE ONE TOBACCO ARGENTINA"/>
        <s v="DRACONIS S.A."/>
        <s v="TRANS BOX SRL"/>
        <s v="CREDICUOTAS CONSUMO SA"/>
        <s v="AGROTRANSPORTE ALDAO S.A."/>
        <s v="EL AUDITOR SA"/>
        <s v="CEIBO CREDITOS S.A."/>
        <s v="BUROMAHTIK SA"/>
        <s v="INDUSTRIAS ERCA S A"/>
        <s v="COTO"/>
        <s v="DIA ARGENTINA S.A"/>
        <s v="INC SOCIEDAD ANONIMA"/>
        <s v="ACINDAR PYMES SGR"/>
        <s v="LOS GROBO SGR"/>
        <s v="CUYO AVAL SGR"/>
        <s v="CONAVAL SGR"/>
        <s v="Movil SGR"/>
        <m/>
        <s v="ROSSMORE PHARMA" u="1"/>
        <s v="DOS MATES SA" u="1"/>
        <s v="PROMO DIRECTA SRL" u="1"/>
        <s v="ELANDIU SRL" u="1"/>
        <s v="SANATORIO REGIONAL SRL" u="1"/>
        <s v="RUMBOFISH S.A." u="1"/>
        <s v="MASTELLONE HNOS SA" u="1"/>
        <s v="ILSA SA" u="1"/>
        <s v="OLLIARI ENVASES SRL" u="1"/>
        <s v="BP FAMILY S.R.L." u="1"/>
        <s v="ARROLLAR SA" u="1"/>
        <s v="NEO-ONE SOCIEDAD ANONIMA" u="1"/>
        <s v="OSCAR PEMAN Y ASOCIADOS S.A." u="1"/>
        <s v="SUAVENOL S.R.L." u="1"/>
        <s v="Grupo Grafico del Norte SA" u="1"/>
        <s v="ALGABO SA" u="1"/>
        <s v="CLUB SOCIAL Y DEPORTIVO DEFENSA Y JUSTICIA" u="1"/>
        <s v="KOKY BH SRL" u="1"/>
        <s v="VISOMA S.A.S." u="1"/>
        <s v="GRAF ASOCIADAS S.A." u="1"/>
        <s v="MINIGRAF SRL" u="1"/>
        <s v="DESUR SA" u="1"/>
        <s v="FERRARO MAZZANTI SRL" u="1"/>
        <s v="CONTIMEDIOS S R L" u="1"/>
        <s v="RIVARA FRANCO GERMAN" u="1"/>
        <s v="QUISLE RUBEN ALFREDO" u="1"/>
        <s v="MONTEGRAPPA SA" u="1"/>
        <s v="LUCANERA WALTER DARIO" u="1"/>
        <s v="GONZALEZ ALEJANDRA DEL VALLE" u="1"/>
        <s v="FERRETERIA INDUSTRIAL SANCHEZ SRL" u="1"/>
        <s v="CYMCO SRL" u="1"/>
        <s v="COOPERATIVA AGRICOLA LA VENCEDORA LIMITADA" u="1"/>
        <s v="AGRITAM SRL" u="1"/>
        <s v="EDITAR SRL" u="1"/>
        <s v="TECNOGRAF SA" u="1"/>
        <s v="SA IMP Y EXP DE LA PATAGONIA" u="1"/>
        <s v="LALELU SRL" u="1"/>
        <s v="CEMEYKA SRL" u="1"/>
        <s v="EDITORIAL ALBATROS SAI" u="1"/>
        <s v="CORPORACION DEL SUR SA" u="1"/>
        <s v="COMPAÑIA PARINI SRL" u="1"/>
        <s v="PEZZELATTO JORGE FACUNDO" u="1"/>
        <s v="SIBIU PRODUCCIONES S.A.S." u="1"/>
        <s v="GERMINAR SRL" u="1"/>
        <s v="CONSORCIO DE PROPIETARIOS MIRAFLORES COUNTRY CLUB" u="1"/>
        <s v="BARRIOS COMPUTACION SRL" u="1"/>
        <s v="NEXT PRINT SA" u="1"/>
        <s v="CENTRO IMPRESION ROTATIVA SA" u="1"/>
        <s v="BORDA CARLOS DAMIAN" u="1"/>
        <s v="LOPEZ ROBERTO MARCELO" u="1"/>
        <s v="CORDEIRO Y CIA S R L" u="1"/>
        <s v="AREA BONITA SA" u="1"/>
        <s v="MALDON SRL" u="1"/>
        <s v="PRIMERA CLASE IMPRESORES DE TR" u="1"/>
        <s v="ESEVA SRL" u="1"/>
        <s v="TALLERES TRAMA SA" u="1"/>
        <s v="DR LAZAR Y CIA SAQI" u="1"/>
        <s v="KASDORF SA SA" u="1"/>
        <s v="GRUPO PEÑAFLOR" u="1"/>
        <s v="S A I G R A" u="1"/>
        <s v="MARKET GRAF LITORAL SOCIEDAD DE RESPONSABILIDAD LIMITADA" u="1"/>
        <s v="PENGUIN RANDOM HOUSE" u="1"/>
        <s v="AGROPECUARIA ARISTIZABAL SA" u="1"/>
        <s v="BESSONE AGRO SA" u="1"/>
        <s v="Avaluar S.G.R." u="1"/>
        <s v="COOPERATIVA AGROPECUARIA LTDA DE CARABELAS" u="1"/>
        <s v="EL ESTANCO S.A." u="1"/>
        <s v="FULLCREDIT S.A." u="1"/>
        <s v="CELULOSA CANNING SA" u="1"/>
        <s v="SURSEM SOCIEDAD ANONIMA" u="1"/>
        <s v="TALLERES GRAFICOS PORTER S.R.L." u="1"/>
        <s v="ASOCIACION MUTUAL DE PROTECCION FAMILIAR" u="1"/>
        <s v="PAPEZOPP S.A.S." u="1"/>
        <s v="PLANETA JUGUETES S.A." u="1"/>
        <s v="SAN BENITO ENERGIA MINERA Y DE SERVICIOS GENERALES SA" u="1"/>
        <s v="LIBRERIA SAN PABLO S.R.L" u="1"/>
        <s v="DROG SRL" u="1"/>
        <s v="CRAVERI S A I C" u="1"/>
        <s v="SABORESAR S.R.L." u="1"/>
        <s v="TODO HELADOS S.A.S" u="1"/>
        <s v="IGLESIAS LOPEZ DANIEL E IGLESIAS ANDRES SEBASTIAN S.H." u="1"/>
        <s v="NEOTEKSA SA" u="1"/>
        <s v="GROUP DIEZ S.A." u="1"/>
        <s v="VEGA EDUARDO OSCAR" u="1"/>
        <s v="EDITORIAL ESTRADA SA" u="1"/>
        <s v="GRAFICA PARA GRAFICOS SRL" u="1"/>
        <s v="VALMOR SOC RESP LTDA" u="1"/>
        <s v="COLOMBO Y MAGLIANO SA AGRICOLA GANADERA Y COMERCIAL" u="1"/>
        <s v="Compania argentina de levaduras saic" u="1"/>
        <s v="LABORATORIOS BETA SOCIEDAD ANONIMA" u="1"/>
        <s v="PROFIELD S A" u="1"/>
        <s v="RIGOLLEAU S.A" u="1"/>
        <s v="INSTITUTOS MEDICOS SA" u="1"/>
        <s v="SERVILLETAS PALLMAR S.R.L." u="1"/>
        <s v="SANCHEZ CARLA MARIA" u="1"/>
        <s v="EDITORIAL GUADAL S.A." u="1"/>
        <s v="NATIONAL SERVICE ARGENTINA SA" u="1"/>
        <s v="EL CACIQUE SA" u="1"/>
        <s v="STARK DESARROLLOS SRL" u="1"/>
        <s v="EULE GRAPHICS SRL" u="1"/>
        <s v="NISTAL MARTA" u="1"/>
        <s v="FIDEICOMISO DORREGO Y LIBERTADOR" u="1"/>
        <s v="DIVERFIESTAS S.A." u="1"/>
        <s v="PAPEL IMPORTANTE SA" u="1"/>
        <s v="LANCAS S R L" u="1"/>
        <s v="SIERPES GASTON IGNACIO JOSE" u="1"/>
        <s v="PAPELERIA JUNIN SRL" u="1"/>
        <s v="AGRO GM SOCIEDAD ANONIMA" u="1"/>
        <s v="COOP OBRERA LTDA DE CONS" u="1"/>
        <s v="CATTORIN HNOS" u="1"/>
        <s v="INVLAC CONSTRUCCIONES S.R.L" u="1"/>
        <s v="CASA MAYO GROUP S.R.L." u="1"/>
        <s v="EMPRENDIMIENTOS COMERCIALES S.A.S." u="1"/>
        <s v="LNC SOCIEDAD DE RESPONSABILIDAD LIMITADA" u="1"/>
        <s v="VIGER S.R.L." u="1"/>
        <s v="PRONIPOTI S.A" u="1"/>
        <s v="AMTRADE S.R.L." u="1"/>
        <s v="DISTRIBUIDORA CA ON SRL" u="1"/>
        <s v="EDERA S. A. S." u="1"/>
        <s v="JORGE LUIS SUAREZ Y CIA S R L" u="1"/>
        <s v="CERAS SAN JUAN SOC ANONIMA" u="1"/>
        <s v="EDITORIAL DUNKEN S.R.L." u="1"/>
        <s v="Grupo Ruddys S.a.s" u="1"/>
        <s v="LEPORATI Y COMPAÑIA SOCIEDAD ANONIMA" u="1"/>
        <s v="MARANSI SA" u="1"/>
        <s v="M &amp; A REPRESENTACIONES S R L" u="1"/>
        <s v="Maradona Wines" u="1"/>
        <s v="OFIDIRECT SA" u="1"/>
        <s v="HJ NAVAS Y CIA SAICA" u="1"/>
        <s v="AMALGRAF SRL" u="1"/>
        <s v="CIMPROSA S.R.L." u="1"/>
        <s v="IMPRESIONES TOLHUIN SAS" u="1"/>
        <s v="JUAN DANIEL RUBIO E HIJOS S. A. S." u="1"/>
        <s v="LABORATORIO SAN PABLO PRODUCTOS BIOLOGICOS S.R.L." u="1"/>
        <s v="BAGLEY AGRENTINA SA" u="1"/>
        <s v="FERRETERIA DEL PARQUE S.R.L." u="1"/>
        <s v="MONI ONLINE S.A." u="1"/>
        <s v="LEAF AGROTRONIC S.R.L." u="1"/>
        <s v="NATURAL SNACK S.R.L" u="1"/>
        <s v="WAYNICOIN S.A.." u="1"/>
        <s v="CARRITE GROUP SA" u="1"/>
        <s v="EMPRESA DE NUTRICION ARGENTINA S. A." u="1"/>
        <s v="WARNEKE S.A.S." u="1"/>
        <s v="LA COMPAÑIA PANES Y CAFE SRL" u="1"/>
        <s v="CASA PITI S R L" u="1"/>
        <s v="LA LIBRERIA S R L" u="1"/>
        <s v="Avales del Centro S.G.R." u="1"/>
        <s v="LA RUSIMA S.R.L." u="1"/>
        <s v="LIBAIE S.R.L." u="1"/>
        <s v="CRUDENCIO S.R.L." u="1"/>
        <s v="SABOR ANDINO S.R.L." u="1"/>
        <s v="POSITIVA SALUDABLE" u="1"/>
        <s v="QUINOA ROOTS S.R.L" u="1"/>
        <s v="SOEME" u="1"/>
        <s v="FABRIQUE S.R.L" u="1"/>
        <s v="FINEX CABA S. A." u="1"/>
        <s v="CORTEVA AGRISCIENCE ARGENTINA SRL" u="1"/>
        <s v="NAIZEN AGRO S.A.S." u="1"/>
        <s v="RABU INVERSIONES SRL" u="1"/>
        <s v="TRADICION VALORES S.A." u="1"/>
        <s v="INDUSTRIAS VICTOR JURI SOCIEDAD ANONIMA" u="1"/>
        <s v="PORT PLA S.R.L." u="1"/>
        <s v="A.V.M.S. S.R.L." u="1"/>
        <s v="GENERAC TECHNOLOGY MANAGEMENT" u="1"/>
        <s v="LOPEZ LUCIA SOLEDAD" u="1"/>
        <s v="SWISS MEDICAL S A" u="1"/>
        <s v="MASTER DESIGN HOME SRL" u="1"/>
        <s v="GROCAL S.A." u="1"/>
        <s v="Paccioli Group Sociedad Anonima" u="1"/>
        <s v="EMPRESA DISTRIBUIDORA Y COMERC" u="1"/>
        <s v="MAXIMIA SA" u="1"/>
        <s v="TERNIUM ARGENTINA S A" u="1"/>
        <s v="PAYWAY SAU" u="1"/>
        <s v="SORO FISH S.R.L." u="1"/>
        <s v="BUNYAR S.R.L." u="1"/>
        <s v="CONEXION SALUD SRL" u="1"/>
        <s v="AZUL JACARANDA S.A." u="1"/>
        <s v="Clinisgut S.r.l." u="1"/>
        <s v="LEDESMA SOCIEDAD ANONIMA" u="1"/>
        <s v="BAZAR AVENIDA SA" u="1"/>
        <s v="AGUA Y SANEAMIENTOS ARGENTINOS" u="1"/>
        <s v="EVOLUCION SGR" u="1"/>
        <s v="SOUTHAMERICAN TRENDY S.A." u="1"/>
        <s v="CENCOSUD" u="1"/>
        <s v="FRIGORIFICO ENTRERRIANO DE PRODUCTORES AVICOLAS S A" u="1"/>
        <s v="DISTRIBUIDORA MEI S.R.L." u="1"/>
        <s v="MIANI CLARA A Y MIANI ADA CLELIA" u="1"/>
        <s v="PROCESOS INDUSTRIALES METALLO SA" u="1"/>
        <s v="FRIGORIFICO GENERAL PICO S A" u="1"/>
        <s v="DON GUILLERMO S.H." u="1"/>
        <s v="TECPETROL S A" u="1"/>
        <s v="HOPPS S.A" u="1"/>
        <s v="IMPORTADORA SUDAMERICANA S.R.L." u="1"/>
        <s v="POOL SEIS S.A" u="1"/>
        <s v="COOPERATIVA TAMBERA LAS CAÑITAS LIMITADA" u="1"/>
        <s v="CORPORACION COSTA SUR S.A." u="1"/>
        <s v="AKAI ENERGY LED SRL" u="1"/>
        <s v="ITAL ROUEN SA" u="1"/>
        <s v="HIERRO &amp; RUEDA SA" u="1"/>
        <s v="EL GUAYMALLEN SA" u="1"/>
        <s v="MERCOL RAUL ALBERTO Y MERCOL MAURICIO EDUARDO." u="1"/>
        <s v="PORCIMONTE S.A." u="1"/>
        <s v="PAMPA FISH SA" u="1"/>
        <s v="Coqui Import S. R. L." u="1"/>
        <s v="CONDOR GROUP S.R.L." u="1"/>
        <s v="VIMACON S.A." u="1"/>
        <s v="FRAVEGA SACIEI" u="1"/>
        <s v="SOLURED S.R.L." u="1"/>
        <s v="F G SANITARIOS S R L" u="1"/>
        <s v="VELOTEC ARGENTINA S.A." u="1"/>
        <s v="COMPANIA INVERSORA INDUSTRIAL S.A." u="1"/>
        <s v="AGROPRODUCCIONES TORRESI S.R.L." u="1"/>
        <s v="PAN AMERICAN ENERGY, S.L., SUCURSAL ARGENTINA" u="1"/>
        <s v="8 DE JUNIO SA" u="1"/>
        <s v="NUEVAS TIERRAS S.A." u="1"/>
        <s v="JANOS GROUP SRL" u="1"/>
        <s v="PINAS S.R.L." u="1"/>
        <s v="ELECTRO PREMIUM HOME S.R.L." u="1"/>
        <s v="AGRONASAJA SRL" u="1"/>
        <s v="SOLA JUAN DOMINGO" u="1"/>
        <s v="PLASTICOS IPAR S.R.L." u="1"/>
        <s v="BIONEFRO SRL" u="1"/>
        <s v="SYNGENTA AGRO SOCIEDAD ANONIMA" u="1"/>
        <s v="WEATHERFORD INTERNATIONAL DE ARGENTINA SA" u="1"/>
        <s v="NEGOCIOS Y DESARROLLOS INTEGRALES SRL" u="1"/>
        <s v="ALIMENTARIA SAN FRANCISCO S.A." u="1"/>
        <s v="CHAD MEDICINE S.R.L." u="1"/>
        <s v="GESTION INMOBILIARIA DEL NORTE SA" u="1"/>
        <s v="DISPROFARMA SA" u="1"/>
        <s v="MAS USUARIOS SRL" u="1"/>
        <s v="SWAROVSKI ARGENTINA SACEI" u="1"/>
        <s v="BEQUEM S.A." u="1"/>
        <s v="COM &amp; LOG SA" u="1"/>
        <s v="COPALUAN GROUP S. R. L." u="1"/>
        <s v="DIDORON S.A." u="1"/>
        <s v="GEO FLEET" u="1"/>
        <s v="LA ENRAMADA S.R.L." u="1"/>
        <s v="FRONTERA AGROPECUARIA SA" u="1"/>
        <s v="FIGHT FILMS S.A." u="1"/>
        <s v="PTP WARRANT S.A." u="1"/>
        <s v="CHESOLARI MARTIN ENRIQUE" u="1"/>
        <s v="AGROPECUARIA LAGUNA BLANCA S.R.L" u="1"/>
        <s v="FEDABOR SA" u="1"/>
        <s v="OSCDO S.R.L." u="1"/>
        <s v="LATAMBG" u="1"/>
        <s v="ZEBERIO HERMANOS S.A." u="1"/>
        <s v="MECANIZADOS FERRERO S.A.S." u="1"/>
        <s v="URIEL SRL" u="1"/>
        <s v="CONEXA FOODS AGRIBUSINESS S.A." u="1"/>
        <s v="LAVTEL S.R.L." u="1"/>
        <s v="RODECO SRL" u="1"/>
        <s v="HERMON Y CIA - LOGISTICA Y SERVICIOS S.A.S." u="1"/>
        <s v="GERLI AUTOMOTORES S.A." u="1"/>
        <s v="DOSSETTO MARIO DANIEL" u="1"/>
        <s v="CASTELLARO AUTOMOTORES SOCIEDAD DE RESPONSABILIDAD LIMITADA" u="1"/>
        <s v="DEL TURISTA SOCIEDAD ANONIMA COMERCIAL E INDUSTRIAL" u="1"/>
        <s v="AGROINDUSTRIAL COSANIC SRL" u="1"/>
        <s v="MIMA S.R.L." u="1"/>
        <s v="USINA LACTEA EL PUENTE SA" u="1"/>
        <s v="SM AGRO S.A." u="1"/>
        <s v="SIDUS SOCIEDAD ANONIMA" u="1"/>
        <s v="GRUPO AGROS FORMOSA SOCIEDAD ANONIMA" u="1"/>
        <s v="AJU S R L" u="1"/>
        <s v="FITOQUIMICA SA" u="1"/>
        <s v="NAVARRO SA" u="1"/>
        <s v="WISHBONE S.R.L." u="1"/>
        <s v="FARMACIA SUIZA SAN JUAN SCS" u="1"/>
        <s v="FOLIARMAX S.A." u="1"/>
        <s v="GERBAUDO GROSSO AGUSTIN MARCEL" u="1"/>
        <s v="ESCALUM INVESTMENT SA" u="1"/>
        <s v="NATURALMENTE ALIMENTOS S.A." u="1"/>
        <s v="EL LUCERO DE LOURDES SA" u="1"/>
        <s v="REINO CERAMICOS S.A." u="1"/>
        <s v="MAREF S A" u="1"/>
        <s v="GRUAS SAN BLAS S A" u="1"/>
        <s v="OMNICHANNEL S.A." u="1"/>
        <s v="MAQUINAS E INSUMOS S.R.L." u="1"/>
        <s v="UVENTECH S.A." u="1"/>
        <s v="FRIGORIFICO H V S A" u="1"/>
        <s v="SAN PABLO OESTE S.A." u="1"/>
        <s v="BIOBAHIA S.A" u="1"/>
        <s v="PROSIL S. A." u="1"/>
        <s v="BERTOTTO BOGLIONE SA" u="1"/>
        <s v="GLOBAL LOGISTICS GROUP S.A." u="1"/>
        <s v="HOLCIM (ARGENTINA) SA" u="1"/>
        <s v="MASSI HECTOR CRISTIAN" u="1"/>
        <s v="SAMAL AGRO S.A." u="1"/>
        <s v="ASOCIACION MUTUAL DE CONDUCTORES DE AUTOMOTORES" u="1"/>
        <s v="GRAFICA VALMAR SA" u="1"/>
        <s v="PETROLERA EL TREBOL S A" u="1"/>
        <s v="CARLOS J. LANSER S.A." u="1"/>
        <s v="PUBLIC THE CAR.0" u="1"/>
        <s v="BIO RAMALLO SA" u="1"/>
        <s v="ECOSUR BAHIA SOCIEDAD ANONIMA" u="1"/>
        <s v="COARCO SA" u="1"/>
        <s v="NIRO CONSTRUYE S. A." u="1"/>
        <s v="FADICAD S A" u="1"/>
        <s v="MONASTERIO TATTESALL SA" u="1"/>
        <s v="EDGAR E PASTORE Y CIA S R L" u="1"/>
        <s v="ANDERSCH INGENIERIA SRL" u="1"/>
        <s v="GANADERA GRANADA S.A." u="1"/>
        <s v="RAFAEL G ALBANESI SOCIEDAD ANONIMA" u="1"/>
        <s v="A R Y E S SOC DE RESP LIM" u="1"/>
        <s v="OSCAP" u="1"/>
        <s v="CNC MAT" u="1"/>
        <s v="CRUZ BLANCA DEL SUR (LANUS) S.R.L." u="1"/>
        <s v="CALICO S A" u="1"/>
        <s v="U B ASISTENCIAL S.A" u="1"/>
        <s v="DARWASH S A" u="1"/>
        <s v="NEGOCIOS DE HACIENDA" u="1"/>
        <s v="CELULOSA ARGENTINA SA" u="1"/>
        <s v="FCO AGROGANADERA S.R.L." u="1"/>
        <s v="MARTIN G LALOR" u="1"/>
        <s v="INTERMACO S R L" u="1"/>
        <s v="IVECOR S.A." u="1"/>
        <s v="UKUMARI SOCIEDAD ANONIMA." u="1"/>
        <s v="GARANTIZAR SGR" u="1"/>
        <s v="FRESENIUS MEDICAL CARE ARGENTINA SA" u="1"/>
        <s v="COMPAÑIA DE ALIMENTOS FARGO SA" u="1"/>
        <s v="APR ENERGY S.R.L." u="1"/>
        <s v="FARMACIA LA NOBLEZA S C S" u="1"/>
      </sharedItems>
    </cacheField>
    <cacheField name="Descripción" numFmtId="0">
      <sharedItems containsBlank="1"/>
    </cacheField>
    <cacheField name="Fecha de Vencimiento" numFmtId="0">
      <sharedItems containsNonDate="0" containsDate="1" containsString="0" containsBlank="1" minDate="2026-06-08T00:00:00" maxDate="2028-07-28T00:00:00"/>
    </cacheField>
    <cacheField name="Fecha" numFmtId="0">
      <sharedItems containsBlank="1"/>
    </cacheField>
    <cacheField name="Precio" numFmtId="0">
      <sharedItems containsString="0" containsBlank="1" containsNumber="1" minValue="0.82392927000000005" maxValue="1"/>
    </cacheField>
    <cacheField name="Tipo de Cambio (Cheque/Fondo)" numFmtId="0">
      <sharedItems containsBlank="1"/>
    </cacheField>
    <cacheField name="Importe Nominal" numFmtId="0">
      <sharedItems containsString="0" containsBlank="1" containsNumber="1" minValue="13904" maxValue="1500000000"/>
    </cacheField>
    <cacheField name="Importe Actual" numFmtId="0">
      <sharedItems containsString="0" containsBlank="1" containsNumber="1" minValue="13069.7" maxValue="1480530140.55"/>
    </cacheField>
    <cacheField name="Importe Nominal2" numFmtId="0">
      <sharedItems containsString="0" containsBlank="1" containsNumber="1" minValue="84170.31" maxValue="1500000000"/>
    </cacheField>
    <cacheField name="Importe Actual2" numFmtId="0">
      <sharedItems containsString="0" containsBlank="1" containsNumber="1" minValue="81543.08" maxValue="1480530140.55"/>
    </cacheField>
    <cacheField name="Nro. de Operación" numFmtId="0">
      <sharedItems containsString="0" containsBlank="1" containsNumber="1" containsInteger="1" minValue="1" maxValue="98808325"/>
    </cacheField>
    <cacheField name="Nombre" numFmtId="0">
      <sharedItems containsBlank="1"/>
    </cacheField>
    <cacheField name="Agente" numFmtId="0">
      <sharedItems containsBlank="1"/>
    </cacheField>
    <cacheField name="Fecha Concertación" numFmtId="0">
      <sharedItems containsBlank="1"/>
    </cacheField>
    <cacheField name="Fecha Liquidación" numFmtId="0">
      <sharedItems containsBlank="1"/>
    </cacheField>
    <cacheField name="Tasa de Descuento" numFmtId="0">
      <sharedItems containsString="0" containsBlank="1" containsNumber="1" minValue="7" maxValue="78"/>
    </cacheField>
    <cacheField name="Vendido" numFmtId="0">
      <sharedItems containsBlank="1"/>
    </cacheField>
    <cacheField name="Nro. de Operación2" numFmtId="0">
      <sharedItems containsBlank="1"/>
    </cacheField>
    <cacheField name="Fecha Concertación2" numFmtId="0">
      <sharedItems containsNonDate="0" containsString="0" containsBlank="1"/>
    </cacheField>
    <cacheField name="Fecha Liquidación2" numFmtId="0">
      <sharedItems containsNonDate="0" containsString="0" containsBlank="1"/>
    </cacheField>
    <cacheField name="Abreviatura" numFmtId="0">
      <sharedItems containsBlank="1"/>
    </cacheField>
    <cacheField name="Código CAFCI" numFmtId="0">
      <sharedItems containsBlank="1"/>
    </cacheField>
    <cacheField name="%" numFmtId="10">
      <sharedItems containsString="0" containsBlank="1" containsNumber="1" minValue="1.831735550659636E-6" maxValue="3.3257753965983898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62">
  <r>
    <x v="0"/>
    <s v="Pesos"/>
    <d v="2026-07-22T00:00:00"/>
    <s v="08/06/2026"/>
    <n v="0.96285768000000005"/>
    <m/>
    <n v="5188161.21"/>
    <n v="4995460.84"/>
    <n v="5188161.21"/>
    <n v="4995460.84"/>
    <n v="6570"/>
    <s v="AMOMPY"/>
    <s v="Momentum Capital Investment S.A."/>
    <s v="04/06/2026"/>
    <s v="04/06/2026"/>
    <n v="32"/>
    <s v="No"/>
    <s v=""/>
    <m/>
    <m/>
    <s v="*MAV200701329"/>
    <s v="*MAV200701329"/>
    <n v="1.122150795941979E-4"/>
  </r>
  <r>
    <x v="1"/>
    <s v="Pesos"/>
    <d v="2026-08-07T00:00:00"/>
    <s v="08/06/2026"/>
    <n v="0.95002615000000001"/>
    <m/>
    <n v="3847875.41"/>
    <n v="3655582.28"/>
    <n v="3847875.41"/>
    <n v="3655582.28"/>
    <n v="844"/>
    <s v="AMOMPY"/>
    <s v="Momentum Capital Investment S.A."/>
    <s v="04/06/2026"/>
    <s v="04/06/2026"/>
    <n v="32"/>
    <s v="No"/>
    <s v=""/>
    <m/>
    <m/>
    <s v="*MAV050801292"/>
    <s v="*MAV050801292"/>
    <n v="8.2116839597393276E-5"/>
  </r>
  <r>
    <x v="2"/>
    <s v="Pesos"/>
    <d v="2026-08-07T00:00:00"/>
    <s v="08/06/2026"/>
    <n v="0.95002615000000001"/>
    <m/>
    <n v="3300000"/>
    <n v="3135086.31"/>
    <n v="3300000"/>
    <n v="3135086.31"/>
    <n v="13647454"/>
    <s v="AMOMPY"/>
    <s v="Momentum Capital Investment S.A."/>
    <s v="04/06/2026"/>
    <s v="04/06/2026"/>
    <n v="32"/>
    <s v="No"/>
    <s v=""/>
    <m/>
    <m/>
    <s v="*MAV050801293"/>
    <s v="*MAV050801293"/>
    <n v="7.0424725781922099E-5"/>
  </r>
  <r>
    <x v="2"/>
    <s v="Pesos"/>
    <d v="2026-08-12T00:00:00"/>
    <s v="08/06/2026"/>
    <n v="0.94608608000000005"/>
    <m/>
    <n v="3300000"/>
    <n v="3122084.07"/>
    <n v="3300000"/>
    <n v="3122084.07"/>
    <n v="13647455"/>
    <s v="AMOMPY"/>
    <s v="Momentum Capital Investment S.A."/>
    <s v="04/06/2026"/>
    <s v="04/06/2026"/>
    <n v="32"/>
    <s v="No"/>
    <s v=""/>
    <m/>
    <m/>
    <s v="*MAV100801178"/>
    <s v="*MAV100801178"/>
    <n v="7.0132651147922391E-5"/>
  </r>
  <r>
    <x v="2"/>
    <s v="Pesos"/>
    <d v="2026-08-18T00:00:00"/>
    <s v="08/06/2026"/>
    <n v="0.94140113000000003"/>
    <m/>
    <n v="3300000"/>
    <n v="3106623.74"/>
    <n v="3300000"/>
    <n v="3106623.74"/>
    <n v="13647456"/>
    <s v="AMOMPY"/>
    <s v="Momentum Capital Investment S.A."/>
    <s v="04/06/2026"/>
    <s v="04/06/2026"/>
    <n v="32"/>
    <s v="No"/>
    <s v=""/>
    <m/>
    <m/>
    <s v="*MAV130801054"/>
    <s v="*MAV130801054"/>
    <n v="6.9785359433089829E-5"/>
  </r>
  <r>
    <x v="2"/>
    <s v="Pesos"/>
    <d v="2026-08-21T00:00:00"/>
    <s v="08/06/2026"/>
    <n v="0.93907600999999996"/>
    <m/>
    <n v="3090647.25"/>
    <n v="2902352.7"/>
    <n v="3090647.25"/>
    <n v="2902352.7"/>
    <n v="13647457"/>
    <s v="AMOMPY"/>
    <s v="Momentum Capital Investment S.A."/>
    <s v="04/06/2026"/>
    <s v="04/06/2026"/>
    <n v="32"/>
    <s v="No"/>
    <s v=""/>
    <m/>
    <m/>
    <s v="*MAV190801238"/>
    <s v="*MAV190801238"/>
    <n v="6.5196735530997617E-5"/>
  </r>
  <r>
    <x v="3"/>
    <s v="Pesos"/>
    <d v="2026-07-22T00:00:00"/>
    <s v="08/06/2026"/>
    <n v="0.96285768000000005"/>
    <m/>
    <n v="1050000"/>
    <n v="1011000.56"/>
    <n v="1050000"/>
    <n v="1011000.56"/>
    <n v="3467332"/>
    <s v="AMOMPY"/>
    <s v="Momentum Capital Investment S.A."/>
    <s v="04/06/2026"/>
    <s v="04/06/2026"/>
    <n v="32"/>
    <s v="No"/>
    <s v=""/>
    <m/>
    <m/>
    <s v="*MAV200701327"/>
    <s v="*MAV200701327"/>
    <n v="2.2710518997918651E-5"/>
  </r>
  <r>
    <x v="3"/>
    <s v="Pesos"/>
    <d v="2026-07-28T00:00:00"/>
    <s v="08/06/2026"/>
    <n v="0.95800529999999995"/>
    <m/>
    <n v="1062257.1599999999"/>
    <n v="1017647.99"/>
    <n v="1062257.1599999999"/>
    <n v="1017647.99"/>
    <n v="3467336"/>
    <s v="AMOMPY"/>
    <s v="Momentum Capital Investment S.A."/>
    <s v="04/06/2026"/>
    <s v="04/06/2026"/>
    <n v="32"/>
    <s v="No"/>
    <s v=""/>
    <m/>
    <m/>
    <s v="*MAV240701358"/>
    <s v="*MAV240701358"/>
    <n v="2.2859842936277629E-5"/>
  </r>
  <r>
    <x v="3"/>
    <s v="Pesos"/>
    <d v="2026-07-29T00:00:00"/>
    <s v="08/06/2026"/>
    <n v="0.95720156000000001"/>
    <m/>
    <n v="1050000"/>
    <n v="1005061.63"/>
    <n v="1050000"/>
    <n v="1005061.63"/>
    <n v="3467334"/>
    <s v="AMOMPY"/>
    <s v="Momentum Capital Investment S.A."/>
    <s v="04/06/2026"/>
    <s v="04/06/2026"/>
    <n v="32"/>
    <s v="No"/>
    <s v=""/>
    <m/>
    <m/>
    <s v="*MAV270701080"/>
    <s v="*MAV270701080"/>
    <n v="2.2577110384779694E-5"/>
  </r>
  <r>
    <x v="4"/>
    <s v="Pesos"/>
    <d v="2026-08-04T00:00:00"/>
    <s v="08/06/2026"/>
    <n v="0.95240588000000004"/>
    <m/>
    <n v="2000000"/>
    <n v="1904811.76"/>
    <n v="2000000"/>
    <n v="1904811.76"/>
    <n v="1227536"/>
    <s v="AMOMPY"/>
    <s v="Momentum Capital Investment S.A."/>
    <s v="04/06/2026"/>
    <s v="04/06/2026"/>
    <n v="32"/>
    <s v="No"/>
    <s v=""/>
    <m/>
    <m/>
    <s v="*MAV310701662"/>
    <s v="*MAV310701662"/>
    <n v="4.2788565481050634E-5"/>
  </r>
  <r>
    <x v="5"/>
    <s v="Pesos"/>
    <d v="2026-08-05T00:00:00"/>
    <s v="08/06/2026"/>
    <n v="0.95161121999999998"/>
    <m/>
    <n v="2046492.39"/>
    <n v="1947465.13"/>
    <n v="2046492.39"/>
    <n v="1947465.13"/>
    <n v="12864393"/>
    <s v="AMOMPY"/>
    <s v="Momentum Capital Investment S.A."/>
    <s v="04/06/2026"/>
    <s v="04/06/2026"/>
    <n v="32"/>
    <s v="No"/>
    <s v=""/>
    <m/>
    <m/>
    <s v="*MAV030800940"/>
    <s v="*MAV030800940"/>
    <n v="4.3746705573188909E-5"/>
  </r>
  <r>
    <x v="6"/>
    <s v="Pesos"/>
    <d v="2026-07-22T00:00:00"/>
    <s v="08/06/2026"/>
    <n v="0.96285767"/>
    <m/>
    <n v="1982063.64"/>
    <n v="1908445.19"/>
    <n v="1982063.64"/>
    <n v="1908445.19"/>
    <n v="11265545"/>
    <s v="AMOMPY"/>
    <s v="Momentum Capital Investment S.A."/>
    <s v="04/06/2026"/>
    <s v="04/06/2026"/>
    <n v="32"/>
    <s v="No"/>
    <s v=""/>
    <m/>
    <m/>
    <s v="*MAV200701328"/>
    <s v="*MAV200701328"/>
    <n v="4.2870184704923869E-5"/>
  </r>
  <r>
    <x v="7"/>
    <s v="Pesos"/>
    <d v="2026-09-23T00:00:00"/>
    <s v="08/06/2026"/>
    <n v="0.91423728000000004"/>
    <m/>
    <n v="10000000"/>
    <n v="9142372.7599999998"/>
    <n v="10000000"/>
    <n v="9142372.7599999998"/>
    <n v="67448971"/>
    <s v="AMOMPY"/>
    <s v="Momentum Capital Investment S.A."/>
    <s v="05/06/2026"/>
    <s v="05/06/2026"/>
    <n v="32"/>
    <s v="No"/>
    <s v=""/>
    <m/>
    <m/>
    <s v="*MAV210900809"/>
    <s v="*MAV210900809"/>
    <n v="2.0536885780956832E-4"/>
  </r>
  <r>
    <x v="7"/>
    <s v="Pesos"/>
    <d v="2026-11-17T00:00:00"/>
    <s v="08/06/2026"/>
    <n v="0.87563592999999995"/>
    <m/>
    <n v="15000000"/>
    <n v="13134538.890000001"/>
    <n v="15000000"/>
    <n v="13134538.890000001"/>
    <n v="67449055"/>
    <s v="AMOMPY"/>
    <s v="Momentum Capital Investment S.A."/>
    <s v="05/06/2026"/>
    <s v="05/06/2026"/>
    <n v="32"/>
    <s v="No"/>
    <s v=""/>
    <m/>
    <m/>
    <s v="*MAV131101027"/>
    <s v="*MAV131101027"/>
    <n v="2.9504651806547602E-4"/>
  </r>
  <r>
    <x v="7"/>
    <s v="Pesos"/>
    <d v="2026-09-22T00:00:00"/>
    <s v="08/06/2026"/>
    <n v="0.91497046000000004"/>
    <m/>
    <n v="10000000"/>
    <n v="9149704.5700000003"/>
    <n v="10000000"/>
    <n v="9149704.5700000003"/>
    <n v="67448929"/>
    <s v="AMOMPY"/>
    <s v="Momentum Capital Investment S.A."/>
    <s v="05/06/2026"/>
    <s v="05/06/2026"/>
    <n v="32"/>
    <s v="No"/>
    <s v=""/>
    <m/>
    <m/>
    <s v="*MAV180901040"/>
    <s v="*MAV180901040"/>
    <n v="2.055335552557242E-4"/>
  </r>
  <r>
    <x v="7"/>
    <s v="Pesos"/>
    <d v="2026-10-29T00:00:00"/>
    <s v="08/06/2026"/>
    <n v="0.88859675000000005"/>
    <m/>
    <n v="15000000"/>
    <n v="13328951.210000001"/>
    <n v="15000000"/>
    <n v="13328951.210000001"/>
    <n v="67448999"/>
    <s v="AMOMPY"/>
    <s v="Momentum Capital Investment S.A."/>
    <s v="05/06/2026"/>
    <s v="05/06/2026"/>
    <n v="32"/>
    <s v="No"/>
    <s v=""/>
    <m/>
    <m/>
    <s v="*MAV271001273"/>
    <s v="*MAV271001273"/>
    <n v="2.9941368150877758E-4"/>
  </r>
  <r>
    <x v="8"/>
    <s v="Pesos"/>
    <d v="2026-07-15T00:00:00"/>
    <s v="08/06/2026"/>
    <n v="0.96763082"/>
    <m/>
    <n v="50000000"/>
    <n v="48381541.030000001"/>
    <n v="50000000"/>
    <n v="48381541.030000001"/>
    <n v="4526"/>
    <s v="AMOMPY"/>
    <s v="Momentum Capital Investment S.A."/>
    <s v="20/04/2026"/>
    <s v="20/04/2026"/>
    <n v="33"/>
    <s v="No"/>
    <s v=""/>
    <m/>
    <m/>
    <s v="*MAV100701387"/>
    <s v="*MAV100701387"/>
    <n v="1.0868143403505095E-3"/>
  </r>
  <r>
    <x v="8"/>
    <s v="Pesos"/>
    <d v="2026-06-25T00:00:00"/>
    <s v="08/06/2026"/>
    <n v="0.98486286999999995"/>
    <m/>
    <n v="50000000"/>
    <n v="49243143.460000001"/>
    <n v="50000000"/>
    <n v="49243143.460000001"/>
    <n v="4524"/>
    <s v="AMOMPY"/>
    <s v="Momentum Capital Investment S.A."/>
    <s v="20/04/2026"/>
    <s v="20/04/2026"/>
    <n v="33"/>
    <s v="No"/>
    <s v=""/>
    <m/>
    <m/>
    <s v="*MAV230601370"/>
    <s v="*MAV230601370"/>
    <n v="1.106168868062312E-3"/>
  </r>
  <r>
    <x v="8"/>
    <s v="Pesos"/>
    <d v="2026-08-10T00:00:00"/>
    <s v="08/06/2026"/>
    <n v="0.94765820000000001"/>
    <m/>
    <n v="50000000"/>
    <n v="47382909.759999998"/>
    <n v="50000000"/>
    <n v="47382909.759999998"/>
    <n v="4578"/>
    <s v="AMOMPY"/>
    <s v="Momentum Capital Investment S.A."/>
    <s v="05/05/2026"/>
    <s v="05/05/2026"/>
    <n v="32"/>
    <s v="No"/>
    <s v=""/>
    <m/>
    <m/>
    <s v="*MAV060800872"/>
    <s v="*MAV060800872"/>
    <n v="1.0643816777719144E-3"/>
  </r>
  <r>
    <x v="8"/>
    <s v="Pesos"/>
    <d v="2026-08-11T00:00:00"/>
    <s v="08/06/2026"/>
    <n v="0.94687144999999995"/>
    <m/>
    <n v="50000000"/>
    <n v="47343572.359999999"/>
    <n v="50000000"/>
    <n v="47343572.359999999"/>
    <n v="4636"/>
    <s v="AMOMPY"/>
    <s v="Momentum Capital Investment S.A."/>
    <s v="12/05/2026"/>
    <s v="12/05/2026"/>
    <n v="32"/>
    <s v="No"/>
    <s v=""/>
    <m/>
    <m/>
    <s v="*MAV070801075"/>
    <s v="*MAV070801075"/>
    <n v="1.0634980256698536E-3"/>
  </r>
  <r>
    <x v="8"/>
    <s v="Pesos"/>
    <d v="2026-08-13T00:00:00"/>
    <s v="08/06/2026"/>
    <n v="0.94530208000000004"/>
    <m/>
    <n v="50000000"/>
    <n v="47265104.189999998"/>
    <n v="50000000"/>
    <n v="47265104.189999998"/>
    <n v="4633"/>
    <s v="AMOMPY"/>
    <s v="Momentum Capital Investment S.A."/>
    <s v="12/05/2026"/>
    <s v="12/05/2026"/>
    <n v="32"/>
    <s v="No"/>
    <s v=""/>
    <m/>
    <m/>
    <s v="*MAV110801326"/>
    <s v="*MAV110801326"/>
    <n v="1.0617353630799169E-3"/>
  </r>
  <r>
    <x v="8"/>
    <s v="Pesos"/>
    <d v="2026-08-12T00:00:00"/>
    <s v="08/06/2026"/>
    <n v="0.94608627000000001"/>
    <m/>
    <n v="50000000"/>
    <n v="47304313.670000002"/>
    <n v="50000000"/>
    <n v="47304313.670000002"/>
    <n v="4678"/>
    <s v="AMOMPY"/>
    <s v="Momentum Capital Investment S.A."/>
    <s v="20/05/2026"/>
    <s v="20/05/2026"/>
    <n v="32"/>
    <s v="No"/>
    <s v=""/>
    <m/>
    <m/>
    <s v="*MAV090800990"/>
    <s v="*MAV090800990"/>
    <n v="1.0626161416627089E-3"/>
  </r>
  <r>
    <x v="8"/>
    <s v="Pesos"/>
    <d v="2026-09-10T00:00:00"/>
    <s v="08/06/2026"/>
    <n v="0.92386356000000003"/>
    <m/>
    <n v="50000000"/>
    <n v="46193178.049999997"/>
    <n v="50000000"/>
    <n v="46193178.049999997"/>
    <n v="4774"/>
    <s v="AMOMPY"/>
    <s v="Momentum Capital Investment S.A."/>
    <s v="04/06/2026"/>
    <s v="04/06/2026"/>
    <n v="32"/>
    <s v="No"/>
    <s v=""/>
    <m/>
    <m/>
    <s v="*MAV080901170"/>
    <s v="*MAV080901170"/>
    <n v="1.0376562478647527E-3"/>
  </r>
  <r>
    <x v="8"/>
    <s v="Pesos"/>
    <d v="2026-09-17T00:00:00"/>
    <s v="08/06/2026"/>
    <n v="0.91865505000000003"/>
    <m/>
    <n v="50000000"/>
    <n v="45932752.460000001"/>
    <n v="50000000"/>
    <n v="45932752.460000001"/>
    <n v="4775"/>
    <s v="AMOMPY"/>
    <s v="Momentum Capital Investment S.A."/>
    <s v="04/06/2026"/>
    <s v="04/06/2026"/>
    <n v="32"/>
    <s v="No"/>
    <s v=""/>
    <m/>
    <m/>
    <s v="*MAV150901542"/>
    <s v="*MAV150901542"/>
    <n v="1.0318062013432759E-3"/>
  </r>
  <r>
    <x v="9"/>
    <s v="Pesos"/>
    <d v="2026-06-26T00:00:00"/>
    <s v="08/06/2026"/>
    <n v="0.97923494"/>
    <m/>
    <n v="15000000"/>
    <n v="14688524.130000001"/>
    <n v="15000000"/>
    <n v="14688524.130000001"/>
    <n v="16771103"/>
    <s v="AMOMPY"/>
    <s v="Momentum Capital Investment S.A."/>
    <s v="24/04/2026"/>
    <s v="24/04/2026"/>
    <n v="43"/>
    <s v="No"/>
    <s v=""/>
    <m/>
    <m/>
    <s v="*MAV240601239"/>
    <s v="*MAV240601239"/>
    <n v="3.2995432396768556E-4"/>
  </r>
  <r>
    <x v="9"/>
    <s v="Pesos"/>
    <d v="2026-06-29T00:00:00"/>
    <s v="08/06/2026"/>
    <n v="0.97585767000000001"/>
    <m/>
    <n v="15000000"/>
    <n v="14637865.07"/>
    <n v="15000000"/>
    <n v="14637865.07"/>
    <n v="16771105"/>
    <s v="AMOMPY"/>
    <s v="Momentum Capital Investment S.A."/>
    <s v="24/04/2026"/>
    <s v="24/04/2026"/>
    <n v="43"/>
    <s v="No"/>
    <s v=""/>
    <m/>
    <m/>
    <s v="*MAV250601115"/>
    <s v="*MAV250601115"/>
    <n v="3.2881634878738824E-4"/>
  </r>
  <r>
    <x v="9"/>
    <s v="Pesos"/>
    <d v="2026-07-02T00:00:00"/>
    <s v="08/06/2026"/>
    <n v="0.97312580000000004"/>
    <m/>
    <n v="15000000"/>
    <n v="14596887.029999999"/>
    <n v="15000000"/>
    <n v="14596887.029999999"/>
    <n v="16771113"/>
    <s v="AMOMPY"/>
    <s v="Momentum Capital Investment S.A."/>
    <s v="29/04/2026"/>
    <s v="29/04/2026"/>
    <n v="42"/>
    <s v="No"/>
    <s v=""/>
    <m/>
    <m/>
    <s v="*MAV300602100"/>
    <s v="*MAV300602100"/>
    <n v="3.2789584231811633E-4"/>
  </r>
  <r>
    <x v="9"/>
    <s v="Pesos"/>
    <d v="2026-07-01T00:00:00"/>
    <s v="08/06/2026"/>
    <n v="0.97421672999999998"/>
    <m/>
    <n v="15000000"/>
    <n v="14613250.960000001"/>
    <n v="15000000"/>
    <n v="14613250.960000001"/>
    <n v="16771112"/>
    <s v="AMOMPY"/>
    <s v="Momentum Capital Investment S.A."/>
    <s v="29/04/2026"/>
    <s v="29/04/2026"/>
    <n v="42"/>
    <s v="No"/>
    <s v=""/>
    <m/>
    <m/>
    <s v="*MAV290600827"/>
    <s v="*MAV290600827"/>
    <n v="3.2826343196924935E-4"/>
  </r>
  <r>
    <x v="10"/>
    <s v="Pesos"/>
    <d v="2026-08-14T00:00:00"/>
    <s v="08/06/2026"/>
    <n v="0.93963207999999998"/>
    <m/>
    <n v="100000000"/>
    <n v="93963207.930000007"/>
    <n v="100000000"/>
    <n v="93963207.930000007"/>
    <n v="2763"/>
    <s v="AMOMPY"/>
    <s v="Momentum Capital Investment S.A."/>
    <s v="18/05/2026"/>
    <s v="18/05/2026"/>
    <n v="35"/>
    <s v="No"/>
    <s v=""/>
    <m/>
    <m/>
    <s v="*MAV120801558"/>
    <s v="*MAV120801558"/>
    <n v="2.1107339631934977E-3"/>
  </r>
  <r>
    <x v="10"/>
    <s v="Pesos"/>
    <d v="2026-08-07T00:00:00"/>
    <s v="08/06/2026"/>
    <n v="0.94120685000000004"/>
    <m/>
    <n v="100000000"/>
    <n v="94120684.549999997"/>
    <n v="100000000"/>
    <n v="94120684.549999997"/>
    <n v="2598"/>
    <s v="AMOMPY"/>
    <s v="Momentum Capital Investment S.A."/>
    <s v="13/04/2026"/>
    <s v="13/04/2026"/>
    <n v="38"/>
    <s v="No"/>
    <s v=""/>
    <m/>
    <m/>
    <s v="*MAV050801102"/>
    <s v="*MAV050801102"/>
    <n v="2.1142714249039419E-3"/>
  </r>
  <r>
    <x v="10"/>
    <s v="Pesos"/>
    <d v="2026-07-15T00:00:00"/>
    <s v="08/06/2026"/>
    <n v="0.96290832000000004"/>
    <m/>
    <n v="100000000"/>
    <n v="96290832"/>
    <n v="100000000"/>
    <n v="96290832"/>
    <n v="2597"/>
    <s v="AMOMPY"/>
    <s v="Momentum Capital Investment S.A."/>
    <s v="13/04/2026"/>
    <s v="13/04/2026"/>
    <n v="38"/>
    <s v="No"/>
    <s v=""/>
    <m/>
    <m/>
    <s v="*MAV130700971"/>
    <s v="*MAV130700971"/>
    <n v="2.1630203344906091E-3"/>
  </r>
  <r>
    <x v="10"/>
    <s v="Pesos"/>
    <d v="2026-07-01T00:00:00"/>
    <s v="08/06/2026"/>
    <n v="0.97661485999999997"/>
    <m/>
    <n v="50000000"/>
    <n v="48830742.850000001"/>
    <n v="50000000"/>
    <n v="48830742.850000001"/>
    <n v="2609"/>
    <s v="AMOMPY"/>
    <s v="Momentum Capital Investment S.A."/>
    <s v="22/04/2026"/>
    <s v="22/04/2026"/>
    <n v="38"/>
    <s v="No"/>
    <s v=""/>
    <m/>
    <m/>
    <s v="*MAV290600787"/>
    <s v="*MAV290600787"/>
    <n v="1.0969049445209065E-3"/>
  </r>
  <r>
    <x v="10"/>
    <s v="Pesos"/>
    <d v="2026-06-12T00:00:00"/>
    <s v="08/06/2026"/>
    <n v="0.99585288999999999"/>
    <m/>
    <n v="50000000"/>
    <n v="49792644.340000004"/>
    <n v="50000000"/>
    <n v="49792644.340000004"/>
    <n v="2422"/>
    <s v="AMOMPY"/>
    <s v="Momentum Capital Investment S.A."/>
    <s v="31/03/2026"/>
    <s v="31/03/2026"/>
    <n v="38"/>
    <s v="No"/>
    <s v=""/>
    <m/>
    <m/>
    <s v="*MAV100601462"/>
    <s v="*MAV100601462"/>
    <n v="1.1185125310318093E-3"/>
  </r>
  <r>
    <x v="10"/>
    <s v="Pesos"/>
    <d v="2026-06-19T00:00:00"/>
    <s v="08/06/2026"/>
    <n v="0.98867760999999998"/>
    <m/>
    <n v="50000000"/>
    <n v="49433880.700000003"/>
    <n v="50000000"/>
    <n v="49433880.700000003"/>
    <n v="2423"/>
    <s v="AMOMPY"/>
    <s v="Momentum Capital Investment S.A."/>
    <s v="31/03/2026"/>
    <s v="31/03/2026"/>
    <n v="38"/>
    <s v="No"/>
    <s v=""/>
    <m/>
    <m/>
    <s v="*MAV170601089"/>
    <s v="*MAV170601089"/>
    <n v="1.1104534766807588E-3"/>
  </r>
  <r>
    <x v="10"/>
    <s v="Pesos"/>
    <d v="2026-09-02T00:00:00"/>
    <s v="08/06/2026"/>
    <n v="0.92785603999999999"/>
    <m/>
    <n v="50000000"/>
    <n v="46392801.770000003"/>
    <n v="50000000"/>
    <n v="46392801.770000003"/>
    <n v="2834"/>
    <s v="AMOMPY"/>
    <s v="Momentum Capital Investment S.A."/>
    <s v="03/06/2026"/>
    <s v="03/06/2026"/>
    <n v="33"/>
    <s v="No"/>
    <s v=""/>
    <m/>
    <m/>
    <s v="*MAV310801247"/>
    <s v="*MAV310801247"/>
    <n v="1.0421404771173016E-3"/>
  </r>
  <r>
    <x v="11"/>
    <s v="Pesos"/>
    <d v="2026-06-22T00:00:00"/>
    <s v="08/06/2026"/>
    <n v="0.98488938999999998"/>
    <m/>
    <n v="50000000"/>
    <n v="49244469.719999999"/>
    <n v="50000000"/>
    <n v="49244469.719999999"/>
    <n v="66452109"/>
    <s v="AMOMPY"/>
    <s v="Momentum Capital Investment S.A."/>
    <s v="22/04/2026"/>
    <s v="22/04/2026"/>
    <n v="40"/>
    <s v="No"/>
    <s v=""/>
    <m/>
    <m/>
    <s v="*MAV180601074"/>
    <s v="*MAV180601074"/>
    <n v="1.1061986603830266E-3"/>
  </r>
  <r>
    <x v="11"/>
    <s v="Pesos"/>
    <d v="2026-07-14T00:00:00"/>
    <s v="08/06/2026"/>
    <n v="0.96571066999999999"/>
    <m/>
    <n v="90000000"/>
    <n v="86913960.230000004"/>
    <n v="90000000"/>
    <n v="86913960.230000004"/>
    <n v="67385286"/>
    <s v="AMOMPY"/>
    <s v="Momentum Capital Investment S.A."/>
    <s v="04/06/2026"/>
    <s v="04/06/2026"/>
    <n v="36"/>
    <s v="No"/>
    <s v=""/>
    <m/>
    <m/>
    <s v="*MAV080701502"/>
    <s v="*MAV080701502"/>
    <n v="1.9523838295280084E-3"/>
  </r>
  <r>
    <x v="11"/>
    <s v="Pesos"/>
    <d v="2026-07-14T00:00:00"/>
    <s v="08/06/2026"/>
    <n v="0.96571066999999999"/>
    <m/>
    <n v="210000000"/>
    <n v="202799240.53"/>
    <n v="210000000"/>
    <n v="202799240.53"/>
    <n v="67385228"/>
    <s v="AMOMPY"/>
    <s v="Momentum Capital Investment S.A."/>
    <s v="04/06/2026"/>
    <s v="04/06/2026"/>
    <n v="36"/>
    <s v="No"/>
    <s v=""/>
    <m/>
    <m/>
    <s v="*MAV080701503"/>
    <s v="*MAV080701503"/>
    <n v="4.5555622687489302E-3"/>
  </r>
  <r>
    <x v="11"/>
    <s v="Pesos"/>
    <d v="2026-07-22T00:00:00"/>
    <s v="08/06/2026"/>
    <n v="0.95619836000000002"/>
    <m/>
    <n v="50000000"/>
    <n v="47809918.149999999"/>
    <n v="50000000"/>
    <n v="47809918.149999999"/>
    <n v="67105505"/>
    <s v="AMOMPY"/>
    <s v="Momentum Capital Investment S.A."/>
    <s v="26/05/2026"/>
    <s v="26/05/2026"/>
    <n v="38"/>
    <s v="No"/>
    <s v=""/>
    <m/>
    <m/>
    <s v="*MAV200701243"/>
    <s v="*MAV200701243"/>
    <n v="1.0739737418488777E-3"/>
  </r>
  <r>
    <x v="11"/>
    <s v="Pesos"/>
    <d v="2026-08-24T00:00:00"/>
    <s v="08/06/2026"/>
    <n v="0.92578510999999997"/>
    <m/>
    <n v="50000000"/>
    <n v="46289255.539999999"/>
    <n v="50000000"/>
    <n v="46289255.539999999"/>
    <n v="67105677"/>
    <s v="AMOMPY"/>
    <s v="Momentum Capital Investment S.A."/>
    <s v="26/05/2026"/>
    <s v="26/05/2026"/>
    <n v="38"/>
    <s v="No"/>
    <s v=""/>
    <m/>
    <m/>
    <s v="*MAV200801263"/>
    <s v="*MAV200801263"/>
    <n v="1.0398144758106574E-3"/>
  </r>
  <r>
    <x v="11"/>
    <s v="Pesos"/>
    <d v="2026-06-23T00:00:00"/>
    <s v="08/06/2026"/>
    <n v="0.98542127000000002"/>
    <m/>
    <n v="400000000"/>
    <n v="394168508.83999997"/>
    <n v="400000000"/>
    <n v="394168508.83999997"/>
    <n v="67040144"/>
    <s v="AMOMPY"/>
    <s v="Momentum Capital Investment S.A."/>
    <s v="20/05/2026"/>
    <s v="20/05/2026"/>
    <n v="36"/>
    <s v="No"/>
    <s v=""/>
    <m/>
    <m/>
    <s v="*MAV190601287"/>
    <s v="*MAV190601287"/>
    <n v="8.854368397572485E-3"/>
  </r>
  <r>
    <x v="12"/>
    <s v="Pesos"/>
    <d v="2026-07-21T00:00:00"/>
    <s v="08/06/2026"/>
    <n v="0.96257824000000003"/>
    <m/>
    <n v="1583767.68"/>
    <n v="1524500.31"/>
    <n v="1583767.68"/>
    <n v="1524500.31"/>
    <n v="90015591"/>
    <s v="AMOMPY"/>
    <s v="Momentum Capital Investment S.A."/>
    <s v="29/05/2026"/>
    <s v="29/05/2026"/>
    <n v="33"/>
    <s v="No"/>
    <s v=""/>
    <m/>
    <m/>
    <s v="*MAV170701735"/>
    <s v="*MAV170701735"/>
    <n v="3.4245473862633541E-5"/>
  </r>
  <r>
    <x v="12"/>
    <s v="Pesos"/>
    <d v="2026-07-16T00:00:00"/>
    <s v="08/06/2026"/>
    <n v="0.96678518000000002"/>
    <m/>
    <n v="1918075.9"/>
    <n v="1854367.36"/>
    <n v="1918075.9"/>
    <n v="1854367.36"/>
    <n v="90015592"/>
    <s v="AMOMPY"/>
    <s v="Momentum Capital Investment S.A."/>
    <s v="29/05/2026"/>
    <s v="29/05/2026"/>
    <n v="33"/>
    <s v="No"/>
    <s v=""/>
    <m/>
    <m/>
    <s v="*MAV140701603"/>
    <s v="*MAV140701603"/>
    <n v="4.1655412296112134E-5"/>
  </r>
  <r>
    <x v="13"/>
    <s v="Pesos"/>
    <d v="2026-08-18T00:00:00"/>
    <s v="08/06/2026"/>
    <n v="0.94140106000000001"/>
    <m/>
    <n v="15000000"/>
    <n v="14121015.92"/>
    <n v="15000000"/>
    <n v="14121015.92"/>
    <n v="176"/>
    <s v="AMOMPY"/>
    <s v="Momentum Capital Investment S.A."/>
    <s v="17/04/2026"/>
    <s v="17/04/2026"/>
    <n v="32"/>
    <s v="No"/>
    <s v=""/>
    <m/>
    <m/>
    <s v="*NEU130800014"/>
    <s v="*NEU130800014"/>
    <n v="3.1720615498083573E-4"/>
  </r>
  <r>
    <x v="13"/>
    <s v="Pesos"/>
    <d v="2026-07-20T00:00:00"/>
    <s v="08/06/2026"/>
    <n v="0.96448582000000005"/>
    <m/>
    <n v="15000000"/>
    <n v="14467287.25"/>
    <n v="15000000"/>
    <n v="14467287.25"/>
    <n v="172"/>
    <s v="AMOMPY"/>
    <s v="Momentum Capital Investment S.A."/>
    <s v="17/04/2026"/>
    <s v="17/04/2026"/>
    <n v="32"/>
    <s v="No"/>
    <s v=""/>
    <m/>
    <m/>
    <s v="*NEU160700021"/>
    <s v="*NEU160700021"/>
    <n v="3.249845894639972E-4"/>
  </r>
  <r>
    <x v="13"/>
    <s v="Pesos"/>
    <d v="2026-08-03T00:00:00"/>
    <s v="08/06/2026"/>
    <n v="0.95320178"/>
    <m/>
    <n v="15000000"/>
    <n v="14298026.640000001"/>
    <n v="15000000"/>
    <n v="14298026.640000001"/>
    <n v="175"/>
    <s v="AMOMPY"/>
    <s v="Momentum Capital Investment S.A."/>
    <s v="17/04/2026"/>
    <s v="17/04/2026"/>
    <n v="32"/>
    <s v="No"/>
    <s v=""/>
    <m/>
    <m/>
    <s v="*NEU300700019"/>
    <s v="*NEU300700019"/>
    <n v="3.2118241916747009E-4"/>
  </r>
  <r>
    <x v="13"/>
    <s v="Pesos"/>
    <d v="2026-09-02T00:00:00"/>
    <s v="08/06/2026"/>
    <n v="0.92988895999999999"/>
    <m/>
    <n v="15000000"/>
    <n v="13948334.33"/>
    <n v="15000000"/>
    <n v="13948334.33"/>
    <n v="179"/>
    <s v="AMOMPY"/>
    <s v="Momentum Capital Investment S.A."/>
    <s v="17/04/2026"/>
    <s v="17/04/2026"/>
    <n v="32"/>
    <s v="No"/>
    <s v=""/>
    <m/>
    <m/>
    <s v="*NEU290800019"/>
    <s v="*NEU290800019"/>
    <n v="3.1332713781166048E-4"/>
  </r>
  <r>
    <x v="13"/>
    <s v="Pesos"/>
    <d v="2026-07-30T00:00:00"/>
    <s v="08/06/2026"/>
    <n v="0.95639876999999995"/>
    <m/>
    <n v="15000000"/>
    <n v="14345981.619999999"/>
    <n v="15000000"/>
    <n v="14345981.619999999"/>
    <n v="174"/>
    <s v="AMOMPY"/>
    <s v="Momentum Capital Investment S.A."/>
    <s v="17/04/2026"/>
    <s v="17/04/2026"/>
    <n v="32"/>
    <s v="No"/>
    <s v=""/>
    <m/>
    <m/>
    <s v="*NEU280700020"/>
    <s v="*NEU280700020"/>
    <n v="3.2225965149297418E-4"/>
  </r>
  <r>
    <x v="13"/>
    <s v="Pesos"/>
    <d v="2026-08-28T00:00:00"/>
    <s v="08/06/2026"/>
    <n v="0.93369497000000001"/>
    <m/>
    <n v="15000000"/>
    <n v="14005424.529999999"/>
    <n v="15000000"/>
    <n v="14005424.529999999"/>
    <n v="178"/>
    <s v="AMOMPY"/>
    <s v="Momentum Capital Investment S.A."/>
    <s v="17/04/2026"/>
    <s v="17/04/2026"/>
    <n v="32"/>
    <s v="No"/>
    <s v=""/>
    <m/>
    <m/>
    <s v="*NEU260800027"/>
    <s v="*NEU260800027"/>
    <n v="3.1460957831960139E-4"/>
  </r>
  <r>
    <x v="13"/>
    <s v="Pesos"/>
    <d v="2026-07-27T00:00:00"/>
    <s v="08/06/2026"/>
    <n v="0.95881059999999996"/>
    <m/>
    <n v="15000000"/>
    <n v="14382158.949999999"/>
    <n v="15000000"/>
    <n v="14382158.949999999"/>
    <n v="173"/>
    <s v="AMOMPY"/>
    <s v="Momentum Capital Investment S.A."/>
    <s v="17/04/2026"/>
    <s v="17/04/2026"/>
    <n v="32"/>
    <s v="No"/>
    <s v=""/>
    <m/>
    <m/>
    <s v="*NEU230700018"/>
    <s v="*NEU230700018"/>
    <n v="3.2307231765040835E-4"/>
  </r>
  <r>
    <x v="13"/>
    <s v="Pesos"/>
    <d v="2026-08-26T00:00:00"/>
    <s v="08/06/2026"/>
    <n v="0.93522601000000005"/>
    <m/>
    <n v="15000000"/>
    <n v="14028390.16"/>
    <n v="15000000"/>
    <n v="14028390.16"/>
    <n v="177"/>
    <s v="AMOMPY"/>
    <s v="Momentum Capital Investment S.A."/>
    <s v="17/04/2026"/>
    <s v="17/04/2026"/>
    <n v="32"/>
    <s v="No"/>
    <s v=""/>
    <m/>
    <m/>
    <s v="*NEU220800025"/>
    <s v="*NEU220800025"/>
    <n v="3.151254646574034E-4"/>
  </r>
  <r>
    <x v="13"/>
    <s v="Pesos"/>
    <d v="2026-06-09T00:00:00"/>
    <s v="08/06/2026"/>
    <n v="0.99917876000000005"/>
    <m/>
    <n v="6000000"/>
    <n v="5995072.5499999998"/>
    <n v="6000000"/>
    <n v="5995072.5499999998"/>
    <n v="10926492"/>
    <s v="AMOMPY"/>
    <s v="Momentum Capital Investment S.A."/>
    <s v="20/04/2026"/>
    <s v="20/04/2026"/>
    <n v="30"/>
    <s v="No"/>
    <s v=""/>
    <m/>
    <m/>
    <s v="*NEU050600015"/>
    <s v="*NEU050600015"/>
    <n v="1.3466976619743476E-4"/>
  </r>
  <r>
    <x v="13"/>
    <s v="Pesos"/>
    <d v="2026-09-02T00:00:00"/>
    <s v="08/06/2026"/>
    <n v="0.93398157999999998"/>
    <m/>
    <n v="6000000"/>
    <n v="5603889.4699999997"/>
    <n v="6000000"/>
    <n v="5603889.4699999997"/>
    <n v="10926495"/>
    <s v="AMOMPY"/>
    <s v="Momentum Capital Investment S.A."/>
    <s v="20/04/2026"/>
    <s v="20/04/2026"/>
    <n v="30"/>
    <s v="No"/>
    <s v=""/>
    <m/>
    <m/>
    <s v="*NEU310800017"/>
    <s v="*NEU310800017"/>
    <n v="1.258824607086976E-4"/>
  </r>
  <r>
    <x v="13"/>
    <s v="Pesos"/>
    <d v="2026-09-23T00:00:00"/>
    <s v="08/06/2026"/>
    <n v="0.91916397999999999"/>
    <m/>
    <n v="6000000"/>
    <n v="5514983.9000000004"/>
    <n v="6000000"/>
    <n v="5514983.9000000004"/>
    <n v="10926497"/>
    <s v="AMOMPY"/>
    <s v="Momentum Capital Investment S.A."/>
    <s v="20/04/2026"/>
    <s v="20/04/2026"/>
    <n v="30"/>
    <s v="No"/>
    <s v=""/>
    <m/>
    <m/>
    <s v="*NEU210900016"/>
    <s v="*NEU210900016"/>
    <n v="1.2388533853449645E-4"/>
  </r>
  <r>
    <x v="13"/>
    <s v="Pesos"/>
    <d v="2026-09-01T00:00:00"/>
    <s v="08/06/2026"/>
    <n v="0.92863509"/>
    <m/>
    <n v="21395750"/>
    <n v="19868844.140000001"/>
    <n v="21395750"/>
    <n v="19868844.140000001"/>
    <n v="3233102"/>
    <s v="AMOMPY"/>
    <s v="Momentum Capital Investment S.A."/>
    <s v="20/04/2026"/>
    <s v="20/04/2026"/>
    <n v="33"/>
    <s v="No"/>
    <s v=""/>
    <m/>
    <m/>
    <s v="*NEU280800014"/>
    <s v="*NEU280800014"/>
    <n v="4.4632197069025822E-4"/>
  </r>
  <r>
    <x v="13"/>
    <s v="Pesos"/>
    <d v="2026-09-01T00:00:00"/>
    <s v="08/06/2026"/>
    <n v="0.92863509"/>
    <m/>
    <n v="21395750"/>
    <n v="19868844.140000001"/>
    <n v="21395750"/>
    <n v="19868844.140000001"/>
    <n v="3233103"/>
    <s v="AMOMPY"/>
    <s v="Momentum Capital Investment S.A."/>
    <s v="20/04/2026"/>
    <s v="20/04/2026"/>
    <n v="33"/>
    <s v="No"/>
    <s v=""/>
    <m/>
    <m/>
    <s v="*NEU280800013"/>
    <s v="*NEU280800013"/>
    <n v="4.4632197069025822E-4"/>
  </r>
  <r>
    <x v="13"/>
    <s v="Pesos"/>
    <d v="2026-10-02T00:00:00"/>
    <s v="08/06/2026"/>
    <n v="0.90507850999999995"/>
    <m/>
    <n v="21387500"/>
    <n v="19357366.600000001"/>
    <n v="21387500"/>
    <n v="19357366.600000001"/>
    <n v="3233105"/>
    <s v="AMOMPY"/>
    <s v="Momentum Capital Investment S.A."/>
    <s v="20/04/2026"/>
    <s v="20/04/2026"/>
    <n v="33"/>
    <s v="No"/>
    <s v=""/>
    <m/>
    <m/>
    <s v="*NEU300900058"/>
    <s v="*NEU300900058"/>
    <n v="4.3483244155569605E-4"/>
  </r>
  <r>
    <x v="13"/>
    <s v="Pesos"/>
    <d v="2026-08-03T00:00:00"/>
    <s v="08/06/2026"/>
    <n v="0.95180978000000005"/>
    <m/>
    <n v="21395750"/>
    <n v="20364684.100000001"/>
    <n v="21395750"/>
    <n v="20364684.100000001"/>
    <n v="3233100"/>
    <s v="AMOMPY"/>
    <s v="Momentum Capital Investment S.A."/>
    <s v="20/04/2026"/>
    <s v="20/04/2026"/>
    <n v="33"/>
    <s v="No"/>
    <s v=""/>
    <m/>
    <m/>
    <s v="*NEU300700021"/>
    <s v="*NEU300700021"/>
    <n v="4.5746022647075678E-4"/>
  </r>
  <r>
    <x v="13"/>
    <s v="Pesos"/>
    <d v="2026-08-03T00:00:00"/>
    <s v="08/06/2026"/>
    <n v="0.95180978000000005"/>
    <m/>
    <n v="21395750"/>
    <n v="20364684.100000001"/>
    <n v="21395750"/>
    <n v="20364684.100000001"/>
    <n v="3233101"/>
    <s v="AMOMPY"/>
    <s v="Momentum Capital Investment S.A."/>
    <s v="20/04/2026"/>
    <s v="20/04/2026"/>
    <n v="33"/>
    <s v="No"/>
    <s v=""/>
    <m/>
    <m/>
    <s v="*NEU300700020"/>
    <s v="*NEU300700020"/>
    <n v="4.5746022647075678E-4"/>
  </r>
  <r>
    <x v="13"/>
    <s v="Pesos"/>
    <d v="2026-11-05T00:00:00"/>
    <s v="08/06/2026"/>
    <n v="0.89024395000000001"/>
    <m/>
    <n v="11923076.92"/>
    <n v="10614447.07"/>
    <n v="11923076.92"/>
    <n v="10614447.07"/>
    <n v="90021990"/>
    <s v="AMOMPY"/>
    <s v="Momentum Capital Investment S.A."/>
    <s v="11/05/2026"/>
    <s v="11/05/2026"/>
    <n v="30"/>
    <s v="No"/>
    <s v=""/>
    <m/>
    <m/>
    <s v="*NEU031100019"/>
    <s v="*NEU031100019"/>
    <n v="2.3843666499614695E-4"/>
  </r>
  <r>
    <x v="13"/>
    <s v="Pesos"/>
    <d v="2026-10-21T00:00:00"/>
    <s v="08/06/2026"/>
    <n v="0.90012336999999998"/>
    <m/>
    <n v="11923076.92"/>
    <n v="10732240.220000001"/>
    <n v="11923076.92"/>
    <n v="10732240.220000001"/>
    <n v="90021989"/>
    <s v="AMOMPY"/>
    <s v="Momentum Capital Investment S.A."/>
    <s v="11/05/2026"/>
    <s v="11/05/2026"/>
    <n v="30"/>
    <s v="No"/>
    <s v=""/>
    <m/>
    <m/>
    <s v="*NEU191000011"/>
    <s v="*NEU191000011"/>
    <n v="2.410827006926056E-4"/>
  </r>
  <r>
    <x v="13"/>
    <s v="Pesos"/>
    <d v="2026-08-12T00:00:00"/>
    <s v="08/06/2026"/>
    <n v="0.94928488"/>
    <m/>
    <n v="10000000"/>
    <n v="9492848.8300000001"/>
    <n v="10000000"/>
    <n v="9492848.8300000001"/>
    <n v="3435966"/>
    <s v="AMOMPY"/>
    <s v="Momentum Capital Investment S.A."/>
    <s v="11/05/2026"/>
    <s v="11/05/2026"/>
    <n v="30"/>
    <s v="No"/>
    <s v=""/>
    <m/>
    <m/>
    <s v="*NEU080800033"/>
    <s v="*NEU080800033"/>
    <n v="2.1324174508675331E-4"/>
  </r>
  <r>
    <x v="13"/>
    <s v="Pesos"/>
    <d v="2026-09-10T00:00:00"/>
    <s v="08/06/2026"/>
    <n v="0.92828089000000003"/>
    <m/>
    <n v="10000000"/>
    <n v="9282808.8599999994"/>
    <n v="10000000"/>
    <n v="9282808.8599999994"/>
    <n v="3435967"/>
    <s v="AMOMPY"/>
    <s v="Momentum Capital Investment S.A."/>
    <s v="11/05/2026"/>
    <s v="11/05/2026"/>
    <n v="30"/>
    <s v="No"/>
    <s v=""/>
    <m/>
    <m/>
    <s v="*NEU080900027"/>
    <s v="*NEU080900027"/>
    <n v="2.0852353135103856E-4"/>
  </r>
  <r>
    <x v="13"/>
    <s v="Pesos"/>
    <d v="2026-09-16T00:00:00"/>
    <s v="08/06/2026"/>
    <n v="0.92875322999999999"/>
    <m/>
    <n v="10000000"/>
    <n v="9287532.3300000001"/>
    <n v="10000000"/>
    <n v="9287532.3300000001"/>
    <n v="3487822"/>
    <s v="AMOMPY"/>
    <s v="Momentum Capital Investment S.A."/>
    <s v="05/05/2026"/>
    <s v="05/05/2026"/>
    <n v="28"/>
    <s v="No"/>
    <s v=""/>
    <m/>
    <m/>
    <s v="*NEU120900015"/>
    <s v="*NEU120900015"/>
    <n v="2.0862963658917129E-4"/>
  </r>
  <r>
    <x v="13"/>
    <s v="Pesos"/>
    <d v="2026-09-23T00:00:00"/>
    <s v="08/06/2026"/>
    <n v="0.92414428000000004"/>
    <m/>
    <n v="10000000"/>
    <n v="9241442.8499999996"/>
    <n v="10000000"/>
    <n v="9241442.8499999996"/>
    <n v="3487823"/>
    <s v="AMOMPY"/>
    <s v="Momentum Capital Investment S.A."/>
    <s v="05/05/2026"/>
    <s v="05/05/2026"/>
    <n v="28"/>
    <s v="No"/>
    <s v=""/>
    <m/>
    <m/>
    <s v="*NEU190900025"/>
    <s v="*NEU190900025"/>
    <n v="2.0759430975300793E-4"/>
  </r>
  <r>
    <x v="13"/>
    <s v="Pesos"/>
    <d v="2026-09-30T00:00:00"/>
    <s v="08/06/2026"/>
    <n v="0.91694728000000003"/>
    <m/>
    <n v="10000000"/>
    <n v="9169472.7799999993"/>
    <n v="10000000"/>
    <n v="9169472.7799999993"/>
    <n v="3487824"/>
    <s v="AMOMPY"/>
    <s v="Momentum Capital Investment S.A."/>
    <s v="05/05/2026"/>
    <s v="05/05/2026"/>
    <n v="29"/>
    <s v="No"/>
    <s v=""/>
    <m/>
    <m/>
    <s v="*NEU260900020"/>
    <s v="*NEU260900020"/>
    <n v="2.0597761664057626E-4"/>
  </r>
  <r>
    <x v="13"/>
    <s v="Pesos"/>
    <d v="2026-10-02T00:00:00"/>
    <s v="08/06/2026"/>
    <n v="0.91561325999999998"/>
    <m/>
    <n v="10000000"/>
    <n v="9156132.5500000007"/>
    <n v="10000000"/>
    <n v="9156132.5500000007"/>
    <n v="3487825"/>
    <s v="AMOMPY"/>
    <s v="Momentum Capital Investment S.A."/>
    <s v="05/05/2026"/>
    <s v="05/05/2026"/>
    <n v="29"/>
    <s v="No"/>
    <s v=""/>
    <m/>
    <m/>
    <s v="*NEU300900061"/>
    <s v="*NEU300900061"/>
    <n v="2.0567794959899563E-4"/>
  </r>
  <r>
    <x v="13"/>
    <s v="Pesos"/>
    <d v="2026-11-12T00:00:00"/>
    <s v="08/06/2026"/>
    <n v="0.88909464000000005"/>
    <m/>
    <n v="17118303"/>
    <n v="15219791.43"/>
    <n v="17118303"/>
    <n v="15219791.43"/>
    <n v="27672"/>
    <s v="AMOMPY"/>
    <s v="Momentum Capital Investment S.A."/>
    <s v="30/04/2026"/>
    <s v="30/04/2026"/>
    <n v="29"/>
    <s v="No"/>
    <s v=""/>
    <m/>
    <m/>
    <s v="*NEU101100035"/>
    <s v="*NEU101100035"/>
    <n v="3.4188839857356206E-4"/>
  </r>
  <r>
    <x v="13"/>
    <s v="Pesos"/>
    <d v="2026-11-25T00:00:00"/>
    <s v="08/06/2026"/>
    <n v="0.87740399999999996"/>
    <m/>
    <n v="9478811.3499999996"/>
    <n v="8316746.96"/>
    <n v="9478811.3499999996"/>
    <n v="8316746.96"/>
    <n v="90020413"/>
    <s v="AMOMPY"/>
    <s v="Momentum Capital Investment S.A."/>
    <s v="29/05/2026"/>
    <s v="29/05/2026"/>
    <n v="30"/>
    <s v="No"/>
    <s v=""/>
    <m/>
    <m/>
    <s v="*NEU201100026"/>
    <s v="*NEU201100026"/>
    <n v="1.8682248784902965E-4"/>
  </r>
  <r>
    <x v="13"/>
    <s v="Pesos"/>
    <d v="2026-10-22T00:00:00"/>
    <s v="08/06/2026"/>
    <n v="0.90552743999999996"/>
    <m/>
    <n v="20000000"/>
    <n v="18110548.77"/>
    <n v="20000000"/>
    <n v="18110548.77"/>
    <n v="11092146"/>
    <s v="AMOMPY"/>
    <s v="Momentum Capital Investment S.A."/>
    <s v="29/05/2026"/>
    <s v="29/05/2026"/>
    <n v="28"/>
    <s v="No"/>
    <s v=""/>
    <m/>
    <m/>
    <s v="*NEU201000037"/>
    <s v="*NEU201000037"/>
    <n v="4.0682466279130173E-4"/>
  </r>
  <r>
    <x v="13"/>
    <s v="Pesos"/>
    <d v="2026-09-23T00:00:00"/>
    <s v="08/06/2026"/>
    <n v="0.92917894999999995"/>
    <m/>
    <n v="9000000"/>
    <n v="8362610.5800000001"/>
    <n v="9000000"/>
    <n v="8362610.5800000001"/>
    <n v="3487869"/>
    <s v="AMOMPY"/>
    <s v="Momentum Capital Investment S.A."/>
    <s v="29/05/2026"/>
    <s v="29/05/2026"/>
    <n v="26"/>
    <s v="No"/>
    <s v=""/>
    <m/>
    <m/>
    <s v="*NEU190900027"/>
    <s v="*NEU190900027"/>
    <n v="1.8785274109965429E-4"/>
  </r>
  <r>
    <x v="13"/>
    <s v="Pesos"/>
    <d v="2026-10-02T00:00:00"/>
    <s v="08/06/2026"/>
    <n v="0.92367657999999997"/>
    <m/>
    <n v="9000000"/>
    <n v="8313089.25"/>
    <n v="9000000"/>
    <n v="8313089.25"/>
    <n v="3487870"/>
    <s v="AMOMPY"/>
    <s v="Momentum Capital Investment S.A."/>
    <s v="29/05/2026"/>
    <s v="29/05/2026"/>
    <n v="26"/>
    <s v="No"/>
    <s v=""/>
    <m/>
    <m/>
    <s v="*NEU300900063"/>
    <s v="*NEU300900063"/>
    <n v="1.8674032321358783E-4"/>
  </r>
  <r>
    <x v="13"/>
    <s v="Pesos"/>
    <d v="2026-09-16T00:00:00"/>
    <s v="08/06/2026"/>
    <n v="0.93350401000000005"/>
    <m/>
    <n v="9000000"/>
    <n v="8401536.1199999992"/>
    <n v="9000000"/>
    <n v="8401536.1199999992"/>
    <n v="3385281"/>
    <s v="AMOMPY"/>
    <s v="Momentum Capital Investment S.A."/>
    <s v="29/05/2026"/>
    <s v="29/05/2026"/>
    <n v="26"/>
    <s v="No"/>
    <s v=""/>
    <m/>
    <m/>
    <s v="*NEU120900021"/>
    <s v="*NEU120900021"/>
    <n v="1.8872714142211723E-4"/>
  </r>
  <r>
    <x v="13"/>
    <s v="Pesos"/>
    <d v="2026-10-02T00:00:00"/>
    <s v="08/06/2026"/>
    <n v="0.92367657999999997"/>
    <m/>
    <n v="9000000"/>
    <n v="8313089.25"/>
    <n v="9000000"/>
    <n v="8313089.25"/>
    <n v="3385280"/>
    <s v="AMOMPY"/>
    <s v="Momentum Capital Investment S.A."/>
    <s v="29/05/2026"/>
    <s v="29/05/2026"/>
    <n v="26"/>
    <s v="No"/>
    <s v=""/>
    <m/>
    <m/>
    <s v="*NEU300900064"/>
    <s v="*NEU300900064"/>
    <n v="1.8674032321358783E-4"/>
  </r>
  <r>
    <x v="14"/>
    <s v="Pesos"/>
    <d v="2026-06-10T00:00:00"/>
    <s v="08/06/2026"/>
    <n v="0.99803127999999997"/>
    <m/>
    <n v="5000000"/>
    <n v="4990156.42"/>
    <n v="5000000"/>
    <n v="4990156.42"/>
    <n v="13420540"/>
    <s v="AMOMPY"/>
    <s v="Momentum Capital Investment S.A."/>
    <s v="10/04/2026"/>
    <s v="10/04/2026"/>
    <n v="36"/>
    <s v="No"/>
    <s v=""/>
    <m/>
    <m/>
    <s v="*MAV070601038"/>
    <s v="*MAV070601038"/>
    <n v="1.1209592423865297E-4"/>
  </r>
  <r>
    <x v="14"/>
    <s v="Pesos"/>
    <d v="2026-06-18T00:00:00"/>
    <s v="08/06/2026"/>
    <n v="0.99023331999999997"/>
    <m/>
    <n v="5000000"/>
    <n v="4951166.6100000003"/>
    <n v="5000000"/>
    <n v="4951166.6100000003"/>
    <n v="13420539"/>
    <s v="AMOMPY"/>
    <s v="Momentum Capital Investment S.A."/>
    <s v="10/04/2026"/>
    <s v="10/04/2026"/>
    <n v="36"/>
    <s v="No"/>
    <s v=""/>
    <m/>
    <m/>
    <s v="*MAV140601126"/>
    <s v="*MAV140601126"/>
    <n v="1.1122008019289869E-4"/>
  </r>
  <r>
    <x v="14"/>
    <s v="Pesos"/>
    <d v="2026-06-24T00:00:00"/>
    <s v="08/06/2026"/>
    <n v="0.98446438000000003"/>
    <m/>
    <n v="5000000"/>
    <n v="4922321.92"/>
    <n v="5000000"/>
    <n v="4922321.92"/>
    <n v="13420541"/>
    <s v="AMOMPY"/>
    <s v="Momentum Capital Investment S.A."/>
    <s v="10/04/2026"/>
    <s v="10/04/2026"/>
    <n v="36"/>
    <s v="No"/>
    <s v=""/>
    <m/>
    <m/>
    <s v="*MAV210600984"/>
    <s v="*MAV210600984"/>
    <n v="1.1057213012624978E-4"/>
  </r>
  <r>
    <x v="15"/>
    <s v="Pesos"/>
    <d v="2026-07-08T00:00:00"/>
    <s v="08/06/2026"/>
    <n v="0.97126140000000005"/>
    <m/>
    <n v="5000000"/>
    <n v="4856306.9800000004"/>
    <n v="5000000"/>
    <n v="4856306.9800000004"/>
    <n v="66205682"/>
    <s v="AMOMPY"/>
    <s v="Momentum Capital Investment S.A."/>
    <s v="14/04/2026"/>
    <s v="14/04/2026"/>
    <n v="36"/>
    <s v="No"/>
    <s v=""/>
    <m/>
    <m/>
    <s v="*MAV060700774"/>
    <s v="*MAV060700774"/>
    <n v="1.0908920953418162E-4"/>
  </r>
  <r>
    <x v="16"/>
    <s v="Pesos"/>
    <d v="2026-07-07T00:00:00"/>
    <s v="08/06/2026"/>
    <n v="0.97294417"/>
    <m/>
    <n v="300000000"/>
    <n v="291883249.62"/>
    <n v="300000000"/>
    <n v="291883249.62"/>
    <n v="231704"/>
    <s v="AMOMPY"/>
    <s v="Momentum Capital Investment S.A."/>
    <s v="28/05/2026"/>
    <s v="28/05/2026"/>
    <n v="35"/>
    <s v="No"/>
    <s v=""/>
    <m/>
    <m/>
    <s v="MAVR030700105"/>
    <s v="MAVR030700105"/>
    <n v="6.5566927931961201E-3"/>
  </r>
  <r>
    <x v="16"/>
    <s v="Pesos"/>
    <d v="2026-07-14T00:00:00"/>
    <s v="08/06/2026"/>
    <n v="0.96940404000000002"/>
    <m/>
    <n v="300000000"/>
    <n v="290821213.35000002"/>
    <n v="300000000"/>
    <n v="290821213.35000002"/>
    <n v="231707"/>
    <s v="AMOMPY"/>
    <s v="Momentum Capital Investment S.A."/>
    <s v="28/05/2026"/>
    <s v="28/05/2026"/>
    <n v="32"/>
    <s v="No"/>
    <s v=""/>
    <m/>
    <m/>
    <s v="MAVR080700082"/>
    <s v="MAVR080700082"/>
    <n v="6.5328358381749347E-3"/>
  </r>
  <r>
    <x v="16"/>
    <s v="Pesos"/>
    <d v="2026-06-30T00:00:00"/>
    <s v="08/06/2026"/>
    <n v="0.97934010000000005"/>
    <m/>
    <n v="300000000"/>
    <n v="293802030.08999997"/>
    <n v="300000000"/>
    <n v="293802030.08999997"/>
    <n v="231702"/>
    <s v="AMOMPY"/>
    <s v="Momentum Capital Investment S.A."/>
    <s v="27/05/2026"/>
    <s v="27/05/2026"/>
    <n v="35"/>
    <s v="No"/>
    <s v=""/>
    <m/>
    <m/>
    <s v="MAVR260600067"/>
    <s v="MAVR260600067"/>
    <n v="6.5997951435219889E-3"/>
  </r>
  <r>
    <x v="17"/>
    <s v="Pesos"/>
    <d v="2026-06-17T00:00:00"/>
    <s v="08/06/2026"/>
    <n v="0.99144388999999999"/>
    <m/>
    <n v="12826949.49"/>
    <n v="12717200.689999999"/>
    <n v="12826949.49"/>
    <n v="12717200.689999999"/>
    <n v="1598"/>
    <s v="AMOMPY"/>
    <s v="Momentum Capital Investment S.A."/>
    <s v="05/06/2026"/>
    <s v="05/06/2026"/>
    <n v="35"/>
    <s v="No"/>
    <s v=""/>
    <m/>
    <m/>
    <s v="%CP1130600001"/>
    <s v="%CP1130600001"/>
    <n v="2.8567167942081966E-4"/>
  </r>
  <r>
    <x v="18"/>
    <s v="Pesos"/>
    <d v="2026-06-18T00:00:00"/>
    <s v="08/06/2026"/>
    <n v="0.98915993000000002"/>
    <m/>
    <n v="40000000"/>
    <n v="39566397.020000003"/>
    <n v="40000000"/>
    <n v="39566397.020000003"/>
    <n v="227"/>
    <s v="AMOMPY"/>
    <s v="Momentum Capital Investment S.A."/>
    <s v="18/03/2026"/>
    <s v="18/03/2026"/>
    <n v="40"/>
    <s v="No"/>
    <s v=""/>
    <m/>
    <m/>
    <s v="*MAV150601055"/>
    <s v="*MAV150601055"/>
    <n v="8.8879615576266543E-4"/>
  </r>
  <r>
    <x v="18"/>
    <s v="Pesos"/>
    <d v="2026-07-17T00:00:00"/>
    <s v="08/06/2026"/>
    <n v="0.95901219000000004"/>
    <m/>
    <n v="40000000"/>
    <n v="38360487.5"/>
    <n v="40000000"/>
    <n v="38360487.5"/>
    <n v="224"/>
    <s v="AMOMPY"/>
    <s v="Momentum Capital Investment S.A."/>
    <s v="18/03/2026"/>
    <s v="18/03/2026"/>
    <n v="40"/>
    <s v="No"/>
    <s v=""/>
    <m/>
    <m/>
    <s v="*MAV150701477"/>
    <s v="*MAV150701477"/>
    <n v="8.6170731709403893E-4"/>
  </r>
  <r>
    <x v="18"/>
    <s v="Pesos"/>
    <d v="2026-08-19T00:00:00"/>
    <s v="08/06/2026"/>
    <n v="0.92686656000000001"/>
    <m/>
    <n v="40000000"/>
    <n v="37074662.399999999"/>
    <n v="40000000"/>
    <n v="37074662.399999999"/>
    <n v="223"/>
    <s v="AMOMPY"/>
    <s v="Momentum Capital Investment S.A."/>
    <s v="18/03/2026"/>
    <s v="18/03/2026"/>
    <n v="40"/>
    <s v="No"/>
    <s v=""/>
    <m/>
    <m/>
    <s v="*MAV140801110"/>
    <s v="*MAV140801110"/>
    <n v="8.3282330207277056E-4"/>
  </r>
  <r>
    <x v="18"/>
    <s v="Pesos"/>
    <d v="2026-08-06T00:00:00"/>
    <s v="08/06/2026"/>
    <n v="0.94645411000000002"/>
    <m/>
    <n v="25000000"/>
    <n v="23661352.739999998"/>
    <n v="25000000"/>
    <n v="23661352.739999998"/>
    <n v="1308"/>
    <s v="AMOMPY"/>
    <s v="Momentum Capital Investment S.A."/>
    <s v="20/04/2026"/>
    <s v="20/04/2026"/>
    <n v="35"/>
    <s v="No"/>
    <s v=""/>
    <m/>
    <m/>
    <s v="*MAV040801017"/>
    <s v="*MAV040801017"/>
    <n v="5.3151464220576141E-4"/>
  </r>
  <r>
    <x v="18"/>
    <s v="Pesos"/>
    <d v="2026-08-13T00:00:00"/>
    <s v="08/06/2026"/>
    <n v="0.94047935000000005"/>
    <m/>
    <n v="25000000"/>
    <n v="23511983.649999999"/>
    <n v="25000000"/>
    <n v="23511983.649999999"/>
    <n v="1309"/>
    <s v="AMOMPY"/>
    <s v="Momentum Capital Investment S.A."/>
    <s v="20/04/2026"/>
    <s v="20/04/2026"/>
    <n v="35"/>
    <s v="No"/>
    <s v=""/>
    <m/>
    <m/>
    <s v="*MAV110801261"/>
    <s v="*MAV110801261"/>
    <n v="5.2815930325704041E-4"/>
  </r>
  <r>
    <x v="18"/>
    <s v="Pesos"/>
    <d v="2026-08-20T00:00:00"/>
    <s v="08/06/2026"/>
    <n v="0.93457953999999999"/>
    <m/>
    <n v="25000000"/>
    <n v="23364488.600000001"/>
    <n v="25000000"/>
    <n v="23364488.600000001"/>
    <n v="1307"/>
    <s v="AMOMPY"/>
    <s v="Momentum Capital Investment S.A."/>
    <s v="20/04/2026"/>
    <s v="20/04/2026"/>
    <n v="35"/>
    <s v="No"/>
    <s v=""/>
    <m/>
    <m/>
    <s v="*MAV180801225"/>
    <s v="*MAV180801225"/>
    <n v="5.2484606163517237E-4"/>
  </r>
  <r>
    <x v="18"/>
    <s v="Pesos"/>
    <d v="2026-07-30T00:00:00"/>
    <s v="08/06/2026"/>
    <n v="0.95250526999999996"/>
    <m/>
    <n v="25000000"/>
    <n v="23812631.84"/>
    <n v="25000000"/>
    <n v="23812631.84"/>
    <n v="1310"/>
    <s v="AMOMPY"/>
    <s v="Momentum Capital Investment S.A."/>
    <s v="20/04/2026"/>
    <s v="20/04/2026"/>
    <n v="35"/>
    <s v="No"/>
    <s v=""/>
    <m/>
    <m/>
    <s v="*MAV280701170"/>
    <s v="*MAV280701170"/>
    <n v="5.3491288649015441E-4"/>
  </r>
  <r>
    <x v="18"/>
    <s v="Pesos"/>
    <d v="2026-09-04T00:00:00"/>
    <s v="08/06/2026"/>
    <n v="0.92218306999999999"/>
    <m/>
    <n v="16600000"/>
    <n v="15308238.970000001"/>
    <n v="16600000"/>
    <n v="15308238.970000001"/>
    <n v="29088027"/>
    <s v="AMOMPY"/>
    <s v="Momentum Capital Investment S.A."/>
    <s v="14/04/2026"/>
    <s v="14/04/2026"/>
    <n v="35"/>
    <s v="No"/>
    <s v=""/>
    <m/>
    <m/>
    <s v="*MAV020901140"/>
    <s v="*MAV020901140"/>
    <n v="3.4387523183257549E-4"/>
  </r>
  <r>
    <x v="18"/>
    <s v="Pesos"/>
    <d v="2026-08-07T00:00:00"/>
    <s v="08/06/2026"/>
    <n v="0.94559594000000002"/>
    <m/>
    <n v="17000000"/>
    <n v="16075130.91"/>
    <n v="17000000"/>
    <n v="16075130.91"/>
    <n v="29088028"/>
    <s v="AMOMPY"/>
    <s v="Momentum Capital Investment S.A."/>
    <s v="14/04/2026"/>
    <s v="14/04/2026"/>
    <n v="35"/>
    <s v="No"/>
    <s v=""/>
    <m/>
    <m/>
    <s v="*MAV050801106"/>
    <s v="*MAV050801106"/>
    <n v="3.6110223907846728E-4"/>
  </r>
  <r>
    <x v="18"/>
    <s v="Pesos"/>
    <d v="2026-08-21T00:00:00"/>
    <s v="08/06/2026"/>
    <n v="0.93374276"/>
    <m/>
    <n v="16600000"/>
    <n v="15500129.82"/>
    <n v="16600000"/>
    <n v="15500129.82"/>
    <n v="29088026"/>
    <s v="AMOMPY"/>
    <s v="Momentum Capital Investment S.A."/>
    <s v="14/04/2026"/>
    <s v="14/04/2026"/>
    <n v="35"/>
    <s v="No"/>
    <s v=""/>
    <m/>
    <m/>
    <s v="*MAV190801107"/>
    <s v="*MAV190801107"/>
    <n v="3.4818575446418686E-4"/>
  </r>
  <r>
    <x v="18"/>
    <s v="Pesos"/>
    <d v="2026-08-28T00:00:00"/>
    <s v="08/06/2026"/>
    <n v="0.92792691000000005"/>
    <m/>
    <n v="16600000"/>
    <n v="15403586.779999999"/>
    <n v="16600000"/>
    <n v="15403586.779999999"/>
    <n v="29088025"/>
    <s v="AMOMPY"/>
    <s v="Momentum Capital Investment S.A."/>
    <s v="14/04/2026"/>
    <s v="14/04/2026"/>
    <n v="35"/>
    <s v="No"/>
    <s v=""/>
    <m/>
    <m/>
    <s v="*MAV260801138"/>
    <s v="*MAV260801138"/>
    <n v="3.4601706867825926E-4"/>
  </r>
  <r>
    <x v="18"/>
    <s v="Pesos"/>
    <d v="2026-07-24T00:00:00"/>
    <s v="08/06/2026"/>
    <n v="0.95775392000000004"/>
    <m/>
    <n v="16600000"/>
    <n v="15898715.050000001"/>
    <n v="16600000"/>
    <n v="15898715.050000001"/>
    <n v="290"/>
    <s v="AMOMPY"/>
    <s v="Momentum Capital Investment S.A."/>
    <s v="14/04/2026"/>
    <s v="14/04/2026"/>
    <n v="35"/>
    <s v="No"/>
    <s v=""/>
    <m/>
    <m/>
    <s v="*MAV220701228"/>
    <s v="*MAV220701228"/>
    <n v="3.5713933747526331E-4"/>
  </r>
  <r>
    <x v="18"/>
    <s v="Pesos"/>
    <d v="2026-07-31T00:00:00"/>
    <s v="08/06/2026"/>
    <n v="0.95163609999999998"/>
    <m/>
    <n v="16600000"/>
    <n v="15797159.199999999"/>
    <n v="16600000"/>
    <n v="15797159.199999999"/>
    <n v="29088024"/>
    <s v="AMOMPY"/>
    <s v="Momentum Capital Investment S.A."/>
    <s v="14/04/2026"/>
    <s v="14/04/2026"/>
    <n v="35"/>
    <s v="No"/>
    <s v=""/>
    <m/>
    <m/>
    <s v="*MAV290701088"/>
    <s v="*MAV290701088"/>
    <n v="3.5485804688846598E-4"/>
  </r>
  <r>
    <x v="18"/>
    <s v="Pesos"/>
    <d v="2026-09-03T00:00:00"/>
    <s v="08/06/2026"/>
    <n v="0.92707835999999999"/>
    <m/>
    <n v="12500000"/>
    <n v="11588479.52"/>
    <n v="12500000"/>
    <n v="11588479.52"/>
    <n v="1357"/>
    <s v="AMOMPY"/>
    <s v="Momentum Capital Investment S.A."/>
    <s v="21/05/2026"/>
    <s v="21/05/2026"/>
    <n v="33"/>
    <s v="No"/>
    <s v=""/>
    <m/>
    <m/>
    <s v="*MAV010901169"/>
    <s v="*MAV010901169"/>
    <n v="2.6031675422212542E-4"/>
  </r>
  <r>
    <x v="18"/>
    <s v="Pesos"/>
    <d v="2026-09-10T00:00:00"/>
    <s v="08/06/2026"/>
    <n v="0.92167069999999995"/>
    <m/>
    <n v="12500000"/>
    <n v="11520883.710000001"/>
    <n v="12500000"/>
    <n v="11520883.710000001"/>
    <n v="1358"/>
    <s v="AMOMPY"/>
    <s v="Momentum Capital Investment S.A."/>
    <s v="21/05/2026"/>
    <s v="21/05/2026"/>
    <n v="33"/>
    <s v="No"/>
    <s v=""/>
    <m/>
    <m/>
    <s v="*MAV080901145"/>
    <s v="*MAV080901145"/>
    <n v="2.5879832190079749E-4"/>
  </r>
  <r>
    <x v="18"/>
    <s v="Pesos"/>
    <d v="2026-09-17T00:00:00"/>
    <s v="08/06/2026"/>
    <n v="0.91632575000000005"/>
    <m/>
    <n v="12500000"/>
    <n v="11454071.91"/>
    <n v="12500000"/>
    <n v="11454071.91"/>
    <n v="1359"/>
    <s v="AMOMPY"/>
    <s v="Momentum Capital Investment S.A."/>
    <s v="21/05/2026"/>
    <s v="21/05/2026"/>
    <n v="33"/>
    <s v="No"/>
    <s v=""/>
    <m/>
    <m/>
    <s v="*MAV150901509"/>
    <s v="*MAV150901509"/>
    <n v="2.5729750111669705E-4"/>
  </r>
  <r>
    <x v="18"/>
    <s v="Pesos"/>
    <d v="2026-08-27T00:00:00"/>
    <s v="08/06/2026"/>
    <n v="0.93254985999999995"/>
    <m/>
    <n v="12500000"/>
    <n v="11656873.220000001"/>
    <n v="12500000"/>
    <n v="11656873.220000001"/>
    <n v="1355"/>
    <s v="AMOMPY"/>
    <s v="Momentum Capital Investment S.A."/>
    <s v="21/05/2026"/>
    <s v="21/05/2026"/>
    <n v="33"/>
    <s v="No"/>
    <s v=""/>
    <m/>
    <m/>
    <s v="*MAV250801412"/>
    <s v="*MAV250801412"/>
    <n v="2.6185310987279688E-4"/>
  </r>
  <r>
    <x v="18"/>
    <s v="Pesos"/>
    <d v="2026-10-06T00:00:00"/>
    <s v="08/06/2026"/>
    <n v="0.90212559999999997"/>
    <m/>
    <n v="12500000"/>
    <n v="11276570.02"/>
    <n v="12500000"/>
    <n v="11276570.02"/>
    <n v="1362"/>
    <s v="AMOMPY"/>
    <s v="Momentum Capital Investment S.A."/>
    <s v="21/05/2026"/>
    <s v="21/05/2026"/>
    <n v="33"/>
    <s v="No"/>
    <s v=""/>
    <m/>
    <m/>
    <s v="*MAV021000917"/>
    <s v="*MAV021000917"/>
    <n v="2.5331020357750335E-4"/>
  </r>
  <r>
    <x v="18"/>
    <s v="Pesos"/>
    <d v="2026-10-14T00:00:00"/>
    <s v="08/06/2026"/>
    <n v="0.89627738000000001"/>
    <m/>
    <n v="12500000"/>
    <n v="11203467.24"/>
    <n v="12500000"/>
    <n v="11203467.24"/>
    <n v="1363"/>
    <s v="AMOMPY"/>
    <s v="Momentum Capital Investment S.A."/>
    <s v="21/05/2026"/>
    <s v="21/05/2026"/>
    <n v="33"/>
    <s v="No"/>
    <s v=""/>
    <m/>
    <m/>
    <s v="*MAV091001085"/>
    <s v="*MAV091001085"/>
    <n v="2.5166806593715361E-4"/>
  </r>
  <r>
    <x v="18"/>
    <s v="Pesos"/>
    <d v="2026-09-22T00:00:00"/>
    <s v="08/06/2026"/>
    <n v="0.91254563"/>
    <m/>
    <n v="12500000"/>
    <n v="11406820.43"/>
    <n v="12500000"/>
    <n v="11406820.43"/>
    <n v="1360"/>
    <s v="AMOMPY"/>
    <s v="Momentum Capital Investment S.A."/>
    <s v="21/05/2026"/>
    <s v="21/05/2026"/>
    <n v="33"/>
    <s v="No"/>
    <s v=""/>
    <m/>
    <m/>
    <s v="*MAV180901014"/>
    <s v="*MAV180901014"/>
    <n v="2.5623607179936834E-4"/>
  </r>
  <r>
    <x v="18"/>
    <s v="Pesos"/>
    <d v="2026-09-29T00:00:00"/>
    <s v="08/06/2026"/>
    <n v="0.90730569999999999"/>
    <m/>
    <n v="12500000"/>
    <n v="11341321.26"/>
    <n v="12500000"/>
    <n v="11341321.26"/>
    <n v="1361"/>
    <s v="AMOMPY"/>
    <s v="Momentum Capital Investment S.A."/>
    <s v="21/05/2026"/>
    <s v="21/05/2026"/>
    <n v="33"/>
    <s v="No"/>
    <s v=""/>
    <m/>
    <m/>
    <s v="*MAV250901137"/>
    <s v="*MAV250901137"/>
    <n v="2.5476473715971894E-4"/>
  </r>
  <r>
    <x v="19"/>
    <s v="Pesos"/>
    <d v="2026-08-14T00:00:00"/>
    <s v="08/06/2026"/>
    <n v="0.93801407999999997"/>
    <m/>
    <n v="50000000"/>
    <n v="46900704.020000003"/>
    <n v="50000000"/>
    <n v="46900704.020000003"/>
    <n v="6573"/>
    <s v="AMOMPY"/>
    <s v="Momentum Capital Investment S.A."/>
    <s v="14/04/2026"/>
    <s v="14/04/2026"/>
    <n v="36"/>
    <s v="No"/>
    <s v=""/>
    <m/>
    <m/>
    <s v="*MAV120801434"/>
    <s v="*MAV120801434"/>
    <n v="1.0535496930505852E-3"/>
  </r>
  <r>
    <x v="19"/>
    <s v="Pesos"/>
    <d v="2026-08-04T00:00:00"/>
    <s v="08/06/2026"/>
    <n v="0.94120689999999996"/>
    <m/>
    <n v="50000000"/>
    <n v="47060345.020000003"/>
    <n v="50000000"/>
    <n v="47060345.020000003"/>
    <n v="6540"/>
    <s v="AMOMPY"/>
    <s v="Momentum Capital Investment S.A."/>
    <s v="17/03/2026"/>
    <s v="17/03/2026"/>
    <n v="40"/>
    <s v="No"/>
    <s v=""/>
    <m/>
    <m/>
    <s v="*MAV310701236"/>
    <s v="*MAV310701236"/>
    <n v="1.0571357741140286E-3"/>
  </r>
  <r>
    <x v="19"/>
    <s v="Pesos"/>
    <d v="2026-06-12T00:00:00"/>
    <s v="08/06/2026"/>
    <n v="0.99563557000000003"/>
    <m/>
    <n v="25000000"/>
    <n v="24890889.300000001"/>
    <n v="25000000"/>
    <n v="24890889.300000001"/>
    <n v="6497"/>
    <s v="AMOMPY"/>
    <s v="Momentum Capital Investment S.A."/>
    <s v="12/02/2026"/>
    <s v="12/02/2026"/>
    <n v="40"/>
    <s v="No"/>
    <s v=""/>
    <m/>
    <m/>
    <s v="*MAV100601258"/>
    <s v="*MAV100601258"/>
    <n v="5.5913422473548389E-4"/>
  </r>
  <r>
    <x v="19"/>
    <s v="Pesos"/>
    <d v="2026-09-17T00:00:00"/>
    <s v="08/06/2026"/>
    <n v="0.92334947999999994"/>
    <m/>
    <n v="100000000"/>
    <n v="92334947.760000005"/>
    <n v="100000000"/>
    <n v="92334947.760000005"/>
    <n v="6601"/>
    <s v="AMOMPY"/>
    <s v="Momentum Capital Investment S.A."/>
    <s v="18/05/2026"/>
    <s v="18/05/2026"/>
    <n v="30"/>
    <s v="No"/>
    <s v=""/>
    <m/>
    <m/>
    <s v="*MAV150901503"/>
    <s v="*MAV150901503"/>
    <n v="2.0741576891661726E-3"/>
  </r>
  <r>
    <x v="20"/>
    <s v="Pesos"/>
    <d v="2026-09-16T00:00:00"/>
    <s v="08/06/2026"/>
    <n v="0.90346534999999994"/>
    <m/>
    <n v="12825509.390000001"/>
    <n v="11587403.369999999"/>
    <n v="12825509.390000001"/>
    <n v="11587403.369999999"/>
    <n v="53243196"/>
    <s v="AMOMPY"/>
    <s v="Momentum Capital Investment S.A."/>
    <s v="15/05/2026"/>
    <s v="15/05/2026"/>
    <n v="39"/>
    <s v="No"/>
    <s v=""/>
    <m/>
    <m/>
    <s v="*MAV130901057"/>
    <s v="*MAV130901057"/>
    <n v="2.6029258022461588E-4"/>
  </r>
  <r>
    <x v="20"/>
    <s v="Pesos"/>
    <d v="2026-09-17T00:00:00"/>
    <s v="08/06/2026"/>
    <n v="0.90259422"/>
    <m/>
    <n v="12825509.390000001"/>
    <n v="11576230.699999999"/>
    <n v="12825509.390000001"/>
    <n v="11576230.699999999"/>
    <n v="53243197"/>
    <s v="AMOMPY"/>
    <s v="Momentum Capital Investment S.A."/>
    <s v="15/05/2026"/>
    <s v="15/05/2026"/>
    <n v="39"/>
    <s v="No"/>
    <s v=""/>
    <m/>
    <m/>
    <s v="*MAV150901501"/>
    <s v="*MAV150901501"/>
    <n v="2.6004160396967443E-4"/>
  </r>
  <r>
    <x v="20"/>
    <s v="Pesos"/>
    <d v="2026-08-26T00:00:00"/>
    <s v="08/06/2026"/>
    <n v="0.92215981999999996"/>
    <m/>
    <n v="10800428.970000001"/>
    <n v="9959721.6400000006"/>
    <n v="10800428.970000001"/>
    <n v="9959721.6400000006"/>
    <n v="53243195"/>
    <s v="AMOMPY"/>
    <s v="Momentum Capital Investment S.A."/>
    <s v="15/05/2026"/>
    <s v="15/05/2026"/>
    <n v="39"/>
    <s v="No"/>
    <s v=""/>
    <m/>
    <m/>
    <s v="*MAV230801012"/>
    <s v="*MAV230801012"/>
    <n v="2.2372929993154654E-4"/>
  </r>
  <r>
    <x v="21"/>
    <s v="Pesos"/>
    <d v="2026-06-24T00:00:00"/>
    <s v="08/06/2026"/>
    <n v="0.98702022"/>
    <m/>
    <n v="7247198.9699999997"/>
    <n v="7153131.9100000001"/>
    <n v="7247198.9699999997"/>
    <n v="7153131.9100000001"/>
    <n v="30076085"/>
    <s v="AMOMPY"/>
    <s v="Momentum Capital Investment S.A."/>
    <s v="02/06/2026"/>
    <s v="02/06/2026"/>
    <n v="30"/>
    <s v="No"/>
    <s v=""/>
    <m/>
    <m/>
    <s v="*MAV220601300"/>
    <s v="*MAV220601300"/>
    <n v="1.6068372715508002E-4"/>
  </r>
  <r>
    <x v="22"/>
    <s v="Pesos"/>
    <d v="2026-07-07T00:00:00"/>
    <s v="08/06/2026"/>
    <n v="0.96919822"/>
    <m/>
    <n v="267500000"/>
    <n v="259260522.72999999"/>
    <n v="267500000"/>
    <n v="259260522.72999999"/>
    <n v="70379142"/>
    <s v="AMOMPY"/>
    <s v="Momentum Capital Investment S.A."/>
    <s v="12/05/2026"/>
    <s v="12/05/2026"/>
    <n v="40"/>
    <s v="No"/>
    <s v=""/>
    <m/>
    <m/>
    <s v="*MAV030701106"/>
    <s v="*MAV030701106"/>
    <n v="5.8238751389712235E-3"/>
  </r>
  <r>
    <x v="22"/>
    <s v="Pesos"/>
    <d v="2026-06-29T00:00:00"/>
    <s v="08/06/2026"/>
    <n v="0.97695465000000004"/>
    <m/>
    <n v="192000000"/>
    <n v="187575293.25999999"/>
    <n v="192000000"/>
    <n v="187575293.25999999"/>
    <n v="70379138"/>
    <s v="AMOMPY"/>
    <s v="Momentum Capital Investment S.A."/>
    <s v="07/05/2026"/>
    <s v="07/05/2026"/>
    <n v="41"/>
    <s v="No"/>
    <s v=""/>
    <m/>
    <m/>
    <s v="*MAV250601194"/>
    <s v="*MAV250601194"/>
    <n v="4.2135805158420407E-3"/>
  </r>
  <r>
    <x v="22"/>
    <s v="Pesos"/>
    <d v="2026-06-23T00:00:00"/>
    <s v="08/06/2026"/>
    <n v="0.98342989999999997"/>
    <m/>
    <n v="64000000"/>
    <n v="62939513.32"/>
    <n v="64000000"/>
    <n v="62939513.32"/>
    <n v="70379137"/>
    <s v="AMOMPY"/>
    <s v="Momentum Capital Investment S.A."/>
    <s v="07/05/2026"/>
    <s v="07/05/2026"/>
    <n v="41"/>
    <s v="No"/>
    <s v=""/>
    <m/>
    <m/>
    <s v="*MAV190601138"/>
    <s v="*MAV190601138"/>
    <n v="1.4138360249509791E-3"/>
  </r>
  <r>
    <x v="22"/>
    <s v="Pesos"/>
    <d v="2026-06-18T00:00:00"/>
    <s v="08/06/2026"/>
    <n v="0.98889190000000005"/>
    <m/>
    <n v="127500000"/>
    <n v="126083717.43000001"/>
    <n v="127500000"/>
    <n v="126083717.43000001"/>
    <n v="70376446"/>
    <s v="AMOMPY"/>
    <s v="Momentum Capital Investment S.A."/>
    <s v="28/04/2026"/>
    <s v="28/04/2026"/>
    <n v="41"/>
    <s v="No"/>
    <s v=""/>
    <m/>
    <m/>
    <s v="*MAV160601411"/>
    <s v="*MAV160601411"/>
    <n v="2.8322701028199448E-3"/>
  </r>
  <r>
    <x v="22"/>
    <s v="Pesos"/>
    <d v="2026-06-18T00:00:00"/>
    <s v="08/06/2026"/>
    <n v="0.98889192000000004"/>
    <m/>
    <n v="128500000"/>
    <n v="127072612.14"/>
    <n v="128500000"/>
    <n v="127072612.14"/>
    <n v="70376447"/>
    <s v="AMOMPY"/>
    <s v="Momentum Capital Investment S.A."/>
    <s v="29/04/2026"/>
    <s v="29/04/2026"/>
    <n v="41"/>
    <s v="No"/>
    <s v=""/>
    <m/>
    <m/>
    <s v="*MAV160601412"/>
    <s v="*MAV160601412"/>
    <n v="2.854484049069783E-3"/>
  </r>
  <r>
    <x v="22"/>
    <s v="Pesos"/>
    <d v="2026-07-15T00:00:00"/>
    <s v="08/06/2026"/>
    <n v="0.96103221000000005"/>
    <m/>
    <n v="214500000"/>
    <n v="206141409.88"/>
    <n v="214500000"/>
    <n v="206141409.88"/>
    <n v="70379187"/>
    <s v="AMOMPY"/>
    <s v="Momentum Capital Investment S.A."/>
    <s v="19/05/2026"/>
    <s v="19/05/2026"/>
    <n v="40"/>
    <s v="No"/>
    <s v=""/>
    <m/>
    <m/>
    <s v="*MAV130701284"/>
    <s v="*MAV130701284"/>
    <n v="4.6306387855388279E-3"/>
  </r>
  <r>
    <x v="22"/>
    <s v="Pesos"/>
    <d v="2026-06-12T00:00:00"/>
    <s v="08/06/2026"/>
    <n v="0.99552697000000001"/>
    <m/>
    <n v="280000000"/>
    <n v="278747550.62"/>
    <n v="280000000"/>
    <n v="278747550.62"/>
    <n v="70370627"/>
    <s v="AMOMPY"/>
    <s v="Momentum Capital Investment S.A."/>
    <s v="10/04/2026"/>
    <s v="10/04/2026"/>
    <n v="41"/>
    <s v="No"/>
    <s v=""/>
    <m/>
    <m/>
    <s v="*MAV100601545"/>
    <s v="*MAV100601545"/>
    <n v="6.2616202151053214E-3"/>
  </r>
  <r>
    <x v="22"/>
    <s v="Pesos"/>
    <d v="2026-06-12T00:00:00"/>
    <s v="08/06/2026"/>
    <n v="0.99552697000000001"/>
    <m/>
    <n v="139000000"/>
    <n v="138378248.34"/>
    <n v="139000000"/>
    <n v="138378248.34"/>
    <n v="70376435"/>
    <s v="AMOMPY"/>
    <s v="Momentum Capital Investment S.A."/>
    <s v="24/04/2026"/>
    <s v="24/04/2026"/>
    <n v="41"/>
    <s v="No"/>
    <s v=""/>
    <m/>
    <m/>
    <s v="*MAV100601649"/>
    <s v="*MAV100601649"/>
    <n v="3.1084471781343769E-3"/>
  </r>
  <r>
    <x v="22"/>
    <s v="Pesos"/>
    <d v="2026-07-28T00:00:00"/>
    <s v="08/06/2026"/>
    <n v="0.94805202"/>
    <m/>
    <n v="128000000"/>
    <n v="121350658.18000001"/>
    <n v="128000000"/>
    <n v="121350658.18000001"/>
    <n v="70383675"/>
    <s v="AMOMPY"/>
    <s v="Momentum Capital Investment S.A."/>
    <s v="04/06/2026"/>
    <s v="04/06/2026"/>
    <n v="40"/>
    <s v="No"/>
    <s v=""/>
    <m/>
    <m/>
    <s v="*MAV240701354"/>
    <s v="*MAV240701354"/>
    <n v="2.7259494574432505E-3"/>
  </r>
  <r>
    <x v="23"/>
    <s v="Pesos"/>
    <d v="2026-07-22T00:00:00"/>
    <s v="08/06/2026"/>
    <n v="0.96174119000000002"/>
    <m/>
    <n v="1666000"/>
    <n v="1602260.83"/>
    <n v="1666000"/>
    <n v="1602260.83"/>
    <n v="2845"/>
    <s v="AMOMPY"/>
    <s v="Momentum Capital Investment S.A."/>
    <s v="29/05/2026"/>
    <s v="29/05/2026"/>
    <n v="33"/>
    <s v="No"/>
    <s v=""/>
    <m/>
    <m/>
    <s v="*MAV200701280"/>
    <s v="*MAV200701280"/>
    <n v="3.5992240221247656E-5"/>
  </r>
  <r>
    <x v="24"/>
    <s v="Pesos"/>
    <d v="2026-08-06T00:00:00"/>
    <s v="08/06/2026"/>
    <n v="0.93926947000000005"/>
    <m/>
    <n v="25000000"/>
    <n v="23481736.670000002"/>
    <n v="25000000"/>
    <n v="23481736.670000002"/>
    <n v="70379055"/>
    <s v="AMOMPY"/>
    <s v="Momentum Capital Investment S.A."/>
    <s v="08/06/2026"/>
    <s v="08/06/2026"/>
    <n v="40"/>
    <s v="No"/>
    <s v=""/>
    <m/>
    <m/>
    <s v="*MAV040801224"/>
    <s v="*MAV040801224"/>
    <n v="5.2747985297669673E-4"/>
  </r>
  <r>
    <x v="24"/>
    <s v="Pesos"/>
    <d v="2026-08-11T00:00:00"/>
    <s v="08/06/2026"/>
    <n v="0.93445997000000003"/>
    <m/>
    <n v="25000000"/>
    <n v="23361499.190000001"/>
    <n v="25000000"/>
    <n v="23361499.190000001"/>
    <n v="70379056"/>
    <s v="AMOMPY"/>
    <s v="Momentum Capital Investment S.A."/>
    <s v="08/06/2026"/>
    <s v="08/06/2026"/>
    <n v="40"/>
    <s v="No"/>
    <s v=""/>
    <m/>
    <m/>
    <s v="*MAV070801215"/>
    <s v="*MAV070801215"/>
    <n v="5.2477890929591195E-4"/>
  </r>
  <r>
    <x v="25"/>
    <s v="Pesos"/>
    <d v="2026-06-24T00:00:00"/>
    <s v="08/06/2026"/>
    <n v="0.98702009000000002"/>
    <m/>
    <n v="1500000000"/>
    <n v="1480530140.55"/>
    <n v="1500000000"/>
    <n v="1480530140.55"/>
    <n v="60854966"/>
    <s v="AMOMPY"/>
    <s v="Momentum Capital Investment S.A."/>
    <s v="07/05/2026"/>
    <s v="07/05/2026"/>
    <n v="30"/>
    <s v="No"/>
    <s v=""/>
    <m/>
    <m/>
    <s v="*MAV220601018"/>
    <s v="*MAV220601018"/>
    <n v="3.3257753965983898E-2"/>
  </r>
  <r>
    <x v="26"/>
    <s v="Pesos"/>
    <d v="2026-08-05T00:00:00"/>
    <s v="08/06/2026"/>
    <n v="0.95594800999999996"/>
    <m/>
    <n v="100000000"/>
    <n v="95594800.890000001"/>
    <n v="100000000"/>
    <n v="95594800.890000001"/>
    <n v="90003818"/>
    <s v="AMOMPY"/>
    <s v="Momentum Capital Investment S.A."/>
    <s v="03/06/2026"/>
    <s v="03/06/2026"/>
    <n v="29"/>
    <s v="No"/>
    <s v=""/>
    <m/>
    <m/>
    <s v="*MAV030800921"/>
    <s v="*MAV030800921"/>
    <n v="2.147385103045438E-3"/>
  </r>
  <r>
    <x v="26"/>
    <s v="Pesos"/>
    <d v="2026-08-06T00:00:00"/>
    <s v="08/06/2026"/>
    <n v="0.95522242999999996"/>
    <m/>
    <n v="100000000"/>
    <n v="95522243.170000002"/>
    <n v="100000000"/>
    <n v="95522243.170000002"/>
    <n v="90003813"/>
    <s v="AMOMPY"/>
    <s v="Momentum Capital Investment S.A."/>
    <s v="03/06/2026"/>
    <s v="03/06/2026"/>
    <n v="29"/>
    <s v="No"/>
    <s v=""/>
    <m/>
    <m/>
    <s v="*MAV040801170"/>
    <s v="*MAV040801170"/>
    <n v="2.1457552093107546E-3"/>
  </r>
  <r>
    <x v="26"/>
    <s v="Pesos"/>
    <d v="2026-08-10T00:00:00"/>
    <s v="08/06/2026"/>
    <n v="0.95233135000000002"/>
    <m/>
    <n v="100000000"/>
    <n v="95233134.549999997"/>
    <n v="100000000"/>
    <n v="95233134.549999997"/>
    <n v="90003814"/>
    <s v="AMOMPY"/>
    <s v="Momentum Capital Investment S.A."/>
    <s v="03/06/2026"/>
    <s v="03/06/2026"/>
    <n v="29"/>
    <s v="No"/>
    <s v=""/>
    <m/>
    <m/>
    <s v="*MAV060800947"/>
    <s v="*MAV060800947"/>
    <n v="2.1392608441573148E-3"/>
  </r>
  <r>
    <x v="26"/>
    <s v="Pesos"/>
    <d v="2026-08-11T00:00:00"/>
    <s v="08/06/2026"/>
    <n v="0.95161125000000002"/>
    <m/>
    <n v="100000000"/>
    <n v="95161124.5"/>
    <n v="100000000"/>
    <n v="95161124.5"/>
    <n v="90003815"/>
    <s v="AMOMPY"/>
    <s v="Momentum Capital Investment S.A."/>
    <s v="03/06/2026"/>
    <s v="03/06/2026"/>
    <n v="29"/>
    <s v="No"/>
    <s v=""/>
    <m/>
    <m/>
    <s v="*MAV070801180"/>
    <s v="*MAV070801180"/>
    <n v="2.1376432529577943E-3"/>
  </r>
  <r>
    <x v="26"/>
    <s v="Pesos"/>
    <d v="2026-08-14T00:00:00"/>
    <s v="08/06/2026"/>
    <n v="0.94945769999999996"/>
    <m/>
    <n v="100000000"/>
    <n v="94945770.480000004"/>
    <n v="100000000"/>
    <n v="94945770.480000004"/>
    <n v="90003817"/>
    <s v="AMOMPY"/>
    <s v="Momentum Capital Investment S.A."/>
    <s v="03/06/2026"/>
    <s v="03/06/2026"/>
    <n v="29"/>
    <s v="No"/>
    <s v=""/>
    <m/>
    <m/>
    <s v="*MAV120801652"/>
    <s v="*MAV120801652"/>
    <n v="2.1328056675439071E-3"/>
  </r>
  <r>
    <x v="26"/>
    <s v="Pesos"/>
    <d v="2026-07-27T00:00:00"/>
    <s v="08/06/2026"/>
    <n v="0.96252740999999997"/>
    <m/>
    <n v="100000000"/>
    <n v="96252740.930000007"/>
    <n v="100000000"/>
    <n v="96252740.930000007"/>
    <n v="90003809"/>
    <s v="AMOMPY"/>
    <s v="Momentum Capital Investment S.A."/>
    <s v="03/06/2026"/>
    <s v="03/06/2026"/>
    <n v="29"/>
    <s v="No"/>
    <s v=""/>
    <m/>
    <m/>
    <s v="*MAV230701137"/>
    <s v="*MAV230701137"/>
    <n v="2.1621646792089879E-3"/>
  </r>
  <r>
    <x v="26"/>
    <s v="Pesos"/>
    <d v="2026-07-28T00:00:00"/>
    <s v="08/06/2026"/>
    <n v="0.96179205999999995"/>
    <m/>
    <n v="100000000"/>
    <n v="96179205.819999993"/>
    <n v="100000000"/>
    <n v="96179205.819999993"/>
    <n v="90003810"/>
    <s v="AMOMPY"/>
    <s v="Momentum Capital Investment S.A."/>
    <s v="03/06/2026"/>
    <s v="03/06/2026"/>
    <n v="29"/>
    <s v="No"/>
    <s v=""/>
    <m/>
    <m/>
    <s v="*MAV240701338"/>
    <s v="*MAV240701338"/>
    <n v="2.1605128299630595E-3"/>
  </r>
  <r>
    <x v="26"/>
    <s v="Pesos"/>
    <d v="2026-07-30T00:00:00"/>
    <s v="08/06/2026"/>
    <n v="0.96032424000000005"/>
    <m/>
    <n v="100000000"/>
    <n v="96032423.560000002"/>
    <n v="100000000"/>
    <n v="96032423.560000002"/>
    <n v="90003811"/>
    <s v="AMOMPY"/>
    <s v="Momentum Capital Investment S.A."/>
    <s v="03/06/2026"/>
    <s v="03/06/2026"/>
    <n v="29"/>
    <s v="No"/>
    <s v=""/>
    <m/>
    <m/>
    <s v="*MAV280701366"/>
    <s v="*MAV280701366"/>
    <n v="2.1572156000344359E-3"/>
  </r>
  <r>
    <x v="26"/>
    <s v="Pesos"/>
    <d v="2026-08-03T00:00:00"/>
    <s v="08/06/2026"/>
    <n v="0.95740223000000002"/>
    <m/>
    <n v="100000000"/>
    <n v="95740223.170000002"/>
    <n v="100000000"/>
    <n v="95740223.170000002"/>
    <n v="90003812"/>
    <s v="AMOMPY"/>
    <s v="Momentum Capital Investment S.A."/>
    <s v="03/06/2026"/>
    <s v="03/06/2026"/>
    <n v="29"/>
    <s v="No"/>
    <s v=""/>
    <m/>
    <m/>
    <s v="*MAV300701319"/>
    <s v="*MAV300701319"/>
    <n v="2.1506517831871986E-3"/>
  </r>
  <r>
    <x v="26"/>
    <s v="Pesos"/>
    <d v="2026-08-12T00:00:00"/>
    <s v="08/06/2026"/>
    <n v="0.95089248000000004"/>
    <m/>
    <n v="100000000"/>
    <n v="95089247.530000001"/>
    <n v="100000000"/>
    <n v="95089247.530000001"/>
    <n v="90003816"/>
    <s v="AMOMPY"/>
    <s v="Momentum Capital Investment S.A."/>
    <s v="03/06/2026"/>
    <s v="03/06/2026"/>
    <n v="29"/>
    <s v="No"/>
    <s v=""/>
    <m/>
    <m/>
    <s v="*MAV100801166"/>
    <s v="*MAV100801166"/>
    <n v="2.1360286511887335E-3"/>
  </r>
  <r>
    <x v="27"/>
    <s v="Pesos"/>
    <d v="2026-06-22T00:00:00"/>
    <s v="08/06/2026"/>
    <n v="0.98637991000000003"/>
    <m/>
    <n v="16400000"/>
    <n v="16176630.48"/>
    <n v="16400000"/>
    <n v="16176630.48"/>
    <n v="14199"/>
    <s v="AMOMPY"/>
    <s v="Momentum Capital Investment S.A."/>
    <s v="20/04/2026"/>
    <s v="20/04/2026"/>
    <n v="36"/>
    <s v="No"/>
    <s v=""/>
    <m/>
    <m/>
    <s v="*MAV180601052"/>
    <s v="*MAV180601052"/>
    <n v="3.6338226542461055E-4"/>
  </r>
  <r>
    <x v="27"/>
    <s v="Pesos"/>
    <d v="2026-07-08T00:00:00"/>
    <s v="08/06/2026"/>
    <n v="0.97126137000000001"/>
    <m/>
    <n v="16500000"/>
    <n v="16025812.609999999"/>
    <n v="16500000"/>
    <n v="16025812.609999999"/>
    <n v="32344"/>
    <s v="AMOMPY"/>
    <s v="Momentum Capital Investment S.A."/>
    <s v="24/04/2026"/>
    <s v="24/04/2026"/>
    <n v="36"/>
    <s v="No"/>
    <s v=""/>
    <m/>
    <m/>
    <s v="*MAV060700792"/>
    <s v="*MAV060700792"/>
    <n v="3.5999438193831391E-4"/>
  </r>
  <r>
    <x v="27"/>
    <s v="Pesos"/>
    <d v="2026-07-03T00:00:00"/>
    <s v="08/06/2026"/>
    <n v="0.97593585999999999"/>
    <m/>
    <n v="16500000"/>
    <n v="16102941.710000001"/>
    <n v="16500000"/>
    <n v="16102941.710000001"/>
    <n v="32225"/>
    <s v="AMOMPY"/>
    <s v="Momentum Capital Investment S.A."/>
    <s v="22/04/2026"/>
    <s v="22/04/2026"/>
    <n v="36"/>
    <s v="No"/>
    <s v=""/>
    <m/>
    <m/>
    <s v="*MAV010701100"/>
    <s v="*MAV010701100"/>
    <n v="3.6172696445126764E-4"/>
  </r>
  <r>
    <x v="28"/>
    <s v="Pesos"/>
    <d v="2026-08-20T00:00:00"/>
    <s v="08/06/2026"/>
    <n v="0.94339640000000002"/>
    <m/>
    <n v="17969542.75"/>
    <n v="16952401.989999998"/>
    <n v="17969542.75"/>
    <n v="16952401.989999998"/>
    <n v="691"/>
    <s v="AMOMPY"/>
    <s v="Momentum Capital Investment S.A."/>
    <s v="06/05/2026"/>
    <s v="06/05/2026"/>
    <n v="30"/>
    <s v="No"/>
    <s v=""/>
    <m/>
    <m/>
    <s v="*MAV150801357"/>
    <s v="*MAV150801357"/>
    <n v="3.8080873808244862E-4"/>
  </r>
  <r>
    <x v="28"/>
    <s v="Pesos"/>
    <d v="2026-09-22T00:00:00"/>
    <s v="08/06/2026"/>
    <n v="0.91254570999999995"/>
    <m/>
    <n v="17106704.170000002"/>
    <n v="15610649.49"/>
    <n v="17106704.170000002"/>
    <n v="15610649.49"/>
    <n v="940"/>
    <s v="AMOMPY"/>
    <s v="Momentum Capital Investment S.A."/>
    <s v="02/06/2026"/>
    <s v="02/06/2026"/>
    <n v="33"/>
    <s v="No"/>
    <s v=""/>
    <m/>
    <m/>
    <s v="*MAV180901026"/>
    <s v="*MAV180901026"/>
    <n v="3.5066840300513198E-4"/>
  </r>
  <r>
    <x v="29"/>
    <s v="Pesos"/>
    <d v="2026-07-03T00:00:00"/>
    <s v="08/06/2026"/>
    <n v="0.97658873000000002"/>
    <m/>
    <n v="2000000"/>
    <n v="1953177.45"/>
    <n v="2000000"/>
    <n v="1953177.45"/>
    <n v="7744"/>
    <s v="AMOMPY"/>
    <s v="Momentum Capital Investment S.A."/>
    <s v="08/05/2026"/>
    <s v="08/05/2026"/>
    <n v="35"/>
    <s v="No"/>
    <s v=""/>
    <m/>
    <m/>
    <s v="*MAV010701183"/>
    <s v="*MAV010701183"/>
    <n v="4.3875023753232443E-5"/>
  </r>
  <r>
    <x v="29"/>
    <s v="Pesos"/>
    <d v="2026-07-06T00:00:00"/>
    <s v="08/06/2026"/>
    <n v="0.97385286000000004"/>
    <m/>
    <n v="2000000"/>
    <n v="1947705.71"/>
    <n v="2000000"/>
    <n v="1947705.71"/>
    <n v="7745"/>
    <s v="AMOMPY"/>
    <s v="Momentum Capital Investment S.A."/>
    <s v="08/05/2026"/>
    <s v="08/05/2026"/>
    <n v="35"/>
    <s v="No"/>
    <s v=""/>
    <m/>
    <m/>
    <s v="*MAV020700893"/>
    <s v="*MAV020700893"/>
    <n v="4.3752109820106958E-5"/>
  </r>
  <r>
    <x v="29"/>
    <s v="Pesos"/>
    <d v="2026-07-07T00:00:00"/>
    <s v="08/06/2026"/>
    <n v="0.97294424999999995"/>
    <m/>
    <n v="2000000"/>
    <n v="1945888.49"/>
    <n v="2000000"/>
    <n v="1945888.49"/>
    <n v="7746"/>
    <s v="AMOMPY"/>
    <s v="Momentum Capital Investment S.A."/>
    <s v="08/05/2026"/>
    <s v="08/05/2026"/>
    <n v="35"/>
    <s v="No"/>
    <s v=""/>
    <m/>
    <m/>
    <s v="*MAV030701081"/>
    <s v="*MAV030701081"/>
    <n v="4.3711288864148837E-5"/>
  </r>
  <r>
    <x v="29"/>
    <s v="Pesos"/>
    <d v="2026-06-16T00:00:00"/>
    <s v="08/06/2026"/>
    <n v="0.99238718999999997"/>
    <m/>
    <n v="2000000"/>
    <n v="1984774.37"/>
    <n v="2000000"/>
    <n v="1984774.37"/>
    <n v="7739"/>
    <s v="AMOMPY"/>
    <s v="Momentum Capital Investment S.A."/>
    <s v="08/05/2026"/>
    <s v="08/05/2026"/>
    <n v="35"/>
    <s v="No"/>
    <s v=""/>
    <m/>
    <m/>
    <s v="*MAV110601157"/>
    <s v="*MAV110601157"/>
    <n v="4.4584798287814025E-5"/>
  </r>
  <r>
    <x v="29"/>
    <s v="Pesos"/>
    <d v="2026-06-23T00:00:00"/>
    <s v="08/06/2026"/>
    <n v="0.98582044000000002"/>
    <m/>
    <n v="2000000"/>
    <n v="1971640.87"/>
    <n v="2000000"/>
    <n v="1971640.87"/>
    <n v="7740"/>
    <s v="AMOMPY"/>
    <s v="Momentum Capital Investment S.A."/>
    <s v="08/05/2026"/>
    <s v="08/05/2026"/>
    <n v="35"/>
    <s v="No"/>
    <s v=""/>
    <m/>
    <m/>
    <s v="*MAV190601151"/>
    <s v="*MAV190601151"/>
    <n v="4.4289775106759445E-5"/>
  </r>
  <r>
    <x v="29"/>
    <s v="Pesos"/>
    <d v="2026-06-10T00:00:00"/>
    <s v="08/06/2026"/>
    <n v="0.99808587999999998"/>
    <m/>
    <n v="2000000"/>
    <n v="1996171.76"/>
    <n v="2000000"/>
    <n v="1996171.76"/>
    <n v="7738"/>
    <s v="AMOMPY"/>
    <s v="Momentum Capital Investment S.A."/>
    <s v="08/05/2026"/>
    <s v="08/05/2026"/>
    <n v="35"/>
    <s v="No"/>
    <s v=""/>
    <m/>
    <m/>
    <s v="*MAV060601256"/>
    <s v="*MAV060601256"/>
    <n v="4.4840822520008007E-5"/>
  </r>
  <r>
    <x v="29"/>
    <s v="Pesos"/>
    <d v="2026-07-13T00:00:00"/>
    <s v="08/06/2026"/>
    <n v="0.96752833000000005"/>
    <m/>
    <n v="2000000"/>
    <n v="1935056.66"/>
    <n v="2000000"/>
    <n v="1935056.66"/>
    <n v="7747"/>
    <s v="AMOMPY"/>
    <s v="Momentum Capital Investment S.A."/>
    <s v="08/05/2026"/>
    <s v="08/05/2026"/>
    <n v="35"/>
    <s v="No"/>
    <s v=""/>
    <m/>
    <m/>
    <s v="*MAV070701218"/>
    <s v="*MAV070701218"/>
    <n v="4.3467969037503807E-5"/>
  </r>
  <r>
    <x v="29"/>
    <s v="Pesos"/>
    <d v="2026-06-24T00:00:00"/>
    <s v="08/06/2026"/>
    <n v="0.98488938000000004"/>
    <m/>
    <n v="2000000"/>
    <n v="1969778.77"/>
    <n v="2000000"/>
    <n v="1969778.77"/>
    <n v="7741"/>
    <s v="AMOMPY"/>
    <s v="Momentum Capital Investment S.A."/>
    <s v="08/05/2026"/>
    <s v="08/05/2026"/>
    <n v="35"/>
    <s v="No"/>
    <s v=""/>
    <m/>
    <m/>
    <s v="*MAV200601160"/>
    <s v="*MAV200601160"/>
    <n v="4.4247945993008976E-5"/>
  </r>
  <r>
    <x v="29"/>
    <s v="Pesos"/>
    <d v="2026-06-29T00:00:00"/>
    <s v="08/06/2026"/>
    <n v="0.98026062000000003"/>
    <m/>
    <n v="2000000"/>
    <n v="1960521.23"/>
    <n v="2000000"/>
    <n v="1960521.23"/>
    <n v="7742"/>
    <s v="AMOMPY"/>
    <s v="Momentum Capital Investment S.A."/>
    <s v="08/05/2026"/>
    <s v="08/05/2026"/>
    <n v="35"/>
    <s v="No"/>
    <s v=""/>
    <m/>
    <m/>
    <s v="*MAV250601205"/>
    <s v="*MAV250601205"/>
    <n v="4.4039990086393069E-5"/>
  </r>
  <r>
    <x v="29"/>
    <s v="Pesos"/>
    <d v="2026-06-30T00:00:00"/>
    <s v="08/06/2026"/>
    <n v="0.97934001999999998"/>
    <m/>
    <n v="2000000"/>
    <n v="1958680.04"/>
    <n v="2000000"/>
    <n v="1958680.04"/>
    <n v="7743"/>
    <s v="AMOMPY"/>
    <s v="Momentum Capital Investment S.A."/>
    <s v="08/05/2026"/>
    <s v="08/05/2026"/>
    <n v="35"/>
    <s v="No"/>
    <s v=""/>
    <m/>
    <m/>
    <s v="*MAV260601332"/>
    <s v="*MAV260601332"/>
    <n v="4.3998630682523128E-5"/>
  </r>
  <r>
    <x v="30"/>
    <s v="Pesos"/>
    <d v="2026-09-08T00:00:00"/>
    <s v="08/06/2026"/>
    <n v="0.90841225000000003"/>
    <m/>
    <n v="12166667"/>
    <n v="11052349.310000001"/>
    <n v="12166667"/>
    <n v="11052349.310000001"/>
    <n v="90020552"/>
    <s v="AMOMPY"/>
    <s v="Momentum Capital Investment S.A."/>
    <s v="12/05/2026"/>
    <s v="12/05/2026"/>
    <n v="40"/>
    <s v="No"/>
    <s v=""/>
    <m/>
    <m/>
    <s v="*MAV040900876"/>
    <s v="*MAV040900876"/>
    <n v="2.482734420803764E-4"/>
  </r>
  <r>
    <x v="30"/>
    <s v="Pesos"/>
    <d v="2026-09-09T00:00:00"/>
    <s v="08/06/2026"/>
    <n v="0.90750872999999999"/>
    <m/>
    <n v="15166667"/>
    <n v="13763882.76"/>
    <n v="15166667"/>
    <n v="13763882.76"/>
    <n v="90020553"/>
    <s v="AMOMPY"/>
    <s v="Momentum Capital Investment S.A."/>
    <s v="12/05/2026"/>
    <s v="11/05/2026"/>
    <n v="40"/>
    <s v="No"/>
    <s v=""/>
    <m/>
    <m/>
    <s v="*MAV070900746"/>
    <s v="*MAV070900746"/>
    <n v="3.0918372676876164E-4"/>
  </r>
  <r>
    <x v="30"/>
    <s v="Pesos"/>
    <d v="2026-09-03T00:00:00"/>
    <s v="08/06/2026"/>
    <n v="0.91295667000000003"/>
    <m/>
    <n v="12166667"/>
    <n v="11107639.82"/>
    <n v="12166667"/>
    <n v="11107639.82"/>
    <n v="90020550"/>
    <s v="AMOMPY"/>
    <s v="Momentum Capital Investment S.A."/>
    <s v="12/05/2026"/>
    <s v="12/05/2026"/>
    <n v="40"/>
    <s v="No"/>
    <s v=""/>
    <m/>
    <m/>
    <s v="*MAV010901143"/>
    <s v="*MAV010901143"/>
    <n v="2.4951545541591755E-4"/>
  </r>
  <r>
    <x v="30"/>
    <s v="Pesos"/>
    <d v="2026-09-04T00:00:00"/>
    <s v="08/06/2026"/>
    <n v="0.91204410000000002"/>
    <m/>
    <n v="15166667"/>
    <n v="13832669.220000001"/>
    <n v="15166667"/>
    <n v="13832669.220000001"/>
    <n v="90020551"/>
    <s v="AMOMPY"/>
    <s v="Momentum Capital Investment S.A."/>
    <s v="12/05/2026"/>
    <s v="12/05/2026"/>
    <n v="40"/>
    <s v="No"/>
    <s v=""/>
    <m/>
    <m/>
    <s v="*MAV020901153"/>
    <s v="*MAV020901153"/>
    <n v="3.1072890514792056E-4"/>
  </r>
  <r>
    <x v="31"/>
    <s v="Pesos"/>
    <d v="2026-06-18T00:00:00"/>
    <s v="08/06/2026"/>
    <n v="0.99130914000000003"/>
    <m/>
    <n v="6600000"/>
    <n v="6542640.29"/>
    <n v="6600000"/>
    <n v="6542640.29"/>
    <n v="13668412"/>
    <s v="AMOMPY"/>
    <s v="Momentum Capital Investment S.A."/>
    <s v="15/05/2026"/>
    <s v="15/05/2026"/>
    <n v="32"/>
    <s v="No"/>
    <s v=""/>
    <m/>
    <m/>
    <s v="*MAV150601400"/>
    <s v="*MAV150601400"/>
    <n v="1.4697000425261186E-4"/>
  </r>
  <r>
    <x v="31"/>
    <s v="Pesos"/>
    <d v="2026-06-23T00:00:00"/>
    <s v="08/06/2026"/>
    <n v="0.98702005000000004"/>
    <m/>
    <n v="6600000"/>
    <n v="6514332.3200000003"/>
    <n v="6600000"/>
    <n v="6514332.3200000003"/>
    <n v="13668413"/>
    <s v="AMOMPY"/>
    <s v="Momentum Capital Investment S.A."/>
    <s v="15/05/2026"/>
    <s v="15/05/2026"/>
    <n v="32"/>
    <s v="No"/>
    <s v=""/>
    <m/>
    <m/>
    <s v="*MAV190601217"/>
    <s v="*MAV190601217"/>
    <n v="1.4633411074679867E-4"/>
  </r>
  <r>
    <x v="31"/>
    <s v="Pesos"/>
    <d v="2026-06-24T00:00:00"/>
    <s v="08/06/2026"/>
    <n v="0.98787488000000001"/>
    <m/>
    <n v="3665841.29"/>
    <n v="3621392.51"/>
    <n v="3665841.29"/>
    <n v="3621392.51"/>
    <n v="13668324"/>
    <s v="AMOMPY"/>
    <s v="Momentum Capital Investment S.A."/>
    <s v="12/05/2026"/>
    <s v="12/05/2026"/>
    <n v="28"/>
    <s v="No"/>
    <s v=""/>
    <m/>
    <m/>
    <s v="*MAV220601046"/>
    <s v="*MAV220601046"/>
    <n v="8.1348820812992723E-5"/>
  </r>
  <r>
    <x v="31"/>
    <s v="Pesos"/>
    <d v="2026-06-26T00:00:00"/>
    <s v="08/06/2026"/>
    <n v="0.98398668"/>
    <m/>
    <n v="6600000"/>
    <n v="6494312.0700000003"/>
    <n v="6600000"/>
    <n v="6494312.0700000003"/>
    <n v="13668414"/>
    <s v="AMOMPY"/>
    <s v="Momentum Capital Investment S.A."/>
    <s v="18/05/2026"/>
    <s v="18/05/2026"/>
    <n v="33"/>
    <s v="No"/>
    <s v=""/>
    <m/>
    <m/>
    <s v="*MAV240601367"/>
    <s v="*MAV240601367"/>
    <n v="1.458843876843623E-4"/>
  </r>
  <r>
    <x v="31"/>
    <s v="Pesos"/>
    <d v="2026-07-01T00:00:00"/>
    <s v="08/06/2026"/>
    <n v="0.97962923999999996"/>
    <m/>
    <n v="6885841.1299999999"/>
    <n v="6745571.2800000003"/>
    <n v="6885841.1299999999"/>
    <n v="6745571.2800000003"/>
    <n v="13668415"/>
    <s v="AMOMPY"/>
    <s v="Momentum Capital Investment S.A."/>
    <s v="18/05/2026"/>
    <s v="18/05/2026"/>
    <n v="33"/>
    <s v="No"/>
    <s v=""/>
    <m/>
    <m/>
    <s v="*MAV290600938"/>
    <s v="*MAV290600938"/>
    <n v="1.5152852606358045E-4"/>
  </r>
  <r>
    <x v="32"/>
    <s v="Pesos"/>
    <d v="2026-10-08T00:00:00"/>
    <s v="08/06/2026"/>
    <n v="0.88467702999999998"/>
    <m/>
    <n v="3750000"/>
    <n v="3317538.85"/>
    <n v="3750000"/>
    <n v="3317538.85"/>
    <n v="66919994"/>
    <s v="AMOMPY"/>
    <s v="Momentum Capital Investment S.A."/>
    <s v="13/05/2026"/>
    <s v="13/05/2026"/>
    <n v="39"/>
    <s v="No"/>
    <s v=""/>
    <m/>
    <m/>
    <s v="*MAV061001207"/>
    <s v="*MAV061001207"/>
    <n v="7.4523231796487025E-5"/>
  </r>
  <r>
    <x v="32"/>
    <s v="Pesos"/>
    <d v="2026-10-13T00:00:00"/>
    <s v="08/06/2026"/>
    <n v="0.8805153"/>
    <m/>
    <n v="3750000"/>
    <n v="3301932.39"/>
    <n v="3750000"/>
    <n v="3301932.39"/>
    <n v="66920072"/>
    <s v="AMOMPY"/>
    <s v="Momentum Capital Investment S.A."/>
    <s v="13/05/2026"/>
    <s v="13/05/2026"/>
    <n v="39"/>
    <s v="No"/>
    <s v=""/>
    <m/>
    <m/>
    <s v="*MAV081001027"/>
    <s v="*MAV081001027"/>
    <n v="7.417265750370893E-5"/>
  </r>
  <r>
    <x v="32"/>
    <s v="Pesos"/>
    <d v="2026-10-16T00:00:00"/>
    <s v="08/06/2026"/>
    <n v="0.87803710999999995"/>
    <m/>
    <n v="3750000"/>
    <n v="3292639.16"/>
    <n v="3750000"/>
    <n v="3292639.16"/>
    <n v="66920206"/>
    <s v="AMOMPY"/>
    <s v="Momentum Capital Investment S.A."/>
    <s v="13/05/2026"/>
    <s v="13/05/2026"/>
    <n v="39"/>
    <s v="No"/>
    <s v=""/>
    <m/>
    <m/>
    <s v="*MAV141001310"/>
    <s v="*MAV141001310"/>
    <n v="7.3963899878028657E-5"/>
  </r>
  <r>
    <x v="32"/>
    <s v="Pesos"/>
    <d v="2026-11-19T00:00:00"/>
    <s v="08/06/2026"/>
    <n v="0.85089541999999996"/>
    <m/>
    <n v="3750000"/>
    <n v="3190857.82"/>
    <n v="3750000"/>
    <n v="3190857.82"/>
    <n v="66918963"/>
    <s v="AMOMPY"/>
    <s v="Momentum Capital Investment S.A."/>
    <s v="13/05/2026"/>
    <s v="13/05/2026"/>
    <n v="39"/>
    <s v="No"/>
    <s v=""/>
    <m/>
    <m/>
    <s v="*MAV171101249"/>
    <s v="*MAV171101249"/>
    <n v="7.1677544017153942E-5"/>
  </r>
  <r>
    <x v="32"/>
    <s v="Pesos"/>
    <d v="2026-10-19T00:00:00"/>
    <s v="08/06/2026"/>
    <n v="0.87557282999999997"/>
    <m/>
    <n v="3750000"/>
    <n v="3283398.11"/>
    <n v="3750000"/>
    <n v="3283398.11"/>
    <n v="66917997"/>
    <s v="AMOMPY"/>
    <s v="Momentum Capital Investment S.A."/>
    <s v="13/05/2026"/>
    <s v="13/05/2026"/>
    <n v="39"/>
    <s v="No"/>
    <s v=""/>
    <m/>
    <m/>
    <s v="*MAV151001351"/>
    <s v="*MAV151001351"/>
    <n v="7.3756314393025844E-5"/>
  </r>
  <r>
    <x v="32"/>
    <s v="Pesos"/>
    <d v="2026-11-12T00:00:00"/>
    <s v="08/06/2026"/>
    <n v="0.85634538000000004"/>
    <m/>
    <n v="3750000"/>
    <n v="3211295.16"/>
    <n v="3750000"/>
    <n v="3211295.16"/>
    <n v="66918856"/>
    <s v="AMOMPY"/>
    <s v="Momentum Capital Investment S.A."/>
    <s v="13/05/2026"/>
    <s v="13/05/2026"/>
    <n v="39"/>
    <s v="No"/>
    <s v=""/>
    <m/>
    <m/>
    <s v="*MAV101101561"/>
    <s v="*MAV101101561"/>
    <n v="7.2136636342816875E-5"/>
  </r>
  <r>
    <x v="32"/>
    <s v="Pesos"/>
    <d v="2026-11-16T00:00:00"/>
    <s v="08/06/2026"/>
    <n v="0.85322255999999996"/>
    <m/>
    <n v="3750000"/>
    <n v="3199584.62"/>
    <n v="3750000"/>
    <n v="3199584.62"/>
    <n v="66918897"/>
    <s v="AMOMPY"/>
    <s v="Momentum Capital Investment S.A."/>
    <s v="13/05/2026"/>
    <s v="13/05/2026"/>
    <n v="39"/>
    <s v="No"/>
    <s v=""/>
    <m/>
    <m/>
    <s v="*MAV121101139"/>
    <s v="*MAV121101139"/>
    <n v="7.1873577694119505E-5"/>
  </r>
  <r>
    <x v="32"/>
    <s v="Pesos"/>
    <d v="2026-10-22T00:00:00"/>
    <s v="08/06/2026"/>
    <n v="0.87312234"/>
    <m/>
    <n v="3750000"/>
    <n v="3274208.79"/>
    <n v="3750000"/>
    <n v="3274208.79"/>
    <n v="66918105"/>
    <s v="AMOMPY"/>
    <s v="Momentum Capital Investment S.A."/>
    <s v="13/05/2026"/>
    <s v="13/05/2026"/>
    <n v="39"/>
    <s v="No"/>
    <s v=""/>
    <m/>
    <m/>
    <s v="*MAV201001458"/>
    <s v="*MAV201001458"/>
    <n v="7.3549890940166474E-5"/>
  </r>
  <r>
    <x v="32"/>
    <s v="Pesos"/>
    <d v="2026-10-26T00:00:00"/>
    <s v="08/06/2026"/>
    <n v="0.86987619999999999"/>
    <m/>
    <n v="3750000"/>
    <n v="3262035.76"/>
    <n v="3750000"/>
    <n v="3262035.76"/>
    <n v="66918134"/>
    <s v="AMOMPY"/>
    <s v="Momentum Capital Investment S.A."/>
    <s v="13/05/2026"/>
    <s v="13/05/2026"/>
    <n v="39"/>
    <s v="No"/>
    <s v=""/>
    <m/>
    <m/>
    <s v="*MAV221000981"/>
    <s v="*MAV221000981"/>
    <n v="7.3276443189477556E-5"/>
  </r>
  <r>
    <x v="32"/>
    <s v="Pesos"/>
    <d v="2026-11-02T00:00:00"/>
    <s v="08/06/2026"/>
    <n v="0.86425322000000004"/>
    <m/>
    <n v="3750000"/>
    <n v="3240949.59"/>
    <n v="3750000"/>
    <n v="3240949.59"/>
    <n v="66918247"/>
    <s v="AMOMPY"/>
    <s v="Momentum Capital Investment S.A."/>
    <s v="13/05/2026"/>
    <s v="13/05/2026"/>
    <n v="39"/>
    <s v="No"/>
    <s v=""/>
    <m/>
    <m/>
    <s v="*MAV291001079"/>
    <s v="*MAV291001079"/>
    <n v="7.280277593020488E-5"/>
  </r>
  <r>
    <x v="32"/>
    <s v="Pesos"/>
    <d v="2026-11-05T00:00:00"/>
    <s v="08/06/2026"/>
    <n v="0.86186560000000001"/>
    <m/>
    <n v="3750000"/>
    <n v="3231996"/>
    <n v="3750000"/>
    <n v="3231996"/>
    <n v="66918287"/>
    <s v="AMOMPY"/>
    <s v="Momentum Capital Investment S.A."/>
    <s v="13/05/2026"/>
    <s v="13/05/2026"/>
    <n v="39"/>
    <s v="No"/>
    <s v=""/>
    <m/>
    <m/>
    <s v="*MAV031101211"/>
    <s v="*MAV031101211"/>
    <n v="7.2601647776730292E-5"/>
  </r>
  <r>
    <x v="32"/>
    <s v="Pesos"/>
    <d v="2026-11-10T00:00:00"/>
    <s v="08/06/2026"/>
    <n v="0.85791525000000002"/>
    <m/>
    <n v="3750000"/>
    <n v="3217182.18"/>
    <n v="3750000"/>
    <n v="3217182.18"/>
    <n v="66918815"/>
    <s v="AMOMPY"/>
    <s v="Momentum Capital Investment S.A."/>
    <s v="13/05/2026"/>
    <s v="13/05/2026"/>
    <n v="39"/>
    <s v="No"/>
    <s v=""/>
    <m/>
    <m/>
    <s v="*MAV051100975"/>
    <s v="*MAV051100975"/>
    <n v="7.2268878880398776E-5"/>
  </r>
  <r>
    <x v="32"/>
    <s v="Pesos"/>
    <d v="2026-10-29T00:00:00"/>
    <s v="08/06/2026"/>
    <n v="0.86745744999999996"/>
    <m/>
    <n v="3750000"/>
    <n v="3252965.45"/>
    <n v="3750000"/>
    <n v="3252965.45"/>
    <n v="66918205"/>
    <s v="AMOMPY"/>
    <s v="Momentum Capital Investment S.A."/>
    <s v="13/05/2026"/>
    <s v="13/05/2026"/>
    <n v="39"/>
    <s v="No"/>
    <s v=""/>
    <m/>
    <m/>
    <s v="*MAV271001267"/>
    <s v="*MAV271001267"/>
    <n v="7.3072693106913803E-5"/>
  </r>
  <r>
    <x v="33"/>
    <s v="Pesos"/>
    <d v="2026-07-21T00:00:00"/>
    <s v="08/06/2026"/>
    <n v="0.95823161999999995"/>
    <m/>
    <n v="5000000"/>
    <n v="4791158.12"/>
    <n v="5000000"/>
    <n v="4791158.12"/>
    <n v="66786647"/>
    <s v="AMOMPY"/>
    <s v="Momentum Capital Investment S.A."/>
    <s v="13/05/2026"/>
    <s v="13/05/2026"/>
    <n v="37"/>
    <s v="No"/>
    <s v=""/>
    <m/>
    <m/>
    <s v="*MAV170701525"/>
    <s v="*MAV170701525"/>
    <n v="1.0762574405131111E-4"/>
  </r>
  <r>
    <x v="33"/>
    <s v="Pesos"/>
    <d v="2026-07-22T00:00:00"/>
    <s v="08/06/2026"/>
    <n v="0.95730188999999999"/>
    <m/>
    <n v="5454223.6600000001"/>
    <n v="5221338.6399999997"/>
    <n v="5454223.6600000001"/>
    <n v="5221338.6399999997"/>
    <n v="66786698"/>
    <s v="AMOMPY"/>
    <s v="Momentum Capital Investment S.A."/>
    <s v="13/05/2026"/>
    <s v="13/05/2026"/>
    <n v="37"/>
    <s v="No"/>
    <s v=""/>
    <m/>
    <m/>
    <s v="*MAV200701147"/>
    <s v="*MAV200701147"/>
    <n v="1.1728906498161259E-4"/>
  </r>
  <r>
    <x v="34"/>
    <s v="Pesos"/>
    <d v="2026-07-08T00:00:00"/>
    <s v="08/06/2026"/>
    <n v="0.97048670000000004"/>
    <m/>
    <n v="28270320.699999999"/>
    <n v="27435970.129999999"/>
    <n v="28270320.699999999"/>
    <n v="27435970.129999999"/>
    <n v="29253353"/>
    <s v="AMOMPY"/>
    <s v="Momentum Capital Investment S.A."/>
    <s v="13/05/2026"/>
    <s v="13/05/2026"/>
    <n v="37"/>
    <s v="No"/>
    <s v=""/>
    <m/>
    <m/>
    <s v="*MAV040701074"/>
    <s v="*MAV040701074"/>
    <n v="6.1630541615495602E-4"/>
  </r>
  <r>
    <x v="35"/>
    <s v="Pesos"/>
    <d v="2026-08-04T00:00:00"/>
    <s v="08/06/2026"/>
    <n v="0.94537548999999999"/>
    <m/>
    <n v="6598885.3799999999"/>
    <n v="6238424.5"/>
    <n v="6598885.3799999999"/>
    <n v="6238424.5"/>
    <n v="10902567"/>
    <s v="AMOMPY"/>
    <s v="Momentum Capital Investment S.A."/>
    <s v="13/05/2026"/>
    <s v="13/05/2026"/>
    <n v="37"/>
    <s v="No"/>
    <s v=""/>
    <m/>
    <m/>
    <s v="*MAV310701425"/>
    <s v="*MAV310701425"/>
    <n v="1.4013628056183387E-4"/>
  </r>
  <r>
    <x v="36"/>
    <s v="Pesos"/>
    <d v="2026-07-15T00:00:00"/>
    <s v="08/06/2026"/>
    <n v="0.96479172999999996"/>
    <m/>
    <n v="2040817"/>
    <n v="1968963.37"/>
    <n v="2040817"/>
    <n v="1968963.37"/>
    <n v="66894092"/>
    <s v="AMOMPY"/>
    <s v="Momentum Capital Investment S.A."/>
    <s v="18/05/2026"/>
    <s v="18/05/2026"/>
    <n v="36"/>
    <s v="No"/>
    <s v=""/>
    <m/>
    <m/>
    <s v="*MAV090700511"/>
    <s v="*MAV090700511"/>
    <n v="4.4229629329375375E-5"/>
  </r>
  <r>
    <x v="36"/>
    <s v="Pesos"/>
    <d v="2026-07-15T00:00:00"/>
    <s v="08/06/2026"/>
    <n v="0.96479172999999996"/>
    <m/>
    <n v="2040817"/>
    <n v="1968963.37"/>
    <n v="2040817"/>
    <n v="1968963.37"/>
    <n v="66894107"/>
    <s v="AMOMPY"/>
    <s v="Momentum Capital Investment S.A."/>
    <s v="18/05/2026"/>
    <s v="18/05/2026"/>
    <n v="36"/>
    <s v="No"/>
    <s v=""/>
    <m/>
    <m/>
    <s v="*MAV100701523"/>
    <s v="*MAV100701523"/>
    <n v="4.4229629329375375E-5"/>
  </r>
  <r>
    <x v="36"/>
    <s v="Pesos"/>
    <d v="2026-07-15T00:00:00"/>
    <s v="08/06/2026"/>
    <n v="0.96479172999999996"/>
    <m/>
    <n v="2040817"/>
    <n v="1968963.37"/>
    <n v="2040817"/>
    <n v="1968963.37"/>
    <n v="66894124"/>
    <s v="AMOMPY"/>
    <s v="Momentum Capital Investment S.A."/>
    <s v="18/05/2026"/>
    <s v="18/05/2026"/>
    <n v="36"/>
    <s v="No"/>
    <s v=""/>
    <m/>
    <m/>
    <s v="*MAV110701243"/>
    <s v="*MAV110701243"/>
    <n v="4.4229629329375375E-5"/>
  </r>
  <r>
    <x v="37"/>
    <s v="Pesos"/>
    <d v="2026-06-24T00:00:00"/>
    <s v="08/06/2026"/>
    <n v="0.98616674999999998"/>
    <m/>
    <n v="2000000"/>
    <n v="1972333.5"/>
    <n v="2000000"/>
    <n v="1972333.5"/>
    <n v="377"/>
    <s v="AMOMPY"/>
    <s v="Momentum Capital Investment S.A."/>
    <s v="21/05/2026"/>
    <s v="21/05/2026"/>
    <n v="32"/>
    <s v="No"/>
    <s v=""/>
    <m/>
    <m/>
    <s v="*MAV200601256"/>
    <s v="*MAV200601256"/>
    <n v="4.43053339376799E-5"/>
  </r>
  <r>
    <x v="37"/>
    <s v="Pesos"/>
    <d v="2026-07-08T00:00:00"/>
    <s v="08/06/2026"/>
    <n v="0.97437282000000003"/>
    <m/>
    <n v="2000000"/>
    <n v="1948745.65"/>
    <n v="2000000"/>
    <n v="1948745.65"/>
    <n v="379"/>
    <s v="AMOMPY"/>
    <s v="Momentum Capital Investment S.A."/>
    <s v="21/05/2026"/>
    <s v="21/05/2026"/>
    <n v="32"/>
    <s v="No"/>
    <s v=""/>
    <m/>
    <m/>
    <s v="*MAV040701105"/>
    <s v="*MAV040701105"/>
    <n v="4.3775470417579517E-5"/>
  </r>
  <r>
    <x v="37"/>
    <s v="Pesos"/>
    <d v="2026-07-01T00:00:00"/>
    <s v="08/06/2026"/>
    <n v="0.98023431999999999"/>
    <m/>
    <n v="2000000"/>
    <n v="1960468.63"/>
    <n v="2000000"/>
    <n v="1960468.63"/>
    <n v="378"/>
    <s v="AMOMPY"/>
    <s v="Momentum Capital Investment S.A."/>
    <s v="21/05/2026"/>
    <s v="21/05/2026"/>
    <n v="32"/>
    <s v="No"/>
    <s v=""/>
    <m/>
    <m/>
    <s v="*MAV270601240"/>
    <s v="*MAV270601240"/>
    <n v="4.4038808511083856E-5"/>
  </r>
  <r>
    <x v="37"/>
    <s v="Pesos"/>
    <d v="2026-06-29T00:00:00"/>
    <s v="08/06/2026"/>
    <n v="0.98192197999999997"/>
    <m/>
    <n v="2000000"/>
    <n v="1963843.97"/>
    <n v="2000000"/>
    <n v="1963843.97"/>
    <n v="383"/>
    <s v="AMOMPY"/>
    <s v="Momentum Capital Investment S.A."/>
    <s v="22/05/2026"/>
    <s v="22/05/2026"/>
    <n v="32"/>
    <s v="No"/>
    <s v=""/>
    <m/>
    <m/>
    <s v="*MAV250601315"/>
    <s v="*MAV250601315"/>
    <n v="4.4114630153748862E-5"/>
  </r>
  <r>
    <x v="37"/>
    <s v="Pesos"/>
    <d v="2026-07-01T00:00:00"/>
    <s v="08/06/2026"/>
    <n v="0.98023419000000001"/>
    <m/>
    <n v="2000000"/>
    <n v="1960468.37"/>
    <n v="2000000"/>
    <n v="1960468.37"/>
    <n v="384"/>
    <s v="AMOMPY"/>
    <s v="Momentum Capital Investment S.A."/>
    <s v="22/05/2026"/>
    <s v="22/05/2026"/>
    <n v="32"/>
    <s v="No"/>
    <s v=""/>
    <m/>
    <m/>
    <s v="*MAV280601107"/>
    <s v="*MAV280601107"/>
    <n v="4.4038802670597544E-5"/>
  </r>
  <r>
    <x v="37"/>
    <s v="Pesos"/>
    <d v="2026-07-02T00:00:00"/>
    <s v="08/06/2026"/>
    <n v="0.97939264999999998"/>
    <m/>
    <n v="2000000"/>
    <n v="1958785.3"/>
    <n v="2000000"/>
    <n v="1958785.3"/>
    <n v="385"/>
    <s v="AMOMPY"/>
    <s v="Momentum Capital Investment S.A."/>
    <s v="22/05/2026"/>
    <s v="22/05/2026"/>
    <n v="32"/>
    <s v="No"/>
    <s v=""/>
    <m/>
    <m/>
    <s v="*MAV300602338"/>
    <s v="*MAV300602338"/>
    <n v="4.4000995180946072E-5"/>
  </r>
  <r>
    <x v="38"/>
    <s v="Pesos"/>
    <d v="2026-07-21T00:00:00"/>
    <s v="08/06/2026"/>
    <n v="0.96040000999999997"/>
    <m/>
    <n v="1000000000"/>
    <n v="960400012.60000002"/>
    <n v="1000000000"/>
    <n v="960400012.60000002"/>
    <n v="150840"/>
    <s v="AMOMPY"/>
    <s v="Momentum Capital Investment S.A."/>
    <s v="21/05/2026"/>
    <s v="21/05/2026"/>
    <n v="35"/>
    <s v="No"/>
    <s v=""/>
    <m/>
    <m/>
    <s v="#MAV200760063"/>
    <s v="#MAV200760063"/>
    <n v="2.1573858210082109E-2"/>
  </r>
  <r>
    <x v="39"/>
    <s v="Pesos"/>
    <d v="2026-06-12T00:00:00"/>
    <s v="08/06/2026"/>
    <n v="0.99563559000000001"/>
    <m/>
    <n v="50000000"/>
    <n v="49781779.439999998"/>
    <n v="50000000"/>
    <n v="49781779.439999998"/>
    <n v="70233904"/>
    <s v="AMOMPY"/>
    <s v="Momentum Capital Investment S.A."/>
    <s v="22/05/2026"/>
    <s v="22/05/2026"/>
    <n v="40"/>
    <s v="No"/>
    <s v=""/>
    <m/>
    <m/>
    <s v="*MAV100601983"/>
    <s v="*MAV100601983"/>
    <n v="1.1182684683402311E-3"/>
  </r>
  <r>
    <x v="39"/>
    <s v="Pesos"/>
    <d v="2026-06-17T00:00:00"/>
    <s v="08/06/2026"/>
    <n v="0.99023342999999997"/>
    <m/>
    <n v="80000000"/>
    <n v="79218674.739999995"/>
    <n v="80000000"/>
    <n v="79218674.739999995"/>
    <n v="70233905"/>
    <s v="AMOMPY"/>
    <s v="Momentum Capital Investment S.A."/>
    <s v="22/05/2026"/>
    <s v="22/05/2026"/>
    <n v="40"/>
    <s v="No"/>
    <s v=""/>
    <m/>
    <m/>
    <s v="*MAV120602040"/>
    <s v="*MAV120602040"/>
    <n v="1.779521484807791E-3"/>
  </r>
  <r>
    <x v="39"/>
    <s v="Pesos"/>
    <d v="2026-06-18T00:00:00"/>
    <s v="08/06/2026"/>
    <n v="0.98915998000000005"/>
    <m/>
    <n v="100000000"/>
    <n v="98915997.900000006"/>
    <n v="100000000"/>
    <n v="98915997.900000006"/>
    <n v="70233906"/>
    <s v="AMOMPY"/>
    <s v="Momentum Capital Investment S.A."/>
    <s v="22/05/2026"/>
    <s v="22/05/2026"/>
    <n v="40"/>
    <s v="No"/>
    <s v=""/>
    <m/>
    <m/>
    <s v="*MAV160601664"/>
    <s v="*MAV160601664"/>
    <n v="2.2219905095859013E-3"/>
  </r>
  <r>
    <x v="39"/>
    <s v="Pesos"/>
    <d v="2026-06-19T00:00:00"/>
    <s v="08/06/2026"/>
    <n v="0.98808883999999997"/>
    <m/>
    <n v="100000000"/>
    <n v="98808884.299999997"/>
    <n v="100000000"/>
    <n v="98808884.299999997"/>
    <n v="70233907"/>
    <s v="AMOMPY"/>
    <s v="Momentum Capital Investment S.A."/>
    <s v="22/05/2026"/>
    <s v="22/05/2026"/>
    <n v="40"/>
    <s v="No"/>
    <s v=""/>
    <m/>
    <m/>
    <s v="*MAV170601349"/>
    <s v="*MAV170601349"/>
    <n v="2.2195843729881769E-3"/>
  </r>
  <r>
    <x v="39"/>
    <s v="Pesos"/>
    <d v="2026-06-22T00:00:00"/>
    <s v="08/06/2026"/>
    <n v="0.98488945999999999"/>
    <m/>
    <n v="100000000"/>
    <n v="98488945.75"/>
    <n v="100000000"/>
    <n v="98488945.75"/>
    <n v="70233908"/>
    <s v="AMOMPY"/>
    <s v="Momentum Capital Investment S.A."/>
    <s v="22/05/2026"/>
    <s v="22/05/2026"/>
    <n v="40"/>
    <s v="No"/>
    <s v=""/>
    <m/>
    <m/>
    <s v="*MAV180601305"/>
    <s v="*MAV180601305"/>
    <n v="2.2123974625101635E-3"/>
  </r>
  <r>
    <x v="40"/>
    <s v="Pesos"/>
    <d v="2026-06-18T00:00:00"/>
    <s v="08/06/2026"/>
    <n v="0.99157843999999995"/>
    <m/>
    <n v="2300554.7599999998"/>
    <n v="2281180.5"/>
    <n v="2300554.7599999998"/>
    <n v="2281180.5"/>
    <n v="53323064"/>
    <s v="AMOMPY"/>
    <s v="Momentum Capital Investment S.A."/>
    <s v="22/05/2026"/>
    <s v="22/05/2026"/>
    <n v="31"/>
    <s v="No"/>
    <s v=""/>
    <m/>
    <m/>
    <s v="*MAV130601328"/>
    <s v="*MAV130601328"/>
    <n v="5.1243090392483623E-5"/>
  </r>
  <r>
    <x v="41"/>
    <s v="Pesos"/>
    <d v="2026-08-20T00:00:00"/>
    <s v="08/06/2026"/>
    <n v="0.93808647999999994"/>
    <m/>
    <n v="3900000"/>
    <n v="3658537.27"/>
    <n v="3900000"/>
    <n v="3658537.27"/>
    <n v="284"/>
    <s v="AMOMPY"/>
    <s v="Momentum Capital Investment S.A."/>
    <s v="27/05/2026"/>
    <s v="27/05/2026"/>
    <n v="33"/>
    <s v="No"/>
    <s v=""/>
    <m/>
    <m/>
    <s v="*MAV170800745"/>
    <s v="*MAV170800745"/>
    <n v="8.2183218746118626E-5"/>
  </r>
  <r>
    <x v="41"/>
    <s v="Pesos"/>
    <d v="2026-08-12T00:00:00"/>
    <s v="08/06/2026"/>
    <n v="0.94449499000000003"/>
    <m/>
    <n v="3900000"/>
    <n v="3683530.44"/>
    <n v="3900000"/>
    <n v="3683530.44"/>
    <n v="283"/>
    <s v="AMOMPY"/>
    <s v="Momentum Capital Investment S.A."/>
    <s v="27/05/2026"/>
    <s v="27/05/2026"/>
    <n v="33"/>
    <s v="No"/>
    <s v=""/>
    <m/>
    <m/>
    <s v="*MAV100801131"/>
    <s v="*MAV100801131"/>
    <n v="8.2744650544042863E-5"/>
  </r>
  <r>
    <x v="41"/>
    <s v="Pesos"/>
    <d v="2026-08-26T00:00:00"/>
    <s v="08/06/2026"/>
    <n v="0.93333675999999999"/>
    <m/>
    <n v="3900000"/>
    <n v="3640013.36"/>
    <n v="3900000"/>
    <n v="3640013.36"/>
    <n v="285"/>
    <s v="AMOMPY"/>
    <s v="Momentum Capital Investment S.A."/>
    <s v="27/05/2026"/>
    <s v="27/05/2026"/>
    <n v="33"/>
    <s v="No"/>
    <s v=""/>
    <m/>
    <m/>
    <s v="*MAV240800853"/>
    <s v="*MAV240800853"/>
    <n v="8.1767108580986045E-5"/>
  </r>
  <r>
    <x v="41"/>
    <s v="Pesos"/>
    <d v="2026-09-02T00:00:00"/>
    <s v="08/06/2026"/>
    <n v="0.92785605999999998"/>
    <m/>
    <n v="3812810.4"/>
    <n v="3537739.22"/>
    <n v="3812810.4"/>
    <n v="3537739.22"/>
    <n v="286"/>
    <s v="AMOMPY"/>
    <s v="Momentum Capital Investment S.A."/>
    <s v="27/05/2026"/>
    <s v="27/05/2026"/>
    <n v="33"/>
    <s v="No"/>
    <s v=""/>
    <m/>
    <m/>
    <s v="*MAV310801202"/>
    <s v="*MAV310801202"/>
    <n v="7.9469682752195418E-5"/>
  </r>
  <r>
    <x v="42"/>
    <s v="Pesos"/>
    <d v="2026-09-16T00:00:00"/>
    <s v="08/06/2026"/>
    <n v="0.91708551000000005"/>
    <m/>
    <n v="3424300"/>
    <n v="3140375.9"/>
    <n v="3424300"/>
    <n v="3140375.9"/>
    <n v="1391"/>
    <s v="AMOMPY"/>
    <s v="Momentum Capital Investment S.A."/>
    <s v="27/05/2026"/>
    <s v="27/05/2026"/>
    <n v="33"/>
    <s v="No"/>
    <s v=""/>
    <m/>
    <m/>
    <s v="*MAV140900870"/>
    <s v="*MAV140900870"/>
    <n v="7.0543548005112756E-5"/>
  </r>
  <r>
    <x v="43"/>
    <s v="Pesos"/>
    <d v="2026-09-14T00:00:00"/>
    <s v="08/06/2026"/>
    <n v="0.91860896000000003"/>
    <m/>
    <n v="1524900"/>
    <n v="1400786.8"/>
    <n v="1524900"/>
    <n v="1400786.8"/>
    <n v="179"/>
    <s v="AMOMPY"/>
    <s v="Momentum Capital Investment S.A."/>
    <s v="27/05/2026"/>
    <s v="27/05/2026"/>
    <n v="33"/>
    <s v="No"/>
    <s v=""/>
    <m/>
    <m/>
    <s v="*MAV100901187"/>
    <s v="*MAV100901187"/>
    <n v="3.1466446698539588E-5"/>
  </r>
  <r>
    <x v="44"/>
    <s v="Pesos"/>
    <d v="2026-09-03T00:00:00"/>
    <s v="08/06/2026"/>
    <n v="0.92097319"/>
    <m/>
    <n v="2067824.35"/>
    <n v="1904410.78"/>
    <n v="2067824.35"/>
    <n v="1904410.78"/>
    <n v="2201"/>
    <s v="AMOMPY"/>
    <s v="Momentum Capital Investment S.A."/>
    <s v="27/05/2026"/>
    <s v="27/05/2026"/>
    <n v="36"/>
    <s v="No"/>
    <s v=""/>
    <m/>
    <m/>
    <s v="*MAV010901183"/>
    <s v="*MAV010901183"/>
    <n v="4.2779558103341778E-5"/>
  </r>
  <r>
    <x v="44"/>
    <s v="Pesos"/>
    <d v="2026-09-04T00:00:00"/>
    <s v="08/06/2026"/>
    <n v="0.92013730000000005"/>
    <m/>
    <n v="2067824.35"/>
    <n v="1902682.32"/>
    <n v="2067824.35"/>
    <n v="1902682.32"/>
    <n v="2202"/>
    <s v="AMOMPY"/>
    <s v="Momentum Capital Investment S.A."/>
    <s v="27/05/2026"/>
    <s v="27/05/2026"/>
    <n v="36"/>
    <s v="No"/>
    <s v=""/>
    <m/>
    <m/>
    <s v="*MAV020901170"/>
    <s v="*MAV020901170"/>
    <n v="4.2740730999559421E-5"/>
  </r>
  <r>
    <x v="44"/>
    <s v="Pesos"/>
    <d v="2026-09-07T00:00:00"/>
    <s v="08/06/2026"/>
    <n v="0.91763899000000004"/>
    <m/>
    <n v="2067824.35"/>
    <n v="1897516.25"/>
    <n v="2067824.35"/>
    <n v="1897516.25"/>
    <n v="2203"/>
    <s v="AMOMPY"/>
    <s v="Momentum Capital Investment S.A."/>
    <s v="27/05/2026"/>
    <s v="27/05/2026"/>
    <n v="36"/>
    <s v="No"/>
    <s v=""/>
    <m/>
    <m/>
    <s v="*MAV030900819"/>
    <s v="*MAV030900819"/>
    <n v="4.2624683456638591E-5"/>
  </r>
  <r>
    <x v="44"/>
    <s v="Pesos"/>
    <d v="2026-09-08T00:00:00"/>
    <s v="08/06/2026"/>
    <n v="0.91680914000000002"/>
    <m/>
    <n v="2067824.35"/>
    <n v="1895800.26"/>
    <n v="2067824.35"/>
    <n v="1895800.26"/>
    <n v="2204"/>
    <s v="AMOMPY"/>
    <s v="Momentum Capital Investment S.A."/>
    <s v="27/05/2026"/>
    <s v="27/05/2026"/>
    <n v="36"/>
    <s v="No"/>
    <s v=""/>
    <m/>
    <m/>
    <s v="*MAV040900923"/>
    <s v="*MAV040900923"/>
    <n v="4.2586136471565475E-5"/>
  </r>
  <r>
    <x v="45"/>
    <s v="Pesos"/>
    <d v="2026-08-04T00:00:00"/>
    <s v="08/06/2026"/>
    <n v="0.95099140000000004"/>
    <m/>
    <n v="13000000"/>
    <n v="12362888.199999999"/>
    <n v="13000000"/>
    <n v="12362888.199999999"/>
    <n v="207"/>
    <s v="AMOMPY"/>
    <s v="Momentum Capital Investment S.A."/>
    <s v="27/05/2026"/>
    <s v="27/05/2026"/>
    <n v="33"/>
    <s v="No"/>
    <s v=""/>
    <m/>
    <m/>
    <s v="*MAV310701530"/>
    <s v="*MAV310701530"/>
    <n v="2.7771261307238474E-4"/>
  </r>
  <r>
    <x v="45"/>
    <s v="Pesos"/>
    <d v="2026-08-04T00:00:00"/>
    <s v="08/06/2026"/>
    <n v="0.95099140000000004"/>
    <m/>
    <n v="13000000"/>
    <n v="12362888.199999999"/>
    <n v="13000000"/>
    <n v="12362888.199999999"/>
    <n v="203"/>
    <s v="AMOMPY"/>
    <s v="Momentum Capital Investment S.A."/>
    <s v="27/05/2026"/>
    <s v="27/05/2026"/>
    <n v="33"/>
    <s v="No"/>
    <s v=""/>
    <m/>
    <m/>
    <s v="*MAV310701531"/>
    <s v="*MAV310701531"/>
    <n v="2.7771261307238474E-4"/>
  </r>
  <r>
    <x v="45"/>
    <s v="Pesos"/>
    <d v="2026-08-04T00:00:00"/>
    <s v="08/06/2026"/>
    <n v="0.95099140000000004"/>
    <m/>
    <n v="13000000"/>
    <n v="12362888.199999999"/>
    <n v="13000000"/>
    <n v="12362888.199999999"/>
    <n v="206"/>
    <s v="AMOMPY"/>
    <s v="Momentum Capital Investment S.A."/>
    <s v="27/05/2026"/>
    <s v="27/05/2026"/>
    <n v="33"/>
    <s v="No"/>
    <s v=""/>
    <m/>
    <m/>
    <s v="*MAV310701532"/>
    <s v="*MAV310701532"/>
    <n v="2.7771261307238474E-4"/>
  </r>
  <r>
    <x v="46"/>
    <s v="Pesos"/>
    <d v="2026-07-03T00:00:00"/>
    <s v="08/06/2026"/>
    <n v="0.97789704"/>
    <m/>
    <n v="9676723.3300000001"/>
    <n v="9462839.0600000005"/>
    <n v="9676723.3300000001"/>
    <n v="9462839.0600000005"/>
    <n v="263806"/>
    <s v="AMOMPY"/>
    <s v="Momentum Capital Investment S.A."/>
    <s v="27/05/2026"/>
    <s v="27/05/2026"/>
    <n v="33"/>
    <s v="No"/>
    <s v=""/>
    <m/>
    <m/>
    <s v="*MAV010701315"/>
    <s v="*MAV010701315"/>
    <n v="2.1256762335163955E-4"/>
  </r>
  <r>
    <x v="47"/>
    <s v="Pesos"/>
    <d v="2026-07-08T00:00:00"/>
    <s v="08/06/2026"/>
    <n v="0.97359297"/>
    <m/>
    <n v="8970000"/>
    <n v="8733128.9100000001"/>
    <n v="8970000"/>
    <n v="8733128.9100000001"/>
    <n v="67244927"/>
    <s v="AMOMPY"/>
    <s v="Momentum Capital Investment S.A."/>
    <s v="29/05/2026"/>
    <s v="29/05/2026"/>
    <n v="33"/>
    <s v="No"/>
    <s v=""/>
    <m/>
    <m/>
    <s v="*MAV040701126"/>
    <s v="*MAV040701126"/>
    <n v="1.9617584585890596E-4"/>
  </r>
  <r>
    <x v="47"/>
    <s v="Pesos"/>
    <d v="2026-07-08T00:00:00"/>
    <s v="08/06/2026"/>
    <n v="0.97359297"/>
    <m/>
    <n v="7821000"/>
    <n v="7614470.5800000001"/>
    <n v="7821000"/>
    <n v="7614470.5800000001"/>
    <n v="67244959"/>
    <s v="AMOMPY"/>
    <s v="Momentum Capital Investment S.A."/>
    <s v="29/05/2026"/>
    <s v="29/05/2026"/>
    <n v="33"/>
    <s v="No"/>
    <s v=""/>
    <m/>
    <m/>
    <s v="*MAV050701062"/>
    <s v="*MAV050701062"/>
    <n v="1.7104696635003114E-4"/>
  </r>
  <r>
    <x v="48"/>
    <s v="Pesos"/>
    <d v="2026-07-29T00:00:00"/>
    <s v="08/06/2026"/>
    <n v="0.95976866999999999"/>
    <m/>
    <n v="100000000"/>
    <n v="95976867.069999993"/>
    <n v="100000000"/>
    <n v="95976867.069999993"/>
    <n v="5411"/>
    <s v="AMOMPY"/>
    <s v="Momentum Capital Investment S.A."/>
    <s v="29/05/2026"/>
    <s v="29/05/2026"/>
    <n v="30"/>
    <s v="No"/>
    <s v=""/>
    <m/>
    <m/>
    <s v="*MAV270701028"/>
    <s v="*MAV270701028"/>
    <n v="2.1559676118813897E-3"/>
  </r>
  <r>
    <x v="48"/>
    <s v="Pesos"/>
    <d v="2026-07-31T00:00:00"/>
    <s v="08/06/2026"/>
    <n v="0.95825693000000001"/>
    <m/>
    <n v="100000000"/>
    <n v="95825693.230000004"/>
    <n v="100000000"/>
    <n v="95825693.230000004"/>
    <n v="5413"/>
    <s v="AMOMPY"/>
    <s v="Momentum Capital Investment S.A."/>
    <s v="29/05/2026"/>
    <s v="29/05/2026"/>
    <n v="30"/>
    <s v="No"/>
    <s v=""/>
    <m/>
    <m/>
    <s v="*MAV290701277"/>
    <s v="*MAV290701277"/>
    <n v="2.1525717320954201E-3"/>
  </r>
  <r>
    <x v="48"/>
    <s v="Pesos"/>
    <d v="2026-07-30T00:00:00"/>
    <s v="08/06/2026"/>
    <n v="0.95901208999999998"/>
    <m/>
    <n v="100000000"/>
    <n v="95901208.879999995"/>
    <n v="100000000"/>
    <n v="95901208.879999995"/>
    <n v="5412"/>
    <s v="AMOMPY"/>
    <s v="Momentum Capital Investment S.A."/>
    <s v="29/05/2026"/>
    <s v="29/05/2026"/>
    <n v="30"/>
    <s v="No"/>
    <s v=""/>
    <m/>
    <m/>
    <s v="*MAV280701342"/>
    <s v="*MAV280701342"/>
    <n v="2.1542680710212509E-3"/>
  </r>
  <r>
    <x v="49"/>
    <s v="Pesos"/>
    <d v="2026-07-24T00:00:00"/>
    <s v="08/06/2026"/>
    <n v="0.96007171000000002"/>
    <m/>
    <n v="2429673.98"/>
    <n v="2332661.25"/>
    <n v="2429673.98"/>
    <n v="2332661.25"/>
    <n v="26"/>
    <s v="AMOMPY"/>
    <s v="Momentum Capital Investment S.A."/>
    <s v="29/05/2026"/>
    <s v="29/05/2026"/>
    <n v="33"/>
    <s v="No"/>
    <s v=""/>
    <m/>
    <m/>
    <s v="*MAV220701449"/>
    <s v="*MAV220701449"/>
    <n v="5.2399523531256667E-5"/>
  </r>
  <r>
    <x v="50"/>
    <s v="Pesos"/>
    <d v="2026-07-29T00:00:00"/>
    <s v="08/06/2026"/>
    <n v="0.95592286999999998"/>
    <m/>
    <n v="1573636.95"/>
    <n v="1504275.55"/>
    <n v="1573636.95"/>
    <n v="1504275.55"/>
    <n v="13761282"/>
    <s v="AMOMPY"/>
    <s v="Momentum Capital Investment S.A."/>
    <s v="29/05/2026"/>
    <s v="29/05/2026"/>
    <n v="33"/>
    <s v="No"/>
    <s v=""/>
    <m/>
    <m/>
    <s v="*MAV270701033"/>
    <s v="*MAV270701033"/>
    <n v="3.3791156808438889E-5"/>
  </r>
  <r>
    <x v="51"/>
    <s v="Pesos"/>
    <d v="2026-07-16T00:00:00"/>
    <s v="08/06/2026"/>
    <n v="0.96678518000000002"/>
    <m/>
    <n v="1449874.22"/>
    <n v="1401716.91"/>
    <n v="1449874.22"/>
    <n v="1401716.91"/>
    <n v="7704"/>
    <s v="AMOMPY"/>
    <s v="Momentum Capital Investment S.A."/>
    <s v="29/05/2026"/>
    <s v="29/05/2026"/>
    <n v="33"/>
    <s v="No"/>
    <s v=""/>
    <m/>
    <m/>
    <s v="*MAV140701602"/>
    <s v="*MAV140701602"/>
    <n v="3.1487340139810434E-5"/>
  </r>
  <r>
    <x v="52"/>
    <s v="Pesos"/>
    <d v="2026-07-20T00:00:00"/>
    <s v="08/06/2026"/>
    <n v="0.96341675999999998"/>
    <m/>
    <n v="2890000"/>
    <n v="2784274.42"/>
    <n v="2890000"/>
    <n v="2784274.42"/>
    <n v="1236"/>
    <s v="AMOMPY"/>
    <s v="Momentum Capital Investment S.A."/>
    <s v="29/05/2026"/>
    <s v="29/05/2026"/>
    <n v="33"/>
    <s v="No"/>
    <s v=""/>
    <m/>
    <m/>
    <s v="*MAV160701249"/>
    <s v="*MAV160701249"/>
    <n v="6.2544294842753527E-5"/>
  </r>
  <r>
    <x v="53"/>
    <s v="Pesos"/>
    <d v="2026-07-29T00:00:00"/>
    <s v="08/06/2026"/>
    <n v="0.95592286000000004"/>
    <m/>
    <n v="1103671.3799999999"/>
    <n v="1055024.71"/>
    <n v="1103671.3799999999"/>
    <n v="1055024.71"/>
    <n v="66956177"/>
    <s v="AMOMPY"/>
    <s v="Momentum Capital Investment S.A."/>
    <s v="29/05/2026"/>
    <s v="29/05/2026"/>
    <n v="33"/>
    <s v="No"/>
    <s v=""/>
    <m/>
    <m/>
    <s v="*MAV250701414"/>
    <s v="*MAV250701414"/>
    <n v="2.3699451481736682E-5"/>
  </r>
  <r>
    <x v="54"/>
    <s v="Pesos"/>
    <d v="2026-08-19T00:00:00"/>
    <s v="08/06/2026"/>
    <n v="0.93888274000000005"/>
    <m/>
    <n v="3000000"/>
    <n v="2816648.22"/>
    <n v="3000000"/>
    <n v="2816648.22"/>
    <n v="90015795"/>
    <s v="AMOMPY"/>
    <s v="Momentum Capital Investment S.A."/>
    <s v="29/05/2026"/>
    <s v="29/05/2026"/>
    <n v="33"/>
    <s v="No"/>
    <s v=""/>
    <m/>
    <m/>
    <s v="*MAV140801289"/>
    <s v="*MAV140801289"/>
    <n v="6.3271520750457104E-5"/>
  </r>
  <r>
    <x v="54"/>
    <s v="Pesos"/>
    <d v="2026-08-25T00:00:00"/>
    <s v="08/06/2026"/>
    <n v="0.93412521999999998"/>
    <m/>
    <n v="3000000"/>
    <n v="2802375.66"/>
    <n v="3000000"/>
    <n v="2802375.66"/>
    <n v="90015796"/>
    <s v="AMOMPY"/>
    <s v="Momentum Capital Investment S.A."/>
    <s v="29/05/2026"/>
    <s v="29/05/2026"/>
    <n v="33"/>
    <s v="No"/>
    <s v=""/>
    <m/>
    <m/>
    <s v="*MAV210801180"/>
    <s v="*MAV210801180"/>
    <n v="6.2950910398837777E-5"/>
  </r>
  <r>
    <x v="54"/>
    <s v="Pesos"/>
    <d v="2026-07-28T00:00:00"/>
    <s v="08/06/2026"/>
    <n v="0.95674981000000003"/>
    <m/>
    <n v="3000000"/>
    <n v="2870249.44"/>
    <n v="3000000"/>
    <n v="2870249.44"/>
    <n v="90015792"/>
    <s v="AMOMPY"/>
    <s v="Momentum Capital Investment S.A."/>
    <s v="29/05/2026"/>
    <s v="29/05/2026"/>
    <n v="33"/>
    <s v="No"/>
    <s v=""/>
    <m/>
    <m/>
    <s v="*MAV240701318"/>
    <s v="*MAV240701318"/>
    <n v="6.4475586873943345E-5"/>
  </r>
  <r>
    <x v="54"/>
    <s v="Pesos"/>
    <d v="2026-09-01T00:00:00"/>
    <s v="08/06/2026"/>
    <n v="0.92863527999999995"/>
    <m/>
    <n v="3000000"/>
    <n v="2785905.84"/>
    <n v="3000000"/>
    <n v="2785905.84"/>
    <n v="90015797"/>
    <s v="AMOMPY"/>
    <s v="Momentum Capital Investment S.A."/>
    <s v="29/05/2026"/>
    <s v="29/05/2026"/>
    <n v="33"/>
    <s v="No"/>
    <s v=""/>
    <m/>
    <m/>
    <s v="*MAV280801098"/>
    <s v="*MAV280801098"/>
    <n v="6.2580942097334254E-5"/>
  </r>
  <r>
    <x v="54"/>
    <s v="Pesos"/>
    <d v="2026-08-04T00:00:00"/>
    <s v="08/06/2026"/>
    <n v="0.95099153999999997"/>
    <m/>
    <n v="3000000"/>
    <n v="2852974.62"/>
    <n v="3000000"/>
    <n v="2852974.62"/>
    <n v="90015793"/>
    <s v="AMOMPY"/>
    <s v="Momentum Capital Investment S.A."/>
    <s v="29/05/2026"/>
    <s v="29/05/2026"/>
    <n v="33"/>
    <s v="No"/>
    <s v=""/>
    <m/>
    <m/>
    <s v="*MAV310701551"/>
    <s v="*MAV310701551"/>
    <n v="6.4087535528258997E-5"/>
  </r>
  <r>
    <x v="54"/>
    <s v="Pesos"/>
    <d v="2026-08-11T00:00:00"/>
    <s v="08/06/2026"/>
    <n v="0.94530216"/>
    <m/>
    <n v="3000000"/>
    <n v="2835906.48"/>
    <n v="3000000"/>
    <n v="2835906.48"/>
    <n v="90015794"/>
    <s v="AMOMPY"/>
    <s v="Momentum Capital Investment S.A."/>
    <s v="29/05/2026"/>
    <s v="29/05/2026"/>
    <n v="33"/>
    <s v="No"/>
    <s v=""/>
    <m/>
    <m/>
    <s v="*MAV070801167"/>
    <s v="*MAV070801167"/>
    <n v="6.3704126919930293E-5"/>
  </r>
  <r>
    <x v="55"/>
    <s v="Pesos"/>
    <d v="2026-07-15T00:00:00"/>
    <s v="08/06/2026"/>
    <n v="0.96763080000000001"/>
    <m/>
    <n v="1077577.5"/>
    <n v="1042697.18"/>
    <n v="1077577.5"/>
    <n v="1042697.18"/>
    <n v="90016926"/>
    <s v="AMOMPY"/>
    <s v="Momentum Capital Investment S.A."/>
    <s v="29/05/2026"/>
    <s v="29/05/2026"/>
    <n v="33"/>
    <s v="No"/>
    <s v=""/>
    <m/>
    <m/>
    <s v="*MAV130701386"/>
    <s v="*MAV130701386"/>
    <n v="2.3422533134369582E-5"/>
  </r>
  <r>
    <x v="56"/>
    <s v="Pesos"/>
    <d v="2026-08-07T00:00:00"/>
    <s v="08/06/2026"/>
    <n v="0.94854490000000002"/>
    <m/>
    <n v="1701000"/>
    <n v="1613474.88"/>
    <n v="1701000"/>
    <n v="1613474.88"/>
    <n v="67242928"/>
    <s v="AMOMPY"/>
    <s v="Momentum Capital Investment S.A."/>
    <s v="29/05/2026"/>
    <s v="29/05/2026"/>
    <n v="33"/>
    <s v="No"/>
    <s v=""/>
    <m/>
    <m/>
    <s v="*MAV050801250"/>
    <s v="*MAV050801250"/>
    <n v="3.6244146012050196E-5"/>
  </r>
  <r>
    <x v="56"/>
    <s v="Pesos"/>
    <d v="2026-08-18T00:00:00"/>
    <s v="08/06/2026"/>
    <n v="0.93968046000000005"/>
    <m/>
    <n v="1701000"/>
    <n v="1598396.46"/>
    <n v="1701000"/>
    <n v="1598396.46"/>
    <n v="67242959"/>
    <s v="AMOMPY"/>
    <s v="Momentum Capital Investment S.A."/>
    <s v="29/05/2026"/>
    <s v="29/05/2026"/>
    <n v="33"/>
    <s v="No"/>
    <s v=""/>
    <m/>
    <m/>
    <s v="*MAV130801036"/>
    <s v="*MAV130801036"/>
    <n v="3.5905433297718366E-5"/>
  </r>
  <r>
    <x v="56"/>
    <s v="Pesos"/>
    <d v="2026-07-16T00:00:00"/>
    <s v="08/06/2026"/>
    <n v="0.96678518999999996"/>
    <m/>
    <n v="1701000"/>
    <n v="1644501.61"/>
    <n v="1701000"/>
    <n v="1644501.61"/>
    <n v="67242787"/>
    <s v="AMOMPY"/>
    <s v="Momentum Capital Investment S.A."/>
    <s v="29/05/2026"/>
    <s v="29/05/2026"/>
    <n v="33"/>
    <s v="No"/>
    <s v=""/>
    <m/>
    <m/>
    <s v="*MAV140701601"/>
    <s v="*MAV140701601"/>
    <n v="3.6941112135499519E-5"/>
  </r>
  <r>
    <x v="56"/>
    <s v="Pesos"/>
    <d v="2026-08-21T00:00:00"/>
    <s v="08/06/2026"/>
    <n v="0.9372916"/>
    <m/>
    <n v="1698044.02"/>
    <n v="1591562.4"/>
    <n v="1698044.02"/>
    <n v="1591562.4"/>
    <n v="67243116"/>
    <s v="AMOMPY"/>
    <s v="Momentum Capital Investment S.A."/>
    <s v="29/05/2026"/>
    <s v="29/05/2026"/>
    <n v="33"/>
    <s v="No"/>
    <s v=""/>
    <m/>
    <m/>
    <s v="*MAV190801208"/>
    <s v="*MAV190801208"/>
    <n v="3.5751917013352592E-5"/>
  </r>
  <r>
    <x v="56"/>
    <s v="Pesos"/>
    <d v="2026-07-22T00:00:00"/>
    <s v="08/06/2026"/>
    <n v="0.96174119999999996"/>
    <m/>
    <n v="1701000"/>
    <n v="1635921.79"/>
    <n v="1701000"/>
    <n v="1635921.79"/>
    <n v="67242828"/>
    <s v="AMOMPY"/>
    <s v="Momentum Capital Investment S.A."/>
    <s v="29/05/2026"/>
    <s v="29/05/2026"/>
    <n v="33"/>
    <s v="No"/>
    <s v=""/>
    <m/>
    <m/>
    <s v="*MAV200701283"/>
    <s v="*MAV200701283"/>
    <n v="3.6748380130377067E-5"/>
  </r>
  <r>
    <x v="56"/>
    <s v="Pesos"/>
    <d v="2026-07-29T00:00:00"/>
    <s v="08/06/2026"/>
    <n v="0.95592286999999998"/>
    <m/>
    <n v="1701000"/>
    <n v="1626024.8"/>
    <n v="1701000"/>
    <n v="1626024.8"/>
    <n v="67242880"/>
    <s v="AMOMPY"/>
    <s v="Momentum Capital Investment S.A."/>
    <s v="29/05/2026"/>
    <s v="29/05/2026"/>
    <n v="33"/>
    <s v="No"/>
    <s v=""/>
    <m/>
    <m/>
    <s v="*MAV270701034"/>
    <s v="*MAV270701034"/>
    <n v="3.6526059996927079E-5"/>
  </r>
  <r>
    <x v="57"/>
    <s v="Pesos"/>
    <d v="2026-07-22T00:00:00"/>
    <s v="08/06/2026"/>
    <n v="0.96174119000000002"/>
    <m/>
    <n v="2300000"/>
    <n v="2212004.7400000002"/>
    <n v="2300000"/>
    <n v="2212004.7400000002"/>
    <n v="1395"/>
    <s v="AMOMPY"/>
    <s v="Momentum Capital Investment S.A."/>
    <s v="29/05/2026"/>
    <s v="29/05/2026"/>
    <n v="33"/>
    <s v="No"/>
    <s v=""/>
    <m/>
    <m/>
    <s v="*MAV180701314"/>
    <s v="*MAV180701314"/>
    <n v="4.968916700823203E-5"/>
  </r>
  <r>
    <x v="57"/>
    <s v="Pesos"/>
    <d v="2026-07-29T00:00:00"/>
    <s v="08/06/2026"/>
    <n v="0.95592286999999998"/>
    <m/>
    <n v="2300000"/>
    <n v="2198622.6"/>
    <n v="2300000"/>
    <n v="2198622.6"/>
    <n v="1396"/>
    <s v="AMOMPY"/>
    <s v="Momentum Capital Investment S.A."/>
    <s v="29/05/2026"/>
    <s v="29/05/2026"/>
    <n v="33"/>
    <s v="No"/>
    <s v=""/>
    <m/>
    <m/>
    <s v="*MAV250701415"/>
    <s v="*MAV250701415"/>
    <n v="4.9388558525183509E-5"/>
  </r>
  <r>
    <x v="58"/>
    <s v="Pesos"/>
    <d v="2026-07-20T00:00:00"/>
    <s v="08/06/2026"/>
    <n v="0.96341673999999999"/>
    <m/>
    <n v="1000000"/>
    <n v="963416.74"/>
    <n v="1000000"/>
    <n v="963416.74"/>
    <n v="677"/>
    <s v="AMOMPY"/>
    <s v="Momentum Capital Investment S.A."/>
    <s v="29/05/2026"/>
    <s v="29/05/2026"/>
    <n v="33"/>
    <s v="No"/>
    <s v=""/>
    <m/>
    <m/>
    <s v="*MAV160701248"/>
    <s v="*MAV160701248"/>
    <n v="2.1641624191269342E-5"/>
  </r>
  <r>
    <x v="59"/>
    <s v="Pesos"/>
    <d v="2026-08-06T00:00:00"/>
    <s v="08/06/2026"/>
    <n v="0.94935888000000002"/>
    <m/>
    <n v="1319000"/>
    <n v="1252204.3600000001"/>
    <n v="1319000"/>
    <n v="1252204.3600000001"/>
    <n v="67204033"/>
    <s v="AMOMPY"/>
    <s v="Momentum Capital Investment S.A."/>
    <s v="29/05/2026"/>
    <s v="29/05/2026"/>
    <n v="33"/>
    <s v="No"/>
    <s v=""/>
    <m/>
    <m/>
    <s v="*MAV040801146"/>
    <s v="*MAV040801146"/>
    <n v="2.8128778590445655E-5"/>
  </r>
  <r>
    <x v="59"/>
    <s v="Pesos"/>
    <d v="2026-07-17T00:00:00"/>
    <s v="08/06/2026"/>
    <n v="0.96594080999999998"/>
    <m/>
    <n v="1317268.23"/>
    <n v="1272403.1399999999"/>
    <n v="1317268.23"/>
    <n v="1272403.1399999999"/>
    <n v="67204031"/>
    <s v="AMOMPY"/>
    <s v="Momentum Capital Investment S.A."/>
    <s v="29/05/2026"/>
    <s v="29/05/2026"/>
    <n v="33"/>
    <s v="No"/>
    <s v=""/>
    <m/>
    <m/>
    <s v="*MAV150701880"/>
    <s v="*MAV150701880"/>
    <n v="2.8582512045276553E-5"/>
  </r>
  <r>
    <x v="59"/>
    <s v="Pesos"/>
    <d v="2026-07-29T00:00:00"/>
    <s v="08/06/2026"/>
    <n v="0.95592286000000004"/>
    <m/>
    <n v="1318130"/>
    <n v="1260030.6000000001"/>
    <n v="1318130"/>
    <n v="1260030.6000000001"/>
    <n v="67204032"/>
    <s v="AMOMPY"/>
    <s v="Momentum Capital Investment S.A."/>
    <s v="29/05/2026"/>
    <s v="29/05/2026"/>
    <n v="33"/>
    <s v="No"/>
    <s v=""/>
    <m/>
    <m/>
    <s v="*MAV250701413"/>
    <s v="*MAV250701413"/>
    <n v="2.8304582619873958E-5"/>
  </r>
  <r>
    <x v="60"/>
    <s v="Pesos"/>
    <d v="2026-07-20T00:00:00"/>
    <s v="08/06/2026"/>
    <n v="0.96341675000000004"/>
    <m/>
    <n v="1039967.56"/>
    <n v="1001922.17"/>
    <n v="1039967.56"/>
    <n v="1001922.17"/>
    <n v="1117"/>
    <s v="AMOMPY"/>
    <s v="Momentum Capital Investment S.A."/>
    <s v="29/05/2026"/>
    <s v="29/05/2026"/>
    <n v="33"/>
    <s v="No"/>
    <s v=""/>
    <m/>
    <m/>
    <s v="*MAV160701247"/>
    <s v="*MAV160701247"/>
    <n v="2.2506587411010812E-5"/>
  </r>
  <r>
    <x v="60"/>
    <s v="Pesos"/>
    <d v="2026-07-29T00:00:00"/>
    <s v="08/06/2026"/>
    <n v="0.95720154999999996"/>
    <m/>
    <n v="1177029.06"/>
    <n v="1126654.04"/>
    <n v="1177029.06"/>
    <n v="1126654.04"/>
    <n v="1127"/>
    <s v="AMOMPY"/>
    <s v="Momentum Capital Investment S.A."/>
    <s v="04/06/2026"/>
    <s v="04/06/2026"/>
    <n v="32"/>
    <s v="No"/>
    <s v=""/>
    <m/>
    <m/>
    <s v="*MAV250701431"/>
    <s v="*MAV250701431"/>
    <n v="2.5308490412212828E-5"/>
  </r>
  <r>
    <x v="61"/>
    <s v="Pesos"/>
    <d v="2026-07-23T00:00:00"/>
    <s v="08/06/2026"/>
    <n v="0.96090584999999995"/>
    <m/>
    <n v="2387682"/>
    <n v="2294337.6"/>
    <n v="2387682"/>
    <n v="2294337.6"/>
    <n v="84084371"/>
    <s v="AMOMPY"/>
    <s v="Momentum Capital Investment S.A."/>
    <s v="29/05/2026"/>
    <s v="29/05/2026"/>
    <n v="33"/>
    <s v="No"/>
    <s v=""/>
    <m/>
    <m/>
    <s v="*MAV210701389"/>
    <s v="*MAV210701389"/>
    <n v="5.1538643709988728E-5"/>
  </r>
  <r>
    <x v="62"/>
    <s v="Pesos"/>
    <d v="2026-07-21T00:00:00"/>
    <s v="08/06/2026"/>
    <n v="0.96257824999999997"/>
    <m/>
    <n v="1100000"/>
    <n v="1058836.07"/>
    <n v="1100000"/>
    <n v="1058836.07"/>
    <n v="2229"/>
    <s v="AMOMPY"/>
    <s v="Momentum Capital Investment S.A."/>
    <s v="29/05/2026"/>
    <s v="29/05/2026"/>
    <n v="33"/>
    <s v="No"/>
    <s v=""/>
    <m/>
    <m/>
    <s v="*MAV170701736"/>
    <s v="*MAV170701736"/>
    <n v="2.3785067619959105E-5"/>
  </r>
  <r>
    <x v="62"/>
    <s v="Pesos"/>
    <d v="2026-07-24T00:00:00"/>
    <s v="08/06/2026"/>
    <n v="0.96007169999999997"/>
    <m/>
    <n v="1134249.7"/>
    <n v="1088961.04"/>
    <n v="1134249.7"/>
    <n v="1088961.04"/>
    <n v="2230"/>
    <s v="AMOMPY"/>
    <s v="Momentum Capital Investment S.A."/>
    <s v="29/05/2026"/>
    <s v="29/05/2026"/>
    <n v="33"/>
    <s v="No"/>
    <s v=""/>
    <m/>
    <m/>
    <s v="*MAV220701450"/>
    <s v="*MAV220701450"/>
    <n v="2.4461777139780468E-5"/>
  </r>
  <r>
    <x v="63"/>
    <s v="Pesos"/>
    <d v="2026-07-22T00:00:00"/>
    <s v="08/06/2026"/>
    <n v="0.96174119000000002"/>
    <m/>
    <n v="1211666.8"/>
    <n v="1165309.8799999999"/>
    <n v="1211666.8"/>
    <n v="1165309.8799999999"/>
    <n v="1798382"/>
    <s v="AMOMPY"/>
    <s v="Momentum Capital Investment S.A."/>
    <s v="29/05/2026"/>
    <s v="29/05/2026"/>
    <n v="33"/>
    <s v="No"/>
    <s v=""/>
    <m/>
    <m/>
    <s v="*MAV200701281"/>
    <s v="*MAV200701281"/>
    <n v="2.6176832353289993E-5"/>
  </r>
  <r>
    <x v="64"/>
    <s v="Pesos"/>
    <d v="2026-07-29T00:00:00"/>
    <s v="08/06/2026"/>
    <n v="0.95592281999999995"/>
    <m/>
    <n v="1450000"/>
    <n v="1386088.09"/>
    <n v="1450000"/>
    <n v="1386088.09"/>
    <n v="90019731"/>
    <s v="AMOMPY"/>
    <s v="Momentum Capital Investment S.A."/>
    <s v="01/06/2026"/>
    <s v="01/06/2026"/>
    <n v="33"/>
    <s v="No"/>
    <s v=""/>
    <m/>
    <m/>
    <s v="*MAV270701035"/>
    <s v="*MAV270701035"/>
    <n v="3.1136263565208884E-5"/>
  </r>
  <r>
    <x v="65"/>
    <s v="Pesos"/>
    <d v="2026-08-05T00:00:00"/>
    <s v="08/06/2026"/>
    <n v="0.97219270000000002"/>
    <m/>
    <n v="346128566"/>
    <n v="336503664.92000002"/>
    <n v="346128566"/>
    <n v="336503664.92000002"/>
    <n v="152123"/>
    <s v="AMOMPY"/>
    <s v="Momentum Capital Investment S.A."/>
    <s v="02/06/2026"/>
    <s v="02/06/2026"/>
    <n v="18"/>
    <s v="No"/>
    <s v=""/>
    <m/>
    <m/>
    <s v="#MAV040860041"/>
    <s v="#MAV040860041"/>
    <n v="7.5590194282730292E-3"/>
  </r>
  <r>
    <x v="66"/>
    <s v="Pesos"/>
    <d v="2026-09-22T00:00:00"/>
    <s v="08/06/2026"/>
    <n v="0.91254570999999995"/>
    <m/>
    <n v="5134985.93"/>
    <n v="4685909.38"/>
    <n v="5134985.93"/>
    <n v="4685909.38"/>
    <n v="403"/>
    <s v="AMOMPY"/>
    <s v="Momentum Capital Investment S.A."/>
    <s v="02/06/2026"/>
    <s v="02/06/2026"/>
    <n v="33"/>
    <s v="No"/>
    <s v=""/>
    <m/>
    <m/>
    <s v="*MAV180901027"/>
    <s v="*MAV180901027"/>
    <n v="1.052614985663462E-4"/>
  </r>
  <r>
    <x v="66"/>
    <s v="Pesos"/>
    <d v="2026-10-15T00:00:00"/>
    <s v="08/06/2026"/>
    <n v="0.89555169000000001"/>
    <m/>
    <n v="5134985.93"/>
    <n v="4598645.3099999996"/>
    <n v="5134985.93"/>
    <n v="4598645.3099999996"/>
    <n v="414"/>
    <s v="AMOMPY"/>
    <s v="Momentum Capital Investment S.A."/>
    <s v="02/06/2026"/>
    <s v="02/06/2026"/>
    <n v="33"/>
    <s v="No"/>
    <s v=""/>
    <m/>
    <m/>
    <s v="*MAV121000892"/>
    <s v="*MAV121000892"/>
    <n v="1.0330125007788768E-4"/>
  </r>
  <r>
    <x v="67"/>
    <s v="Pesos"/>
    <d v="2026-10-02T00:00:00"/>
    <s v="08/06/2026"/>
    <n v="0.90507850000000001"/>
    <m/>
    <n v="3772034.12"/>
    <n v="3413987"/>
    <n v="3772034.12"/>
    <n v="3413987"/>
    <n v="638"/>
    <s v="AMOMPY"/>
    <s v="Momentum Capital Investment S.A."/>
    <s v="02/06/2026"/>
    <s v="02/06/2026"/>
    <n v="33"/>
    <s v="No"/>
    <s v=""/>
    <m/>
    <m/>
    <s v="*MAV300901921"/>
    <s v="*MAV300901921"/>
    <n v="7.6689786029542165E-5"/>
  </r>
  <r>
    <x v="67"/>
    <s v="Pesos"/>
    <d v="2026-11-03T00:00:00"/>
    <s v="08/06/2026"/>
    <n v="0.88198357999999999"/>
    <m/>
    <n v="1655023.2"/>
    <n v="1459703.28"/>
    <n v="1655023.2"/>
    <n v="1459703.28"/>
    <n v="610"/>
    <s v="AMOMPY"/>
    <s v="Momentum Capital Investment S.A."/>
    <s v="02/06/2026"/>
    <s v="02/06/2026"/>
    <n v="33"/>
    <s v="No"/>
    <s v=""/>
    <m/>
    <m/>
    <s v="*MAV301001239"/>
    <s v="*MAV301001239"/>
    <n v="3.278991168092347E-5"/>
  </r>
  <r>
    <x v="67"/>
    <s v="Pesos"/>
    <d v="2026-11-03T00:00:00"/>
    <s v="08/06/2026"/>
    <n v="0.88198357000000005"/>
    <m/>
    <n v="3772034.12"/>
    <n v="3326872.13"/>
    <n v="3772034.12"/>
    <n v="3326872.13"/>
    <n v="639"/>
    <s v="AMOMPY"/>
    <s v="Momentum Capital Investment S.A."/>
    <s v="02/06/2026"/>
    <s v="02/06/2026"/>
    <n v="33"/>
    <s v="No"/>
    <s v=""/>
    <m/>
    <m/>
    <s v="*MAV301001240"/>
    <s v="*MAV301001240"/>
    <n v="7.4732889081694553E-5"/>
  </r>
  <r>
    <x v="68"/>
    <s v="Pesos"/>
    <d v="2026-10-16T00:00:00"/>
    <s v="08/06/2026"/>
    <n v="0.89482735000000002"/>
    <m/>
    <n v="7190687"/>
    <n v="6434423.4100000001"/>
    <n v="7190687"/>
    <n v="6434423.4100000001"/>
    <n v="90001573"/>
    <s v="AMOMPY"/>
    <s v="Momentum Capital Investment S.A."/>
    <s v="02/06/2026"/>
    <s v="02/06/2026"/>
    <n v="33"/>
    <s v="No"/>
    <s v=""/>
    <m/>
    <m/>
    <s v="*MAV141001327"/>
    <s v="*MAV141001327"/>
    <n v="1.445390842250943E-4"/>
  </r>
  <r>
    <x v="68"/>
    <s v="Pesos"/>
    <d v="2026-09-23T00:00:00"/>
    <s v="08/06/2026"/>
    <n v="0.91179337000000005"/>
    <m/>
    <n v="6625114.5199999996"/>
    <n v="6040735.5099999998"/>
    <n v="6625114.5199999996"/>
    <n v="6040735.5099999998"/>
    <n v="90000979"/>
    <s v="AMOMPY"/>
    <s v="Momentum Capital Investment S.A."/>
    <s v="02/06/2026"/>
    <s v="02/06/2026"/>
    <n v="33"/>
    <s v="No"/>
    <s v=""/>
    <m/>
    <m/>
    <s v="*MAV200901305"/>
    <s v="*MAV200901305"/>
    <n v="1.3569551194042543E-4"/>
  </r>
  <r>
    <x v="69"/>
    <s v="Pesos"/>
    <d v="2026-06-17T00:00:00"/>
    <s v="08/06/2026"/>
    <n v="0.99265722000000001"/>
    <m/>
    <n v="5387427.5"/>
    <n v="5347868.79"/>
    <n v="5387427.5"/>
    <n v="5347868.79"/>
    <n v="3520"/>
    <s v="AMOMPY"/>
    <s v="Momentum Capital Investment S.A."/>
    <s v="02/06/2026"/>
    <s v="02/06/2026"/>
    <n v="30"/>
    <s v="No"/>
    <s v=""/>
    <m/>
    <m/>
    <s v="*MAV120602122"/>
    <s v="*MAV120602122"/>
    <n v="1.201313634818078E-4"/>
  </r>
  <r>
    <x v="70"/>
    <s v="Pesos"/>
    <d v="2026-06-22T00:00:00"/>
    <s v="08/06/2026"/>
    <n v="0.98750068999999996"/>
    <m/>
    <n v="6645581.25"/>
    <n v="6562516.0899999999"/>
    <n v="6645581.25"/>
    <n v="6562516.0899999999"/>
    <n v="41"/>
    <s v="AMOMPY"/>
    <s v="Momentum Capital Investment S.A."/>
    <s v="04/06/2026"/>
    <s v="04/06/2026"/>
    <n v="33"/>
    <s v="No"/>
    <s v=""/>
    <m/>
    <m/>
    <s v="*MAV180601393"/>
    <s v="*MAV180601393"/>
    <n v="1.4741648247562969E-4"/>
  </r>
  <r>
    <x v="71"/>
    <s v="Pesos"/>
    <d v="2026-07-31T00:00:00"/>
    <s v="08/06/2026"/>
    <n v="0.95559755000000002"/>
    <m/>
    <n v="2662911.02"/>
    <n v="2544671.25"/>
    <n v="2662911.02"/>
    <n v="2544671.25"/>
    <n v="29386199"/>
    <s v="AMOMPY"/>
    <s v="Momentum Capital Investment S.A."/>
    <s v="04/06/2026"/>
    <s v="04/06/2026"/>
    <n v="32"/>
    <s v="No"/>
    <s v=""/>
    <m/>
    <m/>
    <s v="*MAV290701309"/>
    <s v="*MAV290701309"/>
    <n v="5.7161990856446606E-5"/>
  </r>
  <r>
    <x v="71"/>
    <s v="Pesos"/>
    <d v="2026-08-03T00:00:00"/>
    <s v="08/06/2026"/>
    <n v="0.95320187000000001"/>
    <m/>
    <n v="5606107.5899999999"/>
    <n v="5343752.2300000004"/>
    <n v="5606107.5899999999"/>
    <n v="5343752.2300000004"/>
    <n v="29386345"/>
    <s v="AMOMPY"/>
    <s v="Momentum Capital Investment S.A."/>
    <s v="04/06/2026"/>
    <s v="04/06/2026"/>
    <n v="32"/>
    <s v="No"/>
    <s v=""/>
    <m/>
    <m/>
    <s v="*MAV300701334"/>
    <s v="*MAV300701334"/>
    <n v="1.200388915111829E-4"/>
  </r>
  <r>
    <x v="72"/>
    <s v="Pesos"/>
    <d v="2026-08-05T00:00:00"/>
    <s v="08/06/2026"/>
    <n v="0.95161121999999998"/>
    <m/>
    <n v="1000000"/>
    <n v="951611.22"/>
    <n v="1000000"/>
    <n v="951611.22"/>
    <n v="66487550"/>
    <s v="AMOMPY"/>
    <s v="Momentum Capital Investment S.A."/>
    <s v="04/06/2026"/>
    <s v="04/06/2026"/>
    <n v="32"/>
    <s v="No"/>
    <s v=""/>
    <m/>
    <m/>
    <s v="*MAV010801165"/>
    <s v="*MAV010801165"/>
    <n v="2.1376431967992721E-5"/>
  </r>
  <r>
    <x v="73"/>
    <s v="Pesos"/>
    <d v="2026-08-04T00:00:00"/>
    <s v="08/06/2026"/>
    <n v="0.95240588000000004"/>
    <m/>
    <n v="1341865.8"/>
    <n v="1278000.8700000001"/>
    <n v="1341865.8"/>
    <n v="1278000.8700000001"/>
    <n v="1"/>
    <s v="AMOMPY"/>
    <s v="Momentum Capital Investment S.A."/>
    <s v="04/06/2026"/>
    <s v="04/06/2026"/>
    <n v="32"/>
    <s v="No"/>
    <s v=""/>
    <m/>
    <m/>
    <s v="*MAV310701663"/>
    <s v="*MAV310701663"/>
    <n v="2.8708256143291914E-5"/>
  </r>
  <r>
    <x v="74"/>
    <s v="Pesos"/>
    <d v="2026-07-29T00:00:00"/>
    <s v="08/06/2026"/>
    <n v="0.95720154999999996"/>
    <m/>
    <n v="1204873.98"/>
    <n v="1153307.24"/>
    <n v="1204873.98"/>
    <n v="1153307.24"/>
    <n v="173"/>
    <s v="AMOMPY"/>
    <s v="Momentum Capital Investment S.A."/>
    <s v="04/06/2026"/>
    <s v="04/06/2026"/>
    <n v="32"/>
    <s v="No"/>
    <s v=""/>
    <m/>
    <m/>
    <s v="*MAV260701143"/>
    <s v="*MAV260701143"/>
    <n v="2.5907212142847008E-5"/>
  </r>
  <r>
    <x v="75"/>
    <s v="Pesos"/>
    <d v="2026-08-05T00:00:00"/>
    <s v="08/06/2026"/>
    <n v="0.95161121999999998"/>
    <m/>
    <n v="5000000"/>
    <n v="4758056.12"/>
    <n v="5000000"/>
    <n v="4758056.12"/>
    <n v="551"/>
    <s v="AMOMPY"/>
    <s v="Momentum Capital Investment S.A."/>
    <s v="04/06/2026"/>
    <s v="04/06/2026"/>
    <n v="32"/>
    <s v="No"/>
    <s v=""/>
    <m/>
    <m/>
    <s v="*MAV010801167"/>
    <s v="*MAV010801167"/>
    <n v="1.068821602892318E-4"/>
  </r>
  <r>
    <x v="75"/>
    <s v="Pesos"/>
    <d v="2026-09-16T00:00:00"/>
    <s v="08/06/2026"/>
    <n v="0.91939559999999998"/>
    <m/>
    <n v="13000000"/>
    <n v="11952142.77"/>
    <n v="13000000"/>
    <n v="11952142.77"/>
    <n v="547"/>
    <s v="AMOMPY"/>
    <s v="Momentum Capital Investment S.A."/>
    <s v="04/06/2026"/>
    <s v="04/06/2026"/>
    <n v="32"/>
    <s v="No"/>
    <s v=""/>
    <m/>
    <m/>
    <s v="*MAV120901482"/>
    <s v="*MAV120901482"/>
    <n v="2.6848587051615585E-4"/>
  </r>
  <r>
    <x v="75"/>
    <s v="Pesos"/>
    <d v="2026-08-20T00:00:00"/>
    <s v="08/06/2026"/>
    <n v="0.93984986999999998"/>
    <m/>
    <n v="13000000"/>
    <n v="12218048.26"/>
    <n v="13000000"/>
    <n v="12218048.26"/>
    <n v="545"/>
    <s v="AMOMPY"/>
    <s v="Momentum Capital Investment S.A."/>
    <s v="04/06/2026"/>
    <s v="04/06/2026"/>
    <n v="32"/>
    <s v="No"/>
    <s v=""/>
    <m/>
    <m/>
    <s v="*MAV150801456"/>
    <s v="*MAV150801456"/>
    <n v="2.7445901427217498E-4"/>
  </r>
  <r>
    <x v="75"/>
    <s v="Pesos"/>
    <d v="2026-07-29T00:00:00"/>
    <s v="08/06/2026"/>
    <n v="0.95720154999999996"/>
    <m/>
    <n v="5000000"/>
    <n v="4786007.7699999996"/>
    <n v="5000000"/>
    <n v="4786007.7699999996"/>
    <n v="550"/>
    <s v="AMOMPY"/>
    <s v="Momentum Capital Investment S.A."/>
    <s v="04/06/2026"/>
    <s v="04/06/2026"/>
    <n v="32"/>
    <s v="No"/>
    <s v=""/>
    <m/>
    <m/>
    <s v="*MAV250701432"/>
    <s v="*MAV250701432"/>
    <n v="1.075100496331785E-4"/>
  </r>
  <r>
    <x v="75"/>
    <s v="Pesos"/>
    <d v="2026-09-02T00:00:00"/>
    <s v="08/06/2026"/>
    <n v="0.92988901000000002"/>
    <m/>
    <n v="13000000"/>
    <n v="12088557.16"/>
    <n v="13000000"/>
    <n v="12088557.16"/>
    <n v="546"/>
    <s v="AMOMPY"/>
    <s v="Momentum Capital Investment S.A."/>
    <s v="04/06/2026"/>
    <s v="04/06/2026"/>
    <n v="32"/>
    <s v="No"/>
    <s v=""/>
    <m/>
    <m/>
    <s v="*MAV290801216"/>
    <s v="*MAV290801216"/>
    <n v="2.715502027413373E-4"/>
  </r>
  <r>
    <x v="76"/>
    <s v="Pesos"/>
    <d v="2026-08-20T00:00:00"/>
    <s v="08/06/2026"/>
    <n v="0.93984986000000004"/>
    <m/>
    <n v="1000000"/>
    <n v="939849.86"/>
    <n v="1000000"/>
    <n v="939849.86"/>
    <n v="67381452"/>
    <s v="AMOMPY"/>
    <s v="Momentum Capital Investment S.A."/>
    <s v="04/06/2026"/>
    <s v="04/06/2026"/>
    <n v="32"/>
    <s v="No"/>
    <s v=""/>
    <m/>
    <m/>
    <s v="*MAV180801398"/>
    <s v="*MAV180801398"/>
    <n v="2.1112231728854022E-5"/>
  </r>
  <r>
    <x v="76"/>
    <s v="Pesos"/>
    <d v="2026-09-15T00:00:00"/>
    <s v="08/06/2026"/>
    <n v="0.92013734000000003"/>
    <m/>
    <n v="1000000"/>
    <n v="920137.34"/>
    <n v="1000000"/>
    <n v="920137.34"/>
    <n v="67381897"/>
    <s v="AMOMPY"/>
    <s v="Momentum Capital Investment S.A."/>
    <s v="04/06/2026"/>
    <s v="04/06/2026"/>
    <n v="32"/>
    <s v="No"/>
    <s v=""/>
    <m/>
    <m/>
    <s v="*MAV110901014"/>
    <s v="*MAV110901014"/>
    <n v="2.0669421331244695E-5"/>
  </r>
  <r>
    <x v="76"/>
    <s v="Pesos"/>
    <d v="2026-09-22T00:00:00"/>
    <s v="08/06/2026"/>
    <n v="0.91497063999999995"/>
    <m/>
    <n v="1000000"/>
    <n v="914970.64"/>
    <n v="1000000"/>
    <n v="914970.64"/>
    <n v="67381776"/>
    <s v="AMOMPY"/>
    <s v="Momentum Capital Investment S.A."/>
    <s v="04/06/2026"/>
    <s v="04/06/2026"/>
    <n v="32"/>
    <s v="No"/>
    <s v=""/>
    <m/>
    <m/>
    <s v="*MAV180901035"/>
    <s v="*MAV180901035"/>
    <n v="2.055335963637625E-5"/>
  </r>
  <r>
    <x v="76"/>
    <s v="Pesos"/>
    <d v="2026-08-25T00:00:00"/>
    <s v="08/06/2026"/>
    <n v="0.93599357999999999"/>
    <m/>
    <n v="1000000"/>
    <n v="935993.58"/>
    <n v="1000000"/>
    <n v="935993.58"/>
    <n v="67277769"/>
    <s v="AMOMPY"/>
    <s v="Momentum Capital Investment S.A."/>
    <s v="04/06/2026"/>
    <s v="04/06/2026"/>
    <n v="32"/>
    <s v="No"/>
    <s v=""/>
    <m/>
    <m/>
    <s v="*MAV210801221"/>
    <s v="*MAV210801221"/>
    <n v="2.1025606534302898E-5"/>
  </r>
  <r>
    <x v="76"/>
    <s v="Pesos"/>
    <d v="2026-08-26T00:00:00"/>
    <s v="08/06/2026"/>
    <n v="0.93522605999999997"/>
    <m/>
    <n v="1000000"/>
    <n v="935226.06"/>
    <n v="1000000"/>
    <n v="935226.06"/>
    <n v="67381469"/>
    <s v="AMOMPY"/>
    <s v="Momentum Capital Investment S.A."/>
    <s v="04/06/2026"/>
    <s v="04/06/2026"/>
    <n v="32"/>
    <s v="No"/>
    <s v=""/>
    <m/>
    <m/>
    <s v="*MAV240800890"/>
    <s v="*MAV240800890"/>
    <n v="2.1008365418688401E-5"/>
  </r>
  <r>
    <x v="76"/>
    <s v="Pesos"/>
    <d v="2026-09-29T00:00:00"/>
    <s v="08/06/2026"/>
    <n v="0.90986164999999997"/>
    <m/>
    <n v="1008513.5"/>
    <n v="917607.75"/>
    <n v="1008513.5"/>
    <n v="917607.75"/>
    <n v="67381841"/>
    <s v="AMOMPY"/>
    <s v="Momentum Capital Investment S.A."/>
    <s v="04/06/2026"/>
    <s v="04/06/2026"/>
    <n v="32"/>
    <s v="No"/>
    <s v=""/>
    <m/>
    <m/>
    <s v="*MAV250901157"/>
    <s v="*MAV250901157"/>
    <n v="2.0612598116674029E-5"/>
  </r>
  <r>
    <x v="76"/>
    <s v="Pesos"/>
    <d v="2026-09-02T00:00:00"/>
    <s v="08/06/2026"/>
    <n v="0.92988901000000002"/>
    <m/>
    <n v="1000000"/>
    <n v="929889.01"/>
    <n v="1000000"/>
    <n v="929889.01"/>
    <n v="67277956"/>
    <s v="AMOMPY"/>
    <s v="Momentum Capital Investment S.A."/>
    <s v="04/06/2026"/>
    <s v="04/06/2026"/>
    <n v="32"/>
    <s v="No"/>
    <s v=""/>
    <m/>
    <m/>
    <s v="*MAV300801351"/>
    <s v="*MAV300801351"/>
    <n v="2.0888477082110387E-5"/>
  </r>
  <r>
    <x v="76"/>
    <s v="Pesos"/>
    <d v="2026-08-21T00:00:00"/>
    <s v="08/06/2026"/>
    <n v="0.93907600999999996"/>
    <m/>
    <n v="1000000"/>
    <n v="939076.01"/>
    <n v="1000000"/>
    <n v="939076.01"/>
    <n v="67277718"/>
    <s v="AMOMPY"/>
    <s v="Momentum Capital Investment S.A."/>
    <s v="04/06/2026"/>
    <s v="04/06/2026"/>
    <n v="32"/>
    <s v="No"/>
    <s v=""/>
    <m/>
    <m/>
    <s v="*MAV190801237"/>
    <s v="*MAV190801237"/>
    <n v="2.1094848419861057E-5"/>
  </r>
  <r>
    <x v="76"/>
    <s v="Pesos"/>
    <d v="2026-08-26T00:00:00"/>
    <s v="08/06/2026"/>
    <n v="0.93522605999999997"/>
    <m/>
    <n v="1000000"/>
    <n v="935226.06"/>
    <n v="1000000"/>
    <n v="935226.06"/>
    <n v="67277847"/>
    <s v="AMOMPY"/>
    <s v="Momentum Capital Investment S.A."/>
    <s v="04/06/2026"/>
    <s v="04/06/2026"/>
    <n v="32"/>
    <s v="No"/>
    <s v=""/>
    <m/>
    <m/>
    <s v="*MAV220801234"/>
    <s v="*MAV220801234"/>
    <n v="2.1008365418688401E-5"/>
  </r>
  <r>
    <x v="76"/>
    <s v="Pesos"/>
    <d v="2026-09-11T00:00:00"/>
    <s v="08/06/2026"/>
    <n v="0.92311606999999996"/>
    <m/>
    <n v="1000000"/>
    <n v="923116.07"/>
    <n v="1000000"/>
    <n v="923116.07"/>
    <n v="67381670"/>
    <s v="AMOMPY"/>
    <s v="Momentum Capital Investment S.A."/>
    <s v="04/06/2026"/>
    <s v="04/06/2026"/>
    <n v="32"/>
    <s v="No"/>
    <s v=""/>
    <m/>
    <m/>
    <s v="*MAV090901171"/>
    <s v="*MAV090901171"/>
    <n v="2.0736333761297818E-5"/>
  </r>
  <r>
    <x v="76"/>
    <s v="Pesos"/>
    <d v="2026-09-17T00:00:00"/>
    <s v="08/06/2026"/>
    <n v="0.91865505000000003"/>
    <m/>
    <n v="1000000"/>
    <n v="918655.05"/>
    <n v="1000000"/>
    <n v="918655.05"/>
    <n v="67381734"/>
    <s v="AMOMPY"/>
    <s v="Momentum Capital Investment S.A."/>
    <s v="04/06/2026"/>
    <s v="04/06/2026"/>
    <n v="32"/>
    <s v="No"/>
    <s v=""/>
    <m/>
    <m/>
    <s v="*MAV150901538"/>
    <s v="*MAV150901538"/>
    <n v="2.0636124044836245E-5"/>
  </r>
  <r>
    <x v="76"/>
    <s v="Pesos"/>
    <d v="2026-09-24T00:00:00"/>
    <s v="08/06/2026"/>
    <n v="0.91350492999999999"/>
    <m/>
    <n v="1000000"/>
    <n v="913504.93"/>
    <n v="1000000"/>
    <n v="913504.93"/>
    <n v="67381805"/>
    <s v="AMOMPY"/>
    <s v="Momentum Capital Investment S.A."/>
    <s v="04/06/2026"/>
    <s v="04/06/2026"/>
    <n v="32"/>
    <s v="No"/>
    <s v=""/>
    <m/>
    <m/>
    <s v="*MAV220901282"/>
    <s v="*MAV220901282"/>
    <n v="2.0520434793287698E-5"/>
  </r>
  <r>
    <x v="76"/>
    <s v="Pesos"/>
    <d v="2026-09-01T00:00:00"/>
    <s v="08/06/2026"/>
    <n v="0.93064778999999997"/>
    <m/>
    <n v="1000000"/>
    <n v="930647.79"/>
    <n v="1000000"/>
    <n v="930647.79"/>
    <n v="67381500"/>
    <s v="AMOMPY"/>
    <s v="Momentum Capital Investment S.A."/>
    <s v="04/06/2026"/>
    <s v="04/06/2026"/>
    <n v="32"/>
    <s v="No"/>
    <s v=""/>
    <m/>
    <m/>
    <s v="*MAV280801128"/>
    <s v="*MAV280801128"/>
    <n v="2.090552186753092E-5"/>
  </r>
  <r>
    <x v="77"/>
    <s v="Pesos"/>
    <d v="2026-07-30T00:00:00"/>
    <s v="08/06/2026"/>
    <n v="0.95639887999999995"/>
    <m/>
    <n v="27063960"/>
    <n v="25883941"/>
    <n v="27063960"/>
    <n v="25883941"/>
    <n v="10115827"/>
    <s v="AMOMPY"/>
    <s v="Momentum Capital Investment S.A."/>
    <s v="04/06/2026"/>
    <s v="04/06/2026"/>
    <n v="32"/>
    <s v="No"/>
    <s v=""/>
    <m/>
    <m/>
    <s v="*MAV280701376"/>
    <s v="*MAV280701376"/>
    <n v="5.8144155115156951E-4"/>
  </r>
  <r>
    <x v="78"/>
    <s v="Pesos"/>
    <d v="2026-07-30T00:00:00"/>
    <s v="08/06/2026"/>
    <n v="0.95639887999999995"/>
    <m/>
    <n v="1084567.1200000001"/>
    <n v="1037278.77"/>
    <n v="1084567.1200000001"/>
    <n v="1037278.77"/>
    <n v="71912904"/>
    <s v="AMOMPY"/>
    <s v="Momentum Capital Investment S.A."/>
    <s v="04/06/2026"/>
    <s v="04/06/2026"/>
    <n v="32"/>
    <s v="No"/>
    <s v=""/>
    <m/>
    <m/>
    <s v="*MAV280701375"/>
    <s v="*MAV280701375"/>
    <n v="2.3300817174841812E-5"/>
  </r>
  <r>
    <x v="0"/>
    <s v="Pesos"/>
    <d v="2026-08-12T00:00:00"/>
    <s v="08/06/2026"/>
    <n v="0.94608608000000005"/>
    <m/>
    <n v="2899135.68"/>
    <n v="2742831.9"/>
    <n v="2899135.68"/>
    <n v="2742831.9"/>
    <n v="6553"/>
    <s v="AMOMPY"/>
    <s v="Momentum Capital Investment S.A."/>
    <s v="04/06/2026"/>
    <s v="04/06/2026"/>
    <n v="32"/>
    <s v="No"/>
    <s v=""/>
    <m/>
    <m/>
    <s v="*MAV080801261"/>
    <s v="*MAV080801261"/>
    <n v="6.1613354569306378E-5"/>
  </r>
  <r>
    <x v="79"/>
    <s v="Pesos"/>
    <d v="2026-06-19T00:00:00"/>
    <s v="08/06/2026"/>
    <n v="0.98779466999999999"/>
    <m/>
    <n v="2000000"/>
    <n v="1975589.34"/>
    <n v="2000000"/>
    <n v="1975589.34"/>
    <n v="12384444"/>
    <s v="AMOMPY"/>
    <s v="Momentum Capital Investment S.A."/>
    <s v="01/04/2026"/>
    <s v="01/04/2026"/>
    <n v="41"/>
    <s v="No"/>
    <s v=""/>
    <m/>
    <m/>
    <s v="*MAV170601090"/>
    <s v="*MAV170601090"/>
    <n v="4.4378471202978926E-5"/>
  </r>
  <r>
    <x v="80"/>
    <s v="Pesos"/>
    <d v="2026-07-08T00:00:00"/>
    <s v="08/06/2026"/>
    <n v="0.98223899999999997"/>
    <m/>
    <n v="1977599"/>
    <n v="1942474.86"/>
    <n v="1977599"/>
    <n v="1942474.86"/>
    <n v="9866"/>
    <s v="AMOMPY"/>
    <s v="Momentum Capital Investment S.A."/>
    <s v="13/04/2026"/>
    <s v="13/04/2026"/>
    <n v="22"/>
    <s v="No"/>
    <s v=""/>
    <m/>
    <m/>
    <s v="*MAV060700762"/>
    <s v="*MAV060700762"/>
    <n v="4.3634607097556277E-5"/>
  </r>
  <r>
    <x v="80"/>
    <s v="Pesos"/>
    <d v="2026-07-15T00:00:00"/>
    <s v="08/06/2026"/>
    <n v="0.97818517999999999"/>
    <m/>
    <n v="1977599"/>
    <n v="1934458.03"/>
    <n v="1977599"/>
    <n v="1934458.03"/>
    <n v="9867"/>
    <s v="AMOMPY"/>
    <s v="Momentum Capital Investment S.A."/>
    <s v="13/04/2026"/>
    <s v="13/04/2026"/>
    <n v="22"/>
    <s v="No"/>
    <s v=""/>
    <m/>
    <m/>
    <s v="*MAV130700961"/>
    <s v="*MAV130700961"/>
    <n v="4.3454521767021855E-5"/>
  </r>
  <r>
    <x v="80"/>
    <s v="Pesos"/>
    <d v="2026-06-24T00:00:00"/>
    <s v="08/06/2026"/>
    <n v="0.99044829000000001"/>
    <m/>
    <n v="4341150"/>
    <n v="4299684.5999999996"/>
    <n v="4341150"/>
    <n v="4299684.5999999996"/>
    <n v="9836"/>
    <s v="AMOMPY"/>
    <s v="Momentum Capital Investment S.A."/>
    <s v="13/04/2026"/>
    <s v="13/04/2026"/>
    <n v="22"/>
    <s v="No"/>
    <s v=""/>
    <m/>
    <m/>
    <s v="*MAV220600860"/>
    <s v="*MAV220600860"/>
    <n v="9.6585573398058497E-5"/>
  </r>
  <r>
    <x v="80"/>
    <s v="Pesos"/>
    <d v="2026-07-01T00:00:00"/>
    <s v="08/06/2026"/>
    <n v="0.98632655999999996"/>
    <m/>
    <n v="4341150"/>
    <n v="4281791.55"/>
    <n v="4341150"/>
    <n v="4281791.55"/>
    <n v="9837"/>
    <s v="AMOMPY"/>
    <s v="Momentum Capital Investment S.A."/>
    <s v="13/04/2026"/>
    <s v="13/04/2026"/>
    <n v="22"/>
    <s v="No"/>
    <s v=""/>
    <m/>
    <m/>
    <s v="*MAV290600749"/>
    <s v="*MAV290600749"/>
    <n v="9.6183634499077367E-5"/>
  </r>
  <r>
    <x v="80"/>
    <s v="Pesos"/>
    <d v="2026-07-22T00:00:00"/>
    <s v="08/06/2026"/>
    <n v="0.96285748999999998"/>
    <m/>
    <n v="1809446"/>
    <n v="1742238.64"/>
    <n v="1809446"/>
    <n v="1742238.64"/>
    <n v="9947"/>
    <s v="AMOMPY"/>
    <s v="Momentum Capital Investment S.A."/>
    <s v="30/04/2026"/>
    <s v="30/04/2026"/>
    <n v="32"/>
    <s v="No"/>
    <s v=""/>
    <m/>
    <m/>
    <s v="*MAV200701092"/>
    <s v="*MAV200701092"/>
    <n v="3.9136619007043824E-5"/>
  </r>
  <r>
    <x v="80"/>
    <s v="Pesos"/>
    <d v="2026-06-24T00:00:00"/>
    <s v="08/06/2026"/>
    <n v="0.98616672999999999"/>
    <m/>
    <n v="1659905.2"/>
    <n v="1636943.29"/>
    <n v="1659905.2"/>
    <n v="1636943.29"/>
    <n v="9946"/>
    <s v="AMOMPY"/>
    <s v="Momentum Capital Investment S.A."/>
    <s v="30/04/2026"/>
    <s v="30/04/2026"/>
    <n v="32"/>
    <s v="No"/>
    <s v=""/>
    <m/>
    <m/>
    <s v="*MAV220600984"/>
    <s v="*MAV220600984"/>
    <n v="3.6771326502589136E-5"/>
  </r>
  <r>
    <x v="80"/>
    <s v="Pesos"/>
    <d v="2026-07-01T00:00:00"/>
    <s v="08/06/2026"/>
    <n v="0.98023419000000001"/>
    <m/>
    <n v="2433059"/>
    <n v="2384967.61"/>
    <n v="2433059"/>
    <n v="2384967.61"/>
    <n v="9889"/>
    <s v="AMOMPY"/>
    <s v="Momentum Capital Investment S.A."/>
    <s v="30/04/2026"/>
    <s v="30/04/2026"/>
    <n v="32"/>
    <s v="No"/>
    <s v=""/>
    <m/>
    <m/>
    <s v="*MAV290600841"/>
    <s v="*MAV290600841"/>
    <n v="5.3574502685068381E-5"/>
  </r>
  <r>
    <x v="80"/>
    <s v="Pesos"/>
    <d v="2026-06-18T00:00:00"/>
    <s v="08/06/2026"/>
    <n v="0.99130910999999999"/>
    <m/>
    <n v="2131442.7999999998"/>
    <n v="2112918.67"/>
    <n v="2131442.7999999998"/>
    <n v="2112918.67"/>
    <n v="9888"/>
    <s v="AMOMPY"/>
    <s v="Momentum Capital Investment S.A."/>
    <s v="04/05/2026"/>
    <s v="04/05/2026"/>
    <n v="32"/>
    <s v="No"/>
    <s v=""/>
    <m/>
    <m/>
    <s v="*MAV150601261"/>
    <s v="*MAV150601261"/>
    <n v="4.7463356099517891E-5"/>
  </r>
  <r>
    <x v="81"/>
    <s v="Pesos"/>
    <d v="2026-06-23T00:00:00"/>
    <s v="08/06/2026"/>
    <n v="0.99103993999999995"/>
    <m/>
    <n v="4000000"/>
    <n v="3964159.75"/>
    <n v="4000000"/>
    <n v="3964159.75"/>
    <n v="64816600"/>
    <s v="AMOMPY"/>
    <s v="Momentum Capital Investment S.A."/>
    <s v="13/04/2026"/>
    <s v="13/04/2026"/>
    <n v="22"/>
    <s v="No"/>
    <s v=""/>
    <m/>
    <m/>
    <s v="*MAV190601003"/>
    <s v="*MAV190601003"/>
    <n v="8.904854148959072E-5"/>
  </r>
  <r>
    <x v="81"/>
    <s v="Pesos"/>
    <d v="2026-06-26T00:00:00"/>
    <s v="08/06/2026"/>
    <n v="0.98926716999999997"/>
    <m/>
    <n v="4000000"/>
    <n v="3957068.68"/>
    <n v="4000000"/>
    <n v="3957068.68"/>
    <n v="64816693"/>
    <s v="AMOMPY"/>
    <s v="Momentum Capital Investment S.A."/>
    <s v="13/04/2026"/>
    <s v="13/04/2026"/>
    <n v="22"/>
    <s v="No"/>
    <s v=""/>
    <m/>
    <m/>
    <s v="*MAV240601193"/>
    <s v="*MAV240601193"/>
    <n v="8.8889251884498348E-5"/>
  </r>
  <r>
    <x v="81"/>
    <s v="Pesos"/>
    <d v="2026-07-02T00:00:00"/>
    <s v="08/06/2026"/>
    <n v="0.98574052000000001"/>
    <m/>
    <n v="4000000"/>
    <n v="3942962.1"/>
    <n v="4000000"/>
    <n v="3942962.1"/>
    <n v="64816755"/>
    <s v="AMOMPY"/>
    <s v="Momentum Capital Investment S.A."/>
    <s v="13/04/2026"/>
    <s v="13/04/2026"/>
    <n v="22"/>
    <s v="No"/>
    <s v=""/>
    <m/>
    <m/>
    <s v="*MAV300601958"/>
    <s v="*MAV300601958"/>
    <n v="8.8572370009491611E-5"/>
  </r>
  <r>
    <x v="82"/>
    <s v="Pesos"/>
    <d v="2026-07-14T00:00:00"/>
    <s v="08/06/2026"/>
    <n v="0.96571066000000005"/>
    <m/>
    <n v="4771794.93"/>
    <n v="4608173.25"/>
    <n v="4771794.93"/>
    <n v="4608173.25"/>
    <n v="143"/>
    <s v="AMOMPY"/>
    <s v="Momentum Capital Investment S.A."/>
    <s v="14/04/2026"/>
    <s v="14/04/2026"/>
    <n v="36"/>
    <s v="No"/>
    <s v=""/>
    <m/>
    <m/>
    <s v="*MAV080701187"/>
    <s v="*MAV080701187"/>
    <n v="1.0351528009027565E-4"/>
  </r>
  <r>
    <x v="83"/>
    <s v="Pesos"/>
    <d v="2026-07-03T00:00:00"/>
    <s v="08/06/2026"/>
    <n v="0.97658869000000004"/>
    <m/>
    <n v="6238663.2000000002"/>
    <n v="6092607.9500000002"/>
    <n v="6238663.2000000002"/>
    <n v="6092607.9500000002"/>
    <n v="9266641"/>
    <s v="AMOMPY"/>
    <s v="Momentum Capital Investment S.A."/>
    <s v="16/04/2026"/>
    <s v="16/04/2026"/>
    <n v="35"/>
    <s v="No"/>
    <s v=""/>
    <m/>
    <m/>
    <s v="*MAV010701098"/>
    <s v="*MAV010701098"/>
    <n v="1.3686074377183846E-4"/>
  </r>
  <r>
    <x v="84"/>
    <s v="Pesos"/>
    <d v="2026-09-16T00:00:00"/>
    <s v="08/06/2026"/>
    <n v="0.90123458999999995"/>
    <m/>
    <n v="9974100"/>
    <n v="8989003.8800000008"/>
    <n v="9974100"/>
    <n v="8989003.8800000008"/>
    <n v="1179211"/>
    <s v="AMOMPY"/>
    <s v="Momentum Capital Investment S.A."/>
    <s v="16/04/2026"/>
    <s v="16/04/2026"/>
    <n v="40"/>
    <s v="No"/>
    <s v=""/>
    <m/>
    <m/>
    <s v="*MAV130901052"/>
    <s v="*MAV130901052"/>
    <n v="2.0192366994248201E-4"/>
  </r>
  <r>
    <x v="84"/>
    <s v="Pesos"/>
    <d v="2026-09-03T00:00:00"/>
    <s v="08/06/2026"/>
    <n v="0.91295660999999995"/>
    <m/>
    <n v="9972890.5500000007"/>
    <n v="9104816.3599999994"/>
    <n v="9972890.5500000007"/>
    <n v="9104816.3599999994"/>
    <n v="1179208"/>
    <s v="AMOMPY"/>
    <s v="Momentum Capital Investment S.A."/>
    <s v="16/04/2026"/>
    <s v="16/04/2026"/>
    <n v="40"/>
    <s v="No"/>
    <s v=""/>
    <m/>
    <m/>
    <s v="*MAV010901130"/>
    <s v="*MAV010901130"/>
    <n v="2.0452521303879448E-4"/>
  </r>
  <r>
    <x v="84"/>
    <s v="Pesos"/>
    <d v="2026-09-17T00:00:00"/>
    <s v="08/06/2026"/>
    <n v="0.90034550999999996"/>
    <m/>
    <n v="9972899.9900000002"/>
    <n v="8979055.7100000009"/>
    <n v="9972899.9900000002"/>
    <n v="8979055.7100000009"/>
    <n v="1179213"/>
    <s v="AMOMPY"/>
    <s v="Momentum Capital Investment S.A."/>
    <s v="16/04/2026"/>
    <s v="16/04/2026"/>
    <n v="40"/>
    <s v="No"/>
    <s v=""/>
    <m/>
    <m/>
    <s v="*MAV150901457"/>
    <s v="*MAV150901457"/>
    <n v="2.0170020013176348E-4"/>
  </r>
  <r>
    <x v="84"/>
    <s v="Pesos"/>
    <d v="2026-09-15T00:00:00"/>
    <s v="08/06/2026"/>
    <n v="0.90212563000000001"/>
    <m/>
    <n v="9975100.8000000007"/>
    <n v="8998794.1099999994"/>
    <n v="9975100.8000000007"/>
    <n v="8998794.1099999994"/>
    <n v="1179209"/>
    <s v="AMOMPY"/>
    <s v="Momentum Capital Investment S.A."/>
    <s v="16/04/2026"/>
    <s v="16/04/2026"/>
    <n v="40"/>
    <s v="No"/>
    <s v=""/>
    <m/>
    <m/>
    <s v="*MAV110900971"/>
    <s v="*MAV110900971"/>
    <n v="2.0214359188239564E-4"/>
  </r>
  <r>
    <x v="84"/>
    <s v="Pesos"/>
    <d v="2026-09-16T00:00:00"/>
    <s v="08/06/2026"/>
    <n v="0.90123458999999995"/>
    <m/>
    <n v="9973400"/>
    <n v="8988373.0199999996"/>
    <n v="9973400"/>
    <n v="8988373.0199999996"/>
    <n v="1179210"/>
    <s v="AMOMPY"/>
    <s v="Momentum Capital Investment S.A."/>
    <s v="16/04/2026"/>
    <s v="16/04/2026"/>
    <n v="40"/>
    <s v="No"/>
    <s v=""/>
    <m/>
    <m/>
    <s v="*MAV120901447"/>
    <s v="*MAV120901447"/>
    <n v="2.0190949867633052E-4"/>
  </r>
  <r>
    <x v="84"/>
    <s v="Pesos"/>
    <d v="2026-09-02T00:00:00"/>
    <s v="08/06/2026"/>
    <n v="0.91387099999999999"/>
    <m/>
    <n v="9972570.8200000003"/>
    <n v="9113643.2200000007"/>
    <n v="9972570.8200000003"/>
    <n v="9113643.2200000007"/>
    <n v="1179207"/>
    <s v="AMOMPY"/>
    <s v="Momentum Capital Investment S.A."/>
    <s v="16/04/2026"/>
    <s v="16/04/2026"/>
    <n v="40"/>
    <s v="No"/>
    <s v=""/>
    <m/>
    <m/>
    <s v="*MAV310801101"/>
    <s v="*MAV310801101"/>
    <n v="2.0472349440445664E-4"/>
  </r>
  <r>
    <x v="84"/>
    <s v="Pesos"/>
    <d v="2026-09-02T00:00:00"/>
    <s v="08/06/2026"/>
    <n v="0.91387099999999999"/>
    <m/>
    <n v="9972350.7799999993"/>
    <n v="9113442.1300000008"/>
    <n v="9972350.7799999993"/>
    <n v="9113442.1300000008"/>
    <n v="1179206"/>
    <s v="AMOMPY"/>
    <s v="Momentum Capital Investment S.A."/>
    <s v="16/04/2026"/>
    <s v="16/04/2026"/>
    <n v="40"/>
    <s v="No"/>
    <s v=""/>
    <m/>
    <m/>
    <s v="*MAV300801317"/>
    <s v="*MAV300801317"/>
    <n v="2.0471897723755685E-4"/>
  </r>
  <r>
    <x v="84"/>
    <s v="Pesos"/>
    <d v="2026-09-02T00:00:00"/>
    <s v="08/06/2026"/>
    <n v="0.91387099999999999"/>
    <m/>
    <n v="9973200"/>
    <n v="9114218.2100000009"/>
    <n v="9973200"/>
    <n v="9114218.2100000009"/>
    <n v="1179205"/>
    <s v="AMOMPY"/>
    <s v="Momentum Capital Investment S.A."/>
    <s v="16/04/2026"/>
    <s v="16/04/2026"/>
    <n v="40"/>
    <s v="No"/>
    <s v=""/>
    <m/>
    <m/>
    <s v="*MAV290801169"/>
    <s v="*MAV290801169"/>
    <n v="2.0473641063995172E-4"/>
  </r>
  <r>
    <x v="84"/>
    <s v="Pesos"/>
    <d v="2026-09-01T00:00:00"/>
    <s v="08/06/2026"/>
    <n v="0.91478700999999996"/>
    <m/>
    <n v="9972860.4499999993"/>
    <n v="9123043.1600000001"/>
    <n v="9972860.4499999993"/>
    <n v="9123043.1600000001"/>
    <n v="1179204"/>
    <s v="AMOMPY"/>
    <s v="Momentum Capital Investment S.A."/>
    <s v="16/04/2026"/>
    <s v="16/04/2026"/>
    <n v="40"/>
    <s v="No"/>
    <s v=""/>
    <m/>
    <m/>
    <s v="*MAV280801005"/>
    <s v="*MAV280801005"/>
    <n v="2.0493464910050277E-4"/>
  </r>
  <r>
    <x v="84"/>
    <s v="Pesos"/>
    <d v="2026-09-16T00:00:00"/>
    <s v="08/06/2026"/>
    <n v="0.90123458999999995"/>
    <m/>
    <n v="9973360.4700000007"/>
    <n v="8988337.3900000006"/>
    <n v="9973360.4700000007"/>
    <n v="8988337.3900000006"/>
    <n v="1179212"/>
    <s v="AMOMPY"/>
    <s v="Momentum Capital Investment S.A."/>
    <s v="16/04/2026"/>
    <s v="16/04/2026"/>
    <n v="40"/>
    <s v="No"/>
    <s v=""/>
    <m/>
    <m/>
    <s v="*MAV140900802"/>
    <s v="*MAV140900802"/>
    <n v="2.0190869830507071E-4"/>
  </r>
  <r>
    <x v="85"/>
    <s v="Pesos"/>
    <d v="2026-08-20T00:00:00"/>
    <s v="08/06/2026"/>
    <n v="0.92592602000000002"/>
    <m/>
    <n v="7551944"/>
    <n v="6992541.4699999997"/>
    <n v="7551944"/>
    <n v="6992541.4699999997"/>
    <n v="1824"/>
    <s v="AMOMPY"/>
    <s v="Momentum Capital Investment S.A."/>
    <s v="16/04/2026"/>
    <s v="16/04/2026"/>
    <n v="40"/>
    <s v="No"/>
    <s v=""/>
    <m/>
    <m/>
    <s v="*MAV160801087"/>
    <s v="*MAV160801087"/>
    <n v="1.5707631843267129E-4"/>
  </r>
  <r>
    <x v="85"/>
    <s v="Pesos"/>
    <d v="2026-08-18T00:00:00"/>
    <s v="08/06/2026"/>
    <n v="0.92780885000000002"/>
    <m/>
    <n v="9943984.5"/>
    <n v="9226116.8300000001"/>
    <n v="9943984.5"/>
    <n v="9226116.8300000001"/>
    <n v="1820"/>
    <s v="AMOMPY"/>
    <s v="Momentum Capital Investment S.A."/>
    <s v="16/04/2026"/>
    <s v="16/04/2026"/>
    <n v="40"/>
    <s v="No"/>
    <s v=""/>
    <m/>
    <m/>
    <s v="*MAV130800932"/>
    <s v="*MAV130800932"/>
    <n v="2.0725003509862745E-4"/>
  </r>
  <r>
    <x v="85"/>
    <s v="Pesos"/>
    <d v="2026-08-19T00:00:00"/>
    <s v="08/06/2026"/>
    <n v="0.92686658"/>
    <m/>
    <n v="9943984.5"/>
    <n v="9216746.8900000006"/>
    <n v="9943984.5"/>
    <n v="9216746.8900000006"/>
    <n v="1821"/>
    <s v="AMOMPY"/>
    <s v="Momentum Capital Investment S.A."/>
    <s v="16/04/2026"/>
    <s v="16/04/2026"/>
    <n v="40"/>
    <s v="No"/>
    <s v=""/>
    <m/>
    <m/>
    <s v="*MAV140801128"/>
    <s v="*MAV140801128"/>
    <n v="2.0703955430484891E-4"/>
  </r>
  <r>
    <x v="85"/>
    <s v="Pesos"/>
    <d v="2026-08-24T00:00:00"/>
    <s v="08/06/2026"/>
    <n v="0.92218299999999997"/>
    <m/>
    <n v="7551944"/>
    <n v="6964274.3600000003"/>
    <n v="7551944"/>
    <n v="6964274.3600000003"/>
    <n v="1825"/>
    <s v="AMOMPY"/>
    <s v="Momentum Capital Investment S.A."/>
    <s v="16/04/2026"/>
    <s v="16/04/2026"/>
    <n v="40"/>
    <s v="No"/>
    <s v=""/>
    <m/>
    <m/>
    <s v="*MAV200801170"/>
    <s v="*MAV200801170"/>
    <n v="1.5644134278174659E-4"/>
  </r>
  <r>
    <x v="85"/>
    <s v="Pesos"/>
    <d v="2026-08-24T00:00:00"/>
    <s v="08/06/2026"/>
    <n v="0.92218299999999997"/>
    <m/>
    <n v="7551944"/>
    <n v="6964274.3600000003"/>
    <n v="7551944"/>
    <n v="6964274.3600000003"/>
    <n v="1826"/>
    <s v="AMOMPY"/>
    <s v="Momentum Capital Investment S.A."/>
    <s v="16/04/2026"/>
    <s v="16/04/2026"/>
    <n v="40"/>
    <s v="No"/>
    <s v=""/>
    <m/>
    <m/>
    <s v="*MAV200801171"/>
    <s v="*MAV200801171"/>
    <n v="1.5644134278174659E-4"/>
  </r>
  <r>
    <x v="85"/>
    <s v="Pesos"/>
    <d v="2026-08-18T00:00:00"/>
    <s v="08/06/2026"/>
    <n v="0.92780885000000002"/>
    <m/>
    <n v="9943984.5"/>
    <n v="9226116.8300000001"/>
    <n v="9943984.5"/>
    <n v="9226116.8300000001"/>
    <n v="1819"/>
    <s v="AMOMPY"/>
    <s v="Momentum Capital Investment S.A."/>
    <s v="16/04/2026"/>
    <s v="16/04/2026"/>
    <n v="40"/>
    <s v="No"/>
    <s v=""/>
    <m/>
    <m/>
    <s v="*MAV130800931"/>
    <s v="*MAV130800931"/>
    <n v="2.0725003509862745E-4"/>
  </r>
  <r>
    <x v="85"/>
    <s v="Pesos"/>
    <d v="2026-08-19T00:00:00"/>
    <s v="08/06/2026"/>
    <n v="0.92686658"/>
    <m/>
    <n v="9943984.5"/>
    <n v="9216746.8900000006"/>
    <n v="9943984.5"/>
    <n v="9216746.8900000006"/>
    <n v="1822"/>
    <s v="AMOMPY"/>
    <s v="Momentum Capital Investment S.A."/>
    <s v="16/04/2026"/>
    <s v="16/04/2026"/>
    <n v="40"/>
    <s v="No"/>
    <s v=""/>
    <m/>
    <m/>
    <s v="*MAV140801129"/>
    <s v="*MAV140801129"/>
    <n v="2.0703955430484891E-4"/>
  </r>
  <r>
    <x v="85"/>
    <s v="Pesos"/>
    <d v="2026-08-20T00:00:00"/>
    <s v="08/06/2026"/>
    <n v="0.92592602000000002"/>
    <m/>
    <n v="7551944"/>
    <n v="6992541.4699999997"/>
    <n v="7551944"/>
    <n v="6992541.4699999997"/>
    <n v="1823"/>
    <s v="AMOMPY"/>
    <s v="Momentum Capital Investment S.A."/>
    <s v="16/04/2026"/>
    <s v="16/04/2026"/>
    <n v="40"/>
    <s v="No"/>
    <s v=""/>
    <m/>
    <m/>
    <s v="*MAV160801088"/>
    <s v="*MAV160801088"/>
    <n v="1.5707631843267129E-4"/>
  </r>
  <r>
    <x v="86"/>
    <s v="Pesos"/>
    <d v="2026-10-08T00:00:00"/>
    <s v="08/06/2026"/>
    <n v="0.88206870000000004"/>
    <m/>
    <n v="7900000"/>
    <n v="6968342.75"/>
    <n v="7900000"/>
    <n v="6968342.75"/>
    <n v="15"/>
    <s v="AMOMPY"/>
    <s v="Momentum Capital Investment S.A."/>
    <s v="17/04/2026"/>
    <s v="17/04/2026"/>
    <n v="40"/>
    <s v="No"/>
    <s v=""/>
    <m/>
    <m/>
    <s v="*MAV061001203"/>
    <s v="*MAV061001203"/>
    <n v="1.5653273268996379E-4"/>
  </r>
  <r>
    <x v="86"/>
    <s v="Pesos"/>
    <d v="2026-10-08T00:00:00"/>
    <s v="08/06/2026"/>
    <n v="0.88206870999999998"/>
    <m/>
    <n v="7203888"/>
    <n v="6354324.1600000001"/>
    <n v="7203888"/>
    <n v="6354324.1600000001"/>
    <n v="876"/>
    <s v="AMOMPY"/>
    <s v="Momentum Capital Investment S.A."/>
    <s v="17/04/2026"/>
    <s v="17/04/2026"/>
    <n v="40"/>
    <s v="No"/>
    <s v=""/>
    <m/>
    <m/>
    <s v="*MAV061001204"/>
    <s v="*MAV061001204"/>
    <n v="1.4273978201813606E-4"/>
  </r>
  <r>
    <x v="86"/>
    <s v="Pesos"/>
    <d v="2026-10-05T00:00:00"/>
    <s v="08/06/2026"/>
    <n v="0.88463406"/>
    <m/>
    <n v="7203888"/>
    <n v="6372804.7000000002"/>
    <n v="7203888"/>
    <n v="6372804.7000000002"/>
    <n v="66329827"/>
    <s v="AMOMPY"/>
    <s v="Momentum Capital Investment S.A."/>
    <s v="17/04/2026"/>
    <s v="17/04/2026"/>
    <n v="40"/>
    <s v="No"/>
    <s v=""/>
    <m/>
    <m/>
    <s v="*MAV011000998"/>
    <s v="*MAV011000998"/>
    <n v="1.4315491794522376E-4"/>
  </r>
  <r>
    <x v="86"/>
    <s v="Pesos"/>
    <d v="2026-10-07T00:00:00"/>
    <s v="08/06/2026"/>
    <n v="0.88292223999999997"/>
    <m/>
    <n v="7203888"/>
    <n v="6360472.9400000004"/>
    <n v="7203888"/>
    <n v="6360472.9400000004"/>
    <n v="66329877"/>
    <s v="AMOMPY"/>
    <s v="Momentum Capital Investment S.A."/>
    <s v="17/04/2026"/>
    <s v="17/04/2026"/>
    <n v="40"/>
    <s v="No"/>
    <s v=""/>
    <m/>
    <m/>
    <s v="*MAV051000897"/>
    <s v="*MAV051000897"/>
    <n v="1.4287790457763694E-4"/>
  </r>
  <r>
    <x v="86"/>
    <s v="Pesos"/>
    <d v="2026-10-07T00:00:00"/>
    <s v="08/06/2026"/>
    <n v="0.88292223999999997"/>
    <m/>
    <n v="7900000"/>
    <n v="6975085.7000000002"/>
    <n v="7900000"/>
    <n v="6975085.7000000002"/>
    <n v="877"/>
    <s v="AMOMPY"/>
    <s v="Momentum Capital Investment S.A."/>
    <s v="17/04/2026"/>
    <s v="17/04/2026"/>
    <n v="40"/>
    <s v="No"/>
    <s v=""/>
    <m/>
    <m/>
    <s v="*MAV051000898"/>
    <s v="*MAV051000898"/>
    <n v="1.5668420233314284E-4"/>
  </r>
  <r>
    <x v="87"/>
    <s v="Pesos"/>
    <d v="2026-08-03T00:00:00"/>
    <s v="08/06/2026"/>
    <n v="0.95599796000000004"/>
    <m/>
    <n v="10000000"/>
    <n v="9559979.6400000006"/>
    <n v="10000000"/>
    <n v="9559979.6400000006"/>
    <n v="3463102"/>
    <s v="AMOMPY"/>
    <s v="Momentum Capital Investment S.A."/>
    <s v="17/04/2026"/>
    <s v="17/04/2026"/>
    <n v="30"/>
    <s v="No"/>
    <s v=""/>
    <m/>
    <m/>
    <s v="*MAV300701132"/>
    <s v="*MAV300701132"/>
    <n v="2.1474973192293337E-4"/>
  </r>
  <r>
    <x v="87"/>
    <s v="Pesos"/>
    <d v="2026-09-02T00:00:00"/>
    <s v="08/06/2026"/>
    <n v="0.93398161000000002"/>
    <m/>
    <n v="10000000"/>
    <n v="9339816.0700000003"/>
    <n v="10000000"/>
    <n v="9339816.0700000003"/>
    <n v="3463103"/>
    <s v="AMOMPY"/>
    <s v="Momentum Capital Investment S.A."/>
    <s v="17/04/2026"/>
    <s v="17/04/2026"/>
    <n v="30"/>
    <s v="No"/>
    <s v=""/>
    <m/>
    <m/>
    <s v="*MAV300801320"/>
    <s v="*MAV300801320"/>
    <n v="2.0980410762067324E-4"/>
  </r>
  <r>
    <x v="87"/>
    <s v="Pesos"/>
    <d v="2026-07-02T00:00:00"/>
    <s v="08/06/2026"/>
    <n v="0.98065557999999997"/>
    <m/>
    <n v="10000000"/>
    <n v="9806555.7799999993"/>
    <n v="10000000"/>
    <n v="9806555.7799999993"/>
    <n v="3463101"/>
    <s v="AMOMPY"/>
    <s v="Momentum Capital Investment S.A."/>
    <s v="17/04/2026"/>
    <s v="17/04/2026"/>
    <n v="30"/>
    <s v="No"/>
    <s v=""/>
    <m/>
    <m/>
    <s v="*MAV300601996"/>
    <s v="*MAV300601996"/>
    <n v="2.2028867258573915E-4"/>
  </r>
  <r>
    <x v="88"/>
    <s v="Dolar 3500"/>
    <d v="2026-11-17T00:00:00"/>
    <s v="08/06/2026"/>
    <n v="0.96571046999999999"/>
    <s v="1 US3 = 1445,3977163583 $"/>
    <n v="18230"/>
    <n v="17604.900000000001"/>
    <n v="26349600.370000001"/>
    <n v="25446082.260000002"/>
    <n v="146446"/>
    <s v="AMOMPY"/>
    <s v="Momentum Capital Investment S.A."/>
    <s v="17/04/2026"/>
    <s v="17/04/2026"/>
    <n v="8"/>
    <s v="No"/>
    <s v=""/>
    <m/>
    <m/>
    <s v="#UMV131160016"/>
    <s v="#UMV131160016"/>
    <n v="5.7160575122562813E-4"/>
  </r>
  <r>
    <x v="88"/>
    <s v="Dolar 3500"/>
    <d v="2026-10-16T00:00:00"/>
    <s v="08/06/2026"/>
    <n v="0.97229538999999998"/>
    <s v="1 US3 = 1445,3977163583 $"/>
    <n v="18230"/>
    <n v="17724.95"/>
    <n v="26349600.370000001"/>
    <n v="25619602.25"/>
    <n v="146445"/>
    <s v="AMOMPY"/>
    <s v="Momentum Capital Investment S.A."/>
    <s v="17/04/2026"/>
    <s v="17/04/2026"/>
    <n v="8"/>
    <s v="No"/>
    <s v=""/>
    <m/>
    <m/>
    <s v="#UMV141060033"/>
    <s v="#UMV141060033"/>
    <n v="5.7550360171684215E-4"/>
  </r>
  <r>
    <x v="88"/>
    <s v="Dolar 3500"/>
    <d v="2026-12-16T00:00:00"/>
    <s v="08/06/2026"/>
    <n v="0.95981768000000001"/>
    <s v="1 US3 = 1445,3977163583 $"/>
    <n v="18230"/>
    <n v="17497.48"/>
    <n v="26349600.370000001"/>
    <n v="25290817.629999999"/>
    <n v="146447"/>
    <s v="AMOMPY"/>
    <s v="Momentum Capital Investment S.A."/>
    <s v="17/04/2026"/>
    <s v="17/04/2026"/>
    <n v="8"/>
    <s v="No"/>
    <s v=""/>
    <m/>
    <m/>
    <s v="#UMV131260004"/>
    <s v="#UMV131260004"/>
    <n v="5.6811797835108117E-4"/>
  </r>
  <r>
    <x v="88"/>
    <s v="Dolar 3500"/>
    <d v="2027-06-15T00:00:00"/>
    <s v="08/06/2026"/>
    <n v="0.92461170999999998"/>
    <s v="1 US3 = 1445,3977163583 $"/>
    <n v="18230"/>
    <n v="16855.669999999998"/>
    <n v="26349600.370000001"/>
    <n v="24363146.93"/>
    <n v="146455"/>
    <s v="AMOMPY"/>
    <s v="Momentum Capital Investment S.A."/>
    <s v="17/04/2026"/>
    <s v="17/04/2026"/>
    <n v="8"/>
    <s v="No"/>
    <s v=""/>
    <m/>
    <m/>
    <s v="#UMV110670002"/>
    <s v="#UMV110670002"/>
    <n v="5.4727933207361276E-4"/>
  </r>
  <r>
    <x v="88"/>
    <s v="Dolar 3500"/>
    <d v="2027-03-17T00:00:00"/>
    <s v="08/06/2026"/>
    <n v="0.94179073999999996"/>
    <s v="1 US3 = 1445,3977163583 $"/>
    <n v="18230"/>
    <n v="17168.849999999999"/>
    <n v="26349600.370000001"/>
    <n v="24815816.579999998"/>
    <n v="146451"/>
    <s v="AMOMPY"/>
    <s v="Momentum Capital Investment S.A."/>
    <s v="17/04/2026"/>
    <s v="17/04/2026"/>
    <n v="8"/>
    <s v="No"/>
    <s v=""/>
    <m/>
    <m/>
    <s v="#UMV130370002"/>
    <s v="#UMV130370002"/>
    <n v="5.574478355273657E-4"/>
  </r>
  <r>
    <x v="88"/>
    <s v="Dolar 3500"/>
    <d v="2027-05-14T00:00:00"/>
    <s v="08/06/2026"/>
    <n v="0.93064703999999998"/>
    <s v="1 US3 = 1445,3977163583 $"/>
    <n v="18230"/>
    <n v="16965.7"/>
    <n v="26349600.370000001"/>
    <n v="24522184.039999999"/>
    <n v="146453"/>
    <s v="AMOMPY"/>
    <s v="Momentum Capital Investment S.A."/>
    <s v="17/04/2026"/>
    <s v="17/04/2026"/>
    <n v="8"/>
    <s v="No"/>
    <s v=""/>
    <m/>
    <m/>
    <s v="#UMV120570002"/>
    <s v="#UMV120570002"/>
    <n v="5.5085184770904325E-4"/>
  </r>
  <r>
    <x v="88"/>
    <s v="Dolar 3500"/>
    <d v="2027-04-14T00:00:00"/>
    <s v="08/06/2026"/>
    <n v="0.93637868999999996"/>
    <s v="1 US3 = 1445,3977163583 $"/>
    <n v="18230"/>
    <n v="17070.18"/>
    <n v="26349600.370000001"/>
    <n v="24673199.190000001"/>
    <n v="146452"/>
    <s v="AMOMPY"/>
    <s v="Momentum Capital Investment S.A."/>
    <s v="17/04/2026"/>
    <s v="17/04/2026"/>
    <n v="8"/>
    <s v="No"/>
    <s v=""/>
    <m/>
    <m/>
    <s v="#UMV120470004"/>
    <s v="#UMV120470004"/>
    <n v="5.5424416277665171E-4"/>
  </r>
  <r>
    <x v="88"/>
    <s v="Dolar 3500"/>
    <d v="2027-01-14T00:00:00"/>
    <s v="08/06/2026"/>
    <n v="0.95400012999999995"/>
    <s v="1 US3 = 1445,3977163583 $"/>
    <n v="18230"/>
    <n v="17391.419999999998"/>
    <n v="26349600.370000001"/>
    <n v="25137518.75"/>
    <n v="146448"/>
    <s v="AMOMPY"/>
    <s v="Momentum Capital Investment S.A."/>
    <s v="17/04/2026"/>
    <s v="17/04/2026"/>
    <n v="8"/>
    <s v="No"/>
    <s v=""/>
    <m/>
    <m/>
    <s v="#UMV120170009"/>
    <s v="#UMV120170009"/>
    <n v="5.6467436292261918E-4"/>
  </r>
  <r>
    <x v="88"/>
    <s v="Dolar 3500"/>
    <d v="2027-02-15T00:00:00"/>
    <s v="08/06/2026"/>
    <n v="0.94765761000000004"/>
    <s v="1 US3 = 1445,3977163583 $"/>
    <n v="18230"/>
    <n v="17275.8"/>
    <n v="26349600.370000001"/>
    <n v="24970401.870000001"/>
    <n v="146450"/>
    <s v="AMOMPY"/>
    <s v="Momentum Capital Investment S.A."/>
    <s v="17/04/2026"/>
    <s v="17/04/2026"/>
    <n v="8"/>
    <s v="No"/>
    <s v=""/>
    <m/>
    <m/>
    <s v="#UMV110270012"/>
    <s v="#UMV110270012"/>
    <n v="5.6092034810969679E-4"/>
  </r>
  <r>
    <x v="88"/>
    <s v="Pesos"/>
    <d v="2026-07-15T00:00:00"/>
    <s v="08/06/2026"/>
    <n v="0.97048665000000001"/>
    <m/>
    <n v="5000000"/>
    <n v="4852433.24"/>
    <n v="5000000"/>
    <n v="4852433.24"/>
    <n v="3501231"/>
    <s v="AMOMPY"/>
    <s v="Momentum Capital Investment S.A."/>
    <s v="17/04/2026"/>
    <s v="17/04/2026"/>
    <n v="30"/>
    <s v="No"/>
    <s v=""/>
    <m/>
    <m/>
    <s v="*MAV090700468"/>
    <s v="*MAV090700468"/>
    <n v="1.0900219212851074E-4"/>
  </r>
  <r>
    <x v="88"/>
    <s v="Pesos"/>
    <d v="2026-08-12T00:00:00"/>
    <s v="08/06/2026"/>
    <n v="0.94928493000000003"/>
    <m/>
    <n v="5000000"/>
    <n v="4746424.63"/>
    <n v="5000000"/>
    <n v="4746424.63"/>
    <n v="3501230"/>
    <s v="AMOMPY"/>
    <s v="Momentum Capital Investment S.A."/>
    <s v="17/04/2026"/>
    <s v="17/04/2026"/>
    <n v="30"/>
    <s v="No"/>
    <s v=""/>
    <m/>
    <m/>
    <s v="*MAV090800977"/>
    <s v="*MAV090800977"/>
    <n v="1.0662087737300956E-4"/>
  </r>
  <r>
    <x v="88"/>
    <s v="Pesos"/>
    <d v="2026-08-18T00:00:00"/>
    <s v="08/06/2026"/>
    <n v="0.94486155999999999"/>
    <m/>
    <n v="5000000"/>
    <n v="4724307.79"/>
    <n v="5000000"/>
    <n v="4724307.79"/>
    <n v="3501229"/>
    <s v="AMOMPY"/>
    <s v="Momentum Capital Investment S.A."/>
    <s v="17/04/2026"/>
    <s v="17/04/2026"/>
    <n v="30"/>
    <s v="No"/>
    <s v=""/>
    <m/>
    <m/>
    <s v="*MAV130800934"/>
    <s v="*MAV130800934"/>
    <n v="1.0612405775206501E-4"/>
  </r>
  <r>
    <x v="88"/>
    <s v="Pesos"/>
    <d v="2026-08-31T00:00:00"/>
    <s v="08/06/2026"/>
    <n v="0.93541785"/>
    <m/>
    <n v="5000000"/>
    <n v="4677089.2699999996"/>
    <n v="5000000"/>
    <n v="4677089.2699999996"/>
    <n v="3495447"/>
    <s v="AMOMPY"/>
    <s v="Momentum Capital Investment S.A."/>
    <s v="17/04/2026"/>
    <s v="17/04/2026"/>
    <n v="30"/>
    <s v="No"/>
    <s v=""/>
    <m/>
    <m/>
    <s v="*MAV270800957"/>
    <s v="*MAV270800957"/>
    <n v="1.0506336882869428E-4"/>
  </r>
  <r>
    <x v="88"/>
    <s v="Pesos"/>
    <d v="2026-08-10T00:00:00"/>
    <s v="08/06/2026"/>
    <n v="0.94611065000000005"/>
    <m/>
    <n v="5600000"/>
    <n v="5298219.6399999997"/>
    <n v="5600000"/>
    <n v="5298219.6399999997"/>
    <n v="3501249"/>
    <s v="AMOMPY"/>
    <s v="Momentum Capital Investment S.A."/>
    <s v="24/04/2026"/>
    <s v="24/04/2026"/>
    <n v="33"/>
    <s v="No"/>
    <s v=""/>
    <m/>
    <m/>
    <s v="*MAV060800856"/>
    <s v="*MAV060800856"/>
    <n v="1.1901607432281314E-4"/>
  </r>
  <r>
    <x v="88"/>
    <s v="Pesos"/>
    <d v="2026-08-31T00:00:00"/>
    <s v="08/06/2026"/>
    <n v="0.92941547999999996"/>
    <m/>
    <n v="5600000"/>
    <n v="5204726.7"/>
    <n v="5600000"/>
    <n v="5204726.7"/>
    <n v="3501252"/>
    <s v="AMOMPY"/>
    <s v="Momentum Capital Investment S.A."/>
    <s v="24/04/2026"/>
    <s v="24/04/2026"/>
    <n v="33"/>
    <s v="No"/>
    <s v=""/>
    <m/>
    <m/>
    <s v="*MAV270800960"/>
    <s v="*MAV270800960"/>
    <n v="1.1691590418043334E-4"/>
  </r>
  <r>
    <x v="88"/>
    <s v="Pesos"/>
    <d v="2026-07-15T00:00:00"/>
    <s v="08/06/2026"/>
    <n v="0.96763083999999999"/>
    <m/>
    <n v="5600000"/>
    <n v="5418732.6799999997"/>
    <n v="5600000"/>
    <n v="5418732.6799999997"/>
    <n v="3501248"/>
    <s v="AMOMPY"/>
    <s v="Momentum Capital Investment S.A."/>
    <s v="24/04/2026"/>
    <s v="24/04/2026"/>
    <n v="33"/>
    <s v="No"/>
    <s v=""/>
    <m/>
    <m/>
    <s v="*MAV090700481"/>
    <s v="*MAV090700481"/>
    <n v="1.2172320802055998E-4"/>
  </r>
  <r>
    <x v="88"/>
    <s v="Pesos"/>
    <d v="2026-08-18T00:00:00"/>
    <s v="08/06/2026"/>
    <n v="0.93968028999999997"/>
    <m/>
    <n v="5600000"/>
    <n v="5262209.62"/>
    <n v="5600000"/>
    <n v="5262209.62"/>
    <n v="3501250"/>
    <s v="AMOMPY"/>
    <s v="Momentum Capital Investment S.A."/>
    <s v="24/04/2026"/>
    <s v="24/04/2026"/>
    <n v="33"/>
    <s v="No"/>
    <s v=""/>
    <m/>
    <m/>
    <s v="*MAV130800942"/>
    <s v="*MAV130800942"/>
    <n v="1.1820716651832546E-4"/>
  </r>
  <r>
    <x v="88"/>
    <s v="Pesos"/>
    <d v="2026-08-24T00:00:00"/>
    <s v="08/06/2026"/>
    <n v="0.93491468"/>
    <m/>
    <n v="5600000"/>
    <n v="5235522.22"/>
    <n v="5600000"/>
    <n v="5235522.22"/>
    <n v="3501251"/>
    <s v="AMOMPY"/>
    <s v="Momentum Capital Investment S.A."/>
    <s v="24/04/2026"/>
    <s v="24/04/2026"/>
    <n v="33"/>
    <s v="No"/>
    <s v=""/>
    <m/>
    <m/>
    <s v="*MAV200801181"/>
    <s v="*MAV200801181"/>
    <n v="1.1760767653910619E-4"/>
  </r>
  <r>
    <x v="89"/>
    <s v="Pesos"/>
    <d v="2026-07-15T00:00:00"/>
    <s v="08/06/2026"/>
    <n v="0.96763083999999999"/>
    <m/>
    <n v="10000000"/>
    <n v="9676308.4000000004"/>
    <n v="10000000"/>
    <n v="9676308.4000000004"/>
    <n v="13633524"/>
    <s v="AMOMPY"/>
    <s v="Momentum Capital Investment S.A."/>
    <s v="19/05/2026"/>
    <s v="19/05/2026"/>
    <n v="33"/>
    <s v="No"/>
    <s v=""/>
    <m/>
    <m/>
    <s v="*MAV100701537"/>
    <s v="*MAV100701537"/>
    <n v="2.1736287242800324E-4"/>
  </r>
  <r>
    <x v="89"/>
    <s v="Pesos"/>
    <d v="2026-06-17T00:00:00"/>
    <s v="08/06/2026"/>
    <n v="0.9919287"/>
    <m/>
    <n v="10000000"/>
    <n v="9919286.9600000009"/>
    <n v="10000000"/>
    <n v="9919286.9600000009"/>
    <n v="13633520"/>
    <s v="AMOMPY"/>
    <s v="Momentum Capital Investment S.A."/>
    <s v="19/05/2026"/>
    <s v="19/05/2026"/>
    <n v="33"/>
    <s v="No"/>
    <s v=""/>
    <m/>
    <m/>
    <s v="*MAV120601964"/>
    <s v="*MAV120601964"/>
    <n v="2.2282099918014562E-4"/>
  </r>
  <r>
    <x v="89"/>
    <s v="Pesos"/>
    <d v="2026-06-23T00:00:00"/>
    <s v="08/06/2026"/>
    <n v="0.98661986999999995"/>
    <m/>
    <n v="10000000"/>
    <n v="9866198.6999999993"/>
    <n v="10000000"/>
    <n v="9866198.6999999993"/>
    <n v="13633521"/>
    <s v="AMOMPY"/>
    <s v="Momentum Capital Investment S.A."/>
    <s v="19/05/2026"/>
    <s v="19/05/2026"/>
    <n v="33"/>
    <s v="No"/>
    <s v=""/>
    <m/>
    <m/>
    <s v="*MAV190601268"/>
    <s v="*MAV190601268"/>
    <n v="2.2162845588689909E-4"/>
  </r>
  <r>
    <x v="89"/>
    <s v="Pesos"/>
    <d v="2026-06-30T00:00:00"/>
    <s v="08/06/2026"/>
    <n v="0.98049759000000003"/>
    <m/>
    <n v="10000000"/>
    <n v="9804975.8499999996"/>
    <n v="10000000"/>
    <n v="9804975.8499999996"/>
    <n v="13633522"/>
    <s v="AMOMPY"/>
    <s v="Momentum Capital Investment S.A."/>
    <s v="19/05/2026"/>
    <s v="19/05/2026"/>
    <n v="33"/>
    <s v="No"/>
    <s v=""/>
    <m/>
    <m/>
    <s v="*MAV260601441"/>
    <s v="*MAV260601441"/>
    <n v="2.2025318197208373E-4"/>
  </r>
  <r>
    <x v="89"/>
    <s v="Pesos"/>
    <d v="2026-08-11T00:00:00"/>
    <s v="08/06/2026"/>
    <n v="0.94530219999999998"/>
    <m/>
    <n v="10000000"/>
    <n v="9453022.0099999998"/>
    <n v="10000000"/>
    <n v="9453022.0099999998"/>
    <n v="13633528"/>
    <s v="AMOMPY"/>
    <s v="Momentum Capital Investment S.A."/>
    <s v="19/05/2026"/>
    <s v="19/05/2026"/>
    <n v="33"/>
    <s v="No"/>
    <s v=""/>
    <m/>
    <m/>
    <s v="*MAV070801108"/>
    <s v="*MAV070801108"/>
    <n v="2.1234709894309863E-4"/>
  </r>
  <r>
    <x v="89"/>
    <s v="Pesos"/>
    <d v="2026-07-21T00:00:00"/>
    <s v="08/06/2026"/>
    <n v="0.96257828000000001"/>
    <m/>
    <n v="10000000"/>
    <n v="9625782.8200000003"/>
    <n v="10000000"/>
    <n v="9625782.8200000003"/>
    <n v="13633526"/>
    <s v="AMOMPY"/>
    <s v="Momentum Capital Investment S.A."/>
    <s v="19/05/2026"/>
    <s v="19/05/2026"/>
    <n v="33"/>
    <s v="No"/>
    <s v=""/>
    <m/>
    <m/>
    <s v="*MAV170701563"/>
    <s v="*MAV170701563"/>
    <n v="2.1622789566352858E-4"/>
  </r>
  <r>
    <x v="89"/>
    <s v="Pesos"/>
    <d v="2026-07-28T00:00:00"/>
    <s v="08/06/2026"/>
    <n v="0.95674985000000001"/>
    <m/>
    <n v="10000000"/>
    <n v="9567498.5"/>
    <n v="10000000"/>
    <n v="9567498.5"/>
    <n v="13633525"/>
    <s v="AMOMPY"/>
    <s v="Momentum Capital Investment S.A."/>
    <s v="19/05/2026"/>
    <s v="19/05/2026"/>
    <n v="33"/>
    <s v="No"/>
    <s v=""/>
    <m/>
    <m/>
    <s v="*MAV240701233"/>
    <s v="*MAV240701233"/>
    <n v="2.1491863114972773E-4"/>
  </r>
  <r>
    <x v="89"/>
    <s v="Pesos"/>
    <d v="2026-08-04T00:00:00"/>
    <s v="08/06/2026"/>
    <n v="0.95099157999999995"/>
    <m/>
    <n v="10000000"/>
    <n v="9509915.7699999996"/>
    <n v="10000000"/>
    <n v="9509915.7699999996"/>
    <n v="13633527"/>
    <s v="AMOMPY"/>
    <s v="Momentum Capital Investment S.A."/>
    <s v="19/05/2026"/>
    <s v="19/05/2026"/>
    <n v="33"/>
    <s v="No"/>
    <s v=""/>
    <m/>
    <m/>
    <s v="*MAV310701459"/>
    <s v="*MAV310701459"/>
    <n v="2.1362512673899129E-4"/>
  </r>
  <r>
    <x v="89"/>
    <s v="Pesos"/>
    <d v="2026-06-09T00:00:00"/>
    <s v="08/06/2026"/>
    <n v="0.99909671"/>
    <m/>
    <n v="10000000"/>
    <n v="9990967.1099999994"/>
    <n v="10000000"/>
    <n v="9990967.1099999994"/>
    <n v="13633519"/>
    <s v="AMOMPY"/>
    <s v="Momentum Capital Investment S.A."/>
    <s v="19/05/2026"/>
    <s v="19/05/2026"/>
    <n v="33"/>
    <s v="No"/>
    <s v=""/>
    <m/>
    <m/>
    <s v="*MAV050601635"/>
    <s v="*MAV050601635"/>
    <n v="2.2443117970106306E-4"/>
  </r>
  <r>
    <x v="89"/>
    <s v="Pesos"/>
    <d v="2026-07-07T00:00:00"/>
    <s v="08/06/2026"/>
    <n v="0.97445081"/>
    <m/>
    <n v="10000000"/>
    <n v="9744508.1199999992"/>
    <n v="10000000"/>
    <n v="9744508.1199999992"/>
    <n v="13633523"/>
    <s v="AMOMPY"/>
    <s v="Momentum Capital Investment S.A."/>
    <s v="19/05/2026"/>
    <s v="19/05/2026"/>
    <n v="33"/>
    <s v="No"/>
    <s v=""/>
    <m/>
    <m/>
    <s v="*MAV030701138"/>
    <s v="*MAV030701138"/>
    <n v="2.1889487062661225E-4"/>
  </r>
  <r>
    <x v="90"/>
    <s v="Pesos"/>
    <d v="2026-09-21T00:00:00"/>
    <s v="08/06/2026"/>
    <n v="0.90145735000000005"/>
    <m/>
    <n v="4463318.82"/>
    <n v="4023491.57"/>
    <n v="4463318.82"/>
    <n v="4023491.57"/>
    <n v="347"/>
    <s v="AMOMPY"/>
    <s v="Momentum Capital Investment S.A."/>
    <s v="17/04/2026"/>
    <s v="17/04/2026"/>
    <n v="38"/>
    <s v="No"/>
    <s v=""/>
    <m/>
    <m/>
    <s v="*MAV170901008"/>
    <s v="*MAV170901008"/>
    <n v="9.0381336424235544E-5"/>
  </r>
  <r>
    <x v="90"/>
    <s v="Pesos"/>
    <d v="2026-09-07T00:00:00"/>
    <s v="08/06/2026"/>
    <n v="0.91345929000000003"/>
    <m/>
    <n v="4957711.8099999996"/>
    <n v="4528667.9000000004"/>
    <n v="4957711.8099999996"/>
    <n v="4528667.9000000004"/>
    <n v="598"/>
    <s v="AMOMPY"/>
    <s v="Momentum Capital Investment S.A."/>
    <s v="24/04/2026"/>
    <s v="24/04/2026"/>
    <n v="38"/>
    <s v="No"/>
    <s v=""/>
    <m/>
    <m/>
    <s v="*MAV030900796"/>
    <s v="*MAV030900796"/>
    <n v="1.0172931890187515E-4"/>
  </r>
  <r>
    <x v="90"/>
    <s v="Pesos"/>
    <d v="2026-08-12T00:00:00"/>
    <s v="08/06/2026"/>
    <n v="0.93661808000000002"/>
    <m/>
    <n v="4957711.8099999996"/>
    <n v="4643482.53"/>
    <n v="4957711.8099999996"/>
    <n v="4643482.53"/>
    <n v="590"/>
    <s v="AMOMPY"/>
    <s v="Momentum Capital Investment S.A."/>
    <s v="24/04/2026"/>
    <s v="24/04/2026"/>
    <n v="38"/>
    <s v="No"/>
    <s v=""/>
    <m/>
    <m/>
    <s v="*MAV090800979"/>
    <s v="*MAV090800979"/>
    <n v="1.0430844688559655E-4"/>
  </r>
  <r>
    <x v="90"/>
    <s v="Pesos"/>
    <d v="2026-09-11T00:00:00"/>
    <s v="08/06/2026"/>
    <n v="0.90999764000000005"/>
    <m/>
    <n v="4957711.8099999996"/>
    <n v="4511506.07"/>
    <n v="4957711.8099999996"/>
    <n v="4511506.07"/>
    <n v="600"/>
    <s v="AMOMPY"/>
    <s v="Momentum Capital Investment S.A."/>
    <s v="24/04/2026"/>
    <s v="24/04/2026"/>
    <n v="38"/>
    <s v="No"/>
    <s v=""/>
    <m/>
    <m/>
    <s v="*MAV090901126"/>
    <s v="*MAV090901126"/>
    <n v="1.0134380569676471E-4"/>
  </r>
  <r>
    <x v="90"/>
    <s v="Pesos"/>
    <d v="2026-08-14T00:00:00"/>
    <s v="08/06/2026"/>
    <n v="0.93479491999999997"/>
    <m/>
    <n v="4957711.8099999996"/>
    <n v="4634443.8099999996"/>
    <n v="4957711.8099999996"/>
    <n v="4634443.8099999996"/>
    <n v="591"/>
    <s v="AMOMPY"/>
    <s v="Momentum Capital Investment S.A."/>
    <s v="24/04/2026"/>
    <s v="24/04/2026"/>
    <n v="38"/>
    <s v="No"/>
    <s v=""/>
    <m/>
    <m/>
    <s v="*MAV120801457"/>
    <s v="*MAV120801457"/>
    <n v="1.0410540642212056E-4"/>
  </r>
  <r>
    <x v="90"/>
    <s v="Pesos"/>
    <d v="2026-07-03T00:00:00"/>
    <s v="08/06/2026"/>
    <n v="0.97463288000000003"/>
    <m/>
    <n v="4298084.1900000004"/>
    <n v="4189054.16"/>
    <n v="4298084.1900000004"/>
    <n v="4189054.16"/>
    <n v="533"/>
    <s v="AMOMPY"/>
    <s v="Momentum Capital Investment S.A."/>
    <s v="22/04/2026"/>
    <s v="22/04/2026"/>
    <n v="38"/>
    <s v="No"/>
    <s v=""/>
    <m/>
    <m/>
    <s v="*MAV010701115"/>
    <s v="*MAV010701115"/>
    <n v="9.4100436585307291E-5"/>
  </r>
  <r>
    <x v="90"/>
    <s v="Pesos"/>
    <d v="2026-07-29T00:00:00"/>
    <s v="08/06/2026"/>
    <n v="0.94958116999999997"/>
    <m/>
    <n v="4599318.34"/>
    <n v="4367426.09"/>
    <n v="4599318.34"/>
    <n v="4367426.09"/>
    <n v="576"/>
    <s v="AMOMPY"/>
    <s v="Momentum Capital Investment S.A."/>
    <s v="22/04/2026"/>
    <s v="22/04/2026"/>
    <n v="38"/>
    <s v="No"/>
    <s v=""/>
    <m/>
    <m/>
    <s v="*MAV250701301"/>
    <s v="*MAV250701301"/>
    <n v="9.8107278188798008E-5"/>
  </r>
  <r>
    <x v="90"/>
    <s v="Pesos"/>
    <d v="2026-09-01T00:00:00"/>
    <s v="08/06/2026"/>
    <n v="0.91870141000000005"/>
    <m/>
    <n v="4500000"/>
    <n v="4134156.33"/>
    <n v="4500000"/>
    <n v="4134156.33"/>
    <n v="556"/>
    <s v="AMOMPY"/>
    <s v="Momentum Capital Investment S.A."/>
    <s v="22/04/2026"/>
    <s v="22/04/2026"/>
    <n v="38"/>
    <s v="No"/>
    <s v=""/>
    <m/>
    <m/>
    <s v="*MAV280801009"/>
    <s v="*MAV280801009"/>
    <n v="9.2867244181180921E-5"/>
  </r>
  <r>
    <x v="90"/>
    <s v="Pesos"/>
    <d v="2026-07-01T00:00:00"/>
    <s v="08/06/2026"/>
    <n v="0.97661485999999997"/>
    <m/>
    <n v="4298084.1900000004"/>
    <n v="4197572.87"/>
    <n v="4298084.1900000004"/>
    <n v="4197572.87"/>
    <n v="532"/>
    <s v="AMOMPY"/>
    <s v="Momentum Capital Investment S.A."/>
    <s v="22/04/2026"/>
    <s v="22/04/2026"/>
    <n v="38"/>
    <s v="No"/>
    <s v=""/>
    <m/>
    <m/>
    <s v="*MAV290600785"/>
    <s v="*MAV290600785"/>
    <n v="9.4291795851510625E-5"/>
  </r>
  <r>
    <x v="90"/>
    <s v="Pesos"/>
    <d v="2026-08-03T00:00:00"/>
    <s v="08/06/2026"/>
    <n v="0.94491057000000001"/>
    <m/>
    <n v="4599318.34"/>
    <n v="4345944.51"/>
    <n v="4599318.34"/>
    <n v="4345944.51"/>
    <n v="577"/>
    <s v="AMOMPY"/>
    <s v="Momentum Capital Investment S.A."/>
    <s v="22/04/2026"/>
    <s v="22/04/2026"/>
    <n v="38"/>
    <s v="No"/>
    <s v=""/>
    <m/>
    <m/>
    <s v="*MAV300701144"/>
    <s v="*MAV300701144"/>
    <n v="9.762472867300415E-5"/>
  </r>
  <r>
    <x v="90"/>
    <s v="Pesos"/>
    <d v="2026-08-05T00:00:00"/>
    <s v="08/06/2026"/>
    <n v="0.94305501999999997"/>
    <m/>
    <n v="4500000"/>
    <n v="4243747.59"/>
    <n v="4500000"/>
    <n v="4243747.59"/>
    <n v="551"/>
    <s v="AMOMPY"/>
    <s v="Momentum Capital Investment S.A."/>
    <s v="22/04/2026"/>
    <s v="22/04/2026"/>
    <n v="38"/>
    <s v="No"/>
    <s v=""/>
    <m/>
    <m/>
    <s v="*MAV030800733"/>
    <s v="*MAV030800733"/>
    <n v="9.5329037468650342E-5"/>
  </r>
  <r>
    <x v="90"/>
    <s v="Pesos"/>
    <d v="2026-07-15T00:00:00"/>
    <s v="08/06/2026"/>
    <n v="0.9629084"/>
    <m/>
    <n v="4599318.34"/>
    <n v="4428722.2699999996"/>
    <n v="4599318.34"/>
    <n v="4428722.2699999996"/>
    <n v="573"/>
    <s v="AMOMPY"/>
    <s v="Momentum Capital Investment S.A."/>
    <s v="22/04/2026"/>
    <s v="22/04/2026"/>
    <n v="38"/>
    <s v="No"/>
    <s v=""/>
    <m/>
    <m/>
    <s v="*MAV100701396"/>
    <s v="*MAV100701396"/>
    <n v="9.9484199345389478E-5"/>
  </r>
  <r>
    <x v="90"/>
    <s v="Pesos"/>
    <d v="2026-06-18T00:00:00"/>
    <s v="08/06/2026"/>
    <n v="0.98969633999999995"/>
    <m/>
    <n v="4599318.34"/>
    <n v="4551928.51"/>
    <n v="4599318.34"/>
    <n v="4551928.51"/>
    <n v="568"/>
    <s v="AMOMPY"/>
    <s v="Momentum Capital Investment S.A."/>
    <s v="22/04/2026"/>
    <s v="22/04/2026"/>
    <n v="38"/>
    <s v="No"/>
    <s v=""/>
    <m/>
    <m/>
    <s v="*MAV150601194"/>
    <s v="*MAV150601194"/>
    <n v="1.0225183149604044E-4"/>
  </r>
  <r>
    <x v="90"/>
    <s v="Pesos"/>
    <d v="2026-09-21T00:00:00"/>
    <s v="08/06/2026"/>
    <n v="0.90145723"/>
    <m/>
    <n v="4500000"/>
    <n v="4056557.52"/>
    <n v="4500000"/>
    <n v="4056557.52"/>
    <n v="559"/>
    <s v="AMOMPY"/>
    <s v="Momentum Capital Investment S.A."/>
    <s v="22/04/2026"/>
    <s v="22/04/2026"/>
    <n v="38"/>
    <s v="No"/>
    <s v=""/>
    <m/>
    <m/>
    <s v="*MAV170901010"/>
    <s v="*MAV170901010"/>
    <n v="9.1124110380423298E-5"/>
  </r>
  <r>
    <x v="90"/>
    <s v="Pesos"/>
    <d v="2026-08-26T00:00:00"/>
    <s v="08/06/2026"/>
    <n v="0.92400395000000002"/>
    <m/>
    <n v="4500000"/>
    <n v="4158017.76"/>
    <n v="4500000"/>
    <n v="4158017.76"/>
    <n v="555"/>
    <s v="AMOMPY"/>
    <s v="Momentum Capital Investment S.A."/>
    <s v="22/04/2026"/>
    <s v="22/04/2026"/>
    <n v="38"/>
    <s v="No"/>
    <s v=""/>
    <m/>
    <m/>
    <s v="*MAV230801002"/>
    <s v="*MAV230801002"/>
    <n v="9.3403253240693701E-5"/>
  </r>
  <r>
    <x v="91"/>
    <s v="Pesos"/>
    <d v="2026-07-22T00:00:00"/>
    <s v="08/06/2026"/>
    <n v="0.95619836999999996"/>
    <m/>
    <n v="3116595.02"/>
    <n v="2980083.07"/>
    <n v="3116595.02"/>
    <n v="2980083.07"/>
    <n v="103"/>
    <s v="AMOMPY"/>
    <s v="Momentum Capital Investment S.A."/>
    <s v="17/04/2026"/>
    <s v="17/04/2026"/>
    <n v="38"/>
    <s v="No"/>
    <s v=""/>
    <m/>
    <m/>
    <s v="*MAV200701011"/>
    <s v="*MAV200701011"/>
    <n v="6.6942824617832782E-5"/>
  </r>
  <r>
    <x v="91"/>
    <s v="Pesos"/>
    <d v="2026-08-05T00:00:00"/>
    <s v="08/06/2026"/>
    <n v="0.94305512000000002"/>
    <m/>
    <n v="3116595.02"/>
    <n v="2939120.9"/>
    <n v="3116595.02"/>
    <n v="2939120.9"/>
    <n v="104"/>
    <s v="AMOMPY"/>
    <s v="Momentum Capital Investment S.A."/>
    <s v="17/04/2026"/>
    <s v="17/04/2026"/>
    <n v="38"/>
    <s v="No"/>
    <s v=""/>
    <m/>
    <m/>
    <s v="*MAV030800729"/>
    <s v="*MAV030800729"/>
    <n v="6.6022674642860496E-5"/>
  </r>
  <r>
    <x v="92"/>
    <s v="Pesos"/>
    <d v="2026-06-24T00:00:00"/>
    <s v="08/06/2026"/>
    <n v="0.98361542000000002"/>
    <m/>
    <n v="3511491.25"/>
    <n v="3453956.95"/>
    <n v="3511491.25"/>
    <n v="3453956.95"/>
    <n v="13270632"/>
    <s v="AMOMPY"/>
    <s v="Momentum Capital Investment S.A."/>
    <s v="17/04/2026"/>
    <s v="17/04/2026"/>
    <n v="38"/>
    <s v="No"/>
    <s v=""/>
    <m/>
    <m/>
    <s v="*MAV220600889"/>
    <s v="*MAV220600889"/>
    <n v="7.7587647360915566E-5"/>
  </r>
  <r>
    <x v="92"/>
    <s v="Pesos"/>
    <d v="2026-08-26T00:00:00"/>
    <s v="08/06/2026"/>
    <n v="0.92400386000000001"/>
    <m/>
    <n v="2398145.2000000002"/>
    <n v="2215895.42"/>
    <n v="2398145.2000000002"/>
    <n v="2215895.42"/>
    <n v="13270645"/>
    <s v="AMOMPY"/>
    <s v="Momentum Capital Investment S.A."/>
    <s v="24/04/2026"/>
    <s v="24/04/2026"/>
    <n v="38"/>
    <s v="No"/>
    <s v=""/>
    <m/>
    <m/>
    <s v="*MAV240800762"/>
    <s v="*MAV240800762"/>
    <n v="4.9776564944050009E-5"/>
  </r>
  <r>
    <x v="92"/>
    <s v="Pesos"/>
    <d v="2026-08-05T00:00:00"/>
    <s v="08/06/2026"/>
    <n v="0.94305512999999996"/>
    <m/>
    <n v="2398145.2000000002"/>
    <n v="2261583.14"/>
    <n v="2398145.2000000002"/>
    <n v="2261583.14"/>
    <n v="13270644"/>
    <s v="AMOMPY"/>
    <s v="Momentum Capital Investment S.A."/>
    <s v="24/04/2026"/>
    <s v="24/04/2026"/>
    <n v="38"/>
    <s v="No"/>
    <s v=""/>
    <m/>
    <m/>
    <s v="*MAV030800739"/>
    <s v="*MAV030800739"/>
    <n v="5.0802866881045563E-5"/>
  </r>
  <r>
    <x v="92"/>
    <s v="Pesos"/>
    <d v="2026-10-28T00:00:00"/>
    <s v="08/06/2026"/>
    <n v="0.87120505999999998"/>
    <m/>
    <n v="3511491.25"/>
    <n v="3059228.93"/>
    <n v="3511491.25"/>
    <n v="3059228.93"/>
    <n v="13270638"/>
    <s v="AMOMPY"/>
    <s v="Momentum Capital Investment S.A."/>
    <s v="24/04/2026"/>
    <s v="24/04/2026"/>
    <n v="38"/>
    <s v="No"/>
    <s v=""/>
    <m/>
    <m/>
    <s v="*MAV261000813"/>
    <s v="*MAV261000813"/>
    <n v="6.8720710435360544E-5"/>
  </r>
  <r>
    <x v="93"/>
    <s v="Pesos"/>
    <d v="2026-07-07T00:00:00"/>
    <s v="08/06/2026"/>
    <n v="0.97069307000000005"/>
    <m/>
    <n v="7162509.1500000004"/>
    <n v="6952598"/>
    <n v="7162509.1500000004"/>
    <n v="6952598"/>
    <n v="65964534"/>
    <s v="AMOMPY"/>
    <s v="Momentum Capital Investment S.A."/>
    <s v="22/04/2026"/>
    <s v="22/04/2026"/>
    <n v="38"/>
    <s v="No"/>
    <s v=""/>
    <m/>
    <m/>
    <s v="*MAV030700983"/>
    <s v="*MAV030700983"/>
    <n v="1.5617905193236609E-4"/>
  </r>
  <r>
    <x v="93"/>
    <s v="Pesos"/>
    <d v="2026-09-08T00:00:00"/>
    <s v="08/06/2026"/>
    <n v="0.91259144999999997"/>
    <m/>
    <n v="7162509.1500000004"/>
    <n v="6536444.6299999999"/>
    <n v="7162509.1500000004"/>
    <n v="6536444.6299999999"/>
    <n v="65964541"/>
    <s v="AMOMPY"/>
    <s v="Momentum Capital Investment S.A."/>
    <s v="22/04/2026"/>
    <s v="22/04/2026"/>
    <n v="38"/>
    <s v="No"/>
    <s v=""/>
    <m/>
    <m/>
    <s v="*MAV040900869"/>
    <s v="*MAV040900869"/>
    <n v="1.468308286085008E-4"/>
  </r>
  <r>
    <x v="93"/>
    <s v="Pesos"/>
    <d v="2026-10-20T00:00:00"/>
    <s v="08/06/2026"/>
    <n v="0.87757269999999998"/>
    <m/>
    <n v="6899161.7699999996"/>
    <n v="6054516.0300000003"/>
    <n v="6899161.7699999996"/>
    <n v="6054516.0300000003"/>
    <n v="65964607"/>
    <s v="AMOMPY"/>
    <s v="Momentum Capital Investment S.A."/>
    <s v="22/04/2026"/>
    <s v="22/04/2026"/>
    <n v="38"/>
    <s v="No"/>
    <s v=""/>
    <m/>
    <m/>
    <s v="*MAV161001047"/>
    <s v="*MAV161001047"/>
    <n v="1.3600506939631963E-4"/>
  </r>
  <r>
    <x v="93"/>
    <s v="Pesos"/>
    <d v="2026-07-02T00:00:00"/>
    <s v="08/06/2026"/>
    <n v="0.97562285999999998"/>
    <m/>
    <n v="7272516.8499999996"/>
    <n v="7095233.71"/>
    <n v="7272516.8499999996"/>
    <n v="7095233.71"/>
    <n v="90000056"/>
    <s v="AMOMPY"/>
    <s v="Momentum Capital Investment S.A."/>
    <s v="22/04/2026"/>
    <s v="22/04/2026"/>
    <n v="38"/>
    <s v="No"/>
    <s v=""/>
    <m/>
    <m/>
    <s v="*MAV300602011"/>
    <s v="*MAV300602011"/>
    <n v="1.593831362127315E-4"/>
  </r>
  <r>
    <x v="93"/>
    <s v="Pesos"/>
    <d v="2026-06-18T00:00:00"/>
    <s v="08/06/2026"/>
    <n v="0.98969633999999995"/>
    <m/>
    <n v="6110818.4299999997"/>
    <n v="6047854.6100000003"/>
    <n v="6110818.4299999997"/>
    <n v="6047854.6100000003"/>
    <n v="90000065"/>
    <s v="AMOMPY"/>
    <s v="Momentum Capital Investment S.A."/>
    <s v="22/04/2026"/>
    <s v="22/04/2026"/>
    <n v="38"/>
    <s v="No"/>
    <s v=""/>
    <m/>
    <m/>
    <s v="*MAV160601365"/>
    <s v="*MAV160601365"/>
    <n v="1.3585543119486987E-4"/>
  </r>
  <r>
    <x v="93"/>
    <s v="Pesos"/>
    <d v="2026-09-29T00:00:00"/>
    <s v="08/06/2026"/>
    <n v="0.89473946000000004"/>
    <m/>
    <n v="6899161.7699999996"/>
    <n v="6172952.2599999998"/>
    <n v="6899161.7699999996"/>
    <n v="6172952.2599999998"/>
    <n v="65964605"/>
    <s v="AMOMPY"/>
    <s v="Momentum Capital Investment S.A."/>
    <s v="22/04/2026"/>
    <s v="22/04/2026"/>
    <n v="38"/>
    <s v="No"/>
    <s v=""/>
    <m/>
    <m/>
    <s v="*MAV250901124"/>
    <s v="*MAV250901124"/>
    <n v="1.3866555086178672E-4"/>
  </r>
  <r>
    <x v="94"/>
    <s v="Pesos"/>
    <d v="2026-09-09T00:00:00"/>
    <s v="08/06/2026"/>
    <n v="0.91172516999999997"/>
    <m/>
    <n v="7133529.1399999997"/>
    <n v="6503818.0599999996"/>
    <n v="7133529.1399999997"/>
    <n v="6503818.0599999996"/>
    <n v="90000168"/>
    <s v="AMOMPY"/>
    <s v="Momentum Capital Investment S.A."/>
    <s v="22/04/2026"/>
    <s v="22/04/2026"/>
    <n v="38"/>
    <s v="No"/>
    <s v=""/>
    <m/>
    <m/>
    <s v="*MAV050901228"/>
    <s v="*MAV050901228"/>
    <n v="1.4609792462492446E-4"/>
  </r>
  <r>
    <x v="94"/>
    <s v="Pesos"/>
    <d v="2026-10-21T00:00:00"/>
    <s v="08/06/2026"/>
    <n v="0.87677159000000005"/>
    <m/>
    <n v="7133529.1399999997"/>
    <n v="6254475.6900000004"/>
    <n v="7133529.1399999997"/>
    <n v="6254475.6900000004"/>
    <n v="90000170"/>
    <s v="AMOMPY"/>
    <s v="Momentum Capital Investment S.A."/>
    <s v="22/04/2026"/>
    <s v="22/04/2026"/>
    <n v="38"/>
    <s v="No"/>
    <s v=""/>
    <m/>
    <m/>
    <s v="*MAV171001314"/>
    <s v="*MAV171001314"/>
    <n v="1.4049684500646109E-4"/>
  </r>
  <r>
    <x v="94"/>
    <s v="Pesos"/>
    <d v="2026-09-30T00:00:00"/>
    <s v="08/06/2026"/>
    <n v="0.89390692999999999"/>
    <m/>
    <n v="4500591.28"/>
    <n v="4023109.74"/>
    <n v="4500591.28"/>
    <n v="4023109.74"/>
    <n v="90000179"/>
    <s v="AMOMPY"/>
    <s v="Momentum Capital Investment S.A."/>
    <s v="22/04/2026"/>
    <s v="22/04/2026"/>
    <n v="38"/>
    <s v="No"/>
    <s v=""/>
    <m/>
    <m/>
    <s v="*MAV260901222"/>
    <s v="*MAV260901222"/>
    <n v="9.0372759220807514E-5"/>
  </r>
  <r>
    <x v="94"/>
    <s v="Pesos"/>
    <d v="2026-07-29T00:00:00"/>
    <s v="08/06/2026"/>
    <n v="0.94958127999999997"/>
    <m/>
    <n v="3519950.15"/>
    <n v="3342478.75"/>
    <n v="3519950.15"/>
    <n v="3342478.75"/>
    <n v="90000186"/>
    <s v="AMOMPY"/>
    <s v="Momentum Capital Investment S.A."/>
    <s v="17/04/2026"/>
    <s v="17/04/2026"/>
    <n v="38"/>
    <s v="No"/>
    <s v=""/>
    <m/>
    <m/>
    <s v="*MAV250701294"/>
    <s v="*MAV250701294"/>
    <n v="7.5083466968618083E-5"/>
  </r>
  <r>
    <x v="94"/>
    <s v="Pesos"/>
    <d v="2026-06-18T00:00:00"/>
    <s v="08/06/2026"/>
    <n v="0.98969631000000002"/>
    <m/>
    <n v="3519950.15"/>
    <n v="3483681.69"/>
    <n v="3519950.15"/>
    <n v="3483681.69"/>
    <n v="90000184"/>
    <s v="AMOMPY"/>
    <s v="Momentum Capital Investment S.A."/>
    <s v="17/04/2026"/>
    <s v="17/04/2026"/>
    <n v="38"/>
    <s v="No"/>
    <s v=""/>
    <m/>
    <m/>
    <s v="*MAV130601164"/>
    <s v="*MAV130601164"/>
    <n v="7.8255366350584758E-5"/>
  </r>
  <r>
    <x v="95"/>
    <s v="Pesos"/>
    <d v="2026-08-03T00:00:00"/>
    <s v="08/06/2026"/>
    <n v="0.94491049999999999"/>
    <m/>
    <n v="9978017.3200000003"/>
    <n v="9428333.3399999999"/>
    <n v="9978017.3200000003"/>
    <n v="9428333.3399999999"/>
    <n v="30001645"/>
    <s v="AMOMPY"/>
    <s v="Momentum Capital Investment S.A."/>
    <s v="17/04/2026"/>
    <s v="17/04/2026"/>
    <n v="38"/>
    <s v="No"/>
    <s v=""/>
    <m/>
    <m/>
    <s v="*MAV300701130"/>
    <s v="*MAV300701130"/>
    <n v="2.1179250725319063E-4"/>
  </r>
  <r>
    <x v="96"/>
    <s v="Pesos"/>
    <d v="2026-07-21T00:00:00"/>
    <s v="08/06/2026"/>
    <n v="0.96040007000000005"/>
    <m/>
    <n v="10000000"/>
    <n v="9604000.6799999997"/>
    <n v="10000000"/>
    <n v="9604000.6799999997"/>
    <n v="40624310"/>
    <s v="AMOMPY"/>
    <s v="Momentum Capital Investment S.A."/>
    <s v="20/04/2026"/>
    <s v="20/04/2026"/>
    <n v="35"/>
    <s v="No"/>
    <s v=""/>
    <m/>
    <m/>
    <s v="*MAV170701366"/>
    <s v="*MAV170701366"/>
    <n v="2.1573859454554963E-4"/>
  </r>
  <r>
    <x v="96"/>
    <s v="Pesos"/>
    <d v="2026-06-30T00:00:00"/>
    <s v="08/06/2026"/>
    <n v="0.97934001000000004"/>
    <m/>
    <n v="10000000"/>
    <n v="9793400.0999999996"/>
    <n v="10000000"/>
    <n v="9793400.0999999996"/>
    <n v="29098103"/>
    <s v="AMOMPY"/>
    <s v="Momentum Capital Investment S.A."/>
    <s v="20/04/2026"/>
    <s v="20/04/2026"/>
    <n v="35"/>
    <s v="No"/>
    <s v=""/>
    <m/>
    <m/>
    <s v="*MAV260601213"/>
    <s v="*MAV260601213"/>
    <n v="2.1999315116627473E-4"/>
  </r>
  <r>
    <x v="96"/>
    <s v="Pesos"/>
    <d v="2026-06-23T00:00:00"/>
    <s v="08/06/2026"/>
    <n v="0.98582042999999997"/>
    <m/>
    <n v="10000000"/>
    <n v="9858204.3100000005"/>
    <n v="10000000"/>
    <n v="9858204.3100000005"/>
    <n v="29098105"/>
    <s v="AMOMPY"/>
    <s v="Momentum Capital Investment S.A."/>
    <s v="20/04/2026"/>
    <s v="20/04/2026"/>
    <n v="35"/>
    <s v="No"/>
    <s v=""/>
    <m/>
    <m/>
    <s v="*MAV190601036"/>
    <s v="*MAV190601036"/>
    <n v="2.2144887463526088E-4"/>
  </r>
  <r>
    <x v="96"/>
    <s v="Pesos"/>
    <d v="2026-07-07T00:00:00"/>
    <s v="08/06/2026"/>
    <n v="0.97294422999999997"/>
    <m/>
    <n v="10000000"/>
    <n v="9729442.3300000001"/>
    <n v="10000000"/>
    <n v="9729442.3300000001"/>
    <n v="29098102"/>
    <s v="AMOMPY"/>
    <s v="Momentum Capital Investment S.A."/>
    <s v="20/04/2026"/>
    <s v="20/04/2026"/>
    <n v="35"/>
    <s v="No"/>
    <s v=""/>
    <m/>
    <m/>
    <s v="*MAV030700971"/>
    <s v="*MAV030700971"/>
    <n v="2.185564416251351E-4"/>
  </r>
  <r>
    <x v="97"/>
    <s v="Pesos"/>
    <d v="2026-09-02T00:00:00"/>
    <s v="08/06/2026"/>
    <n v="0.92381676000000001"/>
    <m/>
    <n v="19999999"/>
    <n v="18476334.219999999"/>
    <n v="19999999"/>
    <n v="18476334.219999999"/>
    <n v="43"/>
    <s v="AMOMPY"/>
    <s v="Momentum Capital Investment S.A."/>
    <s v="20/04/2026"/>
    <s v="20/04/2026"/>
    <n v="35"/>
    <s v="No"/>
    <s v=""/>
    <m/>
    <m/>
    <s v="*MAV310801103"/>
    <s v="*MAV310801103"/>
    <n v="4.1504145093174274E-4"/>
  </r>
  <r>
    <x v="97"/>
    <s v="Pesos"/>
    <d v="2026-12-09T00:00:00"/>
    <s v="08/06/2026"/>
    <n v="0.84280065000000004"/>
    <m/>
    <n v="15000000"/>
    <n v="12642009.689999999"/>
    <n v="15000000"/>
    <n v="12642009.689999999"/>
    <n v="90023082"/>
    <s v="AMOMPY"/>
    <s v="Momentum Capital Investment S.A."/>
    <s v="02/06/2026"/>
    <s v="02/06/2026"/>
    <n v="37"/>
    <s v="No"/>
    <s v=""/>
    <m/>
    <m/>
    <s v="*MAV031200912"/>
    <s v="*MAV031200912"/>
    <n v="2.8398263324069442E-4"/>
  </r>
  <r>
    <x v="97"/>
    <s v="Pesos"/>
    <d v="2026-12-09T00:00:00"/>
    <s v="08/06/2026"/>
    <n v="0.84280065000000004"/>
    <m/>
    <n v="15000000"/>
    <n v="12642009.689999999"/>
    <n v="15000000"/>
    <n v="12642009.689999999"/>
    <n v="90023081"/>
    <s v="AMOMPY"/>
    <s v="Momentum Capital Investment S.A."/>
    <s v="02/06/2026"/>
    <s v="02/06/2026"/>
    <n v="37"/>
    <s v="No"/>
    <s v=""/>
    <m/>
    <m/>
    <s v="*MAV031200913"/>
    <s v="*MAV031200913"/>
    <n v="2.8398263324069442E-4"/>
  </r>
  <r>
    <x v="97"/>
    <s v="Pesos"/>
    <d v="2026-12-10T00:00:00"/>
    <s v="08/06/2026"/>
    <n v="0.84208114999999994"/>
    <m/>
    <n v="15000000"/>
    <n v="12631217.210000001"/>
    <n v="15000000"/>
    <n v="12631217.210000001"/>
    <n v="90023083"/>
    <s v="AMOMPY"/>
    <s v="Momentum Capital Investment S.A."/>
    <s v="02/06/2026"/>
    <s v="02/06/2026"/>
    <n v="37"/>
    <s v="No"/>
    <s v=""/>
    <m/>
    <m/>
    <s v="*MAV041200911"/>
    <s v="*MAV041200911"/>
    <n v="2.8374019734919042E-4"/>
  </r>
  <r>
    <x v="97"/>
    <s v="Pesos"/>
    <d v="2026-12-11T00:00:00"/>
    <s v="08/06/2026"/>
    <n v="0.84136288000000004"/>
    <m/>
    <n v="15000000"/>
    <n v="12620443.17"/>
    <n v="15000000"/>
    <n v="12620443.17"/>
    <n v="90023086"/>
    <s v="AMOMPY"/>
    <s v="Momentum Capital Investment S.A."/>
    <s v="02/06/2026"/>
    <s v="02/06/2026"/>
    <n v="37"/>
    <s v="No"/>
    <s v=""/>
    <m/>
    <m/>
    <s v="*MAV091201366"/>
    <s v="*MAV091201366"/>
    <n v="2.834981756829469E-4"/>
  </r>
  <r>
    <x v="97"/>
    <s v="Pesos"/>
    <d v="2026-12-22T00:00:00"/>
    <s v="08/06/2026"/>
    <n v="0.83354284000000001"/>
    <m/>
    <n v="15000000"/>
    <n v="12503142.529999999"/>
    <n v="15000000"/>
    <n v="12503142.529999999"/>
    <n v="90023099"/>
    <s v="AMOMPY"/>
    <s v="Momentum Capital Investment S.A."/>
    <s v="03/06/2026"/>
    <s v="03/06/2026"/>
    <n v="37"/>
    <s v="No"/>
    <s v=""/>
    <m/>
    <m/>
    <s v="*MAV181201190"/>
    <s v="*MAV181201190"/>
    <n v="2.8086320344001555E-4"/>
  </r>
  <r>
    <x v="98"/>
    <s v="Pesos"/>
    <d v="2026-06-23T00:00:00"/>
    <s v="08/06/2026"/>
    <n v="0.98342995"/>
    <m/>
    <n v="130000000"/>
    <n v="127845893.51000001"/>
    <n v="130000000"/>
    <n v="127845893.51000001"/>
    <n v="70369601"/>
    <s v="AMOMPY"/>
    <s v="Momentum Capital Investment S.A."/>
    <s v="21/04/2026"/>
    <s v="21/04/2026"/>
    <n v="41"/>
    <s v="No"/>
    <s v=""/>
    <m/>
    <m/>
    <s v="*MAV190601038"/>
    <s v="*MAV190601038"/>
    <n v="2.8718545846945324E-3"/>
  </r>
  <r>
    <x v="99"/>
    <s v="Pesos"/>
    <d v="2026-06-12T00:00:00"/>
    <s v="08/06/2026"/>
    <n v="0.99585288999999999"/>
    <m/>
    <n v="6000000"/>
    <n v="5975117.3300000001"/>
    <n v="6000000"/>
    <n v="5975117.3300000001"/>
    <n v="90025543"/>
    <s v="AMOMPY"/>
    <s v="Momentum Capital Investment S.A."/>
    <s v="22/04/2026"/>
    <s v="22/04/2026"/>
    <n v="38"/>
    <s v="No"/>
    <s v=""/>
    <m/>
    <m/>
    <s v="*MAV100601628"/>
    <s v="*MAV100601628"/>
    <n v="1.3422150393048048E-4"/>
  </r>
  <r>
    <x v="99"/>
    <s v="Pesos"/>
    <d v="2026-06-11T00:00:00"/>
    <s v="08/06/2026"/>
    <n v="0.99688644000000004"/>
    <m/>
    <n v="6000000"/>
    <n v="5981318.6699999999"/>
    <n v="6000000"/>
    <n v="5981318.6699999999"/>
    <n v="90025542"/>
    <s v="AMOMPY"/>
    <s v="Momentum Capital Investment S.A."/>
    <s v="22/04/2026"/>
    <s v="22/04/2026"/>
    <n v="38"/>
    <s v="No"/>
    <s v=""/>
    <m/>
    <m/>
    <s v="*MAV090601294"/>
    <s v="*MAV090601294"/>
    <n v="1.3436080716675421E-4"/>
  </r>
  <r>
    <x v="99"/>
    <s v="Pesos"/>
    <d v="2026-06-16T00:00:00"/>
    <s v="08/06/2026"/>
    <n v="0.99174008000000002"/>
    <m/>
    <n v="6000000"/>
    <n v="5950440.4800000004"/>
    <n v="6000000"/>
    <n v="5950440.4800000004"/>
    <n v="90025544"/>
    <s v="AMOMPY"/>
    <s v="Momentum Capital Investment S.A."/>
    <s v="22/04/2026"/>
    <s v="22/04/2026"/>
    <n v="38"/>
    <s v="No"/>
    <s v=""/>
    <m/>
    <m/>
    <s v="*MAV110601049"/>
    <s v="*MAV110601049"/>
    <n v="1.3366717775806591E-4"/>
  </r>
  <r>
    <x v="99"/>
    <s v="Pesos"/>
    <d v="2026-06-10T00:00:00"/>
    <s v="08/06/2026"/>
    <n v="0.99792214000000001"/>
    <m/>
    <n v="6000000"/>
    <n v="5987532.8600000003"/>
    <n v="6000000"/>
    <n v="5987532.8600000003"/>
    <n v="90025541"/>
    <s v="AMOMPY"/>
    <s v="Momentum Capital Investment S.A."/>
    <s v="22/04/2026"/>
    <s v="22/04/2026"/>
    <n v="38"/>
    <s v="No"/>
    <s v=""/>
    <m/>
    <m/>
    <s v="*MAV080600997"/>
    <s v="*MAV080600997"/>
    <n v="1.3450039905783256E-4"/>
  </r>
  <r>
    <x v="100"/>
    <s v="Pesos"/>
    <d v="2026-06-17T00:00:00"/>
    <s v="08/06/2026"/>
    <n v="0.99144374000000002"/>
    <m/>
    <n v="100000000"/>
    <n v="99144374.140000001"/>
    <n v="100000000"/>
    <n v="99144374.140000001"/>
    <n v="66455545"/>
    <s v="AMOMPY"/>
    <s v="Momentum Capital Investment S.A."/>
    <s v="22/04/2026"/>
    <s v="22/04/2026"/>
    <n v="35"/>
    <s v="No"/>
    <s v=""/>
    <m/>
    <m/>
    <s v="*MAV120601625"/>
    <s v="*MAV120601625"/>
    <n v="2.2271206184526987E-3"/>
  </r>
  <r>
    <x v="100"/>
    <s v="Pesos"/>
    <d v="2026-07-08T00:00:00"/>
    <s v="08/06/2026"/>
    <n v="0.97203740000000005"/>
    <m/>
    <n v="75000000"/>
    <n v="72902805.010000005"/>
    <n v="75000000"/>
    <n v="72902805.010000005"/>
    <n v="95275287"/>
    <s v="AMOMPY"/>
    <s v="Momentum Capital Investment S.A."/>
    <s v="27/05/2026"/>
    <s v="27/05/2026"/>
    <n v="35"/>
    <s v="No"/>
    <s v=""/>
    <m/>
    <m/>
    <s v="*MAV060701015"/>
    <s v="*MAV060701015"/>
    <n v="1.6376455203755418E-3"/>
  </r>
  <r>
    <x v="100"/>
    <s v="Pesos"/>
    <d v="2026-07-28T00:00:00"/>
    <s v="08/06/2026"/>
    <n v="0.95424836999999996"/>
    <m/>
    <n v="75000000"/>
    <n v="71568627.739999995"/>
    <n v="75000000"/>
    <n v="71568627.739999995"/>
    <n v="95275288"/>
    <s v="AMOMPY"/>
    <s v="Momentum Capital Investment S.A."/>
    <s v="27/05/2026"/>
    <s v="27/05/2026"/>
    <n v="35"/>
    <s v="No"/>
    <s v=""/>
    <m/>
    <m/>
    <s v="*MAV240701281"/>
    <s v="*MAV240701281"/>
    <n v="1.6076753507873799E-3"/>
  </r>
  <r>
    <x v="101"/>
    <s v="Pesos"/>
    <d v="2026-08-24T00:00:00"/>
    <s v="08/06/2026"/>
    <n v="0.92578501999999996"/>
    <m/>
    <n v="7865231.25"/>
    <n v="7281513.2699999996"/>
    <n v="7865231.25"/>
    <n v="7281513.2699999996"/>
    <n v="90000558"/>
    <s v="AMOMPY"/>
    <s v="Momentum Capital Investment S.A."/>
    <s v="22/04/2026"/>
    <s v="22/04/2026"/>
    <n v="38"/>
    <s v="No"/>
    <s v=""/>
    <m/>
    <m/>
    <s v="*MAV200801174"/>
    <s v="*MAV200801174"/>
    <n v="1.6356761014250254E-4"/>
  </r>
  <r>
    <x v="101"/>
    <s v="Pesos"/>
    <d v="2026-10-05T00:00:00"/>
    <s v="08/06/2026"/>
    <n v="0.88976648000000003"/>
    <m/>
    <n v="6500236.5700000003"/>
    <n v="5783692.6299999999"/>
    <n v="6500236.5700000003"/>
    <n v="5783692.6299999999"/>
    <n v="90000580"/>
    <s v="AMOMPY"/>
    <s v="Momentum Capital Investment S.A."/>
    <s v="24/04/2026"/>
    <s v="24/04/2026"/>
    <n v="38"/>
    <s v="No"/>
    <s v=""/>
    <m/>
    <m/>
    <s v="*MAV011001000"/>
    <s v="*MAV011001000"/>
    <n v="1.299214526169373E-4"/>
  </r>
  <r>
    <x v="101"/>
    <s v="Pesos"/>
    <d v="2026-11-11T00:00:00"/>
    <s v="08/06/2026"/>
    <n v="0.87639277000000004"/>
    <m/>
    <n v="5448062.4299999997"/>
    <n v="4774642.55"/>
    <n v="5448062.4299999997"/>
    <n v="4774642.55"/>
    <n v="90000595"/>
    <s v="AMOMPY"/>
    <s v="Momentum Capital Investment S.A."/>
    <s v="02/06/2026"/>
    <s v="02/06/2026"/>
    <n v="33"/>
    <s v="No"/>
    <s v=""/>
    <m/>
    <m/>
    <s v="*MAV091100786"/>
    <s v="*MAV091100786"/>
    <n v="1.0725474804884949E-4"/>
  </r>
  <r>
    <x v="101"/>
    <s v="Pesos"/>
    <d v="2026-10-26T00:00:00"/>
    <s v="08/06/2026"/>
    <n v="0.88764591000000004"/>
    <m/>
    <n v="6500236.5700000003"/>
    <n v="5769908.4299999997"/>
    <n v="6500236.5700000003"/>
    <n v="5769908.4299999997"/>
    <n v="90000581"/>
    <s v="AMOMPY"/>
    <s v="Momentum Capital Investment S.A."/>
    <s v="02/06/2026"/>
    <s v="02/06/2026"/>
    <n v="33"/>
    <s v="No"/>
    <s v=""/>
    <m/>
    <m/>
    <s v="*MAV221000987"/>
    <s v="*MAV221000987"/>
    <n v="1.2961181249569829E-4"/>
  </r>
  <r>
    <x v="101"/>
    <s v="Pesos"/>
    <d v="2026-11-26T00:00:00"/>
    <s v="08/06/2026"/>
    <n v="0.86609888000000002"/>
    <m/>
    <n v="5448062.4299999997"/>
    <n v="4718560.78"/>
    <n v="5448062.4299999997"/>
    <n v="4718560.78"/>
    <n v="90000596"/>
    <s v="AMOMPY"/>
    <s v="Momentum Capital Investment S.A."/>
    <s v="02/06/2026"/>
    <s v="02/06/2026"/>
    <n v="33"/>
    <s v="No"/>
    <s v=""/>
    <m/>
    <m/>
    <s v="*MAV231100828"/>
    <s v="*MAV231100828"/>
    <n v="1.0599496031636605E-4"/>
  </r>
  <r>
    <x v="101"/>
    <s v="Pesos"/>
    <d v="2026-10-16T00:00:00"/>
    <s v="08/06/2026"/>
    <n v="0.89482735000000002"/>
    <m/>
    <n v="7261808.2000000002"/>
    <n v="6498064.5800000001"/>
    <n v="7261808.2000000002"/>
    <n v="6498064.5800000001"/>
    <n v="90000672"/>
    <s v="AMOMPY"/>
    <s v="Momentum Capital Investment S.A."/>
    <s v="02/06/2026"/>
    <s v="02/06/2026"/>
    <n v="33"/>
    <s v="No"/>
    <s v=""/>
    <m/>
    <m/>
    <s v="*MAV141001328"/>
    <s v="*MAV141001328"/>
    <n v="1.4596868185096977E-4"/>
  </r>
  <r>
    <x v="102"/>
    <s v="Pesos"/>
    <d v="2026-06-23T00:00:00"/>
    <s v="08/06/2026"/>
    <n v="0.98462369000000005"/>
    <m/>
    <n v="3926635.97"/>
    <n v="3866258.79"/>
    <n v="3926635.97"/>
    <n v="3866258.79"/>
    <n v="79398447"/>
    <s v="AMOMPY"/>
    <s v="Momentum Capital Investment S.A."/>
    <s v="22/04/2026"/>
    <s v="22/04/2026"/>
    <n v="38"/>
    <s v="No"/>
    <s v=""/>
    <m/>
    <m/>
    <s v="*MAV190601050"/>
    <s v="*MAV190601050"/>
    <n v="8.6849352191422098E-5"/>
  </r>
  <r>
    <x v="102"/>
    <s v="Pesos"/>
    <d v="2026-06-18T00:00:00"/>
    <s v="08/06/2026"/>
    <n v="0.98969633999999995"/>
    <m/>
    <n v="3926635"/>
    <n v="3886176.28"/>
    <n v="3926635"/>
    <n v="3886176.28"/>
    <n v="79398445"/>
    <s v="AMOMPY"/>
    <s v="Momentum Capital Investment S.A."/>
    <s v="22/04/2026"/>
    <s v="22/04/2026"/>
    <n v="38"/>
    <s v="No"/>
    <s v=""/>
    <m/>
    <m/>
    <s v="*MAV140601153"/>
    <s v="*MAV140601153"/>
    <n v="8.7296766913957821E-5"/>
  </r>
  <r>
    <x v="103"/>
    <s v="Pesos"/>
    <d v="2026-08-11T00:00:00"/>
    <s v="08/06/2026"/>
    <n v="0.93753213000000002"/>
    <m/>
    <n v="5211510.2699999996"/>
    <n v="4885958.33"/>
    <n v="5211510.2699999996"/>
    <n v="4885958.33"/>
    <n v="90000479"/>
    <s v="AMOMPY"/>
    <s v="Momentum Capital Investment S.A."/>
    <s v="24/04/2026"/>
    <s v="24/04/2026"/>
    <n v="38"/>
    <s v="No"/>
    <s v=""/>
    <m/>
    <m/>
    <s v="*MAV070800991"/>
    <s v="*MAV070800991"/>
    <n v="1.0975527993427015E-4"/>
  </r>
  <r>
    <x v="104"/>
    <s v="Pesos"/>
    <d v="2026-06-30T00:00:00"/>
    <s v="08/06/2026"/>
    <n v="0.98223897000000004"/>
    <m/>
    <n v="8200000"/>
    <n v="8054359.5499999998"/>
    <n v="8200000"/>
    <n v="8054359.5499999998"/>
    <n v="66589587"/>
    <s v="AMOMPY"/>
    <s v="Momentum Capital Investment S.A."/>
    <s v="29/04/2026"/>
    <s v="29/04/2026"/>
    <n v="30"/>
    <s v="No"/>
    <s v=""/>
    <m/>
    <m/>
    <s v="*MAV260601277"/>
    <s v="*MAV260601277"/>
    <n v="1.8092837216266479E-4"/>
  </r>
  <r>
    <x v="104"/>
    <s v="Pesos"/>
    <d v="2026-07-16T00:00:00"/>
    <s v="08/06/2026"/>
    <n v="0.96971315999999996"/>
    <m/>
    <n v="14700000"/>
    <n v="14254783.43"/>
    <n v="14700000"/>
    <n v="14254783.43"/>
    <n v="66589641"/>
    <s v="AMOMPY"/>
    <s v="Momentum Capital Investment S.A."/>
    <s v="29/04/2026"/>
    <s v="29/04/2026"/>
    <n v="30"/>
    <s v="No"/>
    <s v=""/>
    <m/>
    <m/>
    <s v="*MAV140701399"/>
    <s v="*MAV140701399"/>
    <n v="3.2021102925821422E-4"/>
  </r>
  <r>
    <x v="105"/>
    <s v="Pesos"/>
    <d v="2026-07-24T00:00:00"/>
    <s v="08/06/2026"/>
    <n v="0.96356927000000003"/>
    <m/>
    <n v="6013017.5"/>
    <n v="5793958.8899999997"/>
    <n v="6013017.5"/>
    <n v="5793958.8899999997"/>
    <n v="66632353"/>
    <s v="AMOMPY"/>
    <s v="Momentum Capital Investment S.A."/>
    <s v="30/04/2026"/>
    <s v="30/04/2026"/>
    <n v="30"/>
    <s v="No"/>
    <s v=""/>
    <m/>
    <m/>
    <s v="*MAV220701306"/>
    <s v="*MAV220701306"/>
    <n v="1.3015206781339929E-4"/>
  </r>
  <r>
    <x v="105"/>
    <s v="Pesos"/>
    <d v="2026-07-24T00:00:00"/>
    <s v="08/06/2026"/>
    <n v="0.96356927000000003"/>
    <m/>
    <n v="6013017.5"/>
    <n v="5793958.8899999997"/>
    <n v="6013017.5"/>
    <n v="5793958.8899999997"/>
    <n v="66632320"/>
    <s v="AMOMPY"/>
    <s v="Momentum Capital Investment S.A."/>
    <s v="30/04/2026"/>
    <s v="30/04/2026"/>
    <n v="30"/>
    <s v="No"/>
    <s v=""/>
    <m/>
    <m/>
    <s v="*MAV220701307"/>
    <s v="*MAV220701307"/>
    <n v="1.3015206781339929E-4"/>
  </r>
  <r>
    <x v="105"/>
    <s v="Pesos"/>
    <d v="2026-07-24T00:00:00"/>
    <s v="08/06/2026"/>
    <n v="0.96356927000000003"/>
    <m/>
    <n v="6013017.5"/>
    <n v="5793958.8899999997"/>
    <n v="6013017.5"/>
    <n v="5793958.8899999997"/>
    <n v="66632294"/>
    <s v="AMOMPY"/>
    <s v="Momentum Capital Investment S.A."/>
    <s v="30/04/2026"/>
    <s v="30/04/2026"/>
    <n v="30"/>
    <s v="No"/>
    <s v=""/>
    <m/>
    <m/>
    <s v="*MAV220701308"/>
    <s v="*MAV220701308"/>
    <n v="1.3015206781339929E-4"/>
  </r>
  <r>
    <x v="106"/>
    <s v="Pesos"/>
    <d v="2026-09-02T00:00:00"/>
    <s v="08/06/2026"/>
    <n v="0.93398172999999995"/>
    <m/>
    <n v="50000000"/>
    <n v="46699086.729999997"/>
    <n v="50000000"/>
    <n v="46699086.729999997"/>
    <n v="5491"/>
    <s v="AMOMPY"/>
    <s v="Momentum Capital Investment S.A."/>
    <s v="04/05/2026"/>
    <s v="04/05/2026"/>
    <n v="30"/>
    <s v="No"/>
    <s v=""/>
    <m/>
    <m/>
    <s v="*MAV310801112"/>
    <s v="*MAV310801112"/>
    <n v="1.049020681419915E-3"/>
  </r>
  <r>
    <x v="106"/>
    <s v="Pesos"/>
    <d v="2026-09-02T00:00:00"/>
    <s v="08/06/2026"/>
    <n v="0.93398172999999995"/>
    <m/>
    <n v="50000000"/>
    <n v="46699086.729999997"/>
    <n v="50000000"/>
    <n v="46699086.729999997"/>
    <n v="5490"/>
    <s v="AMOMPY"/>
    <s v="Momentum Capital Investment S.A."/>
    <s v="04/05/2026"/>
    <s v="04/05/2026"/>
    <n v="30"/>
    <s v="No"/>
    <s v=""/>
    <m/>
    <m/>
    <s v="*MAV310801113"/>
    <s v="*MAV310801113"/>
    <n v="1.049020681419915E-3"/>
  </r>
  <r>
    <x v="107"/>
    <s v="Pesos"/>
    <d v="2026-06-30T00:00:00"/>
    <s v="08/06/2026"/>
    <n v="0.98049757999999998"/>
    <m/>
    <n v="2000000"/>
    <n v="1960995.17"/>
    <n v="2000000"/>
    <n v="1960995.17"/>
    <n v="148"/>
    <s v="AMOMPY"/>
    <s v="Momentum Capital Investment S.A."/>
    <s v="05/05/2026"/>
    <s v="05/05/2026"/>
    <n v="33"/>
    <s v="No"/>
    <s v=""/>
    <m/>
    <m/>
    <s v="*MAV260601308"/>
    <s v="*MAV260601308"/>
    <n v="4.4050636394416745E-5"/>
  </r>
  <r>
    <x v="108"/>
    <s v="Pesos"/>
    <d v="2026-07-07T00:00:00"/>
    <s v="08/06/2026"/>
    <n v="0.97445079999999995"/>
    <m/>
    <n v="1862351.88"/>
    <n v="1814770.28"/>
    <n v="1862351.88"/>
    <n v="1814770.28"/>
    <n v="11123599"/>
    <s v="AMOMPY"/>
    <s v="Momentum Capital Investment S.A."/>
    <s v="05/05/2026"/>
    <s v="05/05/2026"/>
    <n v="33"/>
    <s v="No"/>
    <s v=""/>
    <m/>
    <m/>
    <s v="*MAV030701051"/>
    <s v="*MAV030701051"/>
    <n v="4.0765926896022839E-5"/>
  </r>
  <r>
    <x v="109"/>
    <s v="Pesos"/>
    <d v="2026-07-13T00:00:00"/>
    <s v="08/06/2026"/>
    <n v="0.96932680000000004"/>
    <m/>
    <n v="1100000"/>
    <n v="1066259.48"/>
    <n v="1100000"/>
    <n v="1066259.48"/>
    <n v="49400429"/>
    <s v="AMOMPY"/>
    <s v="Momentum Capital Investment S.A."/>
    <s v="05/05/2026"/>
    <s v="05/05/2026"/>
    <n v="33"/>
    <s v="No"/>
    <s v=""/>
    <m/>
    <m/>
    <s v="*MAV070701178"/>
    <s v="*MAV070701178"/>
    <n v="2.3951822714372046E-5"/>
  </r>
  <r>
    <x v="110"/>
    <s v="Pesos"/>
    <d v="2026-06-17T00:00:00"/>
    <s v="08/06/2026"/>
    <n v="0.99023331999999997"/>
    <m/>
    <n v="10000000"/>
    <n v="9902333.1600000001"/>
    <n v="10000000"/>
    <n v="9902333.1600000001"/>
    <n v="1342"/>
    <s v="AMOMPY"/>
    <s v="Momentum Capital Investment S.A."/>
    <s v="24/02/2026"/>
    <s v="24/02/2026"/>
    <n v="40"/>
    <s v="No"/>
    <s v=""/>
    <m/>
    <m/>
    <s v="*MAV120601317"/>
    <s v="*MAV120601317"/>
    <n v="2.2244015903799284E-4"/>
  </r>
  <r>
    <x v="110"/>
    <s v="Pesos"/>
    <d v="2026-07-02T00:00:00"/>
    <s v="08/06/2026"/>
    <n v="0.97437273000000002"/>
    <m/>
    <n v="10000000"/>
    <n v="9743727.3000000007"/>
    <n v="10000000"/>
    <n v="9743727.3000000007"/>
    <n v="1345"/>
    <s v="AMOMPY"/>
    <s v="Momentum Capital Investment S.A."/>
    <s v="24/02/2026"/>
    <s v="24/02/2026"/>
    <n v="40"/>
    <s v="No"/>
    <s v=""/>
    <m/>
    <m/>
    <s v="*MAV300601797"/>
    <s v="*MAV300601797"/>
    <n v="2.1887733074765913E-4"/>
  </r>
  <r>
    <x v="111"/>
    <s v="Pesos"/>
    <d v="2026-06-11T00:00:00"/>
    <s v="08/06/2026"/>
    <n v="0.99664145999999998"/>
    <m/>
    <n v="18208333"/>
    <n v="18147179.57"/>
    <n v="18208333"/>
    <n v="18147179.57"/>
    <n v="1976"/>
    <s v="AMOMPY"/>
    <s v="Momentum Capital Investment S.A."/>
    <s v="23/02/2026"/>
    <s v="23/02/2026"/>
    <n v="41"/>
    <s v="No"/>
    <s v=""/>
    <m/>
    <m/>
    <s v="*MAV090601094"/>
    <s v="*MAV090601094"/>
    <n v="4.0764751543077897E-4"/>
  </r>
  <r>
    <x v="111"/>
    <s v="Pesos"/>
    <d v="2026-06-16T00:00:00"/>
    <s v="08/06/2026"/>
    <n v="0.99109373000000001"/>
    <m/>
    <n v="18208333"/>
    <n v="18046164.75"/>
    <n v="18208333"/>
    <n v="18046164.75"/>
    <n v="1977"/>
    <s v="AMOMPY"/>
    <s v="Momentum Capital Investment S.A."/>
    <s v="23/02/2026"/>
    <s v="23/02/2026"/>
    <n v="41"/>
    <s v="No"/>
    <s v=""/>
    <m/>
    <m/>
    <s v="*MAV110600888"/>
    <s v="*MAV110600888"/>
    <n v="4.0537837822210985E-4"/>
  </r>
  <r>
    <x v="112"/>
    <s v="Pesos"/>
    <d v="2026-07-07T00:00:00"/>
    <s v="08/06/2026"/>
    <n v="0.97144242999999997"/>
    <m/>
    <n v="9500000"/>
    <n v="9228703.0899999999"/>
    <n v="9500000"/>
    <n v="9228703.0899999999"/>
    <n v="10949772"/>
    <s v="AMOMPY"/>
    <s v="Momentum Capital Investment S.A."/>
    <s v="13/05/2026"/>
    <s v="13/05/2026"/>
    <n v="37"/>
    <s v="No"/>
    <s v=""/>
    <m/>
    <m/>
    <s v="*MAV030701116"/>
    <s v="*MAV030701116"/>
    <n v="2.0730813131458162E-4"/>
  </r>
  <r>
    <x v="112"/>
    <s v="Pesos"/>
    <d v="2026-07-15T00:00:00"/>
    <s v="08/06/2026"/>
    <n v="0.96384921000000001"/>
    <m/>
    <n v="9500000"/>
    <n v="9156567.4800000004"/>
    <n v="9500000"/>
    <n v="9156567.4800000004"/>
    <n v="10949773"/>
    <s v="AMOMPY"/>
    <s v="Momentum Capital Investment S.A."/>
    <s v="13/05/2026"/>
    <s v="13/05/2026"/>
    <n v="37"/>
    <s v="No"/>
    <s v=""/>
    <m/>
    <m/>
    <s v="*MAV130701175"/>
    <s v="*MAV130701175"/>
    <n v="2.0568771960943733E-4"/>
  </r>
  <r>
    <x v="112"/>
    <s v="Pesos"/>
    <d v="2026-08-04T00:00:00"/>
    <s v="08/06/2026"/>
    <n v="0.95099140000000004"/>
    <m/>
    <n v="6747533.79"/>
    <n v="6416846.6100000003"/>
    <n v="6747533.79"/>
    <n v="6416846.6100000003"/>
    <n v="10949784"/>
    <s v="AMOMPY"/>
    <s v="Momentum Capital Investment S.A."/>
    <s v="27/05/2026"/>
    <s v="27/05/2026"/>
    <n v="33"/>
    <s v="No"/>
    <s v=""/>
    <m/>
    <m/>
    <s v="*MAV310701523"/>
    <s v="*MAV310701523"/>
    <n v="1.4414424937918421E-4"/>
  </r>
  <r>
    <x v="113"/>
    <s v="Pesos"/>
    <d v="2026-06-18T00:00:00"/>
    <s v="08/06/2026"/>
    <n v="0.98835636000000004"/>
    <m/>
    <n v="300000000"/>
    <n v="296506908.48000002"/>
    <n v="300000000"/>
    <n v="296506908.48000002"/>
    <n v="9564811"/>
    <s v="AMOMPY"/>
    <s v="Momentum Capital Investment S.A."/>
    <s v="26/02/2026"/>
    <s v="26/02/2026"/>
    <n v="43"/>
    <s v="No"/>
    <s v=""/>
    <m/>
    <m/>
    <s v="*MAV150601007"/>
    <s v="*MAV150601007"/>
    <n v="6.6605559328762063E-3"/>
  </r>
  <r>
    <x v="113"/>
    <s v="Pesos"/>
    <d v="2026-06-18T00:00:00"/>
    <s v="08/06/2026"/>
    <n v="0.98835636000000004"/>
    <m/>
    <n v="300000000"/>
    <n v="296506908.48000002"/>
    <n v="300000000"/>
    <n v="296506908.48000002"/>
    <n v="9564812"/>
    <s v="AMOMPY"/>
    <s v="Momentum Capital Investment S.A."/>
    <s v="26/02/2026"/>
    <s v="26/02/2026"/>
    <n v="43"/>
    <s v="No"/>
    <s v=""/>
    <m/>
    <m/>
    <s v="*MAV160601141"/>
    <s v="*MAV160601141"/>
    <n v="6.6605559328762063E-3"/>
  </r>
  <r>
    <x v="113"/>
    <s v="Pesos"/>
    <d v="2026-06-17T00:00:00"/>
    <s v="08/06/2026"/>
    <n v="0.98950850999999995"/>
    <m/>
    <n v="300000000"/>
    <n v="296852552.88"/>
    <n v="300000000"/>
    <n v="296852552.88"/>
    <n v="9564802"/>
    <s v="AMOMPY"/>
    <s v="Momentum Capital Investment S.A."/>
    <s v="25/02/2026"/>
    <s v="25/02/2026"/>
    <n v="43"/>
    <s v="No"/>
    <s v=""/>
    <m/>
    <m/>
    <s v="*MAV120601321"/>
    <s v="*MAV120601321"/>
    <n v="6.6683202843744131E-3"/>
  </r>
  <r>
    <x v="114"/>
    <s v="Pesos"/>
    <d v="2026-08-04T00:00:00"/>
    <s v="08/06/2026"/>
    <n v="0.97265902999999998"/>
    <m/>
    <n v="776145000"/>
    <n v="754924440.82000005"/>
    <n v="776145000"/>
    <n v="754924440.82000005"/>
    <n v="152009"/>
    <s v="AMOMPY"/>
    <s v="Momentum Capital Investment S.A."/>
    <s v="01/06/2026"/>
    <s v="01/06/2026"/>
    <n v="18"/>
    <s v="No"/>
    <s v=""/>
    <m/>
    <m/>
    <s v="#MAV010860008"/>
    <s v="#MAV010860008"/>
    <n v="1.6958176418058291E-2"/>
  </r>
  <r>
    <x v="114"/>
    <s v="Pesos"/>
    <d v="2026-08-13T00:00:00"/>
    <s v="08/06/2026"/>
    <n v="0.96847812"/>
    <m/>
    <n v="31000000"/>
    <n v="30022821.609999999"/>
    <n v="31000000"/>
    <n v="30022821.609999999"/>
    <n v="152408"/>
    <s v="AMOMPY"/>
    <s v="Momentum Capital Investment S.A."/>
    <s v="03/06/2026"/>
    <s v="03/06/2026"/>
    <n v="18"/>
    <s v="No"/>
    <s v=""/>
    <m/>
    <m/>
    <s v="#MAV120860029"/>
    <s v="#MAV120860029"/>
    <n v="6.7441491876624442E-4"/>
  </r>
  <r>
    <x v="114"/>
    <s v="Pesos"/>
    <d v="2026-08-04T00:00:00"/>
    <s v="08/06/2026"/>
    <n v="0.94817521000000005"/>
    <m/>
    <n v="24341349.530000001"/>
    <n v="23079864.16"/>
    <n v="24341349.530000001"/>
    <n v="23079864.16"/>
    <n v="13784401"/>
    <s v="AMOMPY"/>
    <s v="Momentum Capital Investment S.A."/>
    <s v="08/06/2026"/>
    <s v="08/06/2026"/>
    <n v="35"/>
    <s v="No"/>
    <s v=""/>
    <m/>
    <m/>
    <s v="*MAV310701686"/>
    <s v="*MAV310701686"/>
    <n v="5.1845242645074481E-4"/>
  </r>
  <r>
    <x v="115"/>
    <s v="Pesos"/>
    <d v="2026-06-11T00:00:00"/>
    <s v="08/06/2026"/>
    <n v="0.99688644999999998"/>
    <m/>
    <n v="438000000"/>
    <n v="436636263.64999998"/>
    <n v="438000000"/>
    <n v="436636263.64999998"/>
    <n v="171"/>
    <s v="AMOMPY"/>
    <s v="Momentum Capital Investment S.A."/>
    <s v="11/03/2026"/>
    <s v="11/03/2026"/>
    <n v="38"/>
    <s v="No"/>
    <s v=""/>
    <m/>
    <m/>
    <s v="*MAV090601125"/>
    <s v="*MAV090601125"/>
    <n v="9.8083389397959787E-3"/>
  </r>
  <r>
    <x v="116"/>
    <s v="Pesos"/>
    <d v="2026-07-15T00:00:00"/>
    <s v="08/06/2026"/>
    <n v="0.96573626999999995"/>
    <m/>
    <n v="11000000"/>
    <n v="10623098.970000001"/>
    <n v="11000000"/>
    <n v="10623098.970000001"/>
    <n v="388"/>
    <s v="AMOMPY"/>
    <s v="Momentum Capital Investment S.A."/>
    <s v="20/04/2026"/>
    <s v="20/04/2026"/>
    <n v="35"/>
    <s v="No"/>
    <s v=""/>
    <m/>
    <m/>
    <s v="*MAV100701382"/>
    <s v="*MAV100701382"/>
    <n v="2.3863101616378437E-4"/>
  </r>
  <r>
    <x v="116"/>
    <s v="Pesos"/>
    <d v="2026-07-07T00:00:00"/>
    <s v="08/06/2026"/>
    <n v="0.97294422999999997"/>
    <m/>
    <n v="10000000"/>
    <n v="9729442.3300000001"/>
    <n v="10000000"/>
    <n v="9729442.3300000001"/>
    <n v="387"/>
    <s v="AMOMPY"/>
    <s v="Momentum Capital Investment S.A."/>
    <s v="20/04/2026"/>
    <s v="20/04/2026"/>
    <n v="35"/>
    <s v="No"/>
    <s v=""/>
    <m/>
    <m/>
    <s v="*MAV030700970"/>
    <s v="*MAV030700970"/>
    <n v="2.185564416251351E-4"/>
  </r>
  <r>
    <x v="116"/>
    <s v="Pesos"/>
    <d v="2026-06-09T00:00:00"/>
    <s v="08/06/2026"/>
    <n v="0.99904201999999998"/>
    <m/>
    <n v="10000000"/>
    <n v="9990420.1699999999"/>
    <n v="10000000"/>
    <n v="9990420.1699999999"/>
    <n v="383"/>
    <s v="AMOMPY"/>
    <s v="Momentum Capital Investment S.A."/>
    <s v="20/04/2026"/>
    <s v="20/04/2026"/>
    <n v="35"/>
    <s v="No"/>
    <s v=""/>
    <m/>
    <m/>
    <s v="*MAV050601328"/>
    <s v="*MAV050601328"/>
    <n v="2.2441889356418821E-4"/>
  </r>
  <r>
    <x v="116"/>
    <s v="Pesos"/>
    <d v="2026-06-17T00:00:00"/>
    <s v="08/06/2026"/>
    <n v="0.99144370999999998"/>
    <m/>
    <n v="10000000"/>
    <n v="9914437.1099999994"/>
    <n v="10000000"/>
    <n v="9914437.1099999994"/>
    <n v="384"/>
    <s v="AMOMPY"/>
    <s v="Momentum Capital Investment S.A."/>
    <s v="20/04/2026"/>
    <s v="20/04/2026"/>
    <n v="35"/>
    <s v="No"/>
    <s v=""/>
    <m/>
    <m/>
    <s v="*MAV120601596"/>
    <s v="*MAV120601596"/>
    <n v="2.2271205501639353E-4"/>
  </r>
  <r>
    <x v="116"/>
    <s v="Pesos"/>
    <d v="2026-06-23T00:00:00"/>
    <s v="08/06/2026"/>
    <n v="0.98582042999999997"/>
    <m/>
    <n v="10000000"/>
    <n v="9858204.3100000005"/>
    <n v="10000000"/>
    <n v="9858204.3100000005"/>
    <n v="385"/>
    <s v="AMOMPY"/>
    <s v="Momentum Capital Investment S.A."/>
    <s v="20/04/2026"/>
    <s v="20/04/2026"/>
    <n v="35"/>
    <s v="No"/>
    <s v=""/>
    <m/>
    <m/>
    <s v="*MAV190601033"/>
    <s v="*MAV190601033"/>
    <n v="2.2144887463526088E-4"/>
  </r>
  <r>
    <x v="116"/>
    <s v="Pesos"/>
    <d v="2026-06-30T00:00:00"/>
    <s v="08/06/2026"/>
    <n v="0.97934001000000004"/>
    <m/>
    <n v="10000000"/>
    <n v="9793400.0999999996"/>
    <n v="10000000"/>
    <n v="9793400.0999999996"/>
    <n v="386"/>
    <s v="AMOMPY"/>
    <s v="Momentum Capital Investment S.A."/>
    <s v="20/04/2026"/>
    <s v="20/04/2026"/>
    <n v="35"/>
    <s v="No"/>
    <s v=""/>
    <m/>
    <m/>
    <s v="*MAV260601211"/>
    <s v="*MAV260601211"/>
    <n v="2.1999315116627473E-4"/>
  </r>
  <r>
    <x v="116"/>
    <s v="Pesos"/>
    <d v="2026-09-11T00:00:00"/>
    <s v="08/06/2026"/>
    <n v="0.92757308999999999"/>
    <m/>
    <n v="10000000"/>
    <n v="9275730.8699999992"/>
    <n v="10000000"/>
    <n v="9275730.8699999992"/>
    <n v="504"/>
    <s v="AMOMPY"/>
    <s v="Momentum Capital Investment S.A."/>
    <s v="14/05/2026"/>
    <s v="14/05/2026"/>
    <n v="30"/>
    <s v="No"/>
    <s v=""/>
    <m/>
    <m/>
    <s v="*MAV090901138"/>
    <s v="*MAV090901138"/>
    <n v="2.0836453556733486E-4"/>
  </r>
  <r>
    <x v="116"/>
    <s v="Pesos"/>
    <d v="2026-08-20T00:00:00"/>
    <s v="08/06/2026"/>
    <n v="0.94339625999999999"/>
    <m/>
    <n v="10000000"/>
    <n v="9433962.5700000003"/>
    <n v="10000000"/>
    <n v="9433962.5700000003"/>
    <n v="501"/>
    <s v="AMOMPY"/>
    <s v="Momentum Capital Investment S.A."/>
    <s v="14/05/2026"/>
    <s v="14/05/2026"/>
    <n v="30"/>
    <s v="No"/>
    <s v=""/>
    <m/>
    <m/>
    <s v="*MAV150801372"/>
    <s v="*MAV150801372"/>
    <n v="2.11918958948587E-4"/>
  </r>
  <r>
    <x v="116"/>
    <s v="Pesos"/>
    <d v="2026-09-02T00:00:00"/>
    <s v="08/06/2026"/>
    <n v="0.93398170000000003"/>
    <m/>
    <n v="10000000"/>
    <n v="9339816.9600000009"/>
    <n v="10000000"/>
    <n v="9339816.9600000009"/>
    <n v="503"/>
    <s v="AMOMPY"/>
    <s v="Momentum Capital Investment S.A."/>
    <s v="14/05/2026"/>
    <s v="14/05/2026"/>
    <n v="30"/>
    <s v="No"/>
    <s v=""/>
    <m/>
    <m/>
    <s v="*MAV290801184"/>
    <s v="*MAV290801184"/>
    <n v="2.0980412761310719E-4"/>
  </r>
  <r>
    <x v="116"/>
    <s v="Pesos"/>
    <d v="2026-08-12T00:00:00"/>
    <s v="08/06/2026"/>
    <n v="0.94928484999999996"/>
    <m/>
    <n v="10000000"/>
    <n v="9492848.5299999993"/>
    <n v="10000000"/>
    <n v="9492848.5299999993"/>
    <n v="500"/>
    <s v="AMOMPY"/>
    <s v="Momentum Capital Investment S.A."/>
    <s v="14/05/2026"/>
    <s v="14/05/2026"/>
    <n v="30"/>
    <s v="No"/>
    <s v=""/>
    <m/>
    <m/>
    <s v="*MAV080801225"/>
    <s v="*MAV080801225"/>
    <n v="2.1324173834773061E-4"/>
  </r>
  <r>
    <x v="116"/>
    <s v="Pesos"/>
    <d v="2026-08-26T00:00:00"/>
    <s v="08/06/2026"/>
    <n v="0.93902763"/>
    <m/>
    <n v="10000000"/>
    <n v="9390276.2899999991"/>
    <n v="10000000"/>
    <n v="9390276.2899999991"/>
    <n v="502"/>
    <s v="AMOMPY"/>
    <s v="Momentum Capital Investment S.A."/>
    <s v="14/05/2026"/>
    <s v="14/05/2026"/>
    <n v="30"/>
    <s v="No"/>
    <s v=""/>
    <m/>
    <m/>
    <s v="*MAV220801199"/>
    <s v="*MAV220801199"/>
    <n v="2.1093761617674083E-4"/>
  </r>
  <r>
    <x v="116"/>
    <s v="Pesos"/>
    <d v="2026-07-31T00:00:00"/>
    <s v="08/06/2026"/>
    <n v="0.95825687999999998"/>
    <m/>
    <n v="10000000"/>
    <n v="9582568.7799999993"/>
    <n v="10000000"/>
    <n v="9582568.7799999993"/>
    <n v="499"/>
    <s v="AMOMPY"/>
    <s v="Momentum Capital Investment S.A."/>
    <s v="14/05/2026"/>
    <s v="14/05/2026"/>
    <n v="30"/>
    <s v="No"/>
    <s v=""/>
    <m/>
    <m/>
    <s v="*MAV290701192"/>
    <s v="*MAV290701192"/>
    <n v="2.1525716101191095E-4"/>
  </r>
  <r>
    <x v="116"/>
    <s v="Pesos"/>
    <d v="2026-08-04T00:00:00"/>
    <s v="08/06/2026"/>
    <n v="0.95524737000000004"/>
    <m/>
    <n v="10000000"/>
    <n v="9552473.6699999999"/>
    <n v="10000000"/>
    <n v="9552473.6699999999"/>
    <n v="492"/>
    <s v="AMOMPY"/>
    <s v="Momentum Capital Investment S.A."/>
    <s v="13/05/2026"/>
    <s v="13/05/2026"/>
    <n v="30"/>
    <s v="No"/>
    <s v=""/>
    <m/>
    <m/>
    <s v="*MAV310701416"/>
    <s v="*MAV310701416"/>
    <n v="2.1458112224947995E-4"/>
  </r>
  <r>
    <x v="116"/>
    <s v="Pesos"/>
    <d v="2026-09-02T00:00:00"/>
    <s v="08/06/2026"/>
    <n v="0.93398163999999995"/>
    <m/>
    <n v="10000000"/>
    <n v="9339816.4000000004"/>
    <n v="10000000"/>
    <n v="9339816.4000000004"/>
    <n v="493"/>
    <s v="AMOMPY"/>
    <s v="Momentum Capital Investment S.A."/>
    <s v="13/05/2026"/>
    <s v="13/05/2026"/>
    <n v="30"/>
    <s v="No"/>
    <s v=""/>
    <m/>
    <m/>
    <s v="*MAV310801141"/>
    <s v="*MAV310801141"/>
    <n v="2.0980411503359819E-4"/>
  </r>
  <r>
    <x v="116"/>
    <s v="Pesos"/>
    <d v="2026-07-15T00:00:00"/>
    <s v="08/06/2026"/>
    <n v="0.97048665000000001"/>
    <m/>
    <n v="10000000"/>
    <n v="9704866.4900000002"/>
    <n v="10000000"/>
    <n v="9704866.4900000002"/>
    <n v="470"/>
    <s v="AMOMPY"/>
    <s v="Momentum Capital Investment S.A."/>
    <s v="12/05/2026"/>
    <s v="12/05/2026"/>
    <n v="30"/>
    <s v="No"/>
    <s v=""/>
    <m/>
    <m/>
    <s v="*MAV090700498"/>
    <s v="*MAV090700498"/>
    <n v="2.1800438448165557E-4"/>
  </r>
  <r>
    <x v="116"/>
    <s v="Pesos"/>
    <d v="2026-08-26T00:00:00"/>
    <s v="08/06/2026"/>
    <n v="0.93902772000000001"/>
    <m/>
    <n v="10000000"/>
    <n v="9390277.1699999999"/>
    <n v="10000000"/>
    <n v="9390277.1699999999"/>
    <n v="473"/>
    <s v="AMOMPY"/>
    <s v="Momentum Capital Investment S.A."/>
    <s v="12/05/2026"/>
    <s v="12/05/2026"/>
    <n v="30"/>
    <s v="No"/>
    <s v=""/>
    <m/>
    <m/>
    <s v="*MAV220801198"/>
    <s v="*MAV220801198"/>
    <n v="2.109376359445407E-4"/>
  </r>
  <r>
    <x v="116"/>
    <s v="Pesos"/>
    <d v="2026-07-27T00:00:00"/>
    <s v="08/06/2026"/>
    <n v="0.96128526000000003"/>
    <m/>
    <n v="10000000"/>
    <n v="9612852.5700000003"/>
    <n v="10000000"/>
    <n v="9612852.5700000003"/>
    <n v="471"/>
    <s v="AMOMPY"/>
    <s v="Momentum Capital Investment S.A."/>
    <s v="12/05/2026"/>
    <s v="12/05/2026"/>
    <n v="30"/>
    <s v="No"/>
    <s v=""/>
    <m/>
    <m/>
    <s v="*MAV230701030"/>
    <s v="*MAV230701030"/>
    <n v="2.1593743817033704E-4"/>
  </r>
  <r>
    <x v="116"/>
    <s v="Pesos"/>
    <d v="2026-08-20T00:00:00"/>
    <s v="08/06/2026"/>
    <n v="0.94339634000000006"/>
    <m/>
    <n v="10000000"/>
    <n v="9433963.4399999995"/>
    <n v="10000000"/>
    <n v="9433963.4399999995"/>
    <n v="472"/>
    <s v="AMOMPY"/>
    <s v="Momentum Capital Investment S.A."/>
    <s v="12/05/2026"/>
    <s v="12/05/2026"/>
    <n v="30"/>
    <s v="No"/>
    <s v=""/>
    <m/>
    <m/>
    <s v="*MAV150801364"/>
    <s v="*MAV150801364"/>
    <n v="2.1191897849175272E-4"/>
  </r>
  <r>
    <x v="116"/>
    <s v="Pesos"/>
    <d v="2026-07-15T00:00:00"/>
    <s v="08/06/2026"/>
    <n v="0.97048661000000003"/>
    <m/>
    <n v="10250000"/>
    <n v="9947487.7799999993"/>
    <n v="10250000"/>
    <n v="9947487.7799999993"/>
    <n v="453"/>
    <s v="AMOMPY"/>
    <s v="Momentum Capital Investment S.A."/>
    <s v="04/05/2026"/>
    <s v="04/05/2026"/>
    <n v="30"/>
    <s v="No"/>
    <s v=""/>
    <m/>
    <m/>
    <s v="*MAV100701434"/>
    <s v="*MAV100701434"/>
    <n v="2.2345448573169298E-4"/>
  </r>
  <r>
    <x v="116"/>
    <s v="Pesos"/>
    <d v="2026-07-21T00:00:00"/>
    <s v="08/06/2026"/>
    <n v="0.96586408000000001"/>
    <m/>
    <n v="10250000"/>
    <n v="9900106.8399999999"/>
    <n v="10250000"/>
    <n v="9900106.8399999999"/>
    <n v="454"/>
    <s v="AMOMPY"/>
    <s v="Momentum Capital Investment S.A."/>
    <s v="04/05/2026"/>
    <s v="04/05/2026"/>
    <n v="30"/>
    <s v="No"/>
    <s v=""/>
    <m/>
    <m/>
    <s v="*MAV170701431"/>
    <s v="*MAV170701431"/>
    <n v="2.2239014830144541E-4"/>
  </r>
  <r>
    <x v="116"/>
    <s v="Pesos"/>
    <d v="2026-09-16T00:00:00"/>
    <s v="08/06/2026"/>
    <n v="0.92405081"/>
    <m/>
    <n v="7500000"/>
    <n v="6930381.0999999996"/>
    <n v="7500000"/>
    <n v="6930381.0999999996"/>
    <n v="512"/>
    <s v="AMOMPY"/>
    <s v="Momentum Capital Investment S.A."/>
    <s v="18/05/2026"/>
    <s v="18/05/2026"/>
    <n v="30"/>
    <s v="No"/>
    <s v=""/>
    <m/>
    <m/>
    <s v="*MAV120901457"/>
    <s v="*MAV120901457"/>
    <n v="1.5567998462272497E-4"/>
  </r>
  <r>
    <x v="116"/>
    <s v="Pesos"/>
    <d v="2026-09-23T00:00:00"/>
    <s v="08/06/2026"/>
    <n v="0.91916412999999997"/>
    <m/>
    <n v="7500000"/>
    <n v="6893731.0099999998"/>
    <n v="7500000"/>
    <n v="6893731.0099999998"/>
    <n v="513"/>
    <s v="AMOMPY"/>
    <s v="Momentum Capital Investment S.A."/>
    <s v="18/05/2026"/>
    <s v="18/05/2026"/>
    <n v="30"/>
    <s v="No"/>
    <s v=""/>
    <m/>
    <m/>
    <s v="*MAV190901194"/>
    <s v="*MAV190901194"/>
    <n v="1.5485669866408967E-4"/>
  </r>
  <r>
    <x v="116"/>
    <s v="Pesos"/>
    <d v="2026-08-24T00:00:00"/>
    <s v="08/06/2026"/>
    <n v="0.94047928999999997"/>
    <m/>
    <n v="7500000"/>
    <n v="7053594.6699999999"/>
    <n v="7500000"/>
    <n v="7053594.6699999999"/>
    <n v="510"/>
    <s v="AMOMPY"/>
    <s v="Momentum Capital Investment S.A."/>
    <s v="18/05/2026"/>
    <s v="18/05/2026"/>
    <n v="30"/>
    <s v="No"/>
    <s v=""/>
    <m/>
    <m/>
    <s v="*MAV200801228"/>
    <s v="*MAV200801228"/>
    <n v="1.5844778143016334E-4"/>
  </r>
  <r>
    <x v="116"/>
    <s v="Pesos"/>
    <d v="2026-09-30T00:00:00"/>
    <s v="08/06/2026"/>
    <n v="0.91432866000000002"/>
    <m/>
    <n v="10000000"/>
    <n v="9143286.5999999996"/>
    <n v="10000000"/>
    <n v="9143286.5999999996"/>
    <n v="514"/>
    <s v="AMOMPY"/>
    <s v="Momentum Capital Investment S.A."/>
    <s v="18/05/2026"/>
    <s v="18/05/2026"/>
    <n v="30"/>
    <s v="No"/>
    <s v=""/>
    <m/>
    <m/>
    <s v="*MAV260901228"/>
    <s v="*MAV260901228"/>
    <n v="2.0538938577117604E-4"/>
  </r>
  <r>
    <x v="116"/>
    <s v="Pesos"/>
    <d v="2026-08-31T00:00:00"/>
    <s v="08/06/2026"/>
    <n v="0.93541777999999998"/>
    <m/>
    <n v="7500000"/>
    <n v="7015633.3700000001"/>
    <n v="7500000"/>
    <n v="7015633.3700000001"/>
    <n v="511"/>
    <s v="AMOMPY"/>
    <s v="Momentum Capital Investment S.A."/>
    <s v="18/05/2026"/>
    <s v="18/05/2026"/>
    <n v="30"/>
    <s v="No"/>
    <s v=""/>
    <m/>
    <m/>
    <s v="*MAV270800997"/>
    <s v="*MAV270800997"/>
    <n v="1.5759504122511768E-4"/>
  </r>
  <r>
    <x v="116"/>
    <s v="Pesos"/>
    <d v="2026-08-12T00:00:00"/>
    <s v="08/06/2026"/>
    <n v="0.94928488"/>
    <m/>
    <n v="10000000"/>
    <n v="9492848.8200000003"/>
    <n v="10000000"/>
    <n v="9492848.8200000003"/>
    <n v="608"/>
    <s v="AMOMPY"/>
    <s v="Momentum Capital Investment S.A."/>
    <s v="05/06/2026"/>
    <s v="05/06/2026"/>
    <n v="30"/>
    <s v="No"/>
    <s v=""/>
    <m/>
    <m/>
    <s v="*MAV090801006"/>
    <s v="*MAV090801006"/>
    <n v="2.1324174486211922E-4"/>
  </r>
  <r>
    <x v="116"/>
    <s v="Pesos"/>
    <d v="2026-07-22T00:00:00"/>
    <s v="08/06/2026"/>
    <n v="0.96509785999999997"/>
    <m/>
    <n v="10000000"/>
    <n v="9650978.6400000006"/>
    <n v="10000000"/>
    <n v="9650978.6400000006"/>
    <n v="606"/>
    <s v="AMOMPY"/>
    <s v="Momentum Capital Investment S.A."/>
    <s v="05/06/2026"/>
    <s v="05/06/2026"/>
    <n v="30"/>
    <s v="No"/>
    <s v=""/>
    <m/>
    <m/>
    <s v="*MAV180701336"/>
    <s v="*MAV180701336"/>
    <n v="2.1679387967127051E-4"/>
  </r>
  <r>
    <x v="116"/>
    <s v="Pesos"/>
    <d v="2026-08-28T00:00:00"/>
    <s v="08/06/2026"/>
    <n v="0.93758052000000003"/>
    <m/>
    <n v="10000000"/>
    <n v="9375805.2200000007"/>
    <n v="10000000"/>
    <n v="9375805.2200000007"/>
    <n v="610"/>
    <s v="AMOMPY"/>
    <s v="Momentum Capital Investment S.A."/>
    <s v="05/06/2026"/>
    <s v="05/06/2026"/>
    <n v="30"/>
    <s v="No"/>
    <s v=""/>
    <m/>
    <m/>
    <s v="*MAV260801238"/>
    <s v="*MAV260801238"/>
    <n v="2.1061254661381679E-4"/>
  </r>
  <r>
    <x v="116"/>
    <s v="Pesos"/>
    <d v="2026-07-14T00:00:00"/>
    <s v="08/06/2026"/>
    <n v="0.97126139"/>
    <m/>
    <n v="10000000"/>
    <n v="9712613.9100000001"/>
    <n v="10000000"/>
    <n v="9712613.9100000001"/>
    <n v="605"/>
    <s v="AMOMPY"/>
    <s v="Momentum Capital Investment S.A."/>
    <s v="05/06/2026"/>
    <s v="05/06/2026"/>
    <n v="30"/>
    <s v="No"/>
    <s v=""/>
    <m/>
    <m/>
    <s v="*MAV080701510"/>
    <s v="*MAV080701510"/>
    <n v="2.1817841794519277E-4"/>
  </r>
  <r>
    <x v="116"/>
    <s v="Pesos"/>
    <d v="2026-08-21T00:00:00"/>
    <s v="08/06/2026"/>
    <n v="0.94266552000000003"/>
    <m/>
    <n v="10000000"/>
    <n v="9426655.2200000007"/>
    <n v="10000000"/>
    <n v="9426655.2200000007"/>
    <n v="609"/>
    <s v="AMOMPY"/>
    <s v="Momentum Capital Investment S.A."/>
    <s v="05/06/2026"/>
    <s v="05/06/2026"/>
    <n v="30"/>
    <s v="No"/>
    <s v=""/>
    <m/>
    <m/>
    <s v="*MAV190801242"/>
    <s v="*MAV190801242"/>
    <n v="2.1175481095741334E-4"/>
  </r>
  <r>
    <x v="116"/>
    <s v="Pesos"/>
    <d v="2026-07-29T00:00:00"/>
    <s v="08/06/2026"/>
    <n v="0.95976866000000005"/>
    <m/>
    <n v="10000000"/>
    <n v="9597686.5800000001"/>
    <n v="10000000"/>
    <n v="9597686.5800000001"/>
    <n v="607"/>
    <s v="AMOMPY"/>
    <s v="Momentum Capital Investment S.A."/>
    <s v="05/06/2026"/>
    <s v="05/06/2026"/>
    <n v="30"/>
    <s v="No"/>
    <s v=""/>
    <m/>
    <m/>
    <s v="*MAV260701145"/>
    <s v="*MAV260701145"/>
    <n v="2.1559675833528606E-4"/>
  </r>
  <r>
    <x v="116"/>
    <s v="Pesos"/>
    <d v="2026-08-14T00:00:00"/>
    <s v="08/06/2026"/>
    <n v="0.94780576000000005"/>
    <m/>
    <n v="10000000"/>
    <n v="9478057.6500000004"/>
    <n v="10000000"/>
    <n v="9478057.6500000004"/>
    <n v="575"/>
    <s v="AMOMPY"/>
    <s v="Momentum Capital Investment S.A."/>
    <s v="02/06/2026"/>
    <s v="02/06/2026"/>
    <n v="30"/>
    <s v="No"/>
    <s v=""/>
    <m/>
    <m/>
    <s v="*MAV120801634"/>
    <s v="*MAV120801634"/>
    <n v="2.1290948476199975E-4"/>
  </r>
  <r>
    <x v="116"/>
    <s v="Pesos"/>
    <d v="2026-09-16T00:00:00"/>
    <s v="08/06/2026"/>
    <n v="0.92405086000000003"/>
    <m/>
    <n v="10000000"/>
    <n v="9240508.6500000004"/>
    <n v="10000000"/>
    <n v="9240508.6500000004"/>
    <n v="579"/>
    <s v="AMOMPY"/>
    <s v="Momentum Capital Investment S.A."/>
    <s v="02/06/2026"/>
    <s v="02/06/2026"/>
    <n v="30"/>
    <s v="No"/>
    <s v=""/>
    <m/>
    <m/>
    <s v="*MAV140900905"/>
    <s v="*MAV140900905"/>
    <n v="2.0757332443639459E-4"/>
  </r>
  <r>
    <x v="116"/>
    <s v="Pesos"/>
    <d v="2026-09-23T00:00:00"/>
    <s v="08/06/2026"/>
    <n v="0.91916394999999995"/>
    <m/>
    <n v="10000000"/>
    <n v="9191639.4900000002"/>
    <n v="10000000"/>
    <n v="9191639.4900000002"/>
    <n v="580"/>
    <s v="AMOMPY"/>
    <s v="Momentum Capital Investment S.A."/>
    <s v="02/06/2026"/>
    <s v="02/06/2026"/>
    <n v="30"/>
    <s v="No"/>
    <s v=""/>
    <m/>
    <m/>
    <s v="*MAV210900798"/>
    <s v="*MAV210900798"/>
    <n v="2.0647555651172368E-4"/>
  </r>
  <r>
    <x v="116"/>
    <s v="Pesos"/>
    <d v="2026-08-28T00:00:00"/>
    <s v="08/06/2026"/>
    <n v="0.93758030999999997"/>
    <m/>
    <n v="10000000"/>
    <n v="9375803.1300000008"/>
    <n v="10000000"/>
    <n v="9375803.1300000008"/>
    <n v="577"/>
    <s v="AMOMPY"/>
    <s v="Momentum Capital Investment S.A."/>
    <s v="02/06/2026"/>
    <s v="02/06/2026"/>
    <n v="30"/>
    <s v="No"/>
    <s v=""/>
    <m/>
    <m/>
    <s v="*MAV260801222"/>
    <s v="*MAV260801222"/>
    <n v="2.1061249966529213E-4"/>
  </r>
  <r>
    <x v="116"/>
    <s v="Pesos"/>
    <d v="2026-09-30T00:00:00"/>
    <s v="08/06/2026"/>
    <n v="0.91432869000000005"/>
    <m/>
    <n v="10000000"/>
    <n v="9143286.8599999994"/>
    <n v="10000000"/>
    <n v="9143286.8599999994"/>
    <n v="581"/>
    <s v="AMOMPY"/>
    <s v="Momentum Capital Investment S.A."/>
    <s v="02/06/2026"/>
    <s v="02/06/2026"/>
    <n v="30"/>
    <s v="No"/>
    <s v=""/>
    <m/>
    <m/>
    <s v="*MAV280900830"/>
    <s v="*MAV280900830"/>
    <n v="2.0538939161166236E-4"/>
  </r>
  <r>
    <x v="116"/>
    <s v="Pesos"/>
    <d v="2026-09-02T00:00:00"/>
    <s v="08/06/2026"/>
    <n v="0.93398177000000004"/>
    <m/>
    <n v="10000000"/>
    <n v="9339817.7200000007"/>
    <n v="10000000"/>
    <n v="9339817.7200000007"/>
    <n v="578"/>
    <s v="AMOMPY"/>
    <s v="Momentum Capital Investment S.A."/>
    <s v="02/06/2026"/>
    <s v="02/06/2026"/>
    <n v="30"/>
    <s v="No"/>
    <s v=""/>
    <m/>
    <m/>
    <s v="*MAV300801345"/>
    <s v="*MAV300801345"/>
    <n v="2.0980414468529796E-4"/>
  </r>
  <r>
    <x v="116"/>
    <s v="Pesos"/>
    <d v="2026-07-16T00:00:00"/>
    <s v="08/06/2026"/>
    <n v="0.9697133"/>
    <m/>
    <n v="10000000"/>
    <n v="9697133.0099999998"/>
    <n v="10000000"/>
    <n v="9697133.0099999998"/>
    <n v="572"/>
    <s v="AMOMPY"/>
    <s v="Momentum Capital Investment S.A."/>
    <s v="02/06/2026"/>
    <s v="02/06/2026"/>
    <n v="30"/>
    <s v="No"/>
    <s v=""/>
    <m/>
    <m/>
    <s v="*MAV140701618"/>
    <s v="*MAV140701618"/>
    <n v="2.178306641580387E-4"/>
  </r>
  <r>
    <x v="116"/>
    <s v="Pesos"/>
    <d v="2026-08-21T00:00:00"/>
    <s v="08/06/2026"/>
    <n v="0.94266530999999998"/>
    <m/>
    <n v="10000000"/>
    <n v="9426653.0899999999"/>
    <n v="10000000"/>
    <n v="9426653.0899999999"/>
    <n v="576"/>
    <s v="AMOMPY"/>
    <s v="Momentum Capital Investment S.A."/>
    <s v="02/06/2026"/>
    <s v="02/06/2026"/>
    <n v="30"/>
    <s v="No"/>
    <s v=""/>
    <m/>
    <m/>
    <s v="*MAV190801220"/>
    <s v="*MAV190801220"/>
    <n v="2.1175476311035234E-4"/>
  </r>
  <r>
    <x v="116"/>
    <s v="Pesos"/>
    <d v="2026-07-28T00:00:00"/>
    <s v="08/06/2026"/>
    <n v="0.96052647999999996"/>
    <m/>
    <n v="10000000"/>
    <n v="9605264.7899999991"/>
    <n v="10000000"/>
    <n v="9605264.7899999991"/>
    <n v="573"/>
    <s v="AMOMPY"/>
    <s v="Momentum Capital Investment S.A."/>
    <s v="02/06/2026"/>
    <s v="02/06/2026"/>
    <n v="30"/>
    <s v="No"/>
    <s v=""/>
    <m/>
    <m/>
    <s v="*MAV240701329"/>
    <s v="*MAV240701329"/>
    <n v="2.1576699076539984E-4"/>
  </r>
  <r>
    <x v="116"/>
    <s v="Pesos"/>
    <d v="2026-08-03T00:00:00"/>
    <s v="08/06/2026"/>
    <n v="0.95599791000000001"/>
    <m/>
    <n v="10000000"/>
    <n v="9559979.0800000001"/>
    <n v="10000000"/>
    <n v="9559979.0800000001"/>
    <n v="574"/>
    <s v="AMOMPY"/>
    <s v="Momentum Capital Investment S.A."/>
    <s v="02/06/2026"/>
    <s v="02/06/2026"/>
    <n v="30"/>
    <s v="No"/>
    <s v=""/>
    <m/>
    <m/>
    <s v="*MAV300701306"/>
    <s v="*MAV300701306"/>
    <n v="2.1474971934342437E-4"/>
  </r>
  <r>
    <x v="116"/>
    <s v="Pesos"/>
    <d v="2026-09-18T00:00:00"/>
    <s v="08/06/2026"/>
    <n v="0.92264917000000002"/>
    <m/>
    <n v="10000000"/>
    <n v="9226491.7400000002"/>
    <n v="10000000"/>
    <n v="9226491.7400000002"/>
    <n v="569"/>
    <s v="AMOMPY"/>
    <s v="Momentum Capital Investment S.A."/>
    <s v="01/06/2026"/>
    <s v="01/06/2026"/>
    <n v="30"/>
    <s v="No"/>
    <s v=""/>
    <m/>
    <m/>
    <s v="*MAV160901262"/>
    <s v="*MAV160901262"/>
    <n v="2.0725845685526574E-4"/>
  </r>
  <r>
    <x v="116"/>
    <s v="Pesos"/>
    <d v="2026-09-25T00:00:00"/>
    <s v="08/06/2026"/>
    <n v="0.91777726999999998"/>
    <m/>
    <n v="10000000"/>
    <n v="9177772.7200000007"/>
    <n v="10000000"/>
    <n v="9177772.7200000007"/>
    <n v="570"/>
    <s v="AMOMPY"/>
    <s v="Momentum Capital Investment S.A."/>
    <s v="01/06/2026"/>
    <s v="01/06/2026"/>
    <n v="30"/>
    <s v="No"/>
    <s v=""/>
    <m/>
    <m/>
    <s v="*MAV230901174"/>
    <s v="*MAV230901174"/>
    <n v="2.0616406158681014E-4"/>
  </r>
  <r>
    <x v="116"/>
    <s v="Pesos"/>
    <d v="2026-08-26T00:00:00"/>
    <s v="08/06/2026"/>
    <n v="0.93902763"/>
    <m/>
    <n v="10000000"/>
    <n v="9390276.3499999996"/>
    <n v="10000000"/>
    <n v="9390276.3499999996"/>
    <n v="568"/>
    <s v="AMOMPY"/>
    <s v="Momentum Capital Investment S.A."/>
    <s v="01/06/2026"/>
    <s v="01/06/2026"/>
    <n v="30"/>
    <s v="No"/>
    <s v=""/>
    <m/>
    <m/>
    <s v="*MAV240800875"/>
    <s v="*MAV240800875"/>
    <n v="2.1093761752454538E-4"/>
  </r>
  <r>
    <x v="116"/>
    <s v="Pesos"/>
    <d v="2026-10-02T00:00:00"/>
    <s v="08/06/2026"/>
    <n v="0.91295654999999998"/>
    <m/>
    <n v="10000000"/>
    <n v="9129565.5"/>
    <n v="10000000"/>
    <n v="9129565.5"/>
    <n v="571"/>
    <s v="AMOMPY"/>
    <s v="Momentum Capital Investment S.A."/>
    <s v="01/06/2026"/>
    <s v="01/06/2026"/>
    <n v="30"/>
    <s v="No"/>
    <s v=""/>
    <m/>
    <m/>
    <s v="*MAV300901898"/>
    <s v="*MAV300901898"/>
    <n v="2.0508116309103991E-4"/>
  </r>
  <r>
    <x v="116"/>
    <s v="Pesos"/>
    <d v="2026-08-12T00:00:00"/>
    <s v="08/06/2026"/>
    <n v="0.94928482999999997"/>
    <m/>
    <n v="10000000"/>
    <n v="9492848.2699999996"/>
    <n v="10000000"/>
    <n v="9492848.2699999996"/>
    <n v="559"/>
    <s v="AMOMPY"/>
    <s v="Momentum Capital Investment S.A."/>
    <s v="28/05/2026"/>
    <s v="28/05/2026"/>
    <n v="30"/>
    <s v="No"/>
    <s v=""/>
    <m/>
    <m/>
    <s v="*MAV100801143"/>
    <s v="*MAV100801143"/>
    <n v="2.1324173250724429E-4"/>
  </r>
  <r>
    <x v="116"/>
    <s v="Pesos"/>
    <d v="2026-08-20T00:00:00"/>
    <s v="08/06/2026"/>
    <n v="0.94339645000000005"/>
    <m/>
    <n v="10000000"/>
    <n v="9433964.5399999991"/>
    <n v="10000000"/>
    <n v="9433964.5399999991"/>
    <n v="560"/>
    <s v="AMOMPY"/>
    <s v="Momentum Capital Investment S.A."/>
    <s v="28/05/2026"/>
    <s v="28/05/2026"/>
    <n v="30"/>
    <s v="No"/>
    <s v=""/>
    <m/>
    <m/>
    <s v="*MAV170800753"/>
    <s v="*MAV170800753"/>
    <n v="2.1191900320150254E-4"/>
  </r>
  <r>
    <x v="116"/>
    <s v="Pesos"/>
    <d v="2026-07-15T00:00:00"/>
    <s v="08/06/2026"/>
    <n v="0.97048674999999995"/>
    <m/>
    <n v="10000000"/>
    <n v="9704867.4900000002"/>
    <n v="10000000"/>
    <n v="9704867.4900000002"/>
    <n v="546"/>
    <s v="AMOMPY"/>
    <s v="Momentum Capital Investment S.A."/>
    <s v="21/05/2026"/>
    <s v="21/05/2026"/>
    <n v="30"/>
    <s v="No"/>
    <s v=""/>
    <m/>
    <m/>
    <s v="*MAV130701312"/>
    <s v="*MAV130701312"/>
    <n v="2.180044069450645E-4"/>
  </r>
  <r>
    <x v="116"/>
    <s v="Pesos"/>
    <d v="2026-07-23T00:00:00"/>
    <s v="08/06/2026"/>
    <n v="0.96433303999999997"/>
    <m/>
    <n v="10000000"/>
    <n v="9643330.4100000001"/>
    <n v="10000000"/>
    <n v="9643330.4100000001"/>
    <n v="547"/>
    <s v="AMOMPY"/>
    <s v="Momentum Capital Investment S.A."/>
    <s v="21/05/2026"/>
    <s v="21/05/2026"/>
    <n v="30"/>
    <s v="No"/>
    <s v=""/>
    <m/>
    <m/>
    <s v="*MAV210701333"/>
    <s v="*MAV210701333"/>
    <n v="2.1662207435326411E-4"/>
  </r>
  <r>
    <x v="116"/>
    <s v="Pesos"/>
    <d v="2026-07-30T00:00:00"/>
    <s v="08/06/2026"/>
    <n v="0.95901225000000001"/>
    <m/>
    <n v="10000000"/>
    <n v="9590122.5399999991"/>
    <n v="10000000"/>
    <n v="9590122.5399999991"/>
    <n v="548"/>
    <s v="AMOMPY"/>
    <s v="Momentum Capital Investment S.A."/>
    <s v="21/05/2026"/>
    <s v="21/05/2026"/>
    <n v="30"/>
    <s v="No"/>
    <s v=""/>
    <m/>
    <m/>
    <s v="*MAV280701292"/>
    <s v="*MAV280701292"/>
    <n v="2.1542684421167665E-4"/>
  </r>
  <r>
    <x v="116"/>
    <s v="Pesos"/>
    <d v="2026-07-13T00:00:00"/>
    <s v="08/06/2026"/>
    <n v="0.97203737000000001"/>
    <m/>
    <n v="10000000"/>
    <n v="9720373.7300000004"/>
    <n v="10000000"/>
    <n v="9720373.7300000004"/>
    <n v="545"/>
    <s v="AMOMPY"/>
    <s v="Momentum Capital Investment S.A."/>
    <s v="21/05/2026"/>
    <s v="21/05/2026"/>
    <n v="30"/>
    <s v="No"/>
    <s v=""/>
    <m/>
    <m/>
    <s v="*MAV070701293"/>
    <s v="*MAV070701293"/>
    <n v="2.1835272995500061E-4"/>
  </r>
  <r>
    <x v="116"/>
    <s v="Pesos"/>
    <d v="2026-06-18T00:00:00"/>
    <s v="08/06/2026"/>
    <n v="0.9918479"/>
    <m/>
    <n v="10000000"/>
    <n v="9918479.0299999993"/>
    <n v="10000000"/>
    <n v="9918479.0299999993"/>
    <n v="515"/>
    <s v="AMOMPY"/>
    <s v="Momentum Capital Investment S.A."/>
    <s v="19/05/2026"/>
    <s v="19/05/2026"/>
    <n v="30"/>
    <s v="No"/>
    <s v=""/>
    <m/>
    <m/>
    <s v="*MAV150601440"/>
    <s v="*MAV150601440"/>
    <n v="2.228028503181766E-4"/>
  </r>
  <r>
    <x v="116"/>
    <s v="Pesos"/>
    <d v="2026-07-17T00:00:00"/>
    <s v="08/06/2026"/>
    <n v="0.96894095999999996"/>
    <m/>
    <n v="10000000"/>
    <n v="9689409.5700000003"/>
    <n v="10000000"/>
    <n v="9689409.5700000003"/>
    <n v="518"/>
    <s v="AMOMPY"/>
    <s v="Momentum Capital Investment S.A."/>
    <s v="19/05/2026"/>
    <s v="19/05/2026"/>
    <n v="30"/>
    <s v="No"/>
    <s v=""/>
    <m/>
    <m/>
    <s v="*MAV150701779"/>
    <s v="*MAV150701779"/>
    <n v="2.1765716936704741E-4"/>
  </r>
  <r>
    <x v="116"/>
    <s v="Pesos"/>
    <d v="2026-07-22T00:00:00"/>
    <s v="08/06/2026"/>
    <n v="0.96509792000000005"/>
    <m/>
    <n v="10000000"/>
    <n v="9650979.2200000007"/>
    <n v="10000000"/>
    <n v="9650979.2200000007"/>
    <n v="519"/>
    <s v="AMOMPY"/>
    <s v="Momentum Capital Investment S.A."/>
    <s v="19/05/2026"/>
    <s v="19/05/2026"/>
    <n v="30"/>
    <s v="No"/>
    <s v=""/>
    <m/>
    <m/>
    <s v="*MAV200701183"/>
    <s v="*MAV200701183"/>
    <n v="2.1679389270004768E-4"/>
  </r>
  <r>
    <x v="116"/>
    <s v="Pesos"/>
    <d v="2026-06-24T00:00:00"/>
    <s v="08/06/2026"/>
    <n v="0.98702003000000005"/>
    <m/>
    <n v="10000000"/>
    <n v="9870200.2799999993"/>
    <n v="10000000"/>
    <n v="9870200.2799999993"/>
    <n v="516"/>
    <s v="AMOMPY"/>
    <s v="Momentum Capital Investment S.A."/>
    <s v="19/05/2026"/>
    <s v="19/05/2026"/>
    <n v="30"/>
    <s v="No"/>
    <s v=""/>
    <m/>
    <m/>
    <s v="*MAV220601141"/>
    <s v="*MAV220601141"/>
    <n v="2.2171834501476633E-4"/>
  </r>
  <r>
    <x v="116"/>
    <s v="Pesos"/>
    <d v="2026-07-01T00:00:00"/>
    <s v="08/06/2026"/>
    <n v="0.98144666000000003"/>
    <m/>
    <n v="10000000"/>
    <n v="9814466.5999999996"/>
    <n v="10000000"/>
    <n v="9814466.5999999996"/>
    <n v="517"/>
    <s v="AMOMPY"/>
    <s v="Momentum Capital Investment S.A."/>
    <s v="19/05/2026"/>
    <s v="19/05/2026"/>
    <n v="30"/>
    <s v="No"/>
    <s v=""/>
    <m/>
    <m/>
    <s v="*MAV290600956"/>
    <s v="*MAV290600956"/>
    <n v="2.2046637657029394E-4"/>
  </r>
  <r>
    <x v="116"/>
    <s v="Pesos"/>
    <d v="2026-07-20T00:00:00"/>
    <s v="08/06/2026"/>
    <n v="0.96663140999999997"/>
    <m/>
    <n v="10000000"/>
    <n v="9666314.1099999994"/>
    <n v="10000000"/>
    <n v="9666314.1099999994"/>
    <n v="522"/>
    <s v="AMOMPY"/>
    <s v="Momentum Capital Investment S.A."/>
    <s v="20/05/2026"/>
    <s v="20/05/2026"/>
    <n v="30"/>
    <s v="No"/>
    <s v=""/>
    <m/>
    <m/>
    <s v="*MAV160701166"/>
    <s v="*MAV160701166"/>
    <n v="2.1713836660486527E-4"/>
  </r>
  <r>
    <x v="116"/>
    <s v="Pesos"/>
    <d v="2026-07-24T00:00:00"/>
    <s v="08/06/2026"/>
    <n v="0.96356920000000001"/>
    <m/>
    <n v="10000000"/>
    <n v="9635692.0299999993"/>
    <n v="10000000"/>
    <n v="9635692.0299999993"/>
    <n v="523"/>
    <s v="AMOMPY"/>
    <s v="Momentum Capital Investment S.A."/>
    <s v="20/05/2026"/>
    <s v="20/05/2026"/>
    <n v="30"/>
    <s v="No"/>
    <s v=""/>
    <m/>
    <m/>
    <s v="*MAV220701394"/>
    <s v="*MAV220701394"/>
    <n v="2.1645049029983554E-4"/>
  </r>
  <r>
    <x v="116"/>
    <s v="Pesos"/>
    <d v="2026-07-29T00:00:00"/>
    <s v="08/06/2026"/>
    <n v="0.95976877000000005"/>
    <m/>
    <n v="10000000"/>
    <n v="9597687.6899999995"/>
    <n v="10000000"/>
    <n v="9597687.6899999995"/>
    <n v="524"/>
    <s v="AMOMPY"/>
    <s v="Momentum Capital Investment S.A."/>
    <s v="20/05/2026"/>
    <s v="20/05/2026"/>
    <n v="30"/>
    <s v="No"/>
    <s v=""/>
    <m/>
    <m/>
    <s v="*MAV270700973"/>
    <s v="*MAV270700973"/>
    <n v="2.1559678326966996E-4"/>
  </r>
  <r>
    <x v="116"/>
    <s v="Pesos"/>
    <d v="2026-07-15T00:00:00"/>
    <s v="08/06/2026"/>
    <n v="0.97048670000000004"/>
    <m/>
    <n v="10000000"/>
    <n v="9704866.9600000009"/>
    <n v="10000000"/>
    <n v="9704866.9600000009"/>
    <n v="521"/>
    <s v="AMOMPY"/>
    <s v="Momentum Capital Investment S.A."/>
    <s v="20/05/2026"/>
    <s v="20/05/2026"/>
    <n v="30"/>
    <s v="No"/>
    <s v=""/>
    <m/>
    <m/>
    <s v="*MAV110701258"/>
    <s v="*MAV110701258"/>
    <n v="2.1800439503945779E-4"/>
  </r>
  <r>
    <x v="117"/>
    <s v="Pesos"/>
    <d v="2026-08-05T00:00:00"/>
    <s v="08/06/2026"/>
    <n v="0.95161121999999998"/>
    <m/>
    <n v="1110641.67"/>
    <n v="1056899.07"/>
    <n v="1110641.67"/>
    <n v="1056899.07"/>
    <n v="925"/>
    <s v="AMOMPY"/>
    <s v="Momentum Capital Investment S.A."/>
    <s v="04/06/2026"/>
    <s v="04/06/2026"/>
    <n v="32"/>
    <s v="No"/>
    <s v=""/>
    <m/>
    <m/>
    <s v="*MAV030800939"/>
    <s v="*MAV030800939"/>
    <n v="2.3741555996880509E-5"/>
  </r>
  <r>
    <x v="118"/>
    <s v="Pesos"/>
    <d v="2026-07-02T00:00:00"/>
    <s v="08/06/2026"/>
    <n v="0.97437275000000001"/>
    <m/>
    <n v="50000000"/>
    <n v="48718637.329999998"/>
    <n v="50000000"/>
    <n v="48718637.329999998"/>
    <n v="306"/>
    <s v="AMOMPY"/>
    <s v="Momentum Capital Investment S.A."/>
    <s v="18/03/2026"/>
    <s v="18/03/2026"/>
    <n v="40"/>
    <s v="No"/>
    <s v=""/>
    <m/>
    <m/>
    <s v="*MAV300601846"/>
    <s v="*MAV300601846"/>
    <n v="1.0943866723829251E-3"/>
  </r>
  <r>
    <x v="118"/>
    <s v="Pesos"/>
    <d v="2026-07-21T00:00:00"/>
    <s v="08/06/2026"/>
    <n v="0.95499747999999995"/>
    <m/>
    <n v="100000000"/>
    <n v="95499747.810000002"/>
    <n v="100000000"/>
    <n v="95499747.810000002"/>
    <n v="305"/>
    <s v="AMOMPY"/>
    <s v="Momentum Capital Investment S.A."/>
    <s v="18/03/2026"/>
    <s v="18/03/2026"/>
    <n v="40"/>
    <s v="No"/>
    <s v=""/>
    <m/>
    <m/>
    <s v="*MAV170701013"/>
    <s v="*MAV170701013"/>
    <n v="2.1452498868402654E-3"/>
  </r>
  <r>
    <x v="118"/>
    <s v="Pesos"/>
    <d v="2026-06-19T00:00:00"/>
    <s v="08/06/2026"/>
    <n v="0.98808881999999998"/>
    <m/>
    <n v="100000000"/>
    <n v="98808881.680000007"/>
    <n v="100000000"/>
    <n v="98808881.680000007"/>
    <n v="304"/>
    <s v="AMOMPY"/>
    <s v="Momentum Capital Investment S.A."/>
    <s v="18/03/2026"/>
    <s v="18/03/2026"/>
    <n v="40"/>
    <s v="No"/>
    <s v=""/>
    <m/>
    <m/>
    <s v="*MAV170601035"/>
    <s v="*MAV170601035"/>
    <n v="2.2195843141340457E-3"/>
  </r>
  <r>
    <x v="118"/>
    <s v="Pesos"/>
    <d v="2026-08-12T00:00:00"/>
    <s v="08/06/2026"/>
    <n v="0.93975284000000003"/>
    <m/>
    <n v="65000000"/>
    <n v="61083934.399999999"/>
    <n v="65000000"/>
    <n v="61083934.399999999"/>
    <n v="312"/>
    <s v="AMOMPY"/>
    <s v="Momentum Capital Investment S.A."/>
    <s v="10/04/2026"/>
    <s v="10/04/2026"/>
    <n v="36"/>
    <s v="No"/>
    <s v=""/>
    <m/>
    <m/>
    <s v="*MAV090800974"/>
    <s v="*MAV090800974"/>
    <n v="1.3721533968871556E-3"/>
  </r>
  <r>
    <x v="118"/>
    <s v="Pesos"/>
    <d v="2026-07-22T00:00:00"/>
    <s v="08/06/2026"/>
    <n v="0.95840784000000001"/>
    <m/>
    <n v="65000000"/>
    <n v="62296509.670000002"/>
    <n v="65000000"/>
    <n v="62296509.670000002"/>
    <n v="311"/>
    <s v="AMOMPY"/>
    <s v="Momentum Capital Investment S.A."/>
    <s v="10/04/2026"/>
    <s v="10/04/2026"/>
    <n v="36"/>
    <s v="No"/>
    <s v=""/>
    <m/>
    <m/>
    <s v="*MAV200700987"/>
    <s v="*MAV200700987"/>
    <n v="1.3993919710237925E-3"/>
  </r>
  <r>
    <x v="119"/>
    <s v="Pesos"/>
    <d v="2026-06-12T00:00:00"/>
    <s v="08/06/2026"/>
    <n v="0.99498421000000004"/>
    <m/>
    <n v="42000000"/>
    <n v="41789336.659999996"/>
    <n v="42000000"/>
    <n v="41789336.659999996"/>
    <n v="145439"/>
    <s v="AMOMPY"/>
    <s v="Momentum Capital Investment S.A."/>
    <s v="13/04/2026"/>
    <s v="13/04/2026"/>
    <n v="46"/>
    <s v="No"/>
    <s v=""/>
    <m/>
    <m/>
    <s v="#MAV110660031"/>
    <s v="#MAV110660031"/>
    <n v="9.3873095790109973E-4"/>
  </r>
  <r>
    <x v="119"/>
    <s v="Pesos"/>
    <d v="2026-06-11T00:00:00"/>
    <s v="08/06/2026"/>
    <n v="0.99623344000000003"/>
    <m/>
    <n v="42000000"/>
    <n v="41841804.409999996"/>
    <n v="42000000"/>
    <n v="41841804.409999996"/>
    <n v="145438"/>
    <s v="AMOMPY"/>
    <s v="Momentum Capital Investment S.A."/>
    <s v="13/04/2026"/>
    <s v="13/04/2026"/>
    <n v="46"/>
    <s v="No"/>
    <s v=""/>
    <m/>
    <m/>
    <s v="#MAV100660034"/>
    <s v="#MAV100660034"/>
    <n v="9.3990956242447706E-4"/>
  </r>
  <r>
    <x v="119"/>
    <s v="Pesos"/>
    <d v="2026-06-16T00:00:00"/>
    <s v="08/06/2026"/>
    <n v="0.99001844999999999"/>
    <m/>
    <n v="43000000"/>
    <n v="42570793.140000001"/>
    <n v="43000000"/>
    <n v="42570793.140000001"/>
    <n v="145441"/>
    <s v="AMOMPY"/>
    <s v="Momentum Capital Investment S.A."/>
    <s v="15/04/2026"/>
    <s v="15/04/2026"/>
    <n v="46"/>
    <s v="No"/>
    <s v=""/>
    <m/>
    <m/>
    <s v="#MAV120660035"/>
    <s v="#MAV120660035"/>
    <n v="9.5628513436474749E-4"/>
  </r>
  <r>
    <x v="119"/>
    <s v="Pesos"/>
    <d v="2026-06-16T00:00:00"/>
    <s v="08/06/2026"/>
    <n v="0.99001844999999999"/>
    <m/>
    <n v="42000000"/>
    <n v="41580774.689999998"/>
    <n v="42000000"/>
    <n v="41580774.689999998"/>
    <n v="145440"/>
    <s v="AMOMPY"/>
    <s v="Momentum Capital Investment S.A."/>
    <s v="15/04/2026"/>
    <s v="15/04/2026"/>
    <n v="46"/>
    <s v="No"/>
    <s v=""/>
    <m/>
    <m/>
    <s v="#MAV120660036"/>
    <s v="#MAV120660036"/>
    <n v="9.3404594508376916E-4"/>
  </r>
  <r>
    <x v="119"/>
    <s v="Pesos"/>
    <d v="2026-06-17T00:00:00"/>
    <s v="08/06/2026"/>
    <n v="0.99241416000000005"/>
    <m/>
    <n v="42000000"/>
    <n v="41681394.799999997"/>
    <n v="42000000"/>
    <n v="41681394.799999997"/>
    <n v="145442"/>
    <s v="AMOMPY"/>
    <s v="Momentum Capital Investment S.A."/>
    <s v="17/04/2026"/>
    <s v="17/04/2026"/>
    <n v="31"/>
    <s v="No"/>
    <s v=""/>
    <m/>
    <m/>
    <s v="#MAV150660057"/>
    <s v="#MAV150660057"/>
    <n v="9.3630621576030343E-4"/>
  </r>
  <r>
    <x v="119"/>
    <s v="Pesos"/>
    <d v="2026-06-08T00:00:00"/>
    <s v="08/06/2026"/>
    <n v="1"/>
    <m/>
    <n v="20000000"/>
    <n v="20000000"/>
    <n v="20000000"/>
    <n v="20000000"/>
    <n v="70219521"/>
    <s v="AMOMPY"/>
    <s v="Momentum Capital Investment S.A."/>
    <s v="09/04/2026"/>
    <s v="09/04/2026"/>
    <n v="46"/>
    <s v="No"/>
    <s v=""/>
    <m/>
    <m/>
    <s v="*MAV040600790"/>
    <s v="*MAV040600790"/>
    <n v="4.4926817840573009E-4"/>
  </r>
  <r>
    <x v="119"/>
    <s v="Pesos"/>
    <d v="2026-06-08T00:00:00"/>
    <s v="08/06/2026"/>
    <n v="1"/>
    <m/>
    <n v="20000000"/>
    <n v="20000000"/>
    <n v="20000000"/>
    <n v="20000000"/>
    <n v="70219520"/>
    <s v="AMOMPY"/>
    <s v="Momentum Capital Investment S.A."/>
    <s v="09/04/2026"/>
    <s v="09/04/2026"/>
    <n v="46"/>
    <s v="No"/>
    <s v=""/>
    <m/>
    <m/>
    <s v="*MAV040600791"/>
    <s v="*MAV040600791"/>
    <n v="4.4926817840573009E-4"/>
  </r>
  <r>
    <x v="119"/>
    <s v="Pesos"/>
    <d v="2026-06-08T00:00:00"/>
    <s v="08/06/2026"/>
    <n v="1"/>
    <m/>
    <n v="20000000"/>
    <n v="20000000"/>
    <n v="20000000"/>
    <n v="20000000"/>
    <n v="70219519"/>
    <s v="AMOMPY"/>
    <s v="Momentum Capital Investment S.A."/>
    <s v="09/04/2026"/>
    <s v="09/04/2026"/>
    <n v="46"/>
    <s v="No"/>
    <s v=""/>
    <m/>
    <m/>
    <s v="*MAV040600792"/>
    <s v="*MAV040600792"/>
    <n v="4.4926817840573009E-4"/>
  </r>
  <r>
    <x v="119"/>
    <s v="Pesos"/>
    <d v="2026-06-10T00:00:00"/>
    <s v="08/06/2026"/>
    <n v="0.99748579000000004"/>
    <m/>
    <n v="20000000"/>
    <n v="19949715.789999999"/>
    <n v="20000000"/>
    <n v="19949715.789999999"/>
    <n v="70219523"/>
    <s v="AMOMPY"/>
    <s v="Momentum Capital Investment S.A."/>
    <s v="09/04/2026"/>
    <s v="09/04/2026"/>
    <n v="46"/>
    <s v="No"/>
    <s v=""/>
    <m/>
    <m/>
    <s v="*MAV080600842"/>
    <s v="*MAV080600842"/>
    <n v="4.4813862363426651E-4"/>
  </r>
  <r>
    <x v="119"/>
    <s v="Pesos"/>
    <d v="2026-06-10T00:00:00"/>
    <s v="08/06/2026"/>
    <n v="0.99748579000000004"/>
    <m/>
    <n v="20000000"/>
    <n v="19949715.789999999"/>
    <n v="20000000"/>
    <n v="19949715.789999999"/>
    <n v="70219524"/>
    <s v="AMOMPY"/>
    <s v="Momentum Capital Investment S.A."/>
    <s v="09/04/2026"/>
    <s v="09/04/2026"/>
    <n v="46"/>
    <s v="No"/>
    <s v=""/>
    <m/>
    <m/>
    <s v="*MAV080600843"/>
    <s v="*MAV080600843"/>
    <n v="4.4813862363426651E-4"/>
  </r>
  <r>
    <x v="119"/>
    <s v="Pesos"/>
    <d v="2026-06-09T00:00:00"/>
    <s v="08/06/2026"/>
    <n v="0.99874130999999999"/>
    <m/>
    <n v="20000000"/>
    <n v="19974826.289999999"/>
    <n v="20000000"/>
    <n v="19974826.289999999"/>
    <n v="70219522"/>
    <s v="AMOMPY"/>
    <s v="Momentum Capital Investment S.A."/>
    <s v="09/04/2026"/>
    <s v="09/04/2026"/>
    <n v="46"/>
    <s v="No"/>
    <s v=""/>
    <m/>
    <m/>
    <s v="*MAV050601246"/>
    <s v="*MAV050601246"/>
    <n v="4.4870269106395935E-4"/>
  </r>
  <r>
    <x v="119"/>
    <s v="Pesos"/>
    <d v="2026-07-06T00:00:00"/>
    <s v="08/06/2026"/>
    <n v="0.97677157000000003"/>
    <m/>
    <n v="42000000"/>
    <n v="41024405.969999999"/>
    <n v="42000000"/>
    <n v="41024405.969999999"/>
    <n v="148257"/>
    <s v="AMOMPY"/>
    <s v="Momentum Capital Investment S.A."/>
    <s v="05/05/2026"/>
    <s v="05/05/2026"/>
    <n v="31"/>
    <s v="No"/>
    <s v=""/>
    <m/>
    <m/>
    <s v="#MAV030760052"/>
    <s v="#MAV030760052"/>
    <n v="9.2154800701595282E-4"/>
  </r>
  <r>
    <x v="119"/>
    <s v="Pesos"/>
    <d v="2026-07-03T00:00:00"/>
    <s v="08/06/2026"/>
    <n v="0.97920868999999999"/>
    <m/>
    <n v="15000000"/>
    <n v="14688130.35"/>
    <n v="15000000"/>
    <n v="14688130.35"/>
    <n v="70219532"/>
    <s v="AMOMPY"/>
    <s v="Momentum Capital Investment S.A."/>
    <s v="05/05/2026"/>
    <s v="05/05/2026"/>
    <n v="31"/>
    <s v="No"/>
    <s v=""/>
    <m/>
    <m/>
    <s v="*MAV010701150"/>
    <s v="*MAV010701150"/>
    <n v="3.2994547832652092E-4"/>
  </r>
  <r>
    <x v="119"/>
    <s v="Pesos"/>
    <d v="2026-07-13T00:00:00"/>
    <s v="08/06/2026"/>
    <n v="0.97113221999999999"/>
    <m/>
    <n v="25000000"/>
    <n v="24278305.52"/>
    <n v="25000000"/>
    <n v="24278305.52"/>
    <n v="148259"/>
    <s v="AMOMPY"/>
    <s v="Momentum Capital Investment S.A."/>
    <s v="11/05/2026"/>
    <s v="11/05/2026"/>
    <n v="31"/>
    <s v="No"/>
    <s v=""/>
    <m/>
    <m/>
    <s v="#MAV080760032"/>
    <s v="#MAV080760032"/>
    <n v="5.4537350478740907E-4"/>
  </r>
  <r>
    <x v="119"/>
    <s v="Pesos"/>
    <d v="2026-07-14T00:00:00"/>
    <s v="08/06/2026"/>
    <n v="0.97033185"/>
    <m/>
    <n v="3200000"/>
    <n v="3105061.91"/>
    <n v="3200000"/>
    <n v="3105061.91"/>
    <n v="148262"/>
    <s v="AMOMPY"/>
    <s v="Momentum Capital Investment S.A."/>
    <s v="11/05/2026"/>
    <s v="11/05/2026"/>
    <n v="31"/>
    <s v="No"/>
    <s v=""/>
    <m/>
    <m/>
    <s v="#MAV130760053"/>
    <s v="#MAV130760053"/>
    <n v="6.9750275407135846E-5"/>
  </r>
  <r>
    <x v="119"/>
    <s v="Pesos"/>
    <d v="2026-07-14T00:00:00"/>
    <s v="08/06/2026"/>
    <n v="0.97033185"/>
    <m/>
    <n v="25000000"/>
    <n v="24258296.25"/>
    <n v="25000000"/>
    <n v="24258296.25"/>
    <n v="70219530"/>
    <s v="AMOMPY"/>
    <s v="Momentum Capital Investment S.A."/>
    <s v="11/05/2026"/>
    <s v="11/05/2026"/>
    <n v="31"/>
    <s v="No"/>
    <s v=""/>
    <m/>
    <m/>
    <s v="*MAV080701292"/>
    <s v="*MAV080701292"/>
    <n v="5.4492402837320267E-4"/>
  </r>
  <r>
    <x v="119"/>
    <s v="Pesos"/>
    <d v="2026-07-20T00:00:00"/>
    <s v="08/06/2026"/>
    <n v="0.96555751999999995"/>
    <m/>
    <n v="15000000"/>
    <n v="14483362.810000001"/>
    <n v="15000000"/>
    <n v="14483362.810000001"/>
    <n v="70219528"/>
    <s v="AMOMPY"/>
    <s v="Momentum Capital Investment S.A."/>
    <s v="11/05/2026"/>
    <s v="11/05/2026"/>
    <n v="31"/>
    <s v="No"/>
    <s v=""/>
    <m/>
    <m/>
    <s v="*MAV160701096"/>
    <s v="*MAV160701096"/>
    <n v="3.2534570134189981E-4"/>
  </r>
  <r>
    <x v="119"/>
    <s v="Pesos"/>
    <d v="2026-07-13T00:00:00"/>
    <s v="08/06/2026"/>
    <n v="0.9711322"/>
    <m/>
    <n v="42000000"/>
    <n v="40787552.359999999"/>
    <n v="42000000"/>
    <n v="40787552.359999999"/>
    <n v="148258"/>
    <s v="AMOMPY"/>
    <s v="Momentum Capital Investment S.A."/>
    <s v="07/05/2026"/>
    <s v="07/05/2026"/>
    <n v="31"/>
    <s v="No"/>
    <s v=""/>
    <m/>
    <m/>
    <s v="#MAV080760029"/>
    <s v="#MAV080760029"/>
    <n v="9.1622746752027676E-4"/>
  </r>
  <r>
    <x v="119"/>
    <s v="Pesos"/>
    <d v="2026-07-03T00:00:00"/>
    <s v="08/06/2026"/>
    <n v="0.97920863000000002"/>
    <m/>
    <n v="25000000"/>
    <n v="24480215.870000001"/>
    <n v="25000000"/>
    <n v="24480215.870000001"/>
    <n v="70219533"/>
    <s v="AMOMPY"/>
    <s v="Momentum Capital Investment S.A."/>
    <s v="07/05/2026"/>
    <s v="07/05/2026"/>
    <n v="31"/>
    <s v="No"/>
    <s v=""/>
    <m/>
    <m/>
    <s v="*MAV010701178"/>
    <s v="*MAV010701178"/>
    <n v="5.4990909954469726E-4"/>
  </r>
  <r>
    <x v="119"/>
    <s v="Pesos"/>
    <d v="2026-07-08T00:00:00"/>
    <s v="08/06/2026"/>
    <n v="0.97515362000000005"/>
    <m/>
    <n v="25000000"/>
    <n v="24378840.539999999"/>
    <n v="25000000"/>
    <n v="24378840.539999999"/>
    <n v="70219531"/>
    <s v="AMOMPY"/>
    <s v="Momentum Capital Investment S.A."/>
    <s v="07/05/2026"/>
    <s v="07/05/2026"/>
    <n v="31"/>
    <s v="No"/>
    <s v=""/>
    <m/>
    <m/>
    <s v="*MAV060700866"/>
    <s v="*MAV060700866"/>
    <n v="5.4763186405247825E-4"/>
  </r>
  <r>
    <x v="119"/>
    <s v="Pesos"/>
    <d v="2026-07-13T00:00:00"/>
    <s v="08/06/2026"/>
    <n v="0.9711322"/>
    <m/>
    <n v="25000000"/>
    <n v="24278304.98"/>
    <n v="25000000"/>
    <n v="24278304.98"/>
    <n v="70219526"/>
    <s v="AMOMPY"/>
    <s v="Momentum Capital Investment S.A."/>
    <s v="07/05/2026"/>
    <s v="07/05/2026"/>
    <n v="31"/>
    <s v="No"/>
    <s v=""/>
    <m/>
    <m/>
    <s v="*MAV070701195"/>
    <s v="*MAV070701195"/>
    <n v="5.4537349265716825E-4"/>
  </r>
  <r>
    <x v="119"/>
    <s v="Pesos"/>
    <d v="2026-07-14T00:00:00"/>
    <s v="08/06/2026"/>
    <n v="0.97033183000000001"/>
    <m/>
    <n v="30000000"/>
    <n v="29109954.940000001"/>
    <n v="30000000"/>
    <n v="29109954.940000001"/>
    <n v="70219529"/>
    <s v="AMOMPY"/>
    <s v="Momentum Capital Investment S.A."/>
    <s v="07/05/2026"/>
    <s v="07/05/2026"/>
    <n v="31"/>
    <s v="No"/>
    <s v=""/>
    <m/>
    <m/>
    <s v="*MAV080701273"/>
    <s v="*MAV080701273"/>
    <n v="6.5390882146833414E-4"/>
  </r>
  <r>
    <x v="119"/>
    <s v="Pesos"/>
    <d v="2026-08-06T00:00:00"/>
    <s v="08/06/2026"/>
    <n v="0.94213022000000002"/>
    <m/>
    <n v="20000000"/>
    <n v="18842604.440000001"/>
    <n v="20000000"/>
    <n v="18842604.440000001"/>
    <n v="70219539"/>
    <s v="AMOMPY"/>
    <s v="Momentum Capital Investment S.A."/>
    <s v="04/06/2026"/>
    <s v="04/06/2026"/>
    <n v="38"/>
    <s v="No"/>
    <s v=""/>
    <m/>
    <m/>
    <s v="*MAV040801171"/>
    <s v="*MAV040801171"/>
    <n v="4.2326912865892611E-4"/>
  </r>
  <r>
    <x v="119"/>
    <s v="Pesos"/>
    <d v="2026-08-07T00:00:00"/>
    <s v="08/06/2026"/>
    <n v="0.94120694999999999"/>
    <m/>
    <n v="20000000"/>
    <n v="18824139.09"/>
    <n v="20000000"/>
    <n v="18824139.09"/>
    <n v="70219541"/>
    <s v="AMOMPY"/>
    <s v="Momentum Capital Investment S.A."/>
    <s v="04/06/2026"/>
    <s v="04/06/2026"/>
    <n v="38"/>
    <s v="No"/>
    <s v=""/>
    <m/>
    <m/>
    <s v="*MAV050801290"/>
    <s v="*MAV050801290"/>
    <n v="4.2285433395101985E-4"/>
  </r>
  <r>
    <x v="119"/>
    <s v="Pesos"/>
    <d v="2026-08-07T00:00:00"/>
    <s v="08/06/2026"/>
    <n v="0.94120694999999999"/>
    <m/>
    <n v="20000000"/>
    <n v="18824139.09"/>
    <n v="20000000"/>
    <n v="18824139.09"/>
    <n v="70219542"/>
    <s v="AMOMPY"/>
    <s v="Momentum Capital Investment S.A."/>
    <s v="04/06/2026"/>
    <s v="04/06/2026"/>
    <n v="38"/>
    <s v="No"/>
    <s v=""/>
    <m/>
    <m/>
    <s v="*MAV050801291"/>
    <s v="*MAV050801291"/>
    <n v="4.2285433395101985E-4"/>
  </r>
  <r>
    <x v="119"/>
    <s v="Pesos"/>
    <d v="2026-08-10T00:00:00"/>
    <s v="08/06/2026"/>
    <n v="0.93844828999999996"/>
    <m/>
    <n v="20000000"/>
    <n v="18768965.84"/>
    <n v="20000000"/>
    <n v="18768965.84"/>
    <n v="70219544"/>
    <s v="AMOMPY"/>
    <s v="Momentum Capital Investment S.A."/>
    <s v="04/06/2026"/>
    <s v="04/06/2026"/>
    <n v="38"/>
    <s v="No"/>
    <s v=""/>
    <m/>
    <m/>
    <s v="*MAV060800954"/>
    <s v="*MAV060800954"/>
    <n v="4.2161495467480867E-4"/>
  </r>
  <r>
    <x v="119"/>
    <s v="Pesos"/>
    <d v="2026-08-10T00:00:00"/>
    <s v="08/06/2026"/>
    <n v="0.93844833999999999"/>
    <m/>
    <n v="20000000"/>
    <n v="18768966.75"/>
    <n v="20000000"/>
    <n v="18768966.75"/>
    <n v="70219543"/>
    <s v="AMOMPY"/>
    <s v="Momentum Capital Investment S.A."/>
    <s v="08/06/2026"/>
    <s v="08/06/2026"/>
    <n v="38"/>
    <s v="No"/>
    <s v=""/>
    <m/>
    <m/>
    <s v="*MAV060800959"/>
    <s v="*MAV060800959"/>
    <n v="4.2161497511651076E-4"/>
  </r>
  <r>
    <x v="119"/>
    <s v="Pesos"/>
    <d v="2026-08-11T00:00:00"/>
    <s v="08/06/2026"/>
    <n v="0.93753226000000001"/>
    <m/>
    <n v="20000000"/>
    <n v="18750645.260000002"/>
    <n v="20000000"/>
    <n v="18750645.260000002"/>
    <n v="70219545"/>
    <s v="AMOMPY"/>
    <s v="Momentum Capital Investment S.A."/>
    <s v="08/06/2026"/>
    <s v="08/06/2026"/>
    <n v="38"/>
    <s v="No"/>
    <s v=""/>
    <m/>
    <m/>
    <s v="*MAV070801204"/>
    <s v="*MAV070801204"/>
    <n v="4.2120341199461186E-4"/>
  </r>
  <r>
    <x v="119"/>
    <s v="Pesos"/>
    <d v="2026-08-12T00:00:00"/>
    <s v="08/06/2026"/>
    <n v="0.93661797999999996"/>
    <m/>
    <n v="42000000"/>
    <n v="39337954.960000001"/>
    <n v="42000000"/>
    <n v="39337954.960000001"/>
    <n v="151336"/>
    <s v="AMOMPY"/>
    <s v="Momentum Capital Investment S.A."/>
    <s v="08/06/2026"/>
    <s v="08/06/2026"/>
    <n v="38"/>
    <s v="No"/>
    <s v=""/>
    <m/>
    <m/>
    <s v="#MAV110860043"/>
    <s v="#MAV110860043"/>
    <n v="8.8366456835429271E-4"/>
  </r>
  <r>
    <x v="119"/>
    <s v="Pesos"/>
    <d v="2026-08-04T00:00:00"/>
    <s v="08/06/2026"/>
    <n v="0.94398201999999998"/>
    <m/>
    <n v="100000000"/>
    <n v="94398201.959999993"/>
    <n v="100000000"/>
    <n v="94398201.959999993"/>
    <n v="70219538"/>
    <s v="AMOMPY"/>
    <s v="Momentum Capital Investment S.A."/>
    <s v="26/05/2026"/>
    <s v="26/05/2026"/>
    <n v="38"/>
    <s v="No"/>
    <s v=""/>
    <m/>
    <m/>
    <s v="*MAV310701511"/>
    <s v="*MAV310701511"/>
    <n v="2.1205054119672706E-3"/>
  </r>
  <r>
    <x v="119"/>
    <s v="Pesos"/>
    <d v="2026-08-04T00:00:00"/>
    <s v="08/06/2026"/>
    <n v="0.94398201999999998"/>
    <m/>
    <n v="1082000000"/>
    <n v="1021388545.21"/>
    <n v="1082000000"/>
    <n v="1021388545.21"/>
    <n v="70219527"/>
    <s v="AMOMPY"/>
    <s v="Momentum Capital Investment S.A."/>
    <s v="26/05/2026"/>
    <s v="26/05/2026"/>
    <n v="38"/>
    <s v="No"/>
    <s v=""/>
    <m/>
    <m/>
    <s v="*MAV310701512"/>
    <s v="*MAV310701512"/>
    <n v="2.294386855754877E-2"/>
  </r>
  <r>
    <x v="119"/>
    <s v="Pesos"/>
    <d v="2026-08-06T00:00:00"/>
    <s v="08/06/2026"/>
    <n v="0.94213013000000001"/>
    <m/>
    <n v="20000000"/>
    <n v="18842602.66"/>
    <n v="20000000"/>
    <n v="18842602.66"/>
    <n v="70219540"/>
    <s v="AMOMPY"/>
    <s v="Momentum Capital Investment S.A."/>
    <s v="03/06/2026"/>
    <s v="03/06/2026"/>
    <n v="38"/>
    <s v="No"/>
    <s v=""/>
    <m/>
    <m/>
    <s v="*MAV040801168"/>
    <s v="*MAV040801168"/>
    <n v="4.2326908867405821E-4"/>
  </r>
  <r>
    <x v="120"/>
    <s v="Pesos"/>
    <d v="2026-06-16T00:00:00"/>
    <s v="08/06/2026"/>
    <n v="0.99109376000000005"/>
    <m/>
    <n v="2000000"/>
    <n v="1982187.52"/>
    <n v="2000000"/>
    <n v="1982187.52"/>
    <n v="11213037"/>
    <s v="AMOMPY"/>
    <s v="Momentum Capital Investment S.A."/>
    <s v="27/03/2026"/>
    <s v="27/03/2026"/>
    <n v="41"/>
    <s v="No"/>
    <s v=""/>
    <m/>
    <m/>
    <s v="*MAV110600949"/>
    <s v="*MAV110600949"/>
    <n v="4.4526688818448583E-5"/>
  </r>
  <r>
    <x v="120"/>
    <s v="Pesos"/>
    <d v="2026-07-02T00:00:00"/>
    <s v="08/06/2026"/>
    <n v="0.97374883000000001"/>
    <m/>
    <n v="2000000"/>
    <n v="1947497.67"/>
    <n v="2000000"/>
    <n v="1947497.67"/>
    <n v="11213040"/>
    <s v="AMOMPY"/>
    <s v="Momentum Capital Investment S.A."/>
    <s v="27/03/2026"/>
    <s v="27/03/2026"/>
    <n v="41"/>
    <s v="No"/>
    <s v=""/>
    <m/>
    <m/>
    <s v="*MAV300601876"/>
    <s v="*MAV300601876"/>
    <n v="4.374743653251518E-5"/>
  </r>
  <r>
    <x v="120"/>
    <s v="Pesos"/>
    <d v="2026-06-22T00:00:00"/>
    <s v="08/06/2026"/>
    <n v="0.98451745999999996"/>
    <m/>
    <n v="2000000"/>
    <n v="1969034.93"/>
    <n v="2000000"/>
    <n v="1969034.93"/>
    <n v="11213038"/>
    <s v="AMOMPY"/>
    <s v="Momentum Capital Investment S.A."/>
    <s v="27/03/2026"/>
    <s v="27/03/2026"/>
    <n v="41"/>
    <s v="No"/>
    <s v=""/>
    <m/>
    <m/>
    <s v="*MAV180600990"/>
    <s v="*MAV180600990"/>
    <n v="4.4231236810917708E-5"/>
  </r>
  <r>
    <x v="120"/>
    <s v="Pesos"/>
    <d v="2026-06-29T00:00:00"/>
    <s v="08/06/2026"/>
    <n v="0.97695460000000001"/>
    <m/>
    <n v="2000000"/>
    <n v="1953909.2"/>
    <n v="2000000"/>
    <n v="1953909.2"/>
    <n v="11213039"/>
    <s v="AMOMPY"/>
    <s v="Momentum Capital Investment S.A."/>
    <s v="27/03/2026"/>
    <s v="27/03/2026"/>
    <n v="41"/>
    <s v="No"/>
    <s v=""/>
    <m/>
    <m/>
    <s v="*MAV250601030"/>
    <s v="*MAV250601030"/>
    <n v="4.3891461352709864E-5"/>
  </r>
  <r>
    <x v="121"/>
    <s v="Pesos"/>
    <d v="2026-07-27T00:00:00"/>
    <s v="08/06/2026"/>
    <n v="0.95757820000000005"/>
    <m/>
    <n v="1041333.16"/>
    <n v="997157.93"/>
    <n v="1041333.16"/>
    <n v="997157.93"/>
    <n v="10887325"/>
    <s v="AMOMPY"/>
    <s v="Momentum Capital Investment S.A."/>
    <s v="29/05/2026"/>
    <s v="29/05/2026"/>
    <n v="33"/>
    <s v="No"/>
    <s v=""/>
    <m/>
    <m/>
    <s v="*MAV230701126"/>
    <s v="*MAV230701126"/>
    <n v="2.2399566339696426E-5"/>
  </r>
  <r>
    <x v="122"/>
    <s v="Pesos"/>
    <d v="2026-07-02T00:00:00"/>
    <s v="08/06/2026"/>
    <n v="0.97437269000000004"/>
    <m/>
    <n v="2000000"/>
    <n v="1948745.37"/>
    <n v="2000000"/>
    <n v="1948745.37"/>
    <n v="38"/>
    <s v="AMOMPY"/>
    <s v="Momentum Capital Investment S.A."/>
    <s v="30/03/2026"/>
    <s v="30/03/2026"/>
    <n v="40"/>
    <s v="No"/>
    <s v=""/>
    <m/>
    <m/>
    <s v="*MAV300601897"/>
    <s v="*MAV300601897"/>
    <n v="4.3775464127825027E-5"/>
  </r>
  <r>
    <x v="122"/>
    <s v="Pesos"/>
    <d v="2026-09-02T00:00:00"/>
    <s v="08/06/2026"/>
    <n v="0.91387085999999995"/>
    <m/>
    <n v="2000000"/>
    <n v="1827741.71"/>
    <n v="2000000"/>
    <n v="1827741.71"/>
    <n v="39"/>
    <s v="AMOMPY"/>
    <s v="Momentum Capital Investment S.A."/>
    <s v="30/03/2026"/>
    <s v="30/03/2026"/>
    <n v="40"/>
    <s v="No"/>
    <s v=""/>
    <m/>
    <m/>
    <s v="*MAV300801312"/>
    <s v="*MAV300801312"/>
    <n v="4.1057309432393706E-5"/>
  </r>
  <r>
    <x v="122"/>
    <s v="Pesos"/>
    <d v="2026-07-17T00:00:00"/>
    <s v="08/06/2026"/>
    <n v="0.96395096999999996"/>
    <m/>
    <n v="1500000"/>
    <n v="1445926.46"/>
    <n v="1500000"/>
    <n v="1445926.46"/>
    <n v="1"/>
    <s v="AMOMPY"/>
    <s v="Momentum Capital Investment S.A."/>
    <s v="23/04/2026"/>
    <s v="23/04/2026"/>
    <n v="35"/>
    <s v="No"/>
    <s v=""/>
    <m/>
    <m/>
    <s v="*MAV150701604"/>
    <s v="*MAV150701604"/>
    <n v="3.2480437339642285E-5"/>
  </r>
  <r>
    <x v="122"/>
    <s v="Pesos"/>
    <d v="2026-08-20T00:00:00"/>
    <s v="08/06/2026"/>
    <n v="0.93457950999999995"/>
    <m/>
    <n v="1500000"/>
    <n v="1401869.27"/>
    <n v="1500000"/>
    <n v="1401869.27"/>
    <n v="2"/>
    <s v="AMOMPY"/>
    <s v="Momentum Capital Investment S.A."/>
    <s v="23/04/2026"/>
    <s v="23/04/2026"/>
    <n v="35"/>
    <s v="No"/>
    <s v=""/>
    <m/>
    <m/>
    <s v="*MAV150801344"/>
    <s v="*MAV150801344"/>
    <n v="3.1490762664793527E-5"/>
  </r>
  <r>
    <x v="122"/>
    <s v="Pesos"/>
    <d v="2026-10-19T00:00:00"/>
    <s v="08/06/2026"/>
    <n v="0.88689121999999998"/>
    <m/>
    <n v="1500000"/>
    <n v="1330336.83"/>
    <n v="1500000"/>
    <n v="1330336.83"/>
    <n v="4"/>
    <s v="AMOMPY"/>
    <s v="Momentum Capital Investment S.A."/>
    <s v="23/04/2026"/>
    <s v="23/04/2026"/>
    <n v="35"/>
    <s v="No"/>
    <s v=""/>
    <m/>
    <m/>
    <s v="*MAV151001338"/>
    <s v="*MAV151001338"/>
    <n v="2.9883900214007672E-5"/>
  </r>
  <r>
    <x v="122"/>
    <s v="Pesos"/>
    <d v="2026-11-18T00:00:00"/>
    <s v="08/06/2026"/>
    <n v="0.86482658000000001"/>
    <m/>
    <n v="1500000"/>
    <n v="1297239.8600000001"/>
    <n v="1500000"/>
    <n v="1297239.8600000001"/>
    <n v="5"/>
    <s v="AMOMPY"/>
    <s v="Momentum Capital Investment S.A."/>
    <s v="23/04/2026"/>
    <s v="23/04/2026"/>
    <n v="35"/>
    <s v="No"/>
    <s v=""/>
    <m/>
    <m/>
    <s v="*MAV151101538"/>
    <s v="*MAV151101538"/>
    <n v="2.9140429442875218E-5"/>
  </r>
  <r>
    <x v="122"/>
    <s v="Pesos"/>
    <d v="2026-09-17T00:00:00"/>
    <s v="08/06/2026"/>
    <n v="0.91170240000000002"/>
    <m/>
    <n v="1500000"/>
    <n v="1367553.6"/>
    <n v="1500000"/>
    <n v="1367553.6"/>
    <n v="3"/>
    <s v="AMOMPY"/>
    <s v="Momentum Capital Investment S.A."/>
    <s v="23/04/2026"/>
    <s v="23/04/2026"/>
    <n v="35"/>
    <s v="No"/>
    <s v=""/>
    <m/>
    <m/>
    <s v="*MAV150901465"/>
    <s v="*MAV150901465"/>
    <n v="3.071991573720992E-5"/>
  </r>
  <r>
    <x v="123"/>
    <s v="Pesos"/>
    <d v="2026-09-07T00:00:00"/>
    <s v="08/06/2026"/>
    <n v="0.91974299000000004"/>
    <m/>
    <n v="30000000"/>
    <n v="27592289.719999999"/>
    <n v="30000000"/>
    <n v="27592289.719999999"/>
    <n v="451"/>
    <s v="AMOMPY"/>
    <s v="Momentum Capital Investment S.A."/>
    <s v="28/05/2026"/>
    <s v="28/05/2026"/>
    <n v="35"/>
    <s v="No"/>
    <s v=""/>
    <m/>
    <m/>
    <s v="*MAV030900826"/>
    <s v="*MAV030900826"/>
    <n v="6.1981688702737758E-4"/>
  </r>
  <r>
    <x v="123"/>
    <s v="Pesos"/>
    <d v="2026-07-21T00:00:00"/>
    <s v="08/06/2026"/>
    <n v="0.95931471999999995"/>
    <m/>
    <n v="20000000"/>
    <n v="19186294.34"/>
    <n v="20000000"/>
    <n v="19186294.34"/>
    <n v="436"/>
    <s v="AMOMPY"/>
    <s v="Momentum Capital Investment S.A."/>
    <s v="26/05/2026"/>
    <s v="26/05/2026"/>
    <n v="36"/>
    <s v="No"/>
    <s v=""/>
    <m/>
    <m/>
    <s v="*MAV170701671"/>
    <s v="*MAV170701671"/>
    <n v="4.3098957542439845E-4"/>
  </r>
  <r>
    <x v="123"/>
    <s v="Pesos"/>
    <d v="2026-08-10T00:00:00"/>
    <s v="08/06/2026"/>
    <n v="0.94149833999999999"/>
    <m/>
    <n v="20000000"/>
    <n v="18829966.859999999"/>
    <n v="20000000"/>
    <n v="18829966.859999999"/>
    <n v="424"/>
    <s v="AMOMPY"/>
    <s v="Momentum Capital Investment S.A."/>
    <s v="21/05/2026"/>
    <s v="21/05/2026"/>
    <n v="36"/>
    <s v="No"/>
    <s v=""/>
    <m/>
    <m/>
    <s v="*MAV060800923"/>
    <s v="*MAV060800923"/>
    <n v="4.2298524553162321E-4"/>
  </r>
  <r>
    <x v="123"/>
    <s v="Pesos"/>
    <d v="2026-08-11T00:00:00"/>
    <s v="08/06/2026"/>
    <n v="0.94062480999999998"/>
    <m/>
    <n v="20000000"/>
    <n v="18812496.23"/>
    <n v="20000000"/>
    <n v="18812496.23"/>
    <n v="425"/>
    <s v="AMOMPY"/>
    <s v="Momentum Capital Investment S.A."/>
    <s v="21/05/2026"/>
    <s v="21/05/2026"/>
    <n v="36"/>
    <s v="No"/>
    <s v=""/>
    <m/>
    <m/>
    <s v="*MAV070801124"/>
    <s v="*MAV070801124"/>
    <n v="4.2259279562583822E-4"/>
  </r>
  <r>
    <x v="123"/>
    <s v="Pesos"/>
    <d v="2026-07-22T00:00:00"/>
    <s v="08/06/2026"/>
    <n v="0.95840773000000001"/>
    <m/>
    <n v="20000000"/>
    <n v="19168154.670000002"/>
    <n v="20000000"/>
    <n v="19168154.670000002"/>
    <n v="422"/>
    <s v="AMOMPY"/>
    <s v="Momentum Capital Investment S.A."/>
    <s v="21/05/2026"/>
    <s v="21/05/2026"/>
    <n v="36"/>
    <s v="No"/>
    <s v=""/>
    <m/>
    <m/>
    <s v="*MAV190701002"/>
    <s v="*MAV190701002"/>
    <n v="4.3058209659950942E-4"/>
  </r>
  <r>
    <x v="123"/>
    <s v="Pesos"/>
    <d v="2026-08-03T00:00:00"/>
    <s v="08/06/2026"/>
    <n v="0.94765829000000001"/>
    <m/>
    <n v="20000000"/>
    <n v="18953165.879999999"/>
    <n v="20000000"/>
    <n v="18953165.879999999"/>
    <n v="423"/>
    <s v="AMOMPY"/>
    <s v="Momentum Capital Investment S.A."/>
    <s v="21/05/2026"/>
    <s v="21/05/2026"/>
    <n v="36"/>
    <s v="No"/>
    <s v=""/>
    <m/>
    <m/>
    <s v="*MAV300701258"/>
    <s v="*MAV300701258"/>
    <n v="4.2575271549646177E-4"/>
  </r>
  <r>
    <x v="79"/>
    <s v="Pesos"/>
    <d v="2026-06-24T00:00:00"/>
    <s v="08/06/2026"/>
    <n v="0.98234478000000003"/>
    <m/>
    <n v="2000000"/>
    <n v="1964689.57"/>
    <n v="2000000"/>
    <n v="1964689.57"/>
    <n v="12384445"/>
    <s v="AMOMPY"/>
    <s v="Momentum Capital Investment S.A."/>
    <s v="01/04/2026"/>
    <s v="01/04/2026"/>
    <n v="41"/>
    <s v="No"/>
    <s v=""/>
    <m/>
    <m/>
    <s v="*MAV200600993"/>
    <s v="*MAV200600993"/>
    <n v="4.4133625212331856E-5"/>
  </r>
  <r>
    <x v="79"/>
    <s v="Pesos"/>
    <d v="2026-06-26T00:00:00"/>
    <s v="08/06/2026"/>
    <n v="0.98018156999999995"/>
    <m/>
    <n v="2000000"/>
    <n v="1960363.13"/>
    <n v="2000000"/>
    <n v="1960363.13"/>
    <n v="12384446"/>
    <s v="AMOMPY"/>
    <s v="Momentum Capital Investment S.A."/>
    <s v="01/04/2026"/>
    <s v="01/04/2026"/>
    <n v="41"/>
    <s v="No"/>
    <s v=""/>
    <m/>
    <m/>
    <s v="*MAV240601163"/>
    <s v="*MAV240601163"/>
    <n v="4.4036438621442765E-5"/>
  </r>
  <r>
    <x v="79"/>
    <s v="Pesos"/>
    <d v="2026-06-10T00:00:00"/>
    <s v="08/06/2026"/>
    <n v="0.99775846999999995"/>
    <m/>
    <n v="2000000"/>
    <n v="1995516.94"/>
    <n v="2000000"/>
    <n v="1995516.94"/>
    <n v="12384441"/>
    <s v="AMOMPY"/>
    <s v="Momentum Capital Investment S.A."/>
    <s v="01/04/2026"/>
    <s v="01/04/2026"/>
    <n v="41"/>
    <s v="No"/>
    <s v=""/>
    <m/>
    <m/>
    <s v="*MAV060601119"/>
    <s v="*MAV060601119"/>
    <n v="4.4826113030578828E-5"/>
  </r>
  <r>
    <x v="79"/>
    <s v="Pesos"/>
    <d v="2026-06-12T00:00:00"/>
    <s v="08/06/2026"/>
    <n v="0.99552695000000002"/>
    <m/>
    <n v="2000000"/>
    <n v="1991053.91"/>
    <n v="2000000"/>
    <n v="1991053.91"/>
    <n v="12384442"/>
    <s v="AMOMPY"/>
    <s v="Momentum Capital Investment S.A."/>
    <s v="01/04/2026"/>
    <s v="01/04/2026"/>
    <n v="41"/>
    <s v="No"/>
    <s v=""/>
    <m/>
    <m/>
    <s v="*MAV100601470"/>
    <s v="*MAV100601470"/>
    <n v="4.4725858162665322E-5"/>
  </r>
  <r>
    <x v="79"/>
    <s v="Pesos"/>
    <d v="2026-06-18T00:00:00"/>
    <s v="08/06/2026"/>
    <n v="0.98889194000000002"/>
    <m/>
    <n v="2000000"/>
    <n v="1977783.87"/>
    <n v="2000000"/>
    <n v="1977783.87"/>
    <n v="12384443"/>
    <s v="AMOMPY"/>
    <s v="Momentum Capital Investment S.A."/>
    <s v="01/04/2026"/>
    <s v="01/04/2026"/>
    <n v="41"/>
    <s v="No"/>
    <s v=""/>
    <m/>
    <m/>
    <s v="*MAV130601122"/>
    <s v="*MAV130601122"/>
    <n v="4.4427767827756766E-5"/>
  </r>
  <r>
    <x v="124"/>
    <s v="Pesos"/>
    <d v="2026-07-31T00:00:00"/>
    <s v="08/06/2026"/>
    <n v="0.94770745000000001"/>
    <m/>
    <n v="5450000"/>
    <n v="5165005.5999999996"/>
    <n v="5450000"/>
    <n v="5165005.5999999996"/>
    <n v="28516"/>
    <s v="AMOMPY"/>
    <s v="Momentum Capital Investment S.A."/>
    <s v="08/04/2026"/>
    <s v="08/04/2026"/>
    <n v="38"/>
    <s v="No"/>
    <s v=""/>
    <m/>
    <m/>
    <s v="*MAV290701080"/>
    <s v="*MAV290701080"/>
    <n v="1.1602363286836974E-4"/>
  </r>
  <r>
    <x v="124"/>
    <s v="Pesos"/>
    <d v="2026-09-17T00:00:00"/>
    <s v="08/06/2026"/>
    <n v="0.92099633999999997"/>
    <m/>
    <n v="16500000"/>
    <n v="15196439.65"/>
    <n v="16500000"/>
    <n v="15196439.65"/>
    <n v="28674"/>
    <s v="AMOMPY"/>
    <s v="Momentum Capital Investment S.A."/>
    <s v="27/04/2026"/>
    <s v="27/04/2026"/>
    <n v="31"/>
    <s v="No"/>
    <s v=""/>
    <m/>
    <m/>
    <s v="*MAV150901468"/>
    <s v="*MAV150901468"/>
    <n v="3.4136383799040549E-4"/>
  </r>
  <r>
    <x v="124"/>
    <s v="Pesos"/>
    <d v="2026-10-02T00:00:00"/>
    <s v="08/06/2026"/>
    <n v="0.91031538000000001"/>
    <m/>
    <n v="16500000"/>
    <n v="15020203.73"/>
    <n v="16500000"/>
    <n v="15020203.73"/>
    <n v="28675"/>
    <s v="AMOMPY"/>
    <s v="Momentum Capital Investment S.A."/>
    <s v="27/04/2026"/>
    <s v="27/04/2026"/>
    <n v="31"/>
    <s v="No"/>
    <s v=""/>
    <m/>
    <m/>
    <s v="*MAV300901858"/>
    <s v="*MAV300901858"/>
    <n v="3.3740497845300262E-4"/>
  </r>
  <r>
    <x v="124"/>
    <s v="Pesos"/>
    <d v="2026-10-19T00:00:00"/>
    <s v="08/06/2026"/>
    <n v="0.89850578000000003"/>
    <m/>
    <n v="16500000"/>
    <n v="14825345.439999999"/>
    <n v="16500000"/>
    <n v="14825345.439999999"/>
    <n v="28676"/>
    <s v="AMOMPY"/>
    <s v="Momentum Capital Investment S.A."/>
    <s v="27/04/2026"/>
    <s v="27/04/2026"/>
    <n v="31"/>
    <s v="No"/>
    <s v=""/>
    <m/>
    <m/>
    <s v="*MAV151001343"/>
    <s v="*MAV151001343"/>
    <n v="3.3302779700322482E-4"/>
  </r>
  <r>
    <x v="125"/>
    <s v="Pesos"/>
    <d v="2026-07-03T00:00:00"/>
    <s v="08/06/2026"/>
    <n v="0.97463292000000001"/>
    <m/>
    <n v="22500000"/>
    <n v="21929240.789999999"/>
    <n v="22500000"/>
    <n v="21929240.789999999"/>
    <n v="65800963"/>
    <s v="AMOMPY"/>
    <s v="Momentum Capital Investment S.A."/>
    <s v="26/03/2026"/>
    <s v="26/03/2026"/>
    <n v="38"/>
    <s v="No"/>
    <s v=""/>
    <m/>
    <m/>
    <s v="*MAV010701039"/>
    <s v="*MAV010701039"/>
    <n v="4.9260550317719665E-4"/>
  </r>
  <r>
    <x v="125"/>
    <s v="Pesos"/>
    <d v="2026-07-28T00:00:00"/>
    <s v="08/06/2026"/>
    <n v="0.95052084000000003"/>
    <m/>
    <n v="20000000"/>
    <n v="19010416.739999998"/>
    <n v="20000000"/>
    <n v="19010416.739999998"/>
    <n v="65800773"/>
    <s v="AMOMPY"/>
    <s v="Momentum Capital Investment S.A."/>
    <s v="26/03/2026"/>
    <s v="26/03/2026"/>
    <n v="38"/>
    <s v="No"/>
    <s v=""/>
    <m/>
    <m/>
    <s v="*MAV240701056"/>
    <s v="*MAV240701056"/>
    <n v="4.2703876497567983E-4"/>
  </r>
  <r>
    <x v="125"/>
    <s v="Pesos"/>
    <d v="2026-07-17T00:00:00"/>
    <s v="08/06/2026"/>
    <n v="0.96098152000000003"/>
    <m/>
    <n v="20000000"/>
    <n v="19219630.449999999"/>
    <n v="20000000"/>
    <n v="19219630.449999999"/>
    <n v="65800709"/>
    <s v="AMOMPY"/>
    <s v="Momentum Capital Investment S.A."/>
    <s v="26/03/2026"/>
    <s v="26/03/2026"/>
    <n v="38"/>
    <s v="No"/>
    <s v=""/>
    <m/>
    <m/>
    <s v="*MAV150701506"/>
    <s v="*MAV150701506"/>
    <n v="4.3173841809514008E-4"/>
  </r>
  <r>
    <x v="125"/>
    <s v="Dolar 3500"/>
    <d v="2026-07-03T00:00:00"/>
    <s v="08/06/2026"/>
    <n v="0.99319749000000002"/>
    <s v="1 US3 = 1445,3977163583 $"/>
    <n v="50000"/>
    <n v="49659.87"/>
    <n v="72269885.819999993"/>
    <n v="71778262.689999998"/>
    <n v="142720"/>
    <s v="AMOMPY"/>
    <s v="Momentum Capital Investment S.A."/>
    <s v="12/03/2026"/>
    <s v="12/03/2026"/>
    <n v="10"/>
    <s v="No"/>
    <s v=""/>
    <m/>
    <m/>
    <s v="#UMV010760033"/>
    <s v="#UMV010760033"/>
    <n v="1.6123844663932139E-3"/>
  </r>
  <r>
    <x v="125"/>
    <s v="Dolar 3500"/>
    <d v="2026-09-03T00:00:00"/>
    <s v="08/06/2026"/>
    <n v="0.97671945999999998"/>
    <s v="1 US3 = 1445,3977163583 $"/>
    <n v="40000"/>
    <n v="39068.78"/>
    <n v="57815908.649999999"/>
    <n v="56469925.390000001"/>
    <n v="151967"/>
    <s v="AMOMPY"/>
    <s v="Momentum Capital Investment S.A."/>
    <s v="01/06/2026"/>
    <s v="01/06/2026"/>
    <n v="10"/>
    <s v="No"/>
    <s v=""/>
    <m/>
    <m/>
    <s v="#UMV010960019"/>
    <s v="#UMV010960019"/>
    <n v="1.2685070257336393E-3"/>
  </r>
  <r>
    <x v="126"/>
    <s v="Dolar 3500"/>
    <d v="2026-07-03T00:00:00"/>
    <s v="08/06/2026"/>
    <n v="0.99319731"/>
    <s v="1 US3 = 1445,3977163583 $"/>
    <n v="50000"/>
    <n v="49659.87"/>
    <n v="72269885.819999993"/>
    <n v="71778262.689999998"/>
    <n v="141980"/>
    <s v="AMOMPY"/>
    <s v="Momentum Capital Investment S.A."/>
    <s v="05/03/2026"/>
    <s v="05/03/2026"/>
    <n v="10"/>
    <s v="No"/>
    <s v=""/>
    <m/>
    <m/>
    <s v="#UMV010760032"/>
    <s v="#UMV010760032"/>
    <n v="1.6123844663932139E-3"/>
  </r>
  <r>
    <x v="126"/>
    <s v="Dolar 3500"/>
    <d v="2026-07-03T00:00:00"/>
    <s v="08/06/2026"/>
    <n v="0.99387353000000001"/>
    <s v="1 US3 = 1445,3977163583 $"/>
    <n v="50000"/>
    <n v="49693.68"/>
    <n v="72269885.819999993"/>
    <n v="71827131.590000004"/>
    <n v="144915"/>
    <s v="AMOMPY"/>
    <s v="Momentum Capital Investment S.A."/>
    <s v="01/04/2026"/>
    <s v="01/04/2026"/>
    <n v="9"/>
    <s v="No"/>
    <s v=""/>
    <m/>
    <m/>
    <s v="#UMV010760034"/>
    <s v="#UMV010760034"/>
    <n v="1.6134822284773985E-3"/>
  </r>
  <r>
    <x v="126"/>
    <s v="Dolar 3500"/>
    <d v="2026-08-05T00:00:00"/>
    <s v="08/06/2026"/>
    <n v="0.98590047999999997"/>
    <s v="1 US3 = 1445,3977163583 $"/>
    <n v="50000"/>
    <n v="49295.02"/>
    <n v="72269885.819999993"/>
    <n v="71250909.340000004"/>
    <n v="144917"/>
    <s v="AMOMPY"/>
    <s v="Momentum Capital Investment S.A."/>
    <s v="01/04/2026"/>
    <s v="01/04/2026"/>
    <n v="9"/>
    <s v="No"/>
    <s v=""/>
    <m/>
    <m/>
    <s v="#UMV030860028"/>
    <s v="#UMV030860028"/>
    <n v="1.600538312446681E-3"/>
  </r>
  <r>
    <x v="126"/>
    <s v="Dolar 3500"/>
    <d v="2026-08-05T00:00:00"/>
    <s v="08/06/2026"/>
    <n v="0.98744750000000003"/>
    <s v="1 US3 = 1445,3977163583 $"/>
    <n v="50000"/>
    <n v="49372.38"/>
    <n v="72269885.819999993"/>
    <n v="71362725.299999997"/>
    <n v="144506"/>
    <s v="AMOMPY"/>
    <s v="Momentum Capital Investment S.A."/>
    <s v="30/03/2026"/>
    <s v="30/03/2026"/>
    <n v="8"/>
    <s v="No"/>
    <s v=""/>
    <m/>
    <m/>
    <s v="#UMV030860027"/>
    <s v="#UMV030860027"/>
    <n v="1.6030500800799752E-3"/>
  </r>
  <r>
    <x v="127"/>
    <s v="Dolar 3500"/>
    <d v="2026-08-05T00:00:00"/>
    <s v="08/06/2026"/>
    <n v="0.98899912999999995"/>
    <s v="1 US3 = 1445,3977163583 $"/>
    <n v="100000"/>
    <n v="98899.91"/>
    <n v="144539771.63999999"/>
    <n v="142949704.06"/>
    <n v="147169"/>
    <s v="AMOMPY"/>
    <s v="Momentum Capital Investment S.A."/>
    <s v="23/04/2026"/>
    <s v="23/04/2026"/>
    <n v="7"/>
    <s v="No"/>
    <s v=""/>
    <m/>
    <m/>
    <s v="#UMV030860029"/>
    <s v="#UMV030860029"/>
    <n v="3.2111376573337198E-3"/>
  </r>
  <r>
    <x v="127"/>
    <s v="Dolar 3500"/>
    <d v="2026-09-03T00:00:00"/>
    <s v="08/06/2026"/>
    <n v="0.98358889999999999"/>
    <s v="1 US3 = 1445,3977163583 $"/>
    <n v="100000"/>
    <n v="98358.89"/>
    <n v="144539771.63999999"/>
    <n v="142167714.99000001"/>
    <n v="147170"/>
    <s v="AMOMPY"/>
    <s v="Momentum Capital Investment S.A."/>
    <s v="23/04/2026"/>
    <s v="23/04/2026"/>
    <n v="7"/>
    <s v="No"/>
    <s v=""/>
    <m/>
    <m/>
    <s v="#UMV010960009"/>
    <s v="#UMV010960009"/>
    <n v="3.1935715170831156E-3"/>
  </r>
  <r>
    <x v="127"/>
    <s v="Dolar 3500"/>
    <d v="2026-10-05T00:00:00"/>
    <s v="08/06/2026"/>
    <n v="0.97768743999999996"/>
    <s v="1 US3 = 1445,3977163583 $"/>
    <n v="50000"/>
    <n v="48884.37"/>
    <n v="72269885.819999993"/>
    <n v="70657356.760000005"/>
    <n v="150093"/>
    <s v="AMOMPY"/>
    <s v="Momentum Capital Investment S.A."/>
    <s v="15/05/2026"/>
    <s v="15/05/2026"/>
    <n v="7"/>
    <s v="No"/>
    <s v=""/>
    <m/>
    <m/>
    <s v="#UMV011060013"/>
    <s v="#UMV011060013"/>
    <n v="1.5872050981264501E-3"/>
  </r>
  <r>
    <x v="127"/>
    <s v="Dolar 3500"/>
    <d v="2026-07-03T00:00:00"/>
    <s v="08/06/2026"/>
    <n v="0.99319721999999999"/>
    <s v="1 US3 = 1445,3977163583 $"/>
    <n v="100000"/>
    <n v="99319.72"/>
    <n v="144539771.63999999"/>
    <n v="143556496.47999999"/>
    <n v="150423"/>
    <s v="AMOMPY"/>
    <s v="Momentum Capital Investment S.A."/>
    <s v="18/05/2026"/>
    <s v="18/05/2026"/>
    <n v="10"/>
    <s v="No"/>
    <s v=""/>
    <m/>
    <m/>
    <s v="#UMV010760038"/>
    <s v="#UMV010760038"/>
    <n v="3.2247682835939099E-3"/>
  </r>
  <r>
    <x v="127"/>
    <s v="Dolar 3500"/>
    <d v="2026-07-03T00:00:00"/>
    <s v="08/06/2026"/>
    <n v="0.99319767000000003"/>
    <s v="1 US3 = 1445,3977163583 $"/>
    <n v="25000"/>
    <n v="24829.94"/>
    <n v="36134942.909999996"/>
    <n v="35889138.57"/>
    <n v="150610"/>
    <s v="AMOMPY"/>
    <s v="Momentum Capital Investment S.A."/>
    <s v="19/05/2026"/>
    <s v="19/05/2026"/>
    <n v="10"/>
    <s v="No"/>
    <s v=""/>
    <m/>
    <m/>
    <s v="#UMV010760039"/>
    <s v="#UMV010760039"/>
    <n v="8.0619239549473642E-4"/>
  </r>
  <r>
    <x v="127"/>
    <s v="Dolar 3500"/>
    <d v="2026-08-05T00:00:00"/>
    <s v="08/06/2026"/>
    <n v="0.98435777999999996"/>
    <s v="1 US3 = 1445,3977163583 $"/>
    <n v="25000"/>
    <n v="24608.94"/>
    <n v="36134942.909999996"/>
    <n v="35569705.68"/>
    <n v="150611"/>
    <s v="AMOMPY"/>
    <s v="Momentum Capital Investment S.A."/>
    <s v="19/05/2026"/>
    <s v="19/05/2026"/>
    <n v="10"/>
    <s v="No"/>
    <s v=""/>
    <m/>
    <m/>
    <s v="#UMV030860035"/>
    <s v="#UMV030860035"/>
    <n v="7.9901684386407751E-4"/>
  </r>
  <r>
    <x v="127"/>
    <s v="Dolar 3500"/>
    <d v="2026-09-03T00:00:00"/>
    <s v="08/06/2026"/>
    <n v="0.97899884999999998"/>
    <s v="1 US3 = 1445,3977163583 $"/>
    <n v="25000"/>
    <n v="24474.97"/>
    <n v="36134942.909999996"/>
    <n v="35376065.75"/>
    <n v="150612"/>
    <s v="AMOMPY"/>
    <s v="Momentum Capital Investment S.A."/>
    <s v="19/05/2026"/>
    <s v="19/05/2026"/>
    <n v="9"/>
    <s v="No"/>
    <s v=""/>
    <m/>
    <m/>
    <s v="#UMV010960013"/>
    <s v="#UMV010960013"/>
    <n v="7.9466703093319187E-4"/>
  </r>
  <r>
    <x v="127"/>
    <s v="Dolar 3500"/>
    <d v="2026-10-05T00:00:00"/>
    <s v="08/06/2026"/>
    <n v="0.97149443999999996"/>
    <s v="1 US3 = 1445,3977163583 $"/>
    <n v="25000"/>
    <n v="24287.360000000001"/>
    <n v="36134942.909999996"/>
    <n v="35104894.68"/>
    <n v="150614"/>
    <s v="AMOMPY"/>
    <s v="Momentum Capital Investment S.A."/>
    <s v="19/05/2026"/>
    <s v="19/05/2026"/>
    <n v="9"/>
    <s v="No"/>
    <s v=""/>
    <m/>
    <m/>
    <s v="#UMV011060014"/>
    <s v="#UMV011060014"/>
    <n v="7.8857560430043024E-4"/>
  </r>
  <r>
    <x v="128"/>
    <s v="Pesos"/>
    <d v="2026-07-21T00:00:00"/>
    <s v="08/06/2026"/>
    <n v="0.94859404000000003"/>
    <m/>
    <n v="10000000"/>
    <n v="9485940.4100000001"/>
    <n v="10000000"/>
    <n v="9485940.4100000001"/>
    <n v="3925"/>
    <s v="AMOMPY"/>
    <s v="Momentum Capital Investment S.A."/>
    <s v="11/08/2025"/>
    <s v="11/08/2025"/>
    <n v="46"/>
    <s v="No"/>
    <s v=""/>
    <m/>
    <m/>
    <s v="*MAV170700987"/>
    <s v="*MAV170700987"/>
    <n v="2.1308655842330022E-4"/>
  </r>
  <r>
    <x v="128"/>
    <s v="Pesos"/>
    <d v="2026-06-17T00:00:00"/>
    <s v="08/06/2026"/>
    <n v="0.98878474000000005"/>
    <m/>
    <n v="10000000"/>
    <n v="9887847.4499999993"/>
    <n v="10000000"/>
    <n v="9887847.4499999993"/>
    <n v="3923"/>
    <s v="AMOMPY"/>
    <s v="Momentum Capital Investment S.A."/>
    <s v="11/08/2025"/>
    <s v="11/08/2025"/>
    <n v="46"/>
    <s v="No"/>
    <s v=""/>
    <m/>
    <m/>
    <s v="*MAV120601248"/>
    <s v="*MAV120601248"/>
    <n v="2.2211476061076213E-4"/>
  </r>
  <r>
    <x v="128"/>
    <s v="Pesos"/>
    <d v="2026-06-30T00:00:00"/>
    <s v="08/06/2026"/>
    <n v="0.97302197999999995"/>
    <m/>
    <n v="10000000"/>
    <n v="9730219.8100000005"/>
    <n v="10000000"/>
    <n v="9730219.8100000005"/>
    <n v="3924"/>
    <s v="AMOMPY"/>
    <s v="Momentum Capital Investment S.A."/>
    <s v="11/08/2025"/>
    <s v="11/08/2025"/>
    <n v="46"/>
    <s v="No"/>
    <s v=""/>
    <m/>
    <m/>
    <s v="*MAV260600989"/>
    <s v="*MAV260600989"/>
    <n v="2.1857390647630245E-4"/>
  </r>
  <r>
    <x v="128"/>
    <s v="Pesos"/>
    <d v="2026-08-19T00:00:00"/>
    <s v="08/06/2026"/>
    <n v="0.86665402000000002"/>
    <m/>
    <n v="10000000"/>
    <n v="8666540.1699999999"/>
    <n v="10000000"/>
    <n v="8666540.1699999999"/>
    <n v="3936"/>
    <s v="AMOMPY"/>
    <s v="Momentum Capital Investment S.A."/>
    <s v="03/09/2025"/>
    <s v="03/09/2025"/>
    <n v="78"/>
    <s v="No"/>
    <s v=""/>
    <m/>
    <m/>
    <s v="*MAV140801099"/>
    <s v="*MAV140801099"/>
    <n v="1.946800357627993E-4"/>
  </r>
  <r>
    <x v="128"/>
    <s v="Pesos"/>
    <d v="2026-09-01T00:00:00"/>
    <s v="08/06/2026"/>
    <n v="0.84627876000000002"/>
    <m/>
    <n v="10000000"/>
    <n v="8462787.6400000006"/>
    <n v="10000000"/>
    <n v="8462787.6400000006"/>
    <n v="3937"/>
    <s v="AMOMPY"/>
    <s v="Momentum Capital Investment S.A."/>
    <s v="03/09/2025"/>
    <s v="03/09/2025"/>
    <n v="78"/>
    <s v="No"/>
    <s v=""/>
    <m/>
    <m/>
    <s v="*MAV280800986"/>
    <s v="*MAV280800986"/>
    <n v="1.9010305936286638E-4"/>
  </r>
  <r>
    <x v="128"/>
    <s v="Pesos"/>
    <d v="2026-08-04T00:00:00"/>
    <s v="08/06/2026"/>
    <n v="0.89141798999999999"/>
    <m/>
    <n v="10000000"/>
    <n v="8914179.8800000008"/>
    <n v="10000000"/>
    <n v="8914179.8800000008"/>
    <n v="3935"/>
    <s v="AMOMPY"/>
    <s v="Momentum Capital Investment S.A."/>
    <s v="03/09/2025"/>
    <s v="03/09/2025"/>
    <n v="78"/>
    <s v="No"/>
    <s v=""/>
    <m/>
    <m/>
    <s v="*MAV310701190"/>
    <s v="*MAV310701190"/>
    <n v="2.002428678334305E-4"/>
  </r>
  <r>
    <x v="129"/>
    <s v="Pesos"/>
    <d v="2026-06-11T00:00:00"/>
    <s v="08/06/2026"/>
    <n v="0.99655983999999997"/>
    <m/>
    <n v="19618198"/>
    <n v="19550708.27"/>
    <n v="19618198"/>
    <n v="19550708.27"/>
    <n v="98808324"/>
    <s v="AMOMPY"/>
    <s v="Momentum Capital Investment S.A."/>
    <s v="04/05/2026"/>
    <s v="04/05/2026"/>
    <n v="42"/>
    <s v="No"/>
    <s v=""/>
    <m/>
    <m/>
    <s v="*MAV090601353"/>
    <s v="*MAV090601353"/>
    <n v="4.3917555455023709E-4"/>
  </r>
  <r>
    <x v="129"/>
    <s v="Pesos"/>
    <d v="2026-06-12T00:00:00"/>
    <s v="08/06/2026"/>
    <n v="0.99541835999999995"/>
    <m/>
    <n v="19618198"/>
    <n v="19528314.510000002"/>
    <n v="19618198"/>
    <n v="19528314.510000002"/>
    <n v="98808325"/>
    <s v="AMOMPY"/>
    <s v="Momentum Capital Investment S.A."/>
    <s v="04/05/2026"/>
    <s v="04/05/2026"/>
    <n v="42"/>
    <s v="No"/>
    <s v=""/>
    <m/>
    <m/>
    <s v="*MAV100601764"/>
    <s v="*MAV100601764"/>
    <n v="4.386725143620944E-4"/>
  </r>
  <r>
    <x v="130"/>
    <s v="Pesos"/>
    <d v="2026-07-20T00:00:00"/>
    <s v="08/06/2026"/>
    <n v="0.95810587000000003"/>
    <m/>
    <n v="8000000"/>
    <n v="7664846.9900000002"/>
    <n v="8000000"/>
    <n v="7664846.9900000002"/>
    <n v="60524090"/>
    <s v="AMOMPY"/>
    <s v="Momentum Capital Investment S.A."/>
    <s v="19/03/2026"/>
    <s v="19/03/2026"/>
    <n v="38"/>
    <s v="No"/>
    <s v=""/>
    <m/>
    <m/>
    <s v="*MAV160700961"/>
    <s v="*MAV160700961"/>
    <n v="1.7217859224779715E-4"/>
  </r>
  <r>
    <x v="130"/>
    <s v="Pesos"/>
    <d v="2026-06-19T00:00:00"/>
    <s v="08/06/2026"/>
    <n v="0.98867764000000002"/>
    <m/>
    <n v="7000000"/>
    <n v="6920743.5099999998"/>
    <n v="7000000"/>
    <n v="6920743.5099999998"/>
    <n v="60524089"/>
    <s v="AMOMPY"/>
    <s v="Momentum Capital Investment S.A."/>
    <s v="19/03/2026"/>
    <s v="19/03/2026"/>
    <n v="38"/>
    <s v="No"/>
    <s v=""/>
    <m/>
    <m/>
    <s v="*MAV170601050"/>
    <s v="*MAV170601050"/>
    <n v="1.5546349149754893E-4"/>
  </r>
  <r>
    <x v="130"/>
    <s v="Pesos"/>
    <d v="2026-06-17T00:00:00"/>
    <s v="08/06/2026"/>
    <n v="0.99023333999999996"/>
    <m/>
    <n v="3000000"/>
    <n v="2970700.03"/>
    <n v="3000000"/>
    <n v="2970700.03"/>
    <n v="60524034"/>
    <s v="AMOMPY"/>
    <s v="Momentum Capital Investment S.A."/>
    <s v="06/03/2026"/>
    <s v="06/03/2026"/>
    <n v="40"/>
    <s v="No"/>
    <s v=""/>
    <m/>
    <m/>
    <s v="*MAV120601382"/>
    <s v="*MAV120601382"/>
    <n v="6.673204955339738E-5"/>
  </r>
  <r>
    <x v="130"/>
    <s v="Pesos"/>
    <d v="2026-06-26T00:00:00"/>
    <s v="08/06/2026"/>
    <n v="0.98065557999999997"/>
    <m/>
    <n v="3500000"/>
    <n v="3432294.53"/>
    <n v="3500000"/>
    <n v="3432294.53"/>
    <n v="60524035"/>
    <s v="AMOMPY"/>
    <s v="Momentum Capital Investment S.A."/>
    <s v="06/03/2026"/>
    <s v="06/03/2026"/>
    <n v="40"/>
    <s v="No"/>
    <s v=""/>
    <m/>
    <m/>
    <s v="*MAV240601092"/>
    <s v="*MAV240601092"/>
    <n v="7.7101035562252571E-5"/>
  </r>
  <r>
    <x v="130"/>
    <s v="Pesos"/>
    <d v="2026-07-20T00:00:00"/>
    <s v="08/06/2026"/>
    <n v="0.95599798999999996"/>
    <m/>
    <n v="3500000"/>
    <n v="3345992.95"/>
    <n v="3500000"/>
    <n v="3345992.95"/>
    <n v="60524036"/>
    <s v="AMOMPY"/>
    <s v="Momentum Capital Investment S.A."/>
    <s v="06/03/2026"/>
    <s v="06/03/2026"/>
    <n v="40"/>
    <s v="No"/>
    <s v=""/>
    <m/>
    <m/>
    <s v="*MAV160700952"/>
    <s v="*MAV160700952"/>
    <n v="7.5162407880245756E-5"/>
  </r>
  <r>
    <x v="130"/>
    <s v="Pesos"/>
    <d v="2026-07-24T00:00:00"/>
    <s v="08/06/2026"/>
    <n v="0.95200841999999997"/>
    <m/>
    <n v="3500000"/>
    <n v="3332029.46"/>
    <n v="3500000"/>
    <n v="3332029.46"/>
    <n v="60524037"/>
    <s v="AMOMPY"/>
    <s v="Momentum Capital Investment S.A."/>
    <s v="06/03/2026"/>
    <s v="06/03/2026"/>
    <n v="40"/>
    <s v="No"/>
    <s v=""/>
    <m/>
    <m/>
    <s v="*MAV220701194"/>
    <s v="*MAV220701194"/>
    <n v="7.4848740294421425E-5"/>
  </r>
  <r>
    <x v="130"/>
    <s v="Pesos"/>
    <d v="2026-07-29T00:00:00"/>
    <s v="08/06/2026"/>
    <n v="0.94706802000000001"/>
    <m/>
    <n v="3500000"/>
    <n v="3314738.07"/>
    <n v="3500000"/>
    <n v="3314738.07"/>
    <n v="60524038"/>
    <s v="AMOMPY"/>
    <s v="Momentum Capital Investment S.A."/>
    <s v="06/03/2026"/>
    <s v="06/03/2026"/>
    <n v="40"/>
    <s v="No"/>
    <s v=""/>
    <m/>
    <m/>
    <s v="*MAV270700762"/>
    <s v="*MAV270700762"/>
    <n v="7.4460316730051259E-5"/>
  </r>
  <r>
    <x v="130"/>
    <s v="Pesos"/>
    <d v="2026-08-07T00:00:00"/>
    <s v="08/06/2026"/>
    <n v="0.94120691000000001"/>
    <m/>
    <n v="10000000"/>
    <n v="9412069.1099999994"/>
    <n v="10000000"/>
    <n v="9412069.1099999994"/>
    <n v="60524152"/>
    <s v="AMOMPY"/>
    <s v="Momentum Capital Investment S.A."/>
    <s v="31/03/2026"/>
    <s v="31/03/2026"/>
    <n v="38"/>
    <s v="No"/>
    <s v=""/>
    <m/>
    <m/>
    <s v="*MAV050801095"/>
    <s v="*MAV050801095"/>
    <n v="2.1142715720392705E-4"/>
  </r>
  <r>
    <x v="130"/>
    <s v="Pesos"/>
    <d v="2026-06-09T00:00:00"/>
    <s v="08/06/2026"/>
    <n v="0.99895999000000002"/>
    <m/>
    <n v="5000000"/>
    <n v="4994799.96"/>
    <n v="5000000"/>
    <n v="4994799.96"/>
    <n v="60524150"/>
    <s v="AMOMPY"/>
    <s v="Momentum Capital Investment S.A."/>
    <s v="31/03/2026"/>
    <s v="31/03/2026"/>
    <n v="38"/>
    <s v="No"/>
    <s v=""/>
    <m/>
    <m/>
    <s v="*MAV050601198"/>
    <s v="*MAV050601198"/>
    <n v="1.1220023397651067E-4"/>
  </r>
  <r>
    <x v="130"/>
    <s v="Pesos"/>
    <d v="2026-07-08T00:00:00"/>
    <s v="08/06/2026"/>
    <n v="0.96971315999999996"/>
    <m/>
    <n v="5000000"/>
    <n v="4848565.82"/>
    <n v="5000000"/>
    <n v="4848565.82"/>
    <n v="60524151"/>
    <s v="AMOMPY"/>
    <s v="Momentum Capital Investment S.A."/>
    <s v="31/03/2026"/>
    <s v="31/03/2026"/>
    <n v="38"/>
    <s v="No"/>
    <s v=""/>
    <m/>
    <m/>
    <s v="*MAV060700702"/>
    <s v="*MAV060700702"/>
    <n v="1.0891531669158425E-4"/>
  </r>
  <r>
    <x v="130"/>
    <s v="Pesos"/>
    <d v="2026-09-02T00:00:00"/>
    <s v="08/06/2026"/>
    <n v="0.92381692000000004"/>
    <m/>
    <n v="10000000"/>
    <n v="9238169.1799999997"/>
    <n v="10000000"/>
    <n v="9238169.1799999997"/>
    <n v="162"/>
    <s v="AMOMPY"/>
    <s v="Momentum Capital Investment S.A."/>
    <s v="23/04/2026"/>
    <s v="23/04/2026"/>
    <n v="35"/>
    <s v="No"/>
    <s v=""/>
    <m/>
    <m/>
    <s v="*MAV310801104"/>
    <s v="*MAV310801104"/>
    <n v="2.0752077196512785E-4"/>
  </r>
  <r>
    <x v="130"/>
    <s v="Pesos"/>
    <d v="2026-08-25T00:00:00"/>
    <s v="08/06/2026"/>
    <n v="0.93041041000000002"/>
    <m/>
    <n v="10000000"/>
    <n v="9304104.0600000005"/>
    <n v="10000000"/>
    <n v="9304104.0600000005"/>
    <n v="161"/>
    <s v="AMOMPY"/>
    <s v="Momentum Capital Investment S.A."/>
    <s v="23/04/2026"/>
    <s v="23/04/2026"/>
    <n v="35"/>
    <s v="No"/>
    <s v=""/>
    <m/>
    <m/>
    <s v="*MAV210801077"/>
    <s v="*MAV210801077"/>
    <n v="2.0900189413667789E-4"/>
  </r>
  <r>
    <x v="130"/>
    <s v="Pesos"/>
    <d v="2026-08-13T00:00:00"/>
    <s v="08/06/2026"/>
    <n v="0.94047930000000002"/>
    <m/>
    <n v="10000000"/>
    <n v="9404793.0399999991"/>
    <n v="10000000"/>
    <n v="9404793.0399999991"/>
    <n v="254"/>
    <s v="AMOMPY"/>
    <s v="Momentum Capital Investment S.A."/>
    <s v="30/04/2026"/>
    <s v="30/04/2026"/>
    <n v="35"/>
    <s v="No"/>
    <s v=""/>
    <m/>
    <m/>
    <s v="*MAV110801282"/>
    <s v="*MAV110801282"/>
    <n v="2.1126371186818441E-4"/>
  </r>
  <r>
    <x v="130"/>
    <s v="Pesos"/>
    <d v="2026-08-31T00:00:00"/>
    <s v="08/06/2026"/>
    <n v="0.92545644999999999"/>
    <m/>
    <n v="10000000"/>
    <n v="9254564.5099999998"/>
    <n v="10000000"/>
    <n v="9254564.5099999998"/>
    <n v="255"/>
    <s v="AMOMPY"/>
    <s v="Momentum Capital Investment S.A."/>
    <s v="30/04/2026"/>
    <s v="30/04/2026"/>
    <n v="35"/>
    <s v="No"/>
    <s v=""/>
    <m/>
    <m/>
    <s v="*MAV270800969"/>
    <s v="*MAV270800969"/>
    <n v="2.078890669673009E-4"/>
  </r>
  <r>
    <x v="130"/>
    <s v="Pesos"/>
    <d v="2026-09-10T00:00:00"/>
    <s v="08/06/2026"/>
    <n v="0.92167071"/>
    <m/>
    <n v="10000000"/>
    <n v="9216707.0999999996"/>
    <n v="10000000"/>
    <n v="9216707.0999999996"/>
    <n v="326"/>
    <s v="AMOMPY"/>
    <s v="Momentum Capital Investment S.A."/>
    <s v="14/05/2026"/>
    <s v="14/05/2026"/>
    <n v="33"/>
    <s v="No"/>
    <s v=""/>
    <m/>
    <m/>
    <s v="*MAV080901141"/>
    <s v="*MAV080901141"/>
    <n v="2.0703866048580794E-4"/>
  </r>
  <r>
    <x v="130"/>
    <s v="Pesos"/>
    <d v="2026-09-17T00:00:00"/>
    <s v="08/06/2026"/>
    <n v="0.91632577000000004"/>
    <m/>
    <n v="10000000"/>
    <n v="9163257.6699999999"/>
    <n v="10000000"/>
    <n v="9163257.6699999999"/>
    <n v="327"/>
    <s v="AMOMPY"/>
    <s v="Momentum Capital Investment S.A."/>
    <s v="14/05/2026"/>
    <s v="14/05/2026"/>
    <n v="33"/>
    <s v="No"/>
    <s v=""/>
    <m/>
    <m/>
    <s v="*MAV150901500"/>
    <s v="*MAV150901500"/>
    <n v="2.0583800408316172E-4"/>
  </r>
  <r>
    <x v="131"/>
    <s v="Pesos"/>
    <d v="2026-07-16T00:00:00"/>
    <s v="08/06/2026"/>
    <n v="0.96002111000000001"/>
    <m/>
    <n v="4100000"/>
    <n v="3936086.57"/>
    <n v="4100000"/>
    <n v="3936086.57"/>
    <n v="1019"/>
    <s v="AMOMPY"/>
    <s v="Momentum Capital Investment S.A."/>
    <s v="09/03/2026"/>
    <s v="09/03/2026"/>
    <n v="40"/>
    <s v="No"/>
    <s v=""/>
    <m/>
    <m/>
    <s v="*MAV140701264"/>
    <s v="*MAV140701264"/>
    <n v="8.8417922167557909E-5"/>
  </r>
  <r>
    <x v="131"/>
    <s v="Pesos"/>
    <d v="2026-07-17T00:00:00"/>
    <s v="08/06/2026"/>
    <n v="0.95901212999999996"/>
    <m/>
    <n v="4100000"/>
    <n v="3931949.74"/>
    <n v="4100000"/>
    <n v="3931949.74"/>
    <n v="1020"/>
    <s v="AMOMPY"/>
    <s v="Momentum Capital Investment S.A."/>
    <s v="09/03/2026"/>
    <s v="09/03/2026"/>
    <n v="40"/>
    <s v="No"/>
    <s v=""/>
    <m/>
    <m/>
    <s v="*MAV150701468"/>
    <s v="*MAV150701468"/>
    <n v="8.8324994863634199E-5"/>
  </r>
  <r>
    <x v="131"/>
    <s v="Pesos"/>
    <d v="2026-07-20T00:00:00"/>
    <s v="08/06/2026"/>
    <n v="0.95599796999999997"/>
    <m/>
    <n v="4100000"/>
    <n v="3919591.69"/>
    <n v="4100000"/>
    <n v="3919591.69"/>
    <n v="1021"/>
    <s v="AMOMPY"/>
    <s v="Momentum Capital Investment S.A."/>
    <s v="09/03/2026"/>
    <s v="09/03/2026"/>
    <n v="40"/>
    <s v="No"/>
    <s v=""/>
    <m/>
    <m/>
    <s v="*MAV160700955"/>
    <s v="*MAV160700955"/>
    <n v="8.8047390933026855E-5"/>
  </r>
  <r>
    <x v="131"/>
    <s v="Pesos"/>
    <d v="2026-07-21T00:00:00"/>
    <s v="08/06/2026"/>
    <n v="0.95499741000000005"/>
    <m/>
    <n v="4100000"/>
    <n v="3915489.4"/>
    <n v="4100000"/>
    <n v="3915489.4"/>
    <n v="1022"/>
    <s v="AMOMPY"/>
    <s v="Momentum Capital Investment S.A."/>
    <s v="09/03/2026"/>
    <s v="09/03/2026"/>
    <n v="40"/>
    <s v="No"/>
    <s v=""/>
    <m/>
    <m/>
    <s v="*MAV170701009"/>
    <s v="*MAV170701009"/>
    <n v="8.7955239515247243E-5"/>
  </r>
  <r>
    <x v="131"/>
    <s v="Pesos"/>
    <d v="2026-07-27T00:00:00"/>
    <s v="08/06/2026"/>
    <n v="0.94903804999999997"/>
    <m/>
    <n v="4100000"/>
    <n v="3891055.99"/>
    <n v="4100000"/>
    <n v="3891055.99"/>
    <n v="1024"/>
    <s v="AMOMPY"/>
    <s v="Momentum Capital Investment S.A."/>
    <s v="09/03/2026"/>
    <s v="09/03/2026"/>
    <n v="40"/>
    <s v="No"/>
    <s v=""/>
    <m/>
    <m/>
    <s v="*MAV230700923"/>
    <s v="*MAV230700923"/>
    <n v="8.7406381835100237E-5"/>
  </r>
  <r>
    <x v="131"/>
    <s v="Pesos"/>
    <d v="2026-07-31T00:00:00"/>
    <s v="08/06/2026"/>
    <n v="0.94510623999999999"/>
    <m/>
    <n v="4600000"/>
    <n v="4347488.6900000004"/>
    <n v="4600000"/>
    <n v="4347488.6900000004"/>
    <n v="1027"/>
    <s v="AMOMPY"/>
    <s v="Momentum Capital Investment S.A."/>
    <s v="09/03/2026"/>
    <s v="09/03/2026"/>
    <n v="40"/>
    <s v="No"/>
    <s v=""/>
    <m/>
    <m/>
    <s v="*MAV290701056"/>
    <s v="*MAV290701056"/>
    <n v="9.7659416219790697E-5"/>
  </r>
  <r>
    <x v="131"/>
    <s v="Pesos"/>
    <d v="2026-06-18T00:00:00"/>
    <s v="08/06/2026"/>
    <n v="0.98915989999999998"/>
    <m/>
    <n v="3800000"/>
    <n v="3758807.64"/>
    <n v="3800000"/>
    <n v="3758807.64"/>
    <n v="1017"/>
    <s v="AMOMPY"/>
    <s v="Momentum Capital Investment S.A."/>
    <s v="09/03/2026"/>
    <s v="09/03/2026"/>
    <n v="40"/>
    <s v="No"/>
    <s v=""/>
    <m/>
    <m/>
    <s v="*MAV160601164"/>
    <s v="*MAV160601164"/>
    <n v="8.4435633070017063E-5"/>
  </r>
  <r>
    <x v="131"/>
    <s v="Pesos"/>
    <d v="2026-07-22T00:00:00"/>
    <s v="08/06/2026"/>
    <n v="0.95399895000000001"/>
    <m/>
    <n v="4100000"/>
    <n v="3911395.69"/>
    <n v="4100000"/>
    <n v="3911395.69"/>
    <n v="1023"/>
    <s v="AMOMPY"/>
    <s v="Momentum Capital Investment S.A."/>
    <s v="09/03/2026"/>
    <s v="09/03/2026"/>
    <n v="40"/>
    <s v="No"/>
    <s v=""/>
    <m/>
    <m/>
    <s v="*MAV200700914"/>
    <s v="*MAV200700914"/>
    <n v="8.7863280833516187E-5"/>
  </r>
  <r>
    <x v="131"/>
    <s v="Pesos"/>
    <d v="2026-07-28T00:00:00"/>
    <s v="08/06/2026"/>
    <n v="0.94805198999999996"/>
    <m/>
    <n v="4100000"/>
    <n v="3887013.14"/>
    <n v="4100000"/>
    <n v="3887013.14"/>
    <n v="1025"/>
    <s v="AMOMPY"/>
    <s v="Momentum Capital Investment S.A."/>
    <s v="09/03/2026"/>
    <s v="09/03/2026"/>
    <n v="40"/>
    <s v="No"/>
    <s v=""/>
    <m/>
    <m/>
    <s v="*MAV240701043"/>
    <s v="*MAV240701043"/>
    <n v="8.7315565642346858E-5"/>
  </r>
  <r>
    <x v="131"/>
    <s v="Pesos"/>
    <d v="2026-07-29T00:00:00"/>
    <s v="08/06/2026"/>
    <n v="0.94706800000000002"/>
    <m/>
    <n v="4100000"/>
    <n v="3882978.78"/>
    <n v="4100000"/>
    <n v="3882978.78"/>
    <n v="1026"/>
    <s v="AMOMPY"/>
    <s v="Momentum Capital Investment S.A."/>
    <s v="09/03/2026"/>
    <s v="09/03/2026"/>
    <n v="40"/>
    <s v="No"/>
    <s v=""/>
    <m/>
    <m/>
    <s v="*MAV270700763"/>
    <s v="*MAV270700763"/>
    <n v="8.7224940163935206E-5"/>
  </r>
  <r>
    <x v="131"/>
    <s v="Pesos"/>
    <d v="2026-07-02T00:00:00"/>
    <s v="08/06/2026"/>
    <n v="0.97437269999999998"/>
    <m/>
    <n v="3800000"/>
    <n v="3702616.27"/>
    <n v="3800000"/>
    <n v="3702616.27"/>
    <n v="1018"/>
    <s v="AMOMPY"/>
    <s v="Momentum Capital Investment S.A."/>
    <s v="09/03/2026"/>
    <s v="09/03/2026"/>
    <n v="40"/>
    <s v="No"/>
    <s v=""/>
    <m/>
    <m/>
    <s v="*MAV300601821"/>
    <s v="*MAV300601821"/>
    <n v="8.3173383347915936E-5"/>
  </r>
  <r>
    <x v="131"/>
    <s v="Pesos"/>
    <d v="2026-09-18T00:00:00"/>
    <s v="08/06/2026"/>
    <n v="0.91556727999999998"/>
    <m/>
    <n v="2500000"/>
    <n v="2288918.2000000002"/>
    <n v="2500000"/>
    <n v="2288918.2000000002"/>
    <n v="1200"/>
    <s v="AMOMPY"/>
    <s v="Momentum Capital Investment S.A."/>
    <s v="19/05/2026"/>
    <s v="19/05/2026"/>
    <n v="33"/>
    <s v="No"/>
    <s v=""/>
    <m/>
    <m/>
    <s v="*MAV160901253"/>
    <s v="*MAV160901253"/>
    <n v="5.1416905511686131E-5"/>
  </r>
  <r>
    <x v="131"/>
    <s v="Pesos"/>
    <d v="2026-08-24T00:00:00"/>
    <s v="08/06/2026"/>
    <n v="0.93491468"/>
    <m/>
    <n v="2500000"/>
    <n v="2337286.7000000002"/>
    <n v="2500000"/>
    <n v="2337286.7000000002"/>
    <n v="1197"/>
    <s v="AMOMPY"/>
    <s v="Momentum Capital Investment S.A."/>
    <s v="19/05/2026"/>
    <s v="19/05/2026"/>
    <n v="33"/>
    <s v="No"/>
    <s v=""/>
    <m/>
    <m/>
    <s v="*MAV200801233"/>
    <s v="*MAV200801233"/>
    <n v="5.2503426906047007E-5"/>
  </r>
  <r>
    <x v="131"/>
    <s v="Pesos"/>
    <d v="2026-09-23T00:00:00"/>
    <s v="08/06/2026"/>
    <n v="0.91179341000000003"/>
    <m/>
    <n v="2500000"/>
    <n v="2279483.52"/>
    <n v="2500000"/>
    <n v="2279483.52"/>
    <n v="1201"/>
    <s v="AMOMPY"/>
    <s v="Momentum Capital Investment S.A."/>
    <s v="19/05/2026"/>
    <s v="19/05/2026"/>
    <n v="33"/>
    <s v="No"/>
    <s v=""/>
    <m/>
    <m/>
    <s v="*MAV210900773"/>
    <s v="*MAV210900773"/>
    <n v="5.1204970436814078E-5"/>
  </r>
  <r>
    <x v="131"/>
    <s v="Pesos"/>
    <d v="2026-08-26T00:00:00"/>
    <s v="08/06/2026"/>
    <n v="0.93333695000000005"/>
    <m/>
    <n v="2500000"/>
    <n v="2333342.37"/>
    <n v="2500000"/>
    <n v="2333342.37"/>
    <n v="1198"/>
    <s v="AMOMPY"/>
    <s v="Momentum Capital Investment S.A."/>
    <s v="19/05/2026"/>
    <s v="19/05/2026"/>
    <n v="33"/>
    <s v="No"/>
    <s v=""/>
    <m/>
    <m/>
    <s v="*MAV240800820"/>
    <s v="*MAV240800820"/>
    <n v="5.2414823808340456E-5"/>
  </r>
  <r>
    <x v="131"/>
    <s v="Pesos"/>
    <d v="2026-09-30T00:00:00"/>
    <s v="08/06/2026"/>
    <n v="0.90656208999999999"/>
    <m/>
    <n v="2500000"/>
    <n v="2266405.2200000002"/>
    <n v="2500000"/>
    <n v="2266405.2200000002"/>
    <n v="1202"/>
    <s v="AMOMPY"/>
    <s v="Momentum Capital Investment S.A."/>
    <s v="19/05/2026"/>
    <s v="19/05/2026"/>
    <n v="33"/>
    <s v="No"/>
    <s v=""/>
    <m/>
    <m/>
    <s v="*MAV280900819"/>
    <s v="*MAV280900819"/>
    <n v="5.0911187235931899E-5"/>
  </r>
  <r>
    <x v="131"/>
    <s v="Pesos"/>
    <d v="2026-09-02T00:00:00"/>
    <s v="08/06/2026"/>
    <n v="0.92785624"/>
    <m/>
    <n v="2500000"/>
    <n v="2319640.59"/>
    <n v="2500000"/>
    <n v="2319640.59"/>
    <n v="1199"/>
    <s v="AMOMPY"/>
    <s v="Momentum Capital Investment S.A."/>
    <s v="19/05/2026"/>
    <s v="19/05/2026"/>
    <n v="33"/>
    <s v="No"/>
    <s v=""/>
    <m/>
    <m/>
    <s v="*MAV310801175"/>
    <s v="*MAV310801175"/>
    <n v="5.2107035121264642E-5"/>
  </r>
  <r>
    <x v="132"/>
    <s v="Pesos"/>
    <d v="2026-06-11T00:00:00"/>
    <s v="08/06/2026"/>
    <n v="0.99623342999999998"/>
    <m/>
    <n v="20000000"/>
    <n v="19924668.530000001"/>
    <n v="20000000"/>
    <n v="19924668.530000001"/>
    <n v="3979"/>
    <s v="AMOMPY"/>
    <s v="Momentum Capital Investment S.A."/>
    <s v="10/03/2026"/>
    <s v="10/03/2026"/>
    <n v="46"/>
    <s v="No"/>
    <s v=""/>
    <m/>
    <m/>
    <s v="*MAV090601120"/>
    <s v="*MAV090601120"/>
    <n v="4.4757597679055379E-4"/>
  </r>
  <r>
    <x v="132"/>
    <s v="Pesos"/>
    <d v="2026-06-17T00:00:00"/>
    <s v="08/06/2026"/>
    <n v="0.98878478000000003"/>
    <m/>
    <n v="20000000"/>
    <n v="19775695.579999998"/>
    <n v="20000000"/>
    <n v="19775695.579999998"/>
    <n v="3980"/>
    <s v="AMOMPY"/>
    <s v="Momentum Capital Investment S.A."/>
    <s v="10/03/2026"/>
    <s v="10/03/2026"/>
    <n v="46"/>
    <s v="No"/>
    <s v=""/>
    <m/>
    <m/>
    <s v="*MAV120601388"/>
    <s v="*MAV120601388"/>
    <n v="4.4422953649664234E-4"/>
  </r>
  <r>
    <x v="132"/>
    <s v="Pesos"/>
    <d v="2026-06-18T00:00:00"/>
    <s v="08/06/2026"/>
    <n v="0.98755413999999997"/>
    <m/>
    <n v="20000000"/>
    <n v="19751082.780000001"/>
    <n v="20000000"/>
    <n v="19751082.780000001"/>
    <n v="3981"/>
    <s v="AMOMPY"/>
    <s v="Momentum Capital Investment S.A."/>
    <s v="10/03/2026"/>
    <s v="10/03/2026"/>
    <n v="46"/>
    <s v="No"/>
    <s v=""/>
    <m/>
    <m/>
    <s v="*MAV160601170"/>
    <s v="*MAV160601170"/>
    <n v="4.4367664910556915E-4"/>
  </r>
  <r>
    <x v="132"/>
    <s v="Pesos"/>
    <d v="2026-06-25T00:00:00"/>
    <s v="08/06/2026"/>
    <n v="0.97902478000000004"/>
    <m/>
    <n v="20000000"/>
    <n v="19580495.57"/>
    <n v="20000000"/>
    <n v="19580495.57"/>
    <n v="3982"/>
    <s v="AMOMPY"/>
    <s v="Momentum Capital Investment S.A."/>
    <s v="10/03/2026"/>
    <s v="10/03/2026"/>
    <n v="46"/>
    <s v="No"/>
    <s v=""/>
    <m/>
    <m/>
    <s v="*MAV230601260"/>
    <s v="*MAV230601260"/>
    <n v="4.3984467885076835E-4"/>
  </r>
  <r>
    <x v="132"/>
    <s v="Pesos"/>
    <d v="2026-06-30T00:00:00"/>
    <s v="08/06/2026"/>
    <n v="0.97531002"/>
    <m/>
    <n v="10000000"/>
    <n v="9753100.2400000002"/>
    <n v="10000000"/>
    <n v="9753100.2400000002"/>
    <n v="4019"/>
    <s v="AMOMPY"/>
    <s v="Momentum Capital Investment S.A."/>
    <s v="26/03/2026"/>
    <s v="26/03/2026"/>
    <n v="42"/>
    <s v="No"/>
    <s v=""/>
    <m/>
    <m/>
    <s v="*MAV260601067"/>
    <s v="*MAV260601067"/>
    <n v="2.1908787893166445E-4"/>
  </r>
  <r>
    <x v="132"/>
    <s v="Pesos"/>
    <d v="2026-07-21T00:00:00"/>
    <s v="08/06/2026"/>
    <n v="0.95285346999999998"/>
    <m/>
    <n v="20000000"/>
    <n v="19057069.43"/>
    <n v="20000000"/>
    <n v="19057069.43"/>
    <n v="4022"/>
    <s v="AMOMPY"/>
    <s v="Momentum Capital Investment S.A."/>
    <s v="26/03/2026"/>
    <s v="26/03/2026"/>
    <n v="42"/>
    <s v="No"/>
    <s v=""/>
    <m/>
    <m/>
    <s v="*MAV170701024"/>
    <s v="*MAV170701024"/>
    <n v="4.2808674342838124E-4"/>
  </r>
  <r>
    <x v="132"/>
    <s v="Pesos"/>
    <d v="2026-07-15T00:00:00"/>
    <s v="08/06/2026"/>
    <n v="0.95916336999999996"/>
    <m/>
    <n v="20000000"/>
    <n v="19183267.399999999"/>
    <n v="20000000"/>
    <n v="19183267.399999999"/>
    <n v="4020"/>
    <s v="AMOMPY"/>
    <s v="Momentum Capital Investment S.A."/>
    <s v="26/03/2026"/>
    <s v="26/03/2026"/>
    <n v="42"/>
    <s v="No"/>
    <s v=""/>
    <m/>
    <m/>
    <s v="*MAV100701281"/>
    <s v="*MAV100701281"/>
    <n v="4.3092158003340126E-4"/>
  </r>
  <r>
    <x v="132"/>
    <s v="Pesos"/>
    <d v="2026-07-16T00:00:00"/>
    <s v="08/06/2026"/>
    <n v="0.95810587999999997"/>
    <m/>
    <n v="20000000"/>
    <n v="19162117.579999998"/>
    <n v="20000000"/>
    <n v="19162117.579999998"/>
    <n v="4021"/>
    <s v="AMOMPY"/>
    <s v="Momentum Capital Investment S.A."/>
    <s v="26/03/2026"/>
    <s v="26/03/2026"/>
    <n v="42"/>
    <s v="No"/>
    <s v=""/>
    <m/>
    <m/>
    <s v="*MAV140701282"/>
    <s v="*MAV140701282"/>
    <n v="4.3044648297815076E-4"/>
  </r>
  <r>
    <x v="132"/>
    <s v="Pesos"/>
    <d v="2026-07-23T00:00:00"/>
    <s v="08/06/2026"/>
    <n v="0.95300267999999999"/>
    <m/>
    <n v="10000000"/>
    <n v="9530026.8300000001"/>
    <n v="10000000"/>
    <n v="9530026.8300000001"/>
    <n v="4093"/>
    <s v="AMOMPY"/>
    <s v="Momentum Capital Investment S.A."/>
    <s v="17/04/2026"/>
    <s v="17/04/2026"/>
    <n v="40"/>
    <s v="No"/>
    <s v=""/>
    <m/>
    <m/>
    <s v="*MAV210701197"/>
    <s v="*MAV210701197"/>
    <n v="2.140768897035917E-4"/>
  </r>
  <r>
    <x v="132"/>
    <s v="Pesos"/>
    <d v="2026-08-13T00:00:00"/>
    <s v="08/06/2026"/>
    <n v="0.94047930000000002"/>
    <m/>
    <n v="15000000"/>
    <n v="14107189.439999999"/>
    <n v="15000000"/>
    <n v="14107189.439999999"/>
    <n v="4182"/>
    <s v="AMOMPY"/>
    <s v="Momentum Capital Investment S.A."/>
    <s v="18/05/2026"/>
    <s v="18/05/2026"/>
    <n v="35"/>
    <s v="No"/>
    <s v=""/>
    <m/>
    <m/>
    <s v="*MAV110801360"/>
    <s v="*MAV110801360"/>
    <n v="3.1689556510666755E-4"/>
  </r>
  <r>
    <x v="132"/>
    <s v="Pesos"/>
    <d v="2026-07-30T00:00:00"/>
    <s v="08/06/2026"/>
    <n v="0.94608616000000001"/>
    <m/>
    <n v="20000000"/>
    <n v="18921723.190000001"/>
    <n v="20000000"/>
    <n v="18921723.190000001"/>
    <n v="4122"/>
    <s v="AMOMPY"/>
    <s v="Momentum Capital Investment S.A."/>
    <s v="28/04/2026"/>
    <s v="28/04/2026"/>
    <n v="40"/>
    <s v="No"/>
    <s v=""/>
    <m/>
    <m/>
    <s v="*MAV280701203"/>
    <s v="*MAV280701203"/>
    <n v="4.2504640549343803E-4"/>
  </r>
  <r>
    <x v="132"/>
    <s v="Pesos"/>
    <d v="2026-07-28T00:00:00"/>
    <s v="08/06/2026"/>
    <n v="0.94805196000000003"/>
    <m/>
    <n v="20000000"/>
    <n v="18961039.23"/>
    <n v="20000000"/>
    <n v="18961039.23"/>
    <n v="4121"/>
    <s v="AMOMPY"/>
    <s v="Momentum Capital Investment S.A."/>
    <s v="28/04/2026"/>
    <s v="28/04/2026"/>
    <n v="40"/>
    <s v="No"/>
    <s v=""/>
    <m/>
    <m/>
    <s v="*MAV240701132"/>
    <s v="*MAV240701132"/>
    <n v="4.2592957777708434E-4"/>
  </r>
  <r>
    <x v="132"/>
    <s v="Pesos"/>
    <d v="2026-08-19T00:00:00"/>
    <s v="08/06/2026"/>
    <n v="0.93541792000000001"/>
    <m/>
    <n v="20000000"/>
    <n v="18708358.489999998"/>
    <n v="20000000"/>
    <n v="18708358.489999998"/>
    <n v="4183"/>
    <s v="AMOMPY"/>
    <s v="Momentum Capital Investment S.A."/>
    <s v="19/05/2026"/>
    <s v="19/05/2026"/>
    <n v="35"/>
    <s v="No"/>
    <s v=""/>
    <m/>
    <m/>
    <s v="*MAV140801231"/>
    <s v="*MAV140801231"/>
    <n v="4.2025350698818368E-4"/>
  </r>
  <r>
    <x v="133"/>
    <s v="Pesos"/>
    <d v="2026-07-08T00:00:00"/>
    <s v="08/06/2026"/>
    <n v="0.97359302000000003"/>
    <m/>
    <n v="38136774.549999997"/>
    <n v="37129697.549999997"/>
    <n v="38136774.549999997"/>
    <n v="37129697.549999997"/>
    <n v="66789069"/>
    <s v="AMOMPY"/>
    <s v="Momentum Capital Investment S.A."/>
    <s v="12/05/2026"/>
    <s v="12/05/2026"/>
    <n v="33"/>
    <s v="No"/>
    <s v=""/>
    <m/>
    <m/>
    <s v="*MAV050701033"/>
    <s v="*MAV050701033"/>
    <n v="8.3405957915220986E-4"/>
  </r>
  <r>
    <x v="134"/>
    <s v="Pesos"/>
    <d v="2026-06-11T00:00:00"/>
    <s v="08/06/2026"/>
    <n v="0.99754032000000004"/>
    <m/>
    <n v="213099761.59999999"/>
    <n v="212575605.22999999"/>
    <n v="213099761.59999999"/>
    <n v="212575605.22999999"/>
    <n v="30004140"/>
    <s v="AMOMPY"/>
    <s v="Momentum Capital Investment S.A."/>
    <s v="06/04/2026"/>
    <s v="06/04/2026"/>
    <n v="30"/>
    <s v="No"/>
    <s v=""/>
    <m/>
    <m/>
    <s v="*MAV090601193"/>
    <s v="*MAV090601193"/>
    <n v="4.7751727467588842E-3"/>
  </r>
  <r>
    <x v="134"/>
    <s v="Pesos"/>
    <d v="2026-06-11T00:00:00"/>
    <s v="08/06/2026"/>
    <n v="0.99754032000000004"/>
    <m/>
    <n v="8834999.9700000007"/>
    <n v="8813268.7300000004"/>
    <n v="8834999.9700000007"/>
    <n v="8813268.7300000004"/>
    <n v="30004135"/>
    <s v="AMOMPY"/>
    <s v="Momentum Capital Investment S.A."/>
    <s v="06/04/2026"/>
    <s v="06/04/2026"/>
    <n v="30"/>
    <s v="No"/>
    <s v=""/>
    <m/>
    <m/>
    <s v="*MAV090601194"/>
    <s v="*MAV090601194"/>
    <n v="1.9797605940636412E-4"/>
  </r>
  <r>
    <x v="135"/>
    <s v="Pesos"/>
    <d v="2026-08-13T00:00:00"/>
    <s v="08/06/2026"/>
    <n v="0.94368907000000002"/>
    <m/>
    <n v="2200000"/>
    <n v="2076115.94"/>
    <n v="2200000"/>
    <n v="2076115.94"/>
    <n v="6187"/>
    <s v="AMOMPY"/>
    <s v="Momentum Capital Investment S.A."/>
    <s v="03/06/2026"/>
    <s v="03/06/2026"/>
    <n v="33"/>
    <s v="No"/>
    <s v=""/>
    <m/>
    <m/>
    <s v="*MAV110801415"/>
    <s v="*MAV110801415"/>
    <n v="4.6636641326145E-5"/>
  </r>
  <r>
    <x v="135"/>
    <s v="Pesos"/>
    <d v="2026-08-24T00:00:00"/>
    <s v="08/06/2026"/>
    <n v="0.93491471999999998"/>
    <m/>
    <n v="2200000"/>
    <n v="2056812.39"/>
    <n v="2200000"/>
    <n v="2056812.39"/>
    <n v="6193"/>
    <s v="AMOMPY"/>
    <s v="Momentum Capital Investment S.A."/>
    <s v="03/06/2026"/>
    <s v="03/06/2026"/>
    <n v="33"/>
    <s v="No"/>
    <s v=""/>
    <m/>
    <m/>
    <s v="*MAV200801295"/>
    <s v="*MAV200801295"/>
    <n v="4.6203017788881802E-5"/>
  </r>
  <r>
    <x v="135"/>
    <s v="Pesos"/>
    <d v="2026-09-03T00:00:00"/>
    <s v="08/06/2026"/>
    <n v="0.92707852000000002"/>
    <m/>
    <n v="2200000"/>
    <n v="2039572.74"/>
    <n v="2200000"/>
    <n v="2039572.74"/>
    <n v="6201"/>
    <s v="AMOMPY"/>
    <s v="Momentum Capital Investment S.A."/>
    <s v="03/06/2026"/>
    <s v="03/06/2026"/>
    <n v="33"/>
    <s v="No"/>
    <s v=""/>
    <m/>
    <m/>
    <s v="*MAV010901221"/>
    <s v="*MAV010901221"/>
    <n v="4.5815756481289185E-5"/>
  </r>
  <r>
    <x v="135"/>
    <s v="Pesos"/>
    <d v="2026-08-26T00:00:00"/>
    <s v="08/06/2026"/>
    <n v="0.93333701000000002"/>
    <m/>
    <n v="2200000"/>
    <n v="2053341.42"/>
    <n v="2200000"/>
    <n v="2053341.42"/>
    <n v="6195"/>
    <s v="AMOMPY"/>
    <s v="Momentum Capital Investment S.A."/>
    <s v="03/06/2026"/>
    <s v="03/06/2026"/>
    <n v="33"/>
    <s v="No"/>
    <s v=""/>
    <m/>
    <m/>
    <s v="*MAV240800885"/>
    <s v="*MAV240800885"/>
    <n v="4.6125047970421753E-5"/>
  </r>
  <r>
    <x v="135"/>
    <s v="Pesos"/>
    <d v="2026-08-27T00:00:00"/>
    <s v="08/06/2026"/>
    <n v="0.93255001000000004"/>
    <m/>
    <n v="2200000"/>
    <n v="2051610.03"/>
    <n v="2200000"/>
    <n v="2051610.03"/>
    <n v="6196"/>
    <s v="AMOMPY"/>
    <s v="Momentum Capital Investment S.A."/>
    <s v="03/06/2026"/>
    <s v="03/06/2026"/>
    <n v="33"/>
    <s v="No"/>
    <s v=""/>
    <m/>
    <m/>
    <s v="*MAV250801460"/>
    <s v="*MAV250801460"/>
    <n v="4.6086155048851259E-5"/>
  </r>
  <r>
    <x v="135"/>
    <s v="Pesos"/>
    <d v="2026-08-28T00:00:00"/>
    <s v="08/06/2026"/>
    <n v="0.93176433999999997"/>
    <m/>
    <n v="2200000"/>
    <n v="2049881.55"/>
    <n v="2200000"/>
    <n v="2049881.55"/>
    <n v="6197"/>
    <s v="AMOMPY"/>
    <s v="Momentum Capital Investment S.A."/>
    <s v="03/06/2026"/>
    <s v="03/06/2026"/>
    <n v="33"/>
    <s v="No"/>
    <s v=""/>
    <m/>
    <m/>
    <s v="*MAV260801235"/>
    <s v="*MAV260801235"/>
    <n v="4.6047327495800723E-5"/>
  </r>
  <r>
    <x v="135"/>
    <s v="Pesos"/>
    <d v="2026-08-31T00:00:00"/>
    <s v="08/06/2026"/>
    <n v="0.92941552000000005"/>
    <m/>
    <n v="2200000"/>
    <n v="2044714.15"/>
    <n v="2200000"/>
    <n v="2044714.15"/>
    <n v="6198"/>
    <s v="AMOMPY"/>
    <s v="Momentum Capital Investment S.A."/>
    <s v="03/06/2026"/>
    <s v="03/06/2026"/>
    <n v="33"/>
    <s v="No"/>
    <s v=""/>
    <m/>
    <m/>
    <s v="*MAV270801053"/>
    <s v="*MAV270801053"/>
    <n v="4.593125007654603E-5"/>
  </r>
  <r>
    <x v="135"/>
    <s v="Pesos"/>
    <d v="2026-09-01T00:00:00"/>
    <s v="08/06/2026"/>
    <n v="0.92863512000000004"/>
    <m/>
    <n v="2200000"/>
    <n v="2042997.27"/>
    <n v="2200000"/>
    <n v="2042997.27"/>
    <n v="6199"/>
    <s v="AMOMPY"/>
    <s v="Momentum Capital Investment S.A."/>
    <s v="03/06/2026"/>
    <s v="03/06/2026"/>
    <n v="33"/>
    <s v="No"/>
    <s v=""/>
    <m/>
    <m/>
    <s v="*MAV280801125"/>
    <s v="*MAV280801125"/>
    <n v="4.5892683099038977E-5"/>
  </r>
  <r>
    <x v="135"/>
    <s v="Pesos"/>
    <d v="2026-09-02T00:00:00"/>
    <s v="08/06/2026"/>
    <n v="0.92785603999999999"/>
    <m/>
    <n v="2200000"/>
    <n v="2041283.28"/>
    <n v="2200000"/>
    <n v="2041283.28"/>
    <n v="6200"/>
    <s v="AMOMPY"/>
    <s v="Momentum Capital Investment S.A."/>
    <s v="03/06/2026"/>
    <s v="03/06/2026"/>
    <n v="33"/>
    <s v="No"/>
    <s v=""/>
    <m/>
    <m/>
    <s v="*MAV310801249"/>
    <s v="*MAV310801249"/>
    <n v="4.5854181040783695E-5"/>
  </r>
  <r>
    <x v="135"/>
    <s v="Pesos"/>
    <d v="2026-08-12T00:00:00"/>
    <s v="08/06/2026"/>
    <n v="0.94449499000000003"/>
    <m/>
    <n v="2000000"/>
    <n v="1888989.98"/>
    <n v="2000000"/>
    <n v="1888989.98"/>
    <n v="6186"/>
    <s v="AMOMPY"/>
    <s v="Momentum Capital Investment S.A."/>
    <s v="03/06/2026"/>
    <s v="03/06/2026"/>
    <n v="33"/>
    <s v="No"/>
    <s v=""/>
    <m/>
    <m/>
    <s v="*MAV100801171"/>
    <s v="*MAV100801171"/>
    <n v="4.2433154367063821E-5"/>
  </r>
  <r>
    <x v="135"/>
    <s v="Pesos"/>
    <d v="2026-08-14T00:00:00"/>
    <s v="08/06/2026"/>
    <n v="0.94288453000000005"/>
    <m/>
    <n v="2200000"/>
    <n v="2074345.96"/>
    <n v="2200000"/>
    <n v="2074345.96"/>
    <n v="6188"/>
    <s v="AMOMPY"/>
    <s v="Momentum Capital Investment S.A."/>
    <s v="03/06/2026"/>
    <s v="03/06/2026"/>
    <n v="33"/>
    <s v="No"/>
    <s v=""/>
    <m/>
    <m/>
    <s v="*MAV120801669"/>
    <s v="*MAV120801669"/>
    <n v="4.659688154162427E-5"/>
  </r>
  <r>
    <x v="135"/>
    <s v="Pesos"/>
    <d v="2026-08-18T00:00:00"/>
    <s v="08/06/2026"/>
    <n v="0.93968030000000002"/>
    <m/>
    <n v="2200000"/>
    <n v="2067296.67"/>
    <n v="2200000"/>
    <n v="2067296.67"/>
    <n v="6189"/>
    <s v="AMOMPY"/>
    <s v="Momentum Capital Investment S.A."/>
    <s v="03/06/2026"/>
    <s v="03/06/2026"/>
    <n v="33"/>
    <s v="No"/>
    <s v=""/>
    <m/>
    <m/>
    <s v="*MAV130801046"/>
    <s v="*MAV130801046"/>
    <n v="4.6438530457756583E-5"/>
  </r>
  <r>
    <x v="135"/>
    <s v="Pesos"/>
    <d v="2026-08-19T00:00:00"/>
    <s v="08/06/2026"/>
    <n v="0.93888285000000005"/>
    <m/>
    <n v="2200000"/>
    <n v="2065542.26"/>
    <n v="2200000"/>
    <n v="2065542.26"/>
    <n v="6190"/>
    <s v="AMOMPY"/>
    <s v="Momentum Capital Investment S.A."/>
    <s v="03/06/2026"/>
    <s v="03/06/2026"/>
    <n v="33"/>
    <s v="No"/>
    <s v=""/>
    <m/>
    <m/>
    <s v="*MAV140801306"/>
    <s v="*MAV140801306"/>
    <n v="4.6399120428512744E-5"/>
  </r>
  <r>
    <x v="135"/>
    <s v="Pesos"/>
    <d v="2026-08-20T00:00:00"/>
    <s v="08/06/2026"/>
    <n v="0.93808647999999994"/>
    <m/>
    <n v="2200000"/>
    <n v="2063790.25"/>
    <n v="2200000"/>
    <n v="2063790.25"/>
    <n v="6191"/>
    <s v="AMOMPY"/>
    <s v="Momentum Capital Investment S.A."/>
    <s v="03/06/2026"/>
    <s v="03/06/2026"/>
    <n v="33"/>
    <s v="No"/>
    <s v=""/>
    <m/>
    <m/>
    <s v="*MAV180801393"/>
    <s v="*MAV180801393"/>
    <n v="4.6359764311450313E-5"/>
  </r>
  <r>
    <x v="135"/>
    <s v="Pesos"/>
    <d v="2026-08-21T00:00:00"/>
    <s v="08/06/2026"/>
    <n v="0.93729145000000003"/>
    <m/>
    <n v="2200000"/>
    <n v="2062041.2"/>
    <n v="2200000"/>
    <n v="2062041.2"/>
    <n v="6192"/>
    <s v="AMOMPY"/>
    <s v="Momentum Capital Investment S.A."/>
    <s v="03/06/2026"/>
    <s v="03/06/2026"/>
    <n v="33"/>
    <s v="No"/>
    <s v=""/>
    <m/>
    <m/>
    <s v="*MAV190801232"/>
    <s v="*MAV190801232"/>
    <n v="4.6320474686078283E-5"/>
  </r>
  <r>
    <x v="135"/>
    <s v="Pesos"/>
    <d v="2026-08-25T00:00:00"/>
    <s v="08/06/2026"/>
    <n v="0.93412507"/>
    <m/>
    <n v="2200000"/>
    <n v="2055075.15"/>
    <n v="2200000"/>
    <n v="2055075.15"/>
    <n v="6194"/>
    <s v="AMOMPY"/>
    <s v="Momentum Capital Investment S.A."/>
    <s v="03/06/2026"/>
    <s v="03/06/2026"/>
    <n v="33"/>
    <s v="No"/>
    <s v=""/>
    <m/>
    <m/>
    <s v="*MAV210801215"/>
    <s v="*MAV210801215"/>
    <n v="4.6163993456369122E-5"/>
  </r>
  <r>
    <x v="136"/>
    <s v="Pesos"/>
    <d v="2026-09-01T00:00:00"/>
    <s v="08/06/2026"/>
    <n v="0.92863510999999999"/>
    <m/>
    <n v="50000000"/>
    <n v="46431755.399999999"/>
    <n v="50000000"/>
    <n v="46431755.399999999"/>
    <n v="29030847"/>
    <s v="AMOMPY"/>
    <s v="Momentum Capital Investment S.A."/>
    <s v="06/04/2026"/>
    <s v="06/04/2026"/>
    <n v="33"/>
    <s v="No"/>
    <s v=""/>
    <m/>
    <m/>
    <s v="*MAV280800998"/>
    <s v="*MAV280800998"/>
    <n v="1.043015508436921E-3"/>
  </r>
  <r>
    <x v="136"/>
    <s v="Pesos"/>
    <d v="2026-08-04T00:00:00"/>
    <s v="08/06/2026"/>
    <n v="0.95099138999999999"/>
    <m/>
    <n v="50000000"/>
    <n v="47549569.649999999"/>
    <n v="50000000"/>
    <n v="47549569.649999999"/>
    <n v="29030848"/>
    <s v="AMOMPY"/>
    <s v="Momentum Capital Investment S.A."/>
    <s v="06/04/2026"/>
    <s v="06/04/2026"/>
    <n v="33"/>
    <s v="No"/>
    <s v=""/>
    <m/>
    <m/>
    <s v="*MAV310701258"/>
    <s v="*MAV310701258"/>
    <n v="1.0681254270315944E-3"/>
  </r>
  <r>
    <x v="136"/>
    <s v="Pesos"/>
    <d v="2026-08-11T00:00:00"/>
    <s v="08/06/2026"/>
    <n v="0.94530206000000006"/>
    <m/>
    <n v="50000000"/>
    <n v="47265102.93"/>
    <n v="50000000"/>
    <n v="47265102.93"/>
    <n v="29007571"/>
    <s v="AMOMPY"/>
    <s v="Momentum Capital Investment S.A."/>
    <s v="31/03/2026"/>
    <s v="31/03/2026"/>
    <n v="33"/>
    <s v="No"/>
    <s v=""/>
    <m/>
    <m/>
    <s v="*MAV070800967"/>
    <s v="*MAV070800967"/>
    <n v="1.0617353347760216E-3"/>
  </r>
  <r>
    <x v="136"/>
    <s v="Pesos"/>
    <d v="2026-08-19T00:00:00"/>
    <s v="08/06/2026"/>
    <n v="0.93888265999999998"/>
    <m/>
    <n v="50000000"/>
    <n v="46944132.840000004"/>
    <n v="50000000"/>
    <n v="46944132.840000004"/>
    <n v="29007570"/>
    <s v="AMOMPY"/>
    <s v="Momentum Capital Investment S.A."/>
    <s v="31/03/2026"/>
    <s v="31/03/2026"/>
    <n v="33"/>
    <s v="No"/>
    <s v=""/>
    <m/>
    <m/>
    <s v="*MAV140801114"/>
    <s v="*MAV140801114"/>
    <n v="1.0545252523931708E-3"/>
  </r>
  <r>
    <x v="136"/>
    <s v="Pesos"/>
    <d v="2026-07-21T00:00:00"/>
    <s v="08/06/2026"/>
    <n v="0.96257815999999996"/>
    <m/>
    <n v="50000000"/>
    <n v="48128908.210000001"/>
    <n v="50000000"/>
    <n v="48128908.210000001"/>
    <n v="29007572"/>
    <s v="AMOMPY"/>
    <s v="Momentum Capital Investment S.A."/>
    <s v="31/03/2026"/>
    <s v="31/03/2026"/>
    <n v="33"/>
    <s v="No"/>
    <s v=""/>
    <m/>
    <m/>
    <s v="*MAV170701219"/>
    <s v="*MAV170701219"/>
    <n v="1.0811393460081642E-3"/>
  </r>
  <r>
    <x v="136"/>
    <s v="Pesos"/>
    <d v="2026-08-25T00:00:00"/>
    <s v="08/06/2026"/>
    <n v="0.93412510000000004"/>
    <m/>
    <n v="50000000"/>
    <n v="46706255.18"/>
    <n v="50000000"/>
    <n v="46706255.18"/>
    <n v="29007567"/>
    <s v="AMOMPY"/>
    <s v="Momentum Capital Investment S.A."/>
    <s v="31/03/2026"/>
    <s v="31/03/2026"/>
    <n v="33"/>
    <s v="No"/>
    <s v=""/>
    <m/>
    <m/>
    <s v="*MAV210801063"/>
    <s v="*MAV210801063"/>
    <n v="1.0491817092435898E-3"/>
  </r>
  <r>
    <x v="136"/>
    <s v="Pesos"/>
    <d v="2026-07-28T00:00:00"/>
    <s v="08/06/2026"/>
    <n v="0.95674972000000003"/>
    <m/>
    <n v="50000000"/>
    <n v="47837486.130000003"/>
    <n v="50000000"/>
    <n v="47837486.130000003"/>
    <n v="29007568"/>
    <s v="AMOMPY"/>
    <s v="Momentum Capital Investment S.A."/>
    <s v="31/03/2026"/>
    <s v="31/03/2026"/>
    <n v="33"/>
    <s v="No"/>
    <s v=""/>
    <m/>
    <m/>
    <s v="*MAV240701063"/>
    <s v="*MAV240701063"/>
    <n v="1.074593012656724E-3"/>
  </r>
  <r>
    <x v="136"/>
    <s v="Pesos"/>
    <d v="2026-08-04T00:00:00"/>
    <s v="08/06/2026"/>
    <n v="0.95099144000000002"/>
    <m/>
    <n v="50000000"/>
    <n v="47549572.049999997"/>
    <n v="50000000"/>
    <n v="47549572.049999997"/>
    <n v="29007569"/>
    <s v="AMOMPY"/>
    <s v="Momentum Capital Investment S.A."/>
    <s v="31/03/2026"/>
    <s v="31/03/2026"/>
    <n v="33"/>
    <s v="No"/>
    <s v=""/>
    <m/>
    <m/>
    <s v="*MAV310701252"/>
    <s v="*MAV310701252"/>
    <n v="1.0681254809437758E-3"/>
  </r>
  <r>
    <x v="137"/>
    <s v="Pesos"/>
    <d v="2026-06-10T00:00:00"/>
    <s v="08/06/2026"/>
    <n v="0.99857737999999996"/>
    <m/>
    <n v="138969390"/>
    <n v="138771689.74000001"/>
    <n v="138969390"/>
    <n v="138771689.74000001"/>
    <n v="30012967"/>
    <s v="AMOMPY"/>
    <s v="Momentum Capital Investment S.A."/>
    <s v="11/05/2026"/>
    <s v="11/05/2026"/>
    <n v="26"/>
    <s v="No"/>
    <s v=""/>
    <m/>
    <m/>
    <s v="*MAV080601161"/>
    <s v="*MAV080601161"/>
    <n v="3.1172852131887471E-3"/>
  </r>
  <r>
    <x v="137"/>
    <s v="Pesos"/>
    <d v="2026-06-10T00:00:00"/>
    <s v="08/06/2026"/>
    <n v="0.99857737999999996"/>
    <m/>
    <n v="409578017.30000001"/>
    <n v="408995344.52999997"/>
    <n v="409578017.30000001"/>
    <n v="408995344.52999997"/>
    <n v="30012965"/>
    <s v="AMOMPY"/>
    <s v="Momentum Capital Investment S.A."/>
    <s v="11/05/2026"/>
    <s v="11/05/2026"/>
    <n v="26"/>
    <s v="No"/>
    <s v=""/>
    <m/>
    <m/>
    <s v="*MAV080601162"/>
    <s v="*MAV080601162"/>
    <n v="9.1874296706708526E-3"/>
  </r>
  <r>
    <x v="137"/>
    <s v="Pesos"/>
    <d v="2026-06-10T00:00:00"/>
    <s v="08/06/2026"/>
    <n v="0.99857737999999996"/>
    <m/>
    <n v="285628140"/>
    <n v="285221800.5"/>
    <n v="285628140"/>
    <n v="285221800.5"/>
    <n v="30012968"/>
    <s v="AMOMPY"/>
    <s v="Momentum Capital Investment S.A."/>
    <s v="11/05/2026"/>
    <s v="11/05/2026"/>
    <n v="26"/>
    <s v="No"/>
    <s v=""/>
    <m/>
    <m/>
    <s v="*MAV080601163"/>
    <s v="*MAV080601163"/>
    <n v="6.4070539376118773E-3"/>
  </r>
  <r>
    <x v="137"/>
    <s v="Pesos"/>
    <d v="2026-06-10T00:00:00"/>
    <s v="08/06/2026"/>
    <n v="0.99857737999999996"/>
    <m/>
    <n v="18466213.440000001"/>
    <n v="18439943.079999998"/>
    <n v="18466213.440000001"/>
    <n v="18439943.079999998"/>
    <n v="30012966"/>
    <s v="AMOMPY"/>
    <s v="Momentum Capital Investment S.A."/>
    <s v="11/05/2026"/>
    <s v="11/05/2026"/>
    <n v="26"/>
    <s v="No"/>
    <s v=""/>
    <m/>
    <m/>
    <s v="*MAV080601165"/>
    <s v="*MAV080601165"/>
    <n v="4.1422398187284732E-4"/>
  </r>
  <r>
    <x v="138"/>
    <s v="Pesos"/>
    <d v="2026-07-16T00:00:00"/>
    <s v="08/06/2026"/>
    <n v="0.96387451000000002"/>
    <m/>
    <n v="3214300"/>
    <n v="3098181.84"/>
    <n v="3214300"/>
    <n v="3098181.84"/>
    <n v="2466"/>
    <s v="AMOMPY"/>
    <s v="Momentum Capital Investment S.A."/>
    <s v="04/05/2026"/>
    <s v="04/05/2026"/>
    <n v="36"/>
    <s v="No"/>
    <s v=""/>
    <m/>
    <m/>
    <s v="*MAV140701413"/>
    <s v="*MAV140701413"/>
    <n v="6.9595725581325654E-5"/>
  </r>
  <r>
    <x v="138"/>
    <s v="Pesos"/>
    <d v="2026-07-17T00:00:00"/>
    <s v="08/06/2026"/>
    <n v="0.96295920000000002"/>
    <m/>
    <n v="1250000"/>
    <n v="1203699"/>
    <n v="1250000"/>
    <n v="1203699"/>
    <n v="2499"/>
    <s v="AMOMPY"/>
    <s v="Momentum Capital Investment S.A."/>
    <s v="15/05/2026"/>
    <s v="15/05/2026"/>
    <n v="36"/>
    <s v="No"/>
    <s v=""/>
    <m/>
    <m/>
    <s v="*MAV150701756"/>
    <s v="*MAV150701756"/>
    <n v="2.7039182853939943E-5"/>
  </r>
  <r>
    <x v="138"/>
    <s v="Pesos"/>
    <d v="2026-07-23T00:00:00"/>
    <s v="08/06/2026"/>
    <n v="0.95750263999999996"/>
    <m/>
    <n v="1250000"/>
    <n v="1196878.3"/>
    <n v="1250000"/>
    <n v="1196878.3"/>
    <n v="2503"/>
    <s v="AMOMPY"/>
    <s v="Momentum Capital Investment S.A."/>
    <s v="15/05/2026"/>
    <s v="15/05/2026"/>
    <n v="36"/>
    <s v="No"/>
    <s v=""/>
    <m/>
    <m/>
    <s v="*MAV210701311"/>
    <s v="*MAV210701311"/>
    <n v="2.6885966680717347E-5"/>
  </r>
  <r>
    <x v="138"/>
    <s v="Pesos"/>
    <d v="2026-07-27T00:00:00"/>
    <s v="08/06/2026"/>
    <n v="0.95389922999999999"/>
    <m/>
    <n v="1250000"/>
    <n v="1192374.04"/>
    <n v="1250000"/>
    <n v="1192374.04"/>
    <n v="2505"/>
    <s v="AMOMPY"/>
    <s v="Momentum Capital Investment S.A."/>
    <s v="15/05/2026"/>
    <s v="15/05/2026"/>
    <n v="36"/>
    <s v="No"/>
    <s v=""/>
    <m/>
    <m/>
    <s v="*MAV230701047"/>
    <s v="*MAV230701047"/>
    <n v="2.6784785646454058E-5"/>
  </r>
  <r>
    <x v="138"/>
    <s v="Pesos"/>
    <d v="2026-08-04T00:00:00"/>
    <s v="08/06/2026"/>
    <n v="0.94677341000000004"/>
    <m/>
    <n v="5882352.9299999997"/>
    <n v="5569255.3099999996"/>
    <n v="5882352.9299999997"/>
    <n v="5569255.3099999996"/>
    <n v="2620"/>
    <s v="AMOMPY"/>
    <s v="Momentum Capital Investment S.A."/>
    <s v="26/05/2026"/>
    <s v="26/05/2026"/>
    <n v="36"/>
    <s v="No"/>
    <s v=""/>
    <m/>
    <m/>
    <s v="*MAV310701515"/>
    <s v="*MAV310701515"/>
    <n v="1.2510445941000696E-4"/>
  </r>
  <r>
    <x v="138"/>
    <s v="Pesos"/>
    <d v="2026-08-05T00:00:00"/>
    <s v="08/06/2026"/>
    <n v="0.94589005999999998"/>
    <m/>
    <n v="5882352.9299999997"/>
    <n v="5564059.1500000004"/>
    <n v="5882352.9299999997"/>
    <n v="5564059.1500000004"/>
    <n v="2621"/>
    <s v="AMOMPY"/>
    <s v="Momentum Capital Investment S.A."/>
    <s v="26/05/2026"/>
    <s v="26/05/2026"/>
    <n v="36"/>
    <s v="No"/>
    <s v=""/>
    <m/>
    <m/>
    <s v="*MAV010801140"/>
    <s v="*MAV010801140"/>
    <n v="1.2498773594311175E-4"/>
  </r>
  <r>
    <x v="138"/>
    <s v="Pesos"/>
    <d v="2026-08-06T00:00:00"/>
    <s v="08/06/2026"/>
    <n v="0.94500835999999999"/>
    <m/>
    <n v="5882352.9299999997"/>
    <n v="5558872.6799999997"/>
    <n v="5882352.9299999997"/>
    <n v="5558872.6799999997"/>
    <n v="2622"/>
    <s v="AMOMPY"/>
    <s v="Momentum Capital Investment S.A."/>
    <s v="26/05/2026"/>
    <s v="26/05/2026"/>
    <n v="36"/>
    <s v="No"/>
    <s v=""/>
    <m/>
    <m/>
    <s v="*MAV040801135"/>
    <s v="*MAV040801135"/>
    <n v="1.2487123014664892E-4"/>
  </r>
  <r>
    <x v="138"/>
    <s v="Pesos"/>
    <d v="2026-07-30T00:00:00"/>
    <s v="08/06/2026"/>
    <n v="0.95121447000000003"/>
    <m/>
    <n v="5882352.9299999997"/>
    <n v="5595379.25"/>
    <n v="5882352.9299999997"/>
    <n v="5595379.25"/>
    <n v="2617"/>
    <s v="AMOMPY"/>
    <s v="Momentum Capital Investment S.A."/>
    <s v="26/05/2026"/>
    <s v="26/05/2026"/>
    <n v="36"/>
    <s v="No"/>
    <s v=""/>
    <m/>
    <m/>
    <s v="*MAV280701317"/>
    <s v="*MAV280701317"/>
    <n v="1.2569129215683601E-4"/>
  </r>
  <r>
    <x v="138"/>
    <s v="Pesos"/>
    <d v="2026-07-31T00:00:00"/>
    <s v="08/06/2026"/>
    <n v="0.95032309000000004"/>
    <m/>
    <n v="5882352.9299999997"/>
    <n v="5590135.7999999998"/>
    <n v="5882352.9299999997"/>
    <n v="5590135.7999999998"/>
    <n v="2618"/>
    <s v="AMOMPY"/>
    <s v="Momentum Capital Investment S.A."/>
    <s v="26/05/2026"/>
    <s v="26/05/2026"/>
    <n v="36"/>
    <s v="No"/>
    <s v=""/>
    <m/>
    <m/>
    <s v="*MAV290701251"/>
    <s v="*MAV290701251"/>
    <n v="1.2557350639533292E-4"/>
  </r>
  <r>
    <x v="138"/>
    <s v="Pesos"/>
    <d v="2026-08-03T00:00:00"/>
    <s v="08/06/2026"/>
    <n v="0.94765814000000004"/>
    <m/>
    <n v="5882352.9299999997"/>
    <n v="5574459.6500000004"/>
    <n v="5882352.9299999997"/>
    <n v="5574459.6500000004"/>
    <n v="2619"/>
    <s v="AMOMPY"/>
    <s v="Momentum Capital Investment S.A."/>
    <s v="26/05/2026"/>
    <s v="26/05/2026"/>
    <n v="36"/>
    <s v="No"/>
    <s v=""/>
    <m/>
    <m/>
    <s v="*MAV300701271"/>
    <s v="*MAV300701271"/>
    <n v="1.2522136662758719E-4"/>
  </r>
  <r>
    <x v="138"/>
    <s v="Pesos"/>
    <d v="2026-09-14T00:00:00"/>
    <s v="08/06/2026"/>
    <n v="0.91186193000000004"/>
    <m/>
    <n v="2333401.2200000002"/>
    <n v="2127739.75"/>
    <n v="2333401.2200000002"/>
    <n v="2127739.75"/>
    <n v="2660"/>
    <s v="AMOMPY"/>
    <s v="Momentum Capital Investment S.A."/>
    <s v="27/05/2026"/>
    <s v="27/05/2026"/>
    <n v="36"/>
    <s v="No"/>
    <s v=""/>
    <m/>
    <m/>
    <s v="*MAV100901188"/>
    <s v="*MAV100901188"/>
    <n v="4.7796288080198173E-5"/>
  </r>
  <r>
    <x v="138"/>
    <s v="Pesos"/>
    <d v="2026-09-08T00:00:00"/>
    <s v="08/06/2026"/>
    <n v="0.91680914000000002"/>
    <m/>
    <n v="2333401.2200000002"/>
    <n v="2139283.56"/>
    <n v="2333401.2200000002"/>
    <n v="2139283.56"/>
    <n v="2664"/>
    <s v="AMOMPY"/>
    <s v="Momentum Capital Investment S.A."/>
    <s v="27/05/2026"/>
    <s v="27/05/2026"/>
    <n v="36"/>
    <s v="No"/>
    <s v=""/>
    <m/>
    <m/>
    <s v="*MAV040900922"/>
    <s v="*MAV040900922"/>
    <n v="4.8055601404726271E-5"/>
  </r>
  <r>
    <x v="138"/>
    <s v="Pesos"/>
    <d v="2026-09-09T00:00:00"/>
    <s v="08/06/2026"/>
    <n v="0.91598078999999999"/>
    <m/>
    <n v="2333401.2200000002"/>
    <n v="2137350.69"/>
    <n v="2333401.2200000002"/>
    <n v="2137350.69"/>
    <n v="2663"/>
    <s v="AMOMPY"/>
    <s v="Momentum Capital Investment S.A."/>
    <s v="27/05/2026"/>
    <s v="27/05/2026"/>
    <n v="36"/>
    <s v="No"/>
    <s v=""/>
    <m/>
    <m/>
    <s v="*MAV050901245"/>
    <s v="*MAV050901245"/>
    <n v="4.8012182555526509E-5"/>
  </r>
  <r>
    <x v="138"/>
    <s v="Pesos"/>
    <d v="2026-09-10T00:00:00"/>
    <s v="08/06/2026"/>
    <n v="0.91515420000000003"/>
    <m/>
    <n v="2333401.2200000002"/>
    <n v="2135421.9300000002"/>
    <n v="2333401.2200000002"/>
    <n v="2135421.9300000002"/>
    <n v="2662"/>
    <s v="AMOMPY"/>
    <s v="Momentum Capital Investment S.A."/>
    <s v="27/05/2026"/>
    <s v="27/05/2026"/>
    <n v="36"/>
    <s v="No"/>
    <s v=""/>
    <m/>
    <m/>
    <s v="*MAV080901150"/>
    <s v="*MAV080901150"/>
    <n v="4.7968856030937425E-5"/>
  </r>
  <r>
    <x v="138"/>
    <s v="Pesos"/>
    <d v="2026-09-11T00:00:00"/>
    <s v="08/06/2026"/>
    <n v="0.91432884000000003"/>
    <m/>
    <n v="2333401.2200000002"/>
    <n v="2133496.0299999998"/>
    <n v="2333401.2200000002"/>
    <n v="2133496.0299999998"/>
    <n v="2661"/>
    <s v="AMOMPY"/>
    <s v="Momentum Capital Investment S.A."/>
    <s v="27/05/2026"/>
    <s v="27/05/2026"/>
    <n v="36"/>
    <s v="No"/>
    <s v=""/>
    <m/>
    <m/>
    <s v="*MAV090901146"/>
    <s v="*MAV090901146"/>
    <n v="4.7925593751697839E-5"/>
  </r>
  <r>
    <x v="138"/>
    <s v="Pesos"/>
    <d v="2026-09-07T00:00:00"/>
    <s v="08/06/2026"/>
    <n v="0.91763899000000004"/>
    <m/>
    <n v="2333401.2200000002"/>
    <n v="2141219.94"/>
    <n v="2333401.2200000002"/>
    <n v="2141219.94"/>
    <n v="2665"/>
    <s v="AMOMPY"/>
    <s v="Momentum Capital Investment S.A."/>
    <s v="27/05/2026"/>
    <s v="27/05/2026"/>
    <n v="36"/>
    <s v="No"/>
    <s v=""/>
    <m/>
    <m/>
    <s v="*MAV030900820"/>
    <s v="*MAV030900820"/>
    <n v="4.809909910049133E-5"/>
  </r>
  <r>
    <x v="139"/>
    <s v="Dolar 3500"/>
    <d v="2028-01-27T00:00:00"/>
    <s v="08/06/2026"/>
    <n v="0.85922692000000001"/>
    <s v="1 US3 = 1445,3977163583 $"/>
    <n v="20856"/>
    <n v="17920.04"/>
    <n v="30145214.77"/>
    <n v="25901584.890000001"/>
    <n v="134918"/>
    <s v="AMOMPY"/>
    <s v="Momentum Capital Investment S.A."/>
    <s v="30/12/2025"/>
    <s v="30/12/2025"/>
    <n v="10"/>
    <s v="No"/>
    <s v=""/>
    <m/>
    <m/>
    <s v="#UMV250180006"/>
    <s v="#UMV250180006"/>
    <n v="5.8183789306758416E-4"/>
  </r>
  <r>
    <x v="139"/>
    <s v="Dolar 3500"/>
    <d v="2027-07-28T00:00:00"/>
    <s v="08/06/2026"/>
    <n v="0.89790853000000004"/>
    <s v="1 US3 = 1445,3977163583 $"/>
    <n v="20856"/>
    <n v="18726.78"/>
    <n v="30145214.77"/>
    <n v="27067645.050000001"/>
    <n v="134917"/>
    <s v="AMOMPY"/>
    <s v="Momentum Capital Investment S.A."/>
    <s v="30/12/2025"/>
    <s v="30/12/2025"/>
    <n v="10"/>
    <s v="No"/>
    <s v=""/>
    <m/>
    <m/>
    <s v="#UMV250770007"/>
    <s v="#UMV250770007"/>
    <n v="6.0803157926731888E-4"/>
  </r>
  <r>
    <x v="139"/>
    <s v="Dolar 3500"/>
    <d v="2028-07-27T00:00:00"/>
    <s v="08/06/2026"/>
    <n v="0.82392927000000005"/>
    <s v="1 US3 = 1445,3977163583 $"/>
    <n v="20856"/>
    <n v="17183.87"/>
    <n v="30145214.77"/>
    <n v="24837526.460000001"/>
    <n v="134919"/>
    <s v="AMOMPY"/>
    <s v="Momentum Capital Investment S.A."/>
    <s v="30/12/2025"/>
    <s v="30/12/2025"/>
    <n v="10"/>
    <s v="No"/>
    <s v=""/>
    <m/>
    <m/>
    <s v="#UMV250780006"/>
    <s v="#UMV250780006"/>
    <n v="5.5793551343941605E-4"/>
  </r>
  <r>
    <x v="139"/>
    <s v="Dolar 3500"/>
    <d v="2027-01-27T00:00:00"/>
    <s v="08/06/2026"/>
    <n v="0.93999566000000001"/>
    <s v="1 US3 = 1445,3977163583 $"/>
    <n v="13904"/>
    <n v="13069.7"/>
    <n v="20096809.850000001"/>
    <n v="18890914.530000001"/>
    <n v="134916"/>
    <s v="AMOMPY"/>
    <s v="Momentum Capital Investment S.A."/>
    <s v="30/12/2025"/>
    <s v="30/12/2025"/>
    <n v="10"/>
    <s v="No"/>
    <s v=""/>
    <m/>
    <m/>
    <s v="#UMV250170065"/>
    <s v="#UMV250170065"/>
    <n v="4.2435433796557192E-4"/>
  </r>
  <r>
    <x v="140"/>
    <s v="Pesos"/>
    <d v="2026-06-23T00:00:00"/>
    <s v="08/06/2026"/>
    <n v="0.98303258999999998"/>
    <m/>
    <n v="14350000"/>
    <n v="14106517.68"/>
    <n v="14350000"/>
    <n v="14106517.68"/>
    <n v="512"/>
    <s v="AMOMPY"/>
    <s v="Momentum Capital Investment S.A."/>
    <s v="21/01/2026"/>
    <s v="21/01/2026"/>
    <n v="42"/>
    <s v="No"/>
    <s v=""/>
    <m/>
    <m/>
    <s v="*MAV190600820"/>
    <s v="*MAV190600820"/>
    <n v="3.1688047508709126E-4"/>
  </r>
  <r>
    <x v="141"/>
    <s v="Pesos"/>
    <d v="2026-07-21T00:00:00"/>
    <s v="08/06/2026"/>
    <n v="0.96257824000000003"/>
    <m/>
    <n v="1000000"/>
    <n v="962578.24"/>
    <n v="1000000"/>
    <n v="962578.24"/>
    <n v="2417"/>
    <s v="AMOMPY"/>
    <s v="Momentum Capital Investment S.A."/>
    <s v="29/05/2026"/>
    <s v="29/05/2026"/>
    <n v="33"/>
    <s v="No"/>
    <s v=""/>
    <m/>
    <m/>
    <s v="*MAV170701734"/>
    <s v="*MAV170701734"/>
    <n v="2.1622788622889682E-5"/>
  </r>
  <r>
    <x v="141"/>
    <s v="Pesos"/>
    <d v="2026-07-28T00:00:00"/>
    <s v="08/06/2026"/>
    <n v="0.95674981999999997"/>
    <m/>
    <n v="1215528.29"/>
    <n v="1162956.47"/>
    <n v="1215528.29"/>
    <n v="1162956.47"/>
    <n v="2418"/>
    <s v="AMOMPY"/>
    <s v="Momentum Capital Investment S.A."/>
    <s v="29/05/2026"/>
    <s v="29/05/2026"/>
    <n v="33"/>
    <s v="No"/>
    <s v=""/>
    <m/>
    <m/>
    <s v="*MAV240701317"/>
    <s v="*MAV240701317"/>
    <n v="2.6123966742102902E-5"/>
  </r>
  <r>
    <x v="141"/>
    <s v="Pesos"/>
    <d v="2026-07-31T00:00:00"/>
    <s v="08/06/2026"/>
    <n v="0.95559755000000002"/>
    <m/>
    <n v="2700000"/>
    <n v="2580113.38"/>
    <n v="2700000"/>
    <n v="2580113.38"/>
    <n v="2425"/>
    <s v="AMOMPY"/>
    <s v="Momentum Capital Investment S.A."/>
    <s v="04/06/2026"/>
    <s v="04/06/2026"/>
    <n v="32"/>
    <s v="No"/>
    <s v=""/>
    <m/>
    <m/>
    <s v="*MAV290701308"/>
    <s v="*MAV290701308"/>
    <n v="5.7958141915642557E-5"/>
  </r>
  <r>
    <x v="141"/>
    <s v="Pesos"/>
    <d v="2026-08-03T00:00:00"/>
    <s v="08/06/2026"/>
    <n v="0.95320187000000001"/>
    <m/>
    <n v="2885565.11"/>
    <n v="2750526.05"/>
    <n v="2885565.11"/>
    <n v="2750526.05"/>
    <n v="2426"/>
    <s v="AMOMPY"/>
    <s v="Momentum Capital Investment S.A."/>
    <s v="04/06/2026"/>
    <s v="04/06/2026"/>
    <n v="32"/>
    <s v="No"/>
    <s v=""/>
    <m/>
    <m/>
    <s v="*MAV300701333"/>
    <s v="*MAV300701333"/>
    <n v="6.1786191407050401E-5"/>
  </r>
  <r>
    <x v="142"/>
    <s v="Pesos"/>
    <d v="2026-07-22T00:00:00"/>
    <s v="08/06/2026"/>
    <n v="0.96174119999999996"/>
    <m/>
    <n v="2368425.38"/>
    <n v="2277812.2599999998"/>
    <n v="2368425.38"/>
    <n v="2277812.2599999998"/>
    <n v="9870354"/>
    <s v="AMOMPY"/>
    <s v="Momentum Capital Investment S.A."/>
    <s v="29/05/2026"/>
    <s v="29/05/2026"/>
    <n v="33"/>
    <s v="No"/>
    <s v=""/>
    <m/>
    <m/>
    <s v="*MAV200701282"/>
    <s v="*MAV200701282"/>
    <n v="5.1167428240021955E-5"/>
  </r>
  <r>
    <x v="143"/>
    <s v="Pesos"/>
    <d v="2026-07-15T00:00:00"/>
    <s v="08/06/2026"/>
    <n v="0.96763089000000002"/>
    <m/>
    <n v="3696352.34"/>
    <n v="3576704.72"/>
    <n v="3696352.34"/>
    <n v="3576704.72"/>
    <n v="90029423"/>
    <s v="AMOMPY"/>
    <s v="Momentum Capital Investment S.A."/>
    <s v="27/05/2026"/>
    <s v="27/05/2026"/>
    <n v="33"/>
    <s v="No"/>
    <s v=""/>
    <m/>
    <m/>
    <s v="*MAV110701290"/>
    <s v="*MAV110701290"/>
    <n v="8.0344980712478839E-5"/>
  </r>
  <r>
    <x v="144"/>
    <s v="Pesos"/>
    <d v="2026-07-17T00:00:00"/>
    <s v="08/06/2026"/>
    <n v="0.96594082000000003"/>
    <m/>
    <n v="1151000"/>
    <n v="1111797.8799999999"/>
    <n v="1151000"/>
    <n v="1111797.8799999999"/>
    <n v="29109534"/>
    <s v="AMOMPY"/>
    <s v="Momentum Capital Investment S.A."/>
    <s v="29/05/2026"/>
    <s v="29/05/2026"/>
    <n v="33"/>
    <s v="No"/>
    <s v=""/>
    <m/>
    <m/>
    <s v="*MAV150701881"/>
    <s v="*MAV150701881"/>
    <n v="2.497477041514762E-5"/>
  </r>
  <r>
    <x v="145"/>
    <s v="Pesos"/>
    <d v="2026-06-18T00:00:00"/>
    <s v="08/06/2026"/>
    <n v="0.98889194000000002"/>
    <m/>
    <n v="1149527"/>
    <n v="1136757.98"/>
    <n v="1149527"/>
    <n v="1136757.98"/>
    <n v="9939"/>
    <s v="AMOMPY"/>
    <s v="Momentum Capital Investment S.A."/>
    <s v="01/04/2026"/>
    <s v="01/04/2026"/>
    <n v="41"/>
    <s v="No"/>
    <s v=""/>
    <m/>
    <m/>
    <s v="*MAV130601121"/>
    <s v="*MAV130601121"/>
    <n v="2.5535459348138867E-5"/>
  </r>
  <r>
    <x v="146"/>
    <s v="Pesos"/>
    <d v="2026-08-05T00:00:00"/>
    <s v="08/06/2026"/>
    <n v="0.95161121999999998"/>
    <m/>
    <n v="1017218.53"/>
    <n v="967996.57"/>
    <n v="1017218.53"/>
    <n v="967996.57"/>
    <n v="67391910"/>
    <s v="AMOMPY"/>
    <s v="Momentum Capital Investment S.A."/>
    <s v="04/06/2026"/>
    <s v="04/06/2026"/>
    <n v="32"/>
    <s v="No"/>
    <s v=""/>
    <m/>
    <m/>
    <s v="*MAV010801166"/>
    <s v="*MAV010801166"/>
    <n v="2.1744502785344738E-5"/>
  </r>
  <r>
    <x v="110"/>
    <s v="Pesos"/>
    <d v="2026-06-23T00:00:00"/>
    <s v="08/06/2026"/>
    <n v="0.98382751000000002"/>
    <m/>
    <n v="10000000"/>
    <n v="9838275.1400000006"/>
    <n v="10000000"/>
    <n v="9838275.1400000006"/>
    <n v="1343"/>
    <s v="AMOMPY"/>
    <s v="Momentum Capital Investment S.A."/>
    <s v="24/02/2026"/>
    <s v="24/02/2026"/>
    <n v="40"/>
    <s v="No"/>
    <s v=""/>
    <m/>
    <m/>
    <s v="*MAV190600834"/>
    <s v="*MAV190600834"/>
    <n v="2.2100119754010897E-4"/>
  </r>
  <r>
    <x v="110"/>
    <s v="Pesos"/>
    <d v="2026-06-30T00:00:00"/>
    <s v="08/06/2026"/>
    <n v="0.97645802999999998"/>
    <m/>
    <n v="10000000"/>
    <n v="9764580.3100000005"/>
    <n v="10000000"/>
    <n v="9764580.3100000005"/>
    <n v="1344"/>
    <s v="AMOMPY"/>
    <s v="Momentum Capital Investment S.A."/>
    <s v="24/02/2026"/>
    <s v="24/02/2026"/>
    <n v="40"/>
    <s v="No"/>
    <s v=""/>
    <m/>
    <m/>
    <s v="*MAV260601012"/>
    <s v="*MAV260601012"/>
    <n v="2.1934576043850797E-4"/>
  </r>
  <r>
    <x v="110"/>
    <s v="Pesos"/>
    <d v="2026-06-10T00:00:00"/>
    <s v="08/06/2026"/>
    <n v="0.99781302000000005"/>
    <m/>
    <n v="10000000"/>
    <n v="9978130.1999999993"/>
    <n v="10000000"/>
    <n v="9978130.1999999993"/>
    <n v="1341"/>
    <s v="AMOMPY"/>
    <s v="Momentum Capital Investment S.A."/>
    <s v="24/02/2026"/>
    <s v="24/02/2026"/>
    <n v="40"/>
    <s v="No"/>
    <s v=""/>
    <m/>
    <m/>
    <s v="*MAV060601073"/>
    <s v="*MAV060601073"/>
    <n v="2.2414281894246013E-4"/>
  </r>
  <r>
    <x v="147"/>
    <s v="Pesos"/>
    <d v="2026-07-28T00:00:00"/>
    <s v="08/06/2026"/>
    <n v="0.96369638999999996"/>
    <m/>
    <n v="150000000"/>
    <n v="144554458.31"/>
    <n v="150000000"/>
    <n v="144554458.31"/>
    <n v="1762"/>
    <s v="AMOMPY"/>
    <s v="Momentum Capital Investment S.A."/>
    <s v="21/04/2026"/>
    <s v="21/04/2026"/>
    <n v="27.5"/>
    <s v="No"/>
    <s v=""/>
    <m/>
    <m/>
    <s v="*MIL240700031"/>
    <s v="*MIL240700031"/>
    <n v="3.2471859082680377E-3"/>
  </r>
  <r>
    <x v="147"/>
    <s v="Pesos"/>
    <d v="2026-06-12T00:00:00"/>
    <s v="08/06/2026"/>
    <n v="0.99672311000000002"/>
    <m/>
    <n v="3500000"/>
    <n v="3488530.87"/>
    <n v="3500000"/>
    <n v="3488530.87"/>
    <n v="324"/>
    <s v="AMOMPY"/>
    <s v="Momentum Capital Investment S.A."/>
    <s v="08/04/2026"/>
    <s v="08/04/2026"/>
    <n v="30"/>
    <s v="No"/>
    <s v=""/>
    <m/>
    <m/>
    <s v="*MIL100600033"/>
    <s v="*MIL100600033"/>
    <n v="7.8364295463852844E-5"/>
  </r>
  <r>
    <x v="147"/>
    <s v="Pesos"/>
    <d v="2026-06-24T00:00:00"/>
    <s v="08/06/2026"/>
    <n v="0.98702005999999998"/>
    <m/>
    <n v="3500000"/>
    <n v="3454570.23"/>
    <n v="3500000"/>
    <n v="3454570.23"/>
    <n v="325"/>
    <s v="AMOMPY"/>
    <s v="Momentum Capital Investment S.A."/>
    <s v="08/04/2026"/>
    <s v="08/04/2026"/>
    <n v="30"/>
    <s v="No"/>
    <s v=""/>
    <m/>
    <m/>
    <s v="*MIL200600038"/>
    <s v="*MIL200600038"/>
    <n v="7.7601423720338199E-5"/>
  </r>
  <r>
    <x v="147"/>
    <s v="Pesos"/>
    <d v="2026-07-08T00:00:00"/>
    <s v="08/06/2026"/>
    <n v="0.97593584"/>
    <m/>
    <n v="35000000"/>
    <n v="34157754.229999997"/>
    <n v="35000000"/>
    <n v="34157754.229999997"/>
    <n v="10948"/>
    <s v="AMOMPY"/>
    <s v="Momentum Capital Investment S.A."/>
    <s v="08/04/2026"/>
    <s v="08/04/2026"/>
    <n v="30"/>
    <s v="No"/>
    <s v=""/>
    <m/>
    <m/>
    <s v="*MIL060700029"/>
    <s v="*MIL060700029"/>
    <n v="7.6729960106713599E-4"/>
  </r>
  <r>
    <x v="147"/>
    <s v="Pesos"/>
    <d v="2026-06-09T00:00:00"/>
    <s v="08/06/2026"/>
    <n v="0.99917876000000005"/>
    <m/>
    <n v="18000000"/>
    <n v="17985217.629999999"/>
    <n v="18000000"/>
    <n v="17985217.629999999"/>
    <n v="14164"/>
    <s v="AMOMPY"/>
    <s v="Momentum Capital Investment S.A."/>
    <s v="08/04/2026"/>
    <s v="08/04/2026"/>
    <n v="30"/>
    <s v="No"/>
    <s v=""/>
    <m/>
    <m/>
    <s v="*MIL050600026"/>
    <s v="*MIL050600026"/>
    <n v="4.0400929814303607E-4"/>
  </r>
  <r>
    <x v="147"/>
    <s v="Pesos"/>
    <d v="2026-07-02T00:00:00"/>
    <s v="08/06/2026"/>
    <n v="0.98065557000000003"/>
    <m/>
    <n v="35000000"/>
    <n v="34322945.119999997"/>
    <n v="35000000"/>
    <n v="34322945.119999997"/>
    <n v="1451"/>
    <s v="AMOMPY"/>
    <s v="Momentum Capital Investment S.A."/>
    <s v="06/04/2026"/>
    <s v="06/04/2026"/>
    <n v="30"/>
    <s v="No"/>
    <s v=""/>
    <m/>
    <m/>
    <s v="*MIL300600058"/>
    <s v="*MIL300600058"/>
    <n v="7.7101035157911199E-4"/>
  </r>
  <r>
    <x v="147"/>
    <s v="Pesos"/>
    <d v="2026-07-15T00:00:00"/>
    <s v="08/06/2026"/>
    <n v="0.97048663999999996"/>
    <m/>
    <n v="35000000"/>
    <n v="33967032.25"/>
    <n v="35000000"/>
    <n v="33967032.25"/>
    <n v="1452"/>
    <s v="AMOMPY"/>
    <s v="Momentum Capital Investment S.A."/>
    <s v="06/04/2026"/>
    <s v="06/04/2026"/>
    <n v="30"/>
    <s v="No"/>
    <s v=""/>
    <m/>
    <m/>
    <s v="*MIL100700041"/>
    <s v="*MIL100700041"/>
    <n v="7.6301533524030939E-4"/>
  </r>
  <r>
    <x v="147"/>
    <s v="Pesos"/>
    <d v="2026-07-24T00:00:00"/>
    <s v="08/06/2026"/>
    <n v="0.96356925000000004"/>
    <m/>
    <n v="10000000"/>
    <n v="9635692.5199999996"/>
    <n v="10000000"/>
    <n v="9635692.5199999996"/>
    <n v="1372330"/>
    <s v="AMOMPY"/>
    <s v="Momentum Capital Investment S.A."/>
    <s v="01/04/2026"/>
    <s v="01/04/2026"/>
    <n v="30"/>
    <s v="No"/>
    <s v=""/>
    <m/>
    <m/>
    <s v="*MIL220700034"/>
    <s v="*MIL220700034"/>
    <n v="2.1645050130690593E-4"/>
  </r>
  <r>
    <x v="147"/>
    <s v="Pesos"/>
    <d v="2026-07-29T00:00:00"/>
    <s v="08/06/2026"/>
    <n v="0.95976865"/>
    <m/>
    <n v="10000000"/>
    <n v="9597686.5099999998"/>
    <n v="10000000"/>
    <n v="9597686.5099999998"/>
    <n v="65931682"/>
    <s v="AMOMPY"/>
    <s v="Momentum Capital Investment S.A."/>
    <s v="01/04/2026"/>
    <s v="01/04/2026"/>
    <n v="30"/>
    <s v="No"/>
    <s v=""/>
    <m/>
    <m/>
    <s v="*MIL250700032"/>
    <s v="*MIL250700032"/>
    <n v="2.1559675676284743E-4"/>
  </r>
  <r>
    <x v="147"/>
    <s v="Pesos"/>
    <d v="2026-08-04T00:00:00"/>
    <s v="08/06/2026"/>
    <n v="0.95524741000000002"/>
    <m/>
    <n v="10000000"/>
    <n v="9552474.1199999992"/>
    <n v="10000000"/>
    <n v="9552474.1199999992"/>
    <n v="65931757"/>
    <s v="AMOMPY"/>
    <s v="Momentum Capital Investment S.A."/>
    <s v="01/04/2026"/>
    <s v="01/04/2026"/>
    <n v="30"/>
    <s v="No"/>
    <s v=""/>
    <m/>
    <m/>
    <s v="*MIL310700029"/>
    <s v="*MIL310700029"/>
    <n v="2.1458113235801394E-4"/>
  </r>
  <r>
    <x v="147"/>
    <s v="Pesos"/>
    <d v="2026-06-30T00:00:00"/>
    <s v="08/06/2026"/>
    <n v="0.98282084999999997"/>
    <m/>
    <n v="15000000"/>
    <n v="14742312.810000001"/>
    <n v="15000000"/>
    <n v="14742312.810000001"/>
    <n v="15"/>
    <s v="AMOMPY"/>
    <s v="Momentum Capital Investment S.A."/>
    <s v="01/04/2026"/>
    <s v="01/04/2026"/>
    <n v="29"/>
    <s v="No"/>
    <s v=""/>
    <m/>
    <m/>
    <s v="*MIL260600028"/>
    <s v="*MIL260600028"/>
    <n v="3.31162601081808E-4"/>
  </r>
  <r>
    <x v="147"/>
    <s v="Pesos"/>
    <d v="2026-06-30T00:00:00"/>
    <s v="08/06/2026"/>
    <n v="0.98282084999999997"/>
    <m/>
    <n v="26000000"/>
    <n v="25553342.199999999"/>
    <n v="26000000"/>
    <n v="25553342.199999999"/>
    <n v="65889075"/>
    <s v="AMOMPY"/>
    <s v="Momentum Capital Investment S.A."/>
    <s v="01/04/2026"/>
    <s v="01/04/2026"/>
    <n v="29"/>
    <s v="No"/>
    <s v=""/>
    <m/>
    <m/>
    <s v="*MIL260600029"/>
    <s v="*MIL260600029"/>
    <n v="5.740151751186135E-4"/>
  </r>
  <r>
    <x v="147"/>
    <s v="Pesos"/>
    <d v="2026-07-02T00:00:00"/>
    <s v="08/06/2026"/>
    <n v="0.98128837000000002"/>
    <m/>
    <n v="30000000"/>
    <n v="29438651.050000001"/>
    <n v="30000000"/>
    <n v="29438651.050000001"/>
    <n v="10941"/>
    <s v="AMOMPY"/>
    <s v="Momentum Capital Investment S.A."/>
    <s v="01/04/2026"/>
    <s v="01/04/2026"/>
    <n v="29"/>
    <s v="No"/>
    <s v=""/>
    <m/>
    <m/>
    <s v="*MIL300600056"/>
    <s v="*MIL300600056"/>
    <n v="6.612924565977717E-4"/>
  </r>
  <r>
    <x v="147"/>
    <s v="Pesos"/>
    <d v="2026-07-02T00:00:00"/>
    <s v="08/06/2026"/>
    <n v="0.98128837000000002"/>
    <m/>
    <n v="33000000"/>
    <n v="32382516.149999999"/>
    <n v="33000000"/>
    <n v="32382516.149999999"/>
    <n v="67"/>
    <s v="AMOMPY"/>
    <s v="Momentum Capital Investment S.A."/>
    <s v="01/04/2026"/>
    <s v="01/04/2026"/>
    <n v="29"/>
    <s v="No"/>
    <s v=""/>
    <m/>
    <m/>
    <s v="*MIL300600057"/>
    <s v="*MIL300600057"/>
    <n v="7.2742170214523173E-4"/>
  </r>
  <r>
    <x v="147"/>
    <s v="Pesos"/>
    <d v="2026-07-15T00:00:00"/>
    <s v="08/06/2026"/>
    <n v="0.97239991000000003"/>
    <m/>
    <n v="15000000"/>
    <n v="14585998.710000001"/>
    <n v="15000000"/>
    <n v="14585998.710000001"/>
    <n v="13039364"/>
    <s v="AMOMPY"/>
    <s v="Momentum Capital Investment S.A."/>
    <s v="14/04/2026"/>
    <s v="14/04/2026"/>
    <n v="28"/>
    <s v="No"/>
    <s v=""/>
    <m/>
    <m/>
    <s v="*MIL100700042"/>
    <s v="*MIL100700042"/>
    <n v="3.2765125353350147E-4"/>
  </r>
  <r>
    <x v="147"/>
    <s v="Pesos"/>
    <d v="2026-07-15T00:00:00"/>
    <s v="08/06/2026"/>
    <n v="0.97239991000000003"/>
    <m/>
    <n v="15000000"/>
    <n v="14585998.710000001"/>
    <n v="15000000"/>
    <n v="14585998.710000001"/>
    <n v="13039368"/>
    <s v="AMOMPY"/>
    <s v="Momentum Capital Investment S.A."/>
    <s v="14/04/2026"/>
    <s v="14/04/2026"/>
    <n v="28"/>
    <s v="No"/>
    <s v=""/>
    <m/>
    <m/>
    <s v="*MIL100700043"/>
    <s v="*MIL100700043"/>
    <n v="3.2765125353350147E-4"/>
  </r>
  <r>
    <x v="147"/>
    <s v="Pesos"/>
    <d v="2026-07-15T00:00:00"/>
    <s v="08/06/2026"/>
    <n v="0.97239991000000003"/>
    <m/>
    <n v="15000000"/>
    <n v="14585998.710000001"/>
    <n v="15000000"/>
    <n v="14585998.710000001"/>
    <n v="13039366"/>
    <s v="AMOMPY"/>
    <s v="Momentum Capital Investment S.A."/>
    <s v="14/04/2026"/>
    <s v="14/04/2026"/>
    <n v="28"/>
    <s v="No"/>
    <s v=""/>
    <m/>
    <m/>
    <s v="*MIL100700044"/>
    <s v="*MIL100700044"/>
    <n v="3.2765125353350147E-4"/>
  </r>
  <r>
    <x v="147"/>
    <s v="Pesos"/>
    <d v="2026-07-15T00:00:00"/>
    <s v="08/06/2026"/>
    <n v="0.97239991000000003"/>
    <m/>
    <n v="15000000"/>
    <n v="14585998.710000001"/>
    <n v="15000000"/>
    <n v="14585998.710000001"/>
    <n v="13039365"/>
    <s v="AMOMPY"/>
    <s v="Momentum Capital Investment S.A."/>
    <s v="14/04/2026"/>
    <s v="14/04/2026"/>
    <n v="28"/>
    <s v="No"/>
    <s v=""/>
    <m/>
    <m/>
    <s v="*MIL100700045"/>
    <s v="*MIL100700045"/>
    <n v="3.2765125353350147E-4"/>
  </r>
  <r>
    <x v="147"/>
    <s v="Pesos"/>
    <d v="2026-07-15T00:00:00"/>
    <s v="08/06/2026"/>
    <n v="0.97239991000000003"/>
    <m/>
    <n v="15000000"/>
    <n v="14585998.710000001"/>
    <n v="15000000"/>
    <n v="14585998.710000001"/>
    <n v="13039367"/>
    <s v="AMOMPY"/>
    <s v="Momentum Capital Investment S.A."/>
    <s v="14/04/2026"/>
    <s v="14/04/2026"/>
    <n v="28"/>
    <s v="No"/>
    <s v=""/>
    <m/>
    <m/>
    <s v="*MIL100700046"/>
    <s v="*MIL100700046"/>
    <n v="3.2765125353350147E-4"/>
  </r>
  <r>
    <x v="147"/>
    <s v="Pesos"/>
    <d v="2026-07-15T00:00:00"/>
    <s v="08/06/2026"/>
    <n v="0.97239991000000003"/>
    <m/>
    <n v="7000000"/>
    <n v="6806799.3700000001"/>
    <n v="7000000"/>
    <n v="6806799.3700000001"/>
    <n v="13039369"/>
    <s v="AMOMPY"/>
    <s v="Momentum Capital Investment S.A."/>
    <s v="14/04/2026"/>
    <s v="14/04/2026"/>
    <n v="28"/>
    <s v="No"/>
    <s v=""/>
    <m/>
    <m/>
    <s v="*MIL100700047"/>
    <s v="*MIL100700047"/>
    <n v="1.5290391768665857E-4"/>
  </r>
  <r>
    <x v="147"/>
    <s v="Pesos"/>
    <d v="2026-07-22T00:00:00"/>
    <s v="08/06/2026"/>
    <n v="0.96622205000000005"/>
    <m/>
    <n v="11000000"/>
    <n v="10628442.5"/>
    <n v="11000000"/>
    <n v="10628442.5"/>
    <n v="269"/>
    <s v="AMOMPY"/>
    <s v="Momentum Capital Investment S.A."/>
    <s v="14/04/2026"/>
    <s v="14/04/2026"/>
    <n v="29"/>
    <s v="No"/>
    <s v=""/>
    <m/>
    <m/>
    <s v="*MIL200700043"/>
    <s v="*MIL200700043"/>
    <n v="2.3875105006325217E-4"/>
  </r>
  <r>
    <x v="147"/>
    <s v="Pesos"/>
    <d v="2026-07-29T00:00:00"/>
    <s v="08/06/2026"/>
    <n v="0.96105755000000004"/>
    <m/>
    <n v="11000000"/>
    <n v="10571633.050000001"/>
    <n v="11000000"/>
    <n v="10571633.050000001"/>
    <n v="270"/>
    <s v="AMOMPY"/>
    <s v="Momentum Capital Investment S.A."/>
    <s v="14/04/2026"/>
    <s v="14/04/2026"/>
    <n v="29"/>
    <s v="No"/>
    <s v=""/>
    <m/>
    <m/>
    <s v="*MIL270700024"/>
    <s v="*MIL270700024"/>
    <n v="2.3747491615736563E-4"/>
  </r>
  <r>
    <x v="147"/>
    <s v="Pesos"/>
    <d v="2026-06-24T00:00:00"/>
    <s v="08/06/2026"/>
    <n v="0.98787488999999995"/>
    <m/>
    <n v="9000000"/>
    <n v="8890873.9700000007"/>
    <n v="9000000"/>
    <n v="8890873.9700000007"/>
    <n v="66179070"/>
    <s v="AMOMPY"/>
    <s v="Momentum Capital Investment S.A."/>
    <s v="14/04/2026"/>
    <s v="14/04/2026"/>
    <n v="28"/>
    <s v="No"/>
    <s v=""/>
    <m/>
    <m/>
    <s v="*MIL220600031"/>
    <s v="*MIL220600031"/>
    <n v="1.997193376468411E-4"/>
  </r>
  <r>
    <x v="147"/>
    <s v="Pesos"/>
    <d v="2026-07-24T00:00:00"/>
    <s v="08/06/2026"/>
    <n v="0.96474075000000004"/>
    <m/>
    <n v="20000000"/>
    <n v="19294815.010000002"/>
    <n v="20000000"/>
    <n v="19294815.010000002"/>
    <n v="66179083"/>
    <s v="AMOMPY"/>
    <s v="Momentum Capital Investment S.A."/>
    <s v="14/04/2026"/>
    <s v="14/04/2026"/>
    <n v="29"/>
    <s v="No"/>
    <s v=""/>
    <m/>
    <m/>
    <s v="*MIL220700035"/>
    <s v="*MIL220700035"/>
    <n v="4.3342731961091196E-4"/>
  </r>
  <r>
    <x v="147"/>
    <s v="Pesos"/>
    <d v="2026-07-24T00:00:00"/>
    <s v="08/06/2026"/>
    <n v="0.96474075000000004"/>
    <m/>
    <n v="10000000"/>
    <n v="9647407.4900000002"/>
    <n v="10000000"/>
    <n v="9647407.4900000002"/>
    <n v="491333"/>
    <s v="AMOMPY"/>
    <s v="Momentum Capital Investment S.A."/>
    <s v="14/04/2026"/>
    <s v="14/04/2026"/>
    <n v="29"/>
    <s v="No"/>
    <s v=""/>
    <m/>
    <m/>
    <s v="*MIL220700036"/>
    <s v="*MIL220700036"/>
    <n v="2.1671365946850484E-4"/>
  </r>
  <r>
    <x v="147"/>
    <s v="Pesos"/>
    <d v="2026-07-31T00:00:00"/>
    <s v="08/06/2026"/>
    <n v="0.95959203000000004"/>
    <m/>
    <n v="20000000"/>
    <n v="19191840.59"/>
    <n v="20000000"/>
    <n v="19191840.59"/>
    <n v="66179118"/>
    <s v="AMOMPY"/>
    <s v="Momentum Capital Investment S.A."/>
    <s v="14/04/2026"/>
    <s v="14/04/2026"/>
    <n v="29"/>
    <s v="No"/>
    <s v=""/>
    <m/>
    <m/>
    <s v="*MIL290700024"/>
    <s v="*MIL290700024"/>
    <n v="4.3111416310612259E-4"/>
  </r>
  <r>
    <x v="147"/>
    <s v="Pesos"/>
    <d v="2026-07-31T00:00:00"/>
    <s v="08/06/2026"/>
    <n v="0.95959203000000004"/>
    <m/>
    <n v="10000000"/>
    <n v="9595920.3000000007"/>
    <n v="10000000"/>
    <n v="9595920.3000000007"/>
    <n v="491334"/>
    <s v="AMOMPY"/>
    <s v="Momentum Capital Investment S.A."/>
    <s v="14/04/2026"/>
    <s v="14/04/2026"/>
    <n v="29"/>
    <s v="No"/>
    <s v=""/>
    <m/>
    <m/>
    <s v="*MIL290700025"/>
    <s v="*MIL290700025"/>
    <n v="2.1555708166537835E-4"/>
  </r>
  <r>
    <x v="147"/>
    <s v="Pesos"/>
    <d v="2026-06-08T00:00:00"/>
    <s v="08/06/2026"/>
    <n v="1"/>
    <m/>
    <n v="5000000"/>
    <n v="5000000"/>
    <n v="5000000"/>
    <n v="5000000"/>
    <n v="90000056"/>
    <s v="AMOMPY"/>
    <s v="Momentum Capital Investment S.A."/>
    <s v="11/03/2026"/>
    <s v="11/03/2026"/>
    <n v="35"/>
    <s v="No"/>
    <s v=""/>
    <m/>
    <m/>
    <s v="*MIL040600024"/>
    <s v="*MIL040600024"/>
    <n v="1.1231704460143252E-4"/>
  </r>
  <r>
    <x v="147"/>
    <s v="Pesos"/>
    <d v="2026-06-11T00:00:00"/>
    <s v="08/06/2026"/>
    <n v="0.99713154999999998"/>
    <m/>
    <n v="5000000"/>
    <n v="4985657.74"/>
    <n v="5000000"/>
    <n v="4985657.74"/>
    <n v="90000052"/>
    <s v="AMOMPY"/>
    <s v="Momentum Capital Investment S.A."/>
    <s v="11/03/2026"/>
    <s v="11/03/2026"/>
    <n v="35"/>
    <s v="No"/>
    <s v=""/>
    <m/>
    <m/>
    <s v="*MIL090600032"/>
    <s v="*MIL090600032"/>
    <n v="1.1199486855021145E-4"/>
  </r>
  <r>
    <x v="147"/>
    <s v="Pesos"/>
    <d v="2026-06-16T00:00:00"/>
    <s v="08/06/2026"/>
    <n v="0.99238718000000004"/>
    <m/>
    <n v="5000000"/>
    <n v="4961935.9000000004"/>
    <n v="5000000"/>
    <n v="4961935.9000000004"/>
    <n v="90000057"/>
    <s v="AMOMPY"/>
    <s v="Momentum Capital Investment S.A."/>
    <s v="11/03/2026"/>
    <s v="11/03/2026"/>
    <n v="35"/>
    <s v="No"/>
    <s v=""/>
    <m/>
    <m/>
    <s v="*MIL110600024"/>
    <s v="*MIL110600024"/>
    <n v="1.1146199515794984E-4"/>
  </r>
  <r>
    <x v="147"/>
    <s v="Pesos"/>
    <d v="2026-06-18T00:00:00"/>
    <s v="08/06/2026"/>
    <n v="0.99050207000000001"/>
    <m/>
    <n v="5000000"/>
    <n v="4952510.33"/>
    <n v="5000000"/>
    <n v="4952510.33"/>
    <n v="90000053"/>
    <s v="AMOMPY"/>
    <s v="Momentum Capital Investment S.A."/>
    <s v="11/03/2026"/>
    <s v="11/03/2026"/>
    <n v="35"/>
    <s v="No"/>
    <s v=""/>
    <m/>
    <m/>
    <s v="*MIL160600031"/>
    <s v="*MIL160600031"/>
    <n v="1.1125026472473305E-4"/>
  </r>
  <r>
    <x v="147"/>
    <s v="Pesos"/>
    <d v="2026-06-22T00:00:00"/>
    <s v="08/06/2026"/>
    <n v="0.98675321000000005"/>
    <m/>
    <n v="5000000"/>
    <n v="4933766.07"/>
    <n v="5000000"/>
    <n v="4933766.07"/>
    <n v="90000058"/>
    <s v="AMOMPY"/>
    <s v="Momentum Capital Investment S.A."/>
    <s v="11/03/2026"/>
    <s v="11/03/2026"/>
    <n v="35"/>
    <s v="No"/>
    <s v=""/>
    <m/>
    <m/>
    <s v="*MIL180600020"/>
    <s v="*MIL180600020"/>
    <n v="1.1082920474744489E-4"/>
  </r>
  <r>
    <x v="147"/>
    <s v="Pesos"/>
    <d v="2026-06-25T00:00:00"/>
    <s v="08/06/2026"/>
    <n v="0.98396015000000003"/>
    <m/>
    <n v="5000000"/>
    <n v="4919800.7699999996"/>
    <n v="5000000"/>
    <n v="4919800.7699999996"/>
    <n v="90000054"/>
    <s v="AMOMPY"/>
    <s v="Momentum Capital Investment S.A."/>
    <s v="11/03/2026"/>
    <s v="11/03/2026"/>
    <n v="35"/>
    <s v="No"/>
    <s v=""/>
    <m/>
    <m/>
    <s v="*MIL230600032"/>
    <s v="*MIL230600032"/>
    <n v="1.105154965028504E-4"/>
  </r>
  <r>
    <x v="147"/>
    <s v="Pesos"/>
    <d v="2026-06-29T00:00:00"/>
    <s v="08/06/2026"/>
    <n v="0.98026057"/>
    <m/>
    <n v="5000000"/>
    <n v="4901302.83"/>
    <n v="5000000"/>
    <n v="4901302.83"/>
    <n v="90000059"/>
    <s v="AMOMPY"/>
    <s v="Momentum Capital Investment S.A."/>
    <s v="11/03/2026"/>
    <s v="11/03/2026"/>
    <n v="35"/>
    <s v="No"/>
    <s v=""/>
    <m/>
    <m/>
    <s v="*MIL250600022"/>
    <s v="*MIL250600022"/>
    <n v="1.1009996971244748E-4"/>
  </r>
  <r>
    <x v="147"/>
    <s v="Pesos"/>
    <d v="2026-06-30T00:00:00"/>
    <s v="08/06/2026"/>
    <n v="0.97933999000000005"/>
    <m/>
    <n v="5000000"/>
    <n v="4896699.95"/>
    <n v="5000000"/>
    <n v="4896699.95"/>
    <n v="90000060"/>
    <s v="AMOMPY"/>
    <s v="Momentum Capital Investment S.A."/>
    <s v="11/03/2026"/>
    <s v="11/03/2026"/>
    <n v="35"/>
    <s v="No"/>
    <s v=""/>
    <m/>
    <m/>
    <s v="*MIL260600027"/>
    <s v="*MIL260600027"/>
    <n v="1.0999657333679648E-4"/>
  </r>
  <r>
    <x v="147"/>
    <s v="Pesos"/>
    <d v="2026-07-02T00:00:00"/>
    <s v="08/06/2026"/>
    <n v="0.97750402000000003"/>
    <m/>
    <n v="5000000"/>
    <n v="4887520.1100000003"/>
    <n v="5000000"/>
    <n v="4887520.1100000003"/>
    <n v="90000055"/>
    <s v="AMOMPY"/>
    <s v="Momentum Capital Investment S.A."/>
    <s v="11/03/2026"/>
    <s v="11/03/2026"/>
    <n v="35"/>
    <s v="No"/>
    <s v=""/>
    <m/>
    <m/>
    <s v="*MIL300600053"/>
    <s v="*MIL300600053"/>
    <n v="1.0979036283705367E-4"/>
  </r>
  <r>
    <x v="147"/>
    <s v="Pesos"/>
    <d v="2026-09-21T00:00:00"/>
    <s v="08/06/2026"/>
    <n v="0.92792680999999999"/>
    <m/>
    <n v="10000000"/>
    <n v="9279268.1300000008"/>
    <n v="10000000"/>
    <n v="9279268.1300000008"/>
    <n v="67205341"/>
    <s v="AMOMPY"/>
    <s v="Momentum Capital Investment S.A."/>
    <s v="04/06/2026"/>
    <s v="04/06/2026"/>
    <n v="27"/>
    <s v="No"/>
    <s v=""/>
    <m/>
    <m/>
    <s v="*MIL170900034"/>
    <s v="*MIL170900034"/>
    <n v="2.0844399448517227E-4"/>
  </r>
  <r>
    <x v="147"/>
    <s v="Pesos"/>
    <d v="2026-09-23T00:00:00"/>
    <s v="08/06/2026"/>
    <n v="0.92665478000000001"/>
    <m/>
    <n v="10000000"/>
    <n v="9266547.8100000005"/>
    <n v="10000000"/>
    <n v="9266547.8100000005"/>
    <n v="67280581"/>
    <s v="AMOMPY"/>
    <s v="Momentum Capital Investment S.A."/>
    <s v="04/06/2026"/>
    <s v="04/06/2026"/>
    <n v="27"/>
    <s v="No"/>
    <s v=""/>
    <m/>
    <m/>
    <s v="*MIL210900024"/>
    <s v="*MIL210900024"/>
    <n v="2.0815825273541537E-4"/>
  </r>
  <r>
    <x v="147"/>
    <s v="Pesos"/>
    <d v="2026-09-24T00:00:00"/>
    <s v="08/06/2026"/>
    <n v="0.92601995999999998"/>
    <m/>
    <n v="8000000"/>
    <n v="7408159.6900000004"/>
    <n v="8000000"/>
    <n v="7408159.6900000004"/>
    <n v="67280737"/>
    <s v="AMOMPY"/>
    <s v="Momentum Capital Investment S.A."/>
    <s v="04/06/2026"/>
    <s v="04/06/2026"/>
    <n v="27"/>
    <s v="No"/>
    <s v=""/>
    <m/>
    <m/>
    <s v="*MIL220900044"/>
    <s v="*MIL220900044"/>
    <n v="1.664125204632529E-4"/>
  </r>
  <r>
    <x v="147"/>
    <s v="Pesos"/>
    <d v="2026-09-23T00:00:00"/>
    <s v="08/06/2026"/>
    <n v="0.92665478000000001"/>
    <m/>
    <n v="10000000"/>
    <n v="9266547.8100000005"/>
    <n v="10000000"/>
    <n v="9266547.8100000005"/>
    <n v="67280500"/>
    <s v="AMOMPY"/>
    <s v="Momentum Capital Investment S.A."/>
    <s v="04/06/2026"/>
    <s v="04/06/2026"/>
    <n v="27"/>
    <s v="No"/>
    <s v=""/>
    <m/>
    <m/>
    <s v="*MIL200900039"/>
    <s v="*MIL200900039"/>
    <n v="2.0815825273541537E-4"/>
  </r>
  <r>
    <x v="147"/>
    <s v="Pesos"/>
    <d v="2026-09-21T00:00:00"/>
    <s v="08/06/2026"/>
    <n v="0.92792680999999999"/>
    <m/>
    <n v="10000000"/>
    <n v="9279268.1300000008"/>
    <n v="10000000"/>
    <n v="9279268.1300000008"/>
    <n v="67280466"/>
    <s v="AMOMPY"/>
    <s v="Momentum Capital Investment S.A."/>
    <s v="04/06/2026"/>
    <s v="04/06/2026"/>
    <n v="27"/>
    <s v="No"/>
    <s v=""/>
    <m/>
    <m/>
    <s v="*MIL170900035"/>
    <s v="*MIL170900035"/>
    <n v="2.0844399448517227E-4"/>
  </r>
  <r>
    <x v="147"/>
    <s v="Pesos"/>
    <d v="2026-09-22T00:00:00"/>
    <s v="08/06/2026"/>
    <n v="0.92729046999999998"/>
    <m/>
    <n v="5000000"/>
    <n v="4636452.3600000003"/>
    <n v="5000000"/>
    <n v="4636452.3600000003"/>
    <n v="67193053"/>
    <s v="AMOMPY"/>
    <s v="Momentum Capital Investment S.A."/>
    <s v="04/06/2026"/>
    <s v="04/06/2026"/>
    <n v="27"/>
    <s v="No"/>
    <s v=""/>
    <m/>
    <m/>
    <s v="*MIL180900029"/>
    <s v="*MIL180900029"/>
    <n v="1.0415052530210742E-4"/>
  </r>
  <r>
    <x v="147"/>
    <s v="Pesos"/>
    <d v="2026-09-23T00:00:00"/>
    <s v="08/06/2026"/>
    <n v="0.92665478000000001"/>
    <m/>
    <n v="5000000"/>
    <n v="4633273.92"/>
    <n v="5000000"/>
    <n v="4633273.92"/>
    <n v="67193054"/>
    <s v="AMOMPY"/>
    <s v="Momentum Capital Investment S.A."/>
    <s v="04/06/2026"/>
    <s v="04/06/2026"/>
    <n v="27"/>
    <s v="No"/>
    <s v=""/>
    <m/>
    <m/>
    <s v="*MIL190900031"/>
    <s v="*MIL190900031"/>
    <n v="1.0407912670465881E-4"/>
  </r>
  <r>
    <x v="147"/>
    <s v="Pesos"/>
    <d v="2026-09-24T00:00:00"/>
    <s v="08/06/2026"/>
    <n v="0.92601995999999998"/>
    <m/>
    <n v="5000000"/>
    <n v="4630099.8099999996"/>
    <n v="5000000"/>
    <n v="4630099.8099999996"/>
    <n v="67193056"/>
    <s v="AMOMPY"/>
    <s v="Momentum Capital Investment S.A."/>
    <s v="04/06/2026"/>
    <s v="04/06/2026"/>
    <n v="27"/>
    <s v="No"/>
    <s v=""/>
    <m/>
    <m/>
    <s v="*MIL220900045"/>
    <s v="*MIL220900045"/>
    <n v="1.0400782537377083E-4"/>
  </r>
  <r>
    <x v="147"/>
    <s v="Pesos"/>
    <d v="2026-09-23T00:00:00"/>
    <s v="08/06/2026"/>
    <n v="0.92665478000000001"/>
    <m/>
    <n v="5000000"/>
    <n v="4633273.92"/>
    <n v="5000000"/>
    <n v="4633273.92"/>
    <n v="67193055"/>
    <s v="AMOMPY"/>
    <s v="Momentum Capital Investment S.A."/>
    <s v="04/06/2026"/>
    <s v="04/06/2026"/>
    <n v="27"/>
    <s v="No"/>
    <s v=""/>
    <m/>
    <m/>
    <s v="*MIL200900040"/>
    <s v="*MIL200900040"/>
    <n v="1.0407912670465881E-4"/>
  </r>
  <r>
    <x v="147"/>
    <s v="Pesos"/>
    <d v="2026-08-26T00:00:00"/>
    <s v="08/06/2026"/>
    <n v="0.94672413"/>
    <m/>
    <n v="100000000"/>
    <n v="94672413.349999994"/>
    <n v="100000000"/>
    <n v="94672413.349999994"/>
    <n v="2830"/>
    <s v="AMOMPY"/>
    <s v="Momentum Capital Investment S.A."/>
    <s v="04/06/2026"/>
    <s v="04/06/2026"/>
    <n v="26"/>
    <s v="No"/>
    <s v=""/>
    <m/>
    <m/>
    <s v="*MIL240800021"/>
    <s v="*MIL240800021"/>
    <n v="2.126665134551441E-3"/>
  </r>
  <r>
    <x v="147"/>
    <s v="Pesos"/>
    <d v="2026-09-25T00:00:00"/>
    <s v="08/06/2026"/>
    <n v="0.92538600999999998"/>
    <m/>
    <n v="5000000"/>
    <n v="4626930.04"/>
    <n v="5000000"/>
    <n v="4626930.04"/>
    <n v="67193057"/>
    <s v="AMOMPY"/>
    <s v="Momentum Capital Investment S.A."/>
    <s v="04/06/2026"/>
    <s v="04/06/2026"/>
    <n v="27"/>
    <s v="No"/>
    <s v=""/>
    <m/>
    <m/>
    <s v="*MIL230900027"/>
    <s v="*MIL230900027"/>
    <n v="1.0393662153407758E-4"/>
  </r>
  <r>
    <x v="147"/>
    <s v="Pesos"/>
    <d v="2026-09-28T00:00:00"/>
    <s v="08/06/2026"/>
    <n v="0.92348958000000003"/>
    <m/>
    <n v="5000000"/>
    <n v="4617447.88"/>
    <n v="5000000"/>
    <n v="4617447.88"/>
    <n v="67193059"/>
    <s v="AMOMPY"/>
    <s v="Momentum Capital Investment S.A."/>
    <s v="04/06/2026"/>
    <s v="04/06/2026"/>
    <n v="27"/>
    <s v="No"/>
    <s v=""/>
    <m/>
    <m/>
    <s v="*MIL240900034"/>
    <s v="*MIL240900034"/>
    <n v="1.0372361989654999E-4"/>
  </r>
  <r>
    <x v="147"/>
    <s v="Pesos"/>
    <d v="2026-09-21T00:00:00"/>
    <s v="08/06/2026"/>
    <n v="0.92792680999999999"/>
    <m/>
    <n v="5000000"/>
    <n v="4639634.0599999996"/>
    <n v="5000000"/>
    <n v="4639634.0599999996"/>
    <n v="67193052"/>
    <s v="AMOMPY"/>
    <s v="Momentum Capital Investment S.A."/>
    <s v="04/06/2026"/>
    <s v="04/06/2026"/>
    <n v="27"/>
    <s v="No"/>
    <s v=""/>
    <m/>
    <m/>
    <s v="*MIL170900036"/>
    <s v="*MIL170900036"/>
    <n v="1.0422199713026908E-4"/>
  </r>
  <r>
    <x v="147"/>
    <s v="Pesos"/>
    <d v="2026-09-29T00:00:00"/>
    <s v="08/06/2026"/>
    <n v="0.92285930000000005"/>
    <m/>
    <n v="5000000"/>
    <n v="4614296.5199999996"/>
    <n v="5000000"/>
    <n v="4614296.5199999996"/>
    <n v="67193060"/>
    <s v="AMOMPY"/>
    <s v="Momentum Capital Investment S.A."/>
    <s v="04/06/2026"/>
    <s v="04/06/2026"/>
    <n v="27"/>
    <s v="No"/>
    <s v=""/>
    <m/>
    <m/>
    <s v="*MIL250900029"/>
    <s v="*MIL250900029"/>
    <n v="1.0365282960821496E-4"/>
  </r>
  <r>
    <x v="147"/>
    <s v="Pesos"/>
    <d v="2026-09-01T00:00:00"/>
    <s v="08/06/2026"/>
    <n v="0.94290894999999997"/>
    <m/>
    <n v="120000000"/>
    <n v="113149073.48"/>
    <n v="120000000"/>
    <n v="113149073.48"/>
    <n v="344"/>
    <s v="AMOMPY"/>
    <s v="Momentum Capital Investment S.A."/>
    <s v="04/06/2026"/>
    <s v="04/06/2026"/>
    <n v="26"/>
    <s v="No"/>
    <s v=""/>
    <m/>
    <m/>
    <s v="*MIL280800034"/>
    <s v="*MIL280800034"/>
    <n v="2.5417139065327852E-3"/>
  </r>
  <r>
    <x v="147"/>
    <s v="Pesos"/>
    <d v="2026-08-31T00:00:00"/>
    <s v="08/06/2026"/>
    <n v="0.94354274999999999"/>
    <m/>
    <n v="27000000"/>
    <n v="25475654.16"/>
    <n v="27000000"/>
    <n v="25475654.16"/>
    <n v="1416"/>
    <s v="AMOMPY"/>
    <s v="Momentum Capital Investment S.A."/>
    <s v="04/06/2026"/>
    <s v="04/06/2026"/>
    <n v="26"/>
    <s v="No"/>
    <s v=""/>
    <m/>
    <m/>
    <s v="*MIL270800031"/>
    <s v="*MIL270800031"/>
    <n v="5.7227003690787795E-4"/>
  </r>
  <r>
    <x v="148"/>
    <s v="Pesos"/>
    <d v="2026-07-06T00:00:00"/>
    <s v="08/06/2026"/>
    <n v="0.98044483999999998"/>
    <m/>
    <n v="10000000"/>
    <n v="9804448.4299999997"/>
    <n v="10000000"/>
    <n v="9804448.4299999997"/>
    <n v="1742541"/>
    <s v="AMOMPY"/>
    <s v="Momentum Capital Investment S.A."/>
    <s v="21/04/2026"/>
    <s v="21/04/2026"/>
    <n v="26"/>
    <s v="No"/>
    <s v=""/>
    <m/>
    <m/>
    <s v="*CMP020700021"/>
    <s v="*CMP020700021"/>
    <n v="2.20241334320951E-4"/>
  </r>
  <r>
    <x v="148"/>
    <s v="Pesos"/>
    <d v="2026-06-25T00:00:00"/>
    <s v="08/06/2026"/>
    <n v="0.98803531"/>
    <m/>
    <n v="10000000"/>
    <n v="9880353.1099999994"/>
    <n v="10000000"/>
    <n v="9880353.1099999994"/>
    <n v="1742534"/>
    <s v="AMOMPY"/>
    <s v="Momentum Capital Investment S.A."/>
    <s v="21/04/2026"/>
    <s v="21/04/2026"/>
    <n v="26"/>
    <s v="No"/>
    <s v=""/>
    <m/>
    <m/>
    <s v="*CMP230600024"/>
    <s v="*CMP230600024"/>
    <n v="2.2194641218675447E-4"/>
  </r>
  <r>
    <x v="148"/>
    <s v="Pesos"/>
    <d v="2026-06-23T00:00:00"/>
    <s v="08/06/2026"/>
    <n v="0.98942808000000004"/>
    <m/>
    <n v="10000000"/>
    <n v="9894280.7599999998"/>
    <n v="10000000"/>
    <n v="9894280.7599999998"/>
    <n v="1742532"/>
    <s v="AMOMPY"/>
    <s v="Momentum Capital Investment S.A."/>
    <s v="21/04/2026"/>
    <s v="21/04/2026"/>
    <n v="26"/>
    <s v="No"/>
    <s v=""/>
    <m/>
    <m/>
    <s v="*CMP190600039"/>
    <s v="*CMP190600039"/>
    <n v="2.2225927468400312E-4"/>
  </r>
  <r>
    <x v="148"/>
    <s v="Pesos"/>
    <d v="2026-06-29T00:00:00"/>
    <s v="08/06/2026"/>
    <n v="0.98526157000000003"/>
    <m/>
    <n v="10000000"/>
    <n v="9852615.7300000004"/>
    <n v="10000000"/>
    <n v="9852615.7300000004"/>
    <n v="1742536"/>
    <s v="AMOMPY"/>
    <s v="Momentum Capital Investment S.A."/>
    <s v="21/04/2026"/>
    <s v="21/04/2026"/>
    <n v="26"/>
    <s v="No"/>
    <s v=""/>
    <m/>
    <m/>
    <s v="*CMP250600031"/>
    <s v="*CMP250600031"/>
    <n v="2.2132333607743711E-4"/>
  </r>
  <r>
    <x v="148"/>
    <s v="Pesos"/>
    <d v="2026-07-07T00:00:00"/>
    <s v="08/06/2026"/>
    <n v="0.97976065000000001"/>
    <m/>
    <n v="10000000"/>
    <n v="9797606.5"/>
    <n v="10000000"/>
    <n v="9797606.5"/>
    <n v="1742542"/>
    <s v="AMOMPY"/>
    <s v="Momentum Capital Investment S.A."/>
    <s v="21/04/2026"/>
    <s v="21/04/2026"/>
    <n v="26"/>
    <s v="No"/>
    <s v=""/>
    <m/>
    <m/>
    <s v="*CMP030700027"/>
    <s v="*CMP030700027"/>
    <n v="2.2008764124955703E-4"/>
  </r>
  <r>
    <x v="148"/>
    <s v="Pesos"/>
    <d v="2026-06-26T00:00:00"/>
    <s v="08/06/2026"/>
    <n v="0.98734047000000003"/>
    <m/>
    <n v="10000000"/>
    <n v="9873404.6699999999"/>
    <n v="10000000"/>
    <n v="9873404.6699999999"/>
    <n v="1742535"/>
    <s v="AMOMPY"/>
    <s v="Momentum Capital Investment S.A."/>
    <s v="21/04/2026"/>
    <s v="21/04/2026"/>
    <n v="26"/>
    <s v="No"/>
    <s v=""/>
    <m/>
    <m/>
    <s v="*CMP240600051"/>
    <s v="*CMP240600051"/>
    <n v="2.2179032653767643E-4"/>
  </r>
  <r>
    <x v="148"/>
    <s v="Pesos"/>
    <d v="2026-06-24T00:00:00"/>
    <s v="08/06/2026"/>
    <n v="0.98873120000000003"/>
    <m/>
    <n v="10000000"/>
    <n v="9887312.0399999991"/>
    <n v="10000000"/>
    <n v="9887312.0399999991"/>
    <n v="1742533"/>
    <s v="AMOMPY"/>
    <s v="Momentum Capital Investment S.A."/>
    <s v="21/04/2026"/>
    <s v="21/04/2026"/>
    <n v="26"/>
    <s v="No"/>
    <s v=""/>
    <m/>
    <m/>
    <s v="*CMP220600034"/>
    <s v="*CMP220600034"/>
    <n v="2.2210273347699212E-4"/>
  </r>
  <r>
    <x v="148"/>
    <s v="Pesos"/>
    <d v="2026-06-30T00:00:00"/>
    <s v="08/06/2026"/>
    <n v="0.98457063"/>
    <m/>
    <n v="10000000"/>
    <n v="9845706.3300000001"/>
    <n v="10000000"/>
    <n v="9845706.3300000001"/>
    <n v="1742537"/>
    <s v="AMOMPY"/>
    <s v="Momentum Capital Investment S.A."/>
    <s v="21/04/2026"/>
    <s v="21/04/2026"/>
    <n v="26"/>
    <s v="No"/>
    <s v=""/>
    <m/>
    <m/>
    <s v="*CMP260600025"/>
    <s v="*CMP260600025"/>
    <n v="2.211681273998433E-4"/>
  </r>
  <r>
    <x v="149"/>
    <s v="Pesos"/>
    <d v="2026-07-03T00:00:00"/>
    <s v="08/06/2026"/>
    <n v="0.98052386000000002"/>
    <m/>
    <n v="15000000"/>
    <n v="14707857.9"/>
    <n v="15000000"/>
    <n v="14707857.9"/>
    <n v="801"/>
    <s v="AMOMPY"/>
    <s v="Momentum Capital Investment S.A."/>
    <s v="31/03/2026"/>
    <s v="31/03/2026"/>
    <n v="29"/>
    <s v="No"/>
    <s v=""/>
    <m/>
    <m/>
    <s v="*AAR010700018"/>
    <s v="*AAR010700018"/>
    <n v="3.3038862634916631E-4"/>
  </r>
  <r>
    <x v="149"/>
    <s v="Pesos"/>
    <d v="2026-07-06T00:00:00"/>
    <s v="08/06/2026"/>
    <n v="0.97823760000000004"/>
    <m/>
    <n v="15000000"/>
    <n v="14673563.970000001"/>
    <n v="15000000"/>
    <n v="14673563.970000001"/>
    <n v="802"/>
    <s v="AMOMPY"/>
    <s v="Momentum Capital Investment S.A."/>
    <s v="31/03/2026"/>
    <s v="31/03/2026"/>
    <n v="29"/>
    <s v="No"/>
    <s v=""/>
    <m/>
    <m/>
    <s v="*AAR020700017"/>
    <s v="*AAR020700017"/>
    <n v="3.2961826777609264E-4"/>
  </r>
  <r>
    <x v="149"/>
    <s v="Pesos"/>
    <d v="2026-06-26T00:00:00"/>
    <s v="08/06/2026"/>
    <n v="0.98590029000000001"/>
    <m/>
    <n v="15000000"/>
    <n v="14788504.279999999"/>
    <n v="15000000"/>
    <n v="14788504.279999999"/>
    <n v="799"/>
    <s v="AMOMPY"/>
    <s v="Momentum Capital Investment S.A."/>
    <s v="31/03/2026"/>
    <s v="31/03/2026"/>
    <n v="29"/>
    <s v="No"/>
    <s v=""/>
    <m/>
    <m/>
    <s v="*AAR240600038"/>
    <s v="*AAR240600038"/>
    <n v="3.322002189610471E-4"/>
  </r>
  <r>
    <x v="149"/>
    <s v="Pesos"/>
    <d v="2026-07-02T00:00:00"/>
    <s v="08/06/2026"/>
    <n v="0.98128835000000003"/>
    <m/>
    <n v="15000000"/>
    <n v="14719325.220000001"/>
    <n v="15000000"/>
    <n v="14719325.220000001"/>
    <n v="800"/>
    <s v="AMOMPY"/>
    <s v="Momentum Capital Investment S.A."/>
    <s v="31/03/2026"/>
    <s v="31/03/2026"/>
    <n v="29"/>
    <s v="No"/>
    <s v=""/>
    <m/>
    <m/>
    <s v="*AAR300600039"/>
    <s v="*AAR300600039"/>
    <n v="3.306462214475461E-4"/>
  </r>
  <r>
    <x v="149"/>
    <s v="Pesos"/>
    <d v="2026-07-03T00:00:00"/>
    <s v="08/06/2026"/>
    <n v="0.98052386000000002"/>
    <m/>
    <n v="12500000"/>
    <n v="12256548.25"/>
    <n v="12500000"/>
    <n v="12256548.25"/>
    <n v="28996520"/>
    <s v="AMOMPY"/>
    <s v="Momentum Capital Investment S.A."/>
    <s v="31/03/2026"/>
    <s v="31/03/2026"/>
    <n v="29"/>
    <s v="No"/>
    <s v=""/>
    <m/>
    <m/>
    <s v="*AAR010700017"/>
    <s v="*AAR010700017"/>
    <n v="2.7532385529097195E-4"/>
  </r>
  <r>
    <x v="149"/>
    <s v="Pesos"/>
    <d v="2026-07-07T00:00:00"/>
    <s v="08/06/2026"/>
    <n v="0.97747784999999998"/>
    <m/>
    <n v="12500000"/>
    <n v="12218473.140000001"/>
    <n v="12500000"/>
    <n v="12218473.140000001"/>
    <n v="28996507"/>
    <s v="AMOMPY"/>
    <s v="Momentum Capital Investment S.A."/>
    <s v="31/03/2026"/>
    <s v="31/03/2026"/>
    <n v="29"/>
    <s v="No"/>
    <s v=""/>
    <m/>
    <m/>
    <s v="*AAR030700014"/>
    <s v="*AAR030700014"/>
    <n v="2.7446855852535703E-4"/>
  </r>
  <r>
    <x v="149"/>
    <s v="Pesos"/>
    <d v="2026-06-09T00:00:00"/>
    <s v="08/06/2026"/>
    <n v="0.99920611000000004"/>
    <m/>
    <n v="12500000"/>
    <n v="12490076.42"/>
    <n v="12500000"/>
    <n v="12490076.42"/>
    <n v="28996505"/>
    <s v="AMOMPY"/>
    <s v="Momentum Capital Investment S.A."/>
    <s v="31/03/2026"/>
    <s v="31/03/2026"/>
    <n v="29"/>
    <s v="No"/>
    <s v=""/>
    <m/>
    <m/>
    <s v="*AAR050600040"/>
    <s v="*AAR050600040"/>
    <n v="2.8056969406808809E-4"/>
  </r>
  <r>
    <x v="149"/>
    <s v="Pesos"/>
    <d v="2026-07-14T00:00:00"/>
    <s v="08/06/2026"/>
    <n v="0.97219264999999999"/>
    <m/>
    <n v="12500000"/>
    <n v="12152408.119999999"/>
    <n v="12500000"/>
    <n v="12152408.119999999"/>
    <n v="28996519"/>
    <s v="AMOMPY"/>
    <s v="Momentum Capital Investment S.A."/>
    <s v="31/03/2026"/>
    <s v="31/03/2026"/>
    <n v="29"/>
    <s v="No"/>
    <s v=""/>
    <m/>
    <m/>
    <s v="*AAR080700032"/>
    <s v="*AAR080700032"/>
    <n v="2.7298451296577011E-4"/>
  </r>
  <r>
    <x v="149"/>
    <s v="Pesos"/>
    <d v="2026-07-15T00:00:00"/>
    <s v="08/06/2026"/>
    <n v="0.97144235000000001"/>
    <m/>
    <n v="12500000"/>
    <n v="12143029.390000001"/>
    <n v="12500000"/>
    <n v="12143029.390000001"/>
    <n v="28996511"/>
    <s v="AMOMPY"/>
    <s v="Momentum Capital Investment S.A."/>
    <s v="31/03/2026"/>
    <s v="31/03/2026"/>
    <n v="29"/>
    <s v="No"/>
    <s v=""/>
    <m/>
    <m/>
    <s v="*AAR100700021"/>
    <s v="*AAR100700021"/>
    <n v="2.727738347186272E-4"/>
  </r>
  <r>
    <x v="149"/>
    <s v="Pesos"/>
    <d v="2026-06-17T00:00:00"/>
    <s v="08/06/2026"/>
    <n v="0.99290009999999995"/>
    <m/>
    <n v="12500000"/>
    <n v="12411251.310000001"/>
    <n v="12500000"/>
    <n v="12411251.310000001"/>
    <n v="28996517"/>
    <s v="AMOMPY"/>
    <s v="Momentum Capital Investment S.A."/>
    <s v="31/03/2026"/>
    <s v="31/03/2026"/>
    <n v="29"/>
    <s v="No"/>
    <s v=""/>
    <m/>
    <m/>
    <s v="*AAR120600012"/>
    <s v="*AAR120600012"/>
    <n v="2.7879901338897156E-4"/>
  </r>
  <r>
    <x v="149"/>
    <s v="Pesos"/>
    <d v="2026-07-17T00:00:00"/>
    <s v="08/06/2026"/>
    <n v="0.96994502999999999"/>
    <m/>
    <n v="12500000"/>
    <n v="12124312.91"/>
    <n v="12500000"/>
    <n v="12124312.91"/>
    <n v="28996509"/>
    <s v="AMOMPY"/>
    <s v="Momentum Capital Investment S.A."/>
    <s v="31/03/2026"/>
    <s v="31/03/2026"/>
    <n v="29"/>
    <s v="No"/>
    <s v=""/>
    <m/>
    <m/>
    <s v="*AAR150700042"/>
    <s v="*AAR150700042"/>
    <n v="2.7235339877483881E-4"/>
  </r>
  <r>
    <x v="149"/>
    <s v="Pesos"/>
    <d v="2026-06-19T00:00:00"/>
    <s v="08/06/2026"/>
    <n v="0.99133599999999999"/>
    <m/>
    <n v="12500000"/>
    <n v="12391699.99"/>
    <n v="12500000"/>
    <n v="12391699.99"/>
    <n v="28996513"/>
    <s v="AMOMPY"/>
    <s v="Momentum Capital Investment S.A."/>
    <s v="31/03/2026"/>
    <s v="31/03/2026"/>
    <n v="29"/>
    <s v="No"/>
    <s v=""/>
    <m/>
    <m/>
    <s v="*AAR170600024"/>
    <s v="*AAR170600024"/>
    <n v="2.7835982409288019E-4"/>
  </r>
  <r>
    <x v="149"/>
    <s v="Pesos"/>
    <d v="2026-07-21T00:00:00"/>
    <s v="08/06/2026"/>
    <n v="0.9669643"/>
    <m/>
    <n v="12500000"/>
    <n v="12087053.689999999"/>
    <n v="12500000"/>
    <n v="12087053.689999999"/>
    <n v="28996504"/>
    <s v="AMOMPY"/>
    <s v="Momentum Capital Investment S.A."/>
    <s v="31/03/2026"/>
    <s v="31/03/2026"/>
    <n v="29"/>
    <s v="No"/>
    <s v=""/>
    <m/>
    <m/>
    <s v="*AAR170700014"/>
    <s v="*AAR170700014"/>
    <n v="2.7151642967992789E-4"/>
  </r>
  <r>
    <x v="149"/>
    <s v="Pesos"/>
    <d v="2026-06-23T00:00:00"/>
    <s v="08/06/2026"/>
    <n v="0.98822259999999995"/>
    <m/>
    <n v="12500000"/>
    <n v="12352782.539999999"/>
    <n v="12500000"/>
    <n v="12352782.539999999"/>
    <n v="28996522"/>
    <s v="AMOMPY"/>
    <s v="Momentum Capital Investment S.A."/>
    <s v="31/03/2026"/>
    <s v="31/03/2026"/>
    <n v="29"/>
    <s v="No"/>
    <s v=""/>
    <m/>
    <m/>
    <s v="*AAR190600019"/>
    <s v="*AAR190600019"/>
    <n v="2.7748560549939536E-4"/>
  </r>
  <r>
    <x v="149"/>
    <s v="Pesos"/>
    <d v="2026-07-24T00:00:00"/>
    <s v="08/06/2026"/>
    <n v="0.96474075999999997"/>
    <m/>
    <n v="12500000"/>
    <n v="12059259.529999999"/>
    <n v="12500000"/>
    <n v="12059259.529999999"/>
    <n v="28996510"/>
    <s v="AMOMPY"/>
    <s v="Momentum Capital Investment S.A."/>
    <s v="31/03/2026"/>
    <s v="31/03/2026"/>
    <n v="29"/>
    <s v="No"/>
    <s v=""/>
    <m/>
    <m/>
    <s v="*AAR220700016"/>
    <s v="*AAR220700016"/>
    <n v="2.7089207809825199E-4"/>
  </r>
  <r>
    <x v="149"/>
    <s v="Pesos"/>
    <d v="2026-06-26T00:00:00"/>
    <s v="08/06/2026"/>
    <n v="0.98590029000000001"/>
    <m/>
    <n v="12500000"/>
    <n v="12323753.57"/>
    <n v="12500000"/>
    <n v="12323753.57"/>
    <n v="28996516"/>
    <s v="AMOMPY"/>
    <s v="Momentum Capital Investment S.A."/>
    <s v="31/03/2026"/>
    <s v="31/03/2026"/>
    <n v="29"/>
    <s v="No"/>
    <s v=""/>
    <m/>
    <m/>
    <s v="*AAR240600037"/>
    <s v="*AAR240600037"/>
    <n v="2.7683351587575063E-4"/>
  </r>
  <r>
    <x v="149"/>
    <s v="Pesos"/>
    <d v="2026-07-28T00:00:00"/>
    <s v="08/06/2026"/>
    <n v="0.96179188000000004"/>
    <m/>
    <n v="12500000"/>
    <n v="12022398.449999999"/>
    <n v="12500000"/>
    <n v="12022398.449999999"/>
    <n v="28996506"/>
    <s v="AMOMPY"/>
    <s v="Momentum Capital Investment S.A."/>
    <s v="31/03/2026"/>
    <s v="31/03/2026"/>
    <n v="29"/>
    <s v="No"/>
    <s v=""/>
    <m/>
    <m/>
    <s v="*AAR240700018"/>
    <s v="*AAR240700018"/>
    <n v="2.7006405258496859E-4"/>
  </r>
  <r>
    <x v="149"/>
    <s v="Pesos"/>
    <d v="2026-06-30T00:00:00"/>
    <s v="08/06/2026"/>
    <n v="0.98282084000000003"/>
    <m/>
    <n v="12500000"/>
    <n v="12285260.449999999"/>
    <n v="12500000"/>
    <n v="12285260.449999999"/>
    <n v="28996508"/>
    <s v="AMOMPY"/>
    <s v="Momentum Capital Investment S.A."/>
    <s v="31/03/2026"/>
    <s v="31/03/2026"/>
    <n v="29"/>
    <s v="No"/>
    <s v=""/>
    <m/>
    <m/>
    <s v="*AAR260600015"/>
    <s v="*AAR260600015"/>
    <n v="2.7596882918057297E-4"/>
  </r>
  <r>
    <x v="149"/>
    <s v="Pesos"/>
    <d v="2026-07-30T00:00:00"/>
    <s v="08/06/2026"/>
    <n v="0.96032424000000005"/>
    <m/>
    <n v="12500000"/>
    <n v="12004052.99"/>
    <n v="12500000"/>
    <n v="12004052.99"/>
    <n v="28996512"/>
    <s v="AMOMPY"/>
    <s v="Momentum Capital Investment S.A."/>
    <s v="31/03/2026"/>
    <s v="31/03/2026"/>
    <n v="29"/>
    <s v="No"/>
    <s v=""/>
    <m/>
    <m/>
    <s v="*AAR280700029"/>
    <s v="*AAR280700029"/>
    <n v="2.6965195101515788E-4"/>
  </r>
  <r>
    <x v="149"/>
    <s v="Pesos"/>
    <d v="2026-11-12T00:00:00"/>
    <s v="08/06/2026"/>
    <n v="0.86591386000000004"/>
    <m/>
    <n v="8560000"/>
    <n v="7412222.6299999999"/>
    <n v="8560000"/>
    <n v="7412222.6299999999"/>
    <n v="13054212"/>
    <s v="AMOMPY"/>
    <s v="Momentum Capital Investment S.A."/>
    <s v="22/04/2026"/>
    <s v="22/04/2026"/>
    <n v="36"/>
    <s v="No"/>
    <s v=""/>
    <m/>
    <m/>
    <s v="*AAR101100035"/>
    <s v="*AAR101100035"/>
    <n v="1.6650378794589148E-4"/>
  </r>
  <r>
    <x v="149"/>
    <s v="Pesos"/>
    <d v="2026-11-17T00:00:00"/>
    <s v="08/06/2026"/>
    <n v="0.86223203999999998"/>
    <m/>
    <n v="9450000"/>
    <n v="8148092.7400000002"/>
    <n v="9450000"/>
    <n v="8148092.7400000002"/>
    <n v="66335143"/>
    <s v="AMOMPY"/>
    <s v="Momentum Capital Investment S.A."/>
    <s v="22/04/2026"/>
    <s v="22/04/2026"/>
    <n v="36"/>
    <s v="No"/>
    <s v=""/>
    <m/>
    <m/>
    <s v="*AAR131100017"/>
    <s v="*AAR131100017"/>
    <n v="1.830339391390377E-4"/>
  </r>
  <r>
    <x v="149"/>
    <s v="Pesos"/>
    <d v="2026-11-18T00:00:00"/>
    <s v="08/06/2026"/>
    <n v="0.86149933999999995"/>
    <m/>
    <n v="9450000"/>
    <n v="8141168.7699999996"/>
    <n v="9450000"/>
    <n v="8141168.7699999996"/>
    <n v="66335193"/>
    <s v="AMOMPY"/>
    <s v="Momentum Capital Investment S.A."/>
    <s v="22/04/2026"/>
    <s v="22/04/2026"/>
    <n v="36"/>
    <s v="No"/>
    <s v=""/>
    <m/>
    <m/>
    <s v="*AAR161100027"/>
    <s v="*AAR161100027"/>
    <n v="1.8287840316957588E-4"/>
  </r>
  <r>
    <x v="149"/>
    <s v="Pesos"/>
    <d v="2026-11-25T00:00:00"/>
    <s v="08/06/2026"/>
    <n v="0.85640556000000001"/>
    <m/>
    <n v="9450000"/>
    <n v="8093032.5099999998"/>
    <n v="9450000"/>
    <n v="8093032.5099999998"/>
    <n v="66335232"/>
    <s v="AMOMPY"/>
    <s v="Momentum Capital Investment S.A."/>
    <s v="22/04/2026"/>
    <s v="22/04/2026"/>
    <n v="36"/>
    <s v="No"/>
    <s v=""/>
    <m/>
    <m/>
    <s v="*AAR201100017"/>
    <s v="*AAR201100017"/>
    <n v="1.8179709867730266E-4"/>
  </r>
  <r>
    <x v="149"/>
    <s v="Pesos"/>
    <d v="2026-11-11T00:00:00"/>
    <s v="08/06/2026"/>
    <n v="0.86665407999999999"/>
    <m/>
    <n v="8560000"/>
    <n v="7418558.9500000002"/>
    <n v="8560000"/>
    <n v="7418558.9500000002"/>
    <n v="13054211"/>
    <s v="AMOMPY"/>
    <s v="Momentum Capital Investment S.A."/>
    <s v="22/04/2026"/>
    <s v="22/04/2026"/>
    <n v="36"/>
    <s v="No"/>
    <s v=""/>
    <m/>
    <m/>
    <s v="*AAR091100027"/>
    <s v="*AAR091100027"/>
    <n v="1.6664612329310129E-4"/>
  </r>
  <r>
    <x v="149"/>
    <s v="Pesos"/>
    <d v="2026-10-28T00:00:00"/>
    <s v="08/06/2026"/>
    <n v="0.90176904000000002"/>
    <m/>
    <n v="100000000"/>
    <n v="90176904.120000005"/>
    <n v="100000000"/>
    <n v="90176904.120000005"/>
    <n v="40627526"/>
    <s v="AMOMPY"/>
    <s v="Momentum Capital Investment S.A."/>
    <s v="04/05/2026"/>
    <s v="04/05/2026"/>
    <n v="28"/>
    <s v="No"/>
    <s v=""/>
    <m/>
    <m/>
    <s v="*AAR241000023"/>
    <s v="*AAR241000023"/>
    <n v="2.0256806724130287E-3"/>
  </r>
  <r>
    <x v="150"/>
    <s v="Pesos"/>
    <d v="2026-06-24T00:00:00"/>
    <s v="08/06/2026"/>
    <n v="0.98702003000000005"/>
    <m/>
    <n v="14133915"/>
    <n v="13950457.140000001"/>
    <n v="14133915"/>
    <n v="13950457.140000001"/>
    <n v="1534"/>
    <s v="AMOMPY"/>
    <s v="Momentum Capital Investment S.A."/>
    <s v="20/04/2026"/>
    <s v="20/04/2026"/>
    <n v="30"/>
    <s v="No"/>
    <s v=""/>
    <m/>
    <m/>
    <s v="*FED220600024"/>
    <s v="*FED220600024"/>
    <n v="3.1337482336075056E-4"/>
  </r>
  <r>
    <x v="150"/>
    <s v="Pesos"/>
    <d v="2026-06-26T00:00:00"/>
    <s v="08/06/2026"/>
    <n v="0.98542121999999999"/>
    <m/>
    <n v="17111099"/>
    <n v="16861639.98"/>
    <n v="17111099"/>
    <n v="16861639.98"/>
    <n v="1536"/>
    <s v="AMOMPY"/>
    <s v="Momentum Capital Investment S.A."/>
    <s v="20/04/2026"/>
    <s v="20/04/2026"/>
    <n v="30"/>
    <s v="No"/>
    <s v=""/>
    <m/>
    <m/>
    <s v="*FED240600044"/>
    <s v="*FED240600044"/>
    <n v="3.7876991393739152E-4"/>
  </r>
  <r>
    <x v="150"/>
    <s v="Pesos"/>
    <d v="2026-07-15T00:00:00"/>
    <s v="08/06/2026"/>
    <n v="0.97048663000000002"/>
    <m/>
    <n v="17129876"/>
    <n v="16624315.57"/>
    <n v="17129876"/>
    <n v="16624315.57"/>
    <n v="1537"/>
    <s v="AMOMPY"/>
    <s v="Momentum Capital Investment S.A."/>
    <s v="20/04/2026"/>
    <s v="20/04/2026"/>
    <n v="30"/>
    <s v="No"/>
    <s v=""/>
    <m/>
    <m/>
    <s v="*FED130700032"/>
    <s v="*FED130700032"/>
    <n v="3.7343879866879584E-4"/>
  </r>
  <r>
    <x v="150"/>
    <s v="Pesos"/>
    <d v="2026-06-18T00:00:00"/>
    <s v="08/06/2026"/>
    <n v="0.99184786999999996"/>
    <m/>
    <n v="17302222"/>
    <n v="17161172"/>
    <n v="17302222"/>
    <n v="17161172"/>
    <n v="1532"/>
    <s v="AMOMPY"/>
    <s v="Momentum Capital Investment S.A."/>
    <s v="20/04/2026"/>
    <s v="20/04/2026"/>
    <n v="30"/>
    <s v="No"/>
    <s v=""/>
    <m/>
    <m/>
    <s v="*FED160600041"/>
    <s v="*FED160600041"/>
    <n v="3.8549842418737095E-4"/>
  </r>
  <r>
    <x v="150"/>
    <s v="Pesos"/>
    <d v="2026-06-19T00:00:00"/>
    <s v="08/06/2026"/>
    <n v="0.99103993999999995"/>
    <m/>
    <n v="17224555"/>
    <n v="17070222"/>
    <n v="17224555"/>
    <n v="17070222"/>
    <n v="1533"/>
    <s v="AMOMPY"/>
    <s v="Momentum Capital Investment S.A."/>
    <s v="20/04/2026"/>
    <s v="20/04/2026"/>
    <n v="30"/>
    <s v="No"/>
    <s v=""/>
    <m/>
    <m/>
    <s v="*FED170600046"/>
    <s v="*FED170600046"/>
    <n v="3.8345537714607093E-4"/>
  </r>
  <r>
    <x v="150"/>
    <s v="Pesos"/>
    <d v="2026-06-23T00:00:00"/>
    <s v="08/06/2026"/>
    <n v="0.98782141000000001"/>
    <m/>
    <n v="17098333"/>
    <n v="16890099.449999999"/>
    <n v="17098333"/>
    <n v="16890099.449999999"/>
    <n v="1535"/>
    <s v="AMOMPY"/>
    <s v="Momentum Capital Investment S.A."/>
    <s v="20/04/2026"/>
    <s v="20/04/2026"/>
    <n v="30"/>
    <s v="No"/>
    <s v=""/>
    <m/>
    <m/>
    <s v="*FED190600063"/>
    <s v="*FED190600063"/>
    <n v="3.7940921064965612E-4"/>
  </r>
  <r>
    <x v="150"/>
    <s v="Pesos"/>
    <d v="2026-06-24T00:00:00"/>
    <s v="08/06/2026"/>
    <n v="0.98702002"/>
    <m/>
    <n v="17348580"/>
    <n v="17123395.850000001"/>
    <n v="17348580"/>
    <n v="17123395.850000001"/>
    <n v="1493"/>
    <s v="AMOMPY"/>
    <s v="Momentum Capital Investment S.A."/>
    <s v="20/04/2026"/>
    <s v="20/04/2026"/>
    <n v="30"/>
    <s v="No"/>
    <s v=""/>
    <m/>
    <m/>
    <s v="*FED220600025"/>
    <s v="*FED220600025"/>
    <n v="3.8464984308248694E-4"/>
  </r>
  <r>
    <x v="150"/>
    <s v="Pesos"/>
    <d v="2026-06-25T00:00:00"/>
    <s v="08/06/2026"/>
    <n v="0.98622001000000004"/>
    <m/>
    <n v="13421110"/>
    <n v="13236167.24"/>
    <n v="13421110"/>
    <n v="13236167.24"/>
    <n v="1492"/>
    <s v="AMOMPY"/>
    <s v="Momentum Capital Investment S.A."/>
    <s v="20/04/2026"/>
    <s v="20/04/2026"/>
    <n v="30"/>
    <s v="No"/>
    <s v=""/>
    <m/>
    <m/>
    <s v="*FED230600046"/>
    <s v="*FED230600046"/>
    <n v="2.9732943724941998E-4"/>
  </r>
  <r>
    <x v="150"/>
    <s v="Pesos"/>
    <d v="2026-06-29T00:00:00"/>
    <s v="08/06/2026"/>
    <n v="0.98303266"/>
    <m/>
    <n v="17352660"/>
    <n v="17058231.510000002"/>
    <n v="17352660"/>
    <n v="17058231.510000002"/>
    <n v="1494"/>
    <s v="AMOMPY"/>
    <s v="Momentum Capital Investment S.A."/>
    <s v="20/04/2026"/>
    <s v="20/04/2026"/>
    <n v="30"/>
    <s v="No"/>
    <s v=""/>
    <m/>
    <m/>
    <s v="*FED250600040"/>
    <s v="*FED250600040"/>
    <n v="3.8318602986604636E-4"/>
  </r>
  <r>
    <x v="150"/>
    <s v="Pesos"/>
    <d v="2026-08-12T00:00:00"/>
    <s v="08/06/2026"/>
    <n v="0.95089239000000003"/>
    <m/>
    <n v="80000000"/>
    <n v="76071391.200000003"/>
    <n v="80000000"/>
    <n v="76071391.200000003"/>
    <n v="90041870"/>
    <s v="AMOMPY"/>
    <s v="Momentum Capital Investment S.A."/>
    <s v="20/04/2026"/>
    <s v="20/04/2026"/>
    <n v="29"/>
    <s v="No"/>
    <s v=""/>
    <m/>
    <m/>
    <s v="*FED090800026"/>
    <s v="*FED090800026"/>
    <n v="1.7088227676606842E-3"/>
  </r>
  <r>
    <x v="150"/>
    <s v="Pesos"/>
    <d v="2026-06-18T00:00:00"/>
    <s v="08/06/2026"/>
    <n v="0.99211746000000001"/>
    <m/>
    <n v="40000000"/>
    <n v="39684698.549999997"/>
    <n v="40000000"/>
    <n v="39684698.549999997"/>
    <n v="90041866"/>
    <s v="AMOMPY"/>
    <s v="Momentum Capital Investment S.A."/>
    <s v="20/04/2026"/>
    <s v="20/04/2026"/>
    <n v="29"/>
    <s v="No"/>
    <s v=""/>
    <m/>
    <m/>
    <s v="*FED150600061"/>
    <s v="*FED150600061"/>
    <n v="8.9145361140695084E-4"/>
  </r>
  <r>
    <x v="150"/>
    <s v="Pesos"/>
    <d v="2026-07-17T00:00:00"/>
    <s v="08/06/2026"/>
    <n v="0.9699451"/>
    <m/>
    <n v="70000000"/>
    <n v="67896156.980000004"/>
    <n v="70000000"/>
    <n v="67896156.980000004"/>
    <n v="90041868"/>
    <s v="AMOMPY"/>
    <s v="Momentum Capital Investment S.A."/>
    <s v="20/04/2026"/>
    <s v="20/04/2026"/>
    <n v="29"/>
    <s v="No"/>
    <s v=""/>
    <m/>
    <m/>
    <s v="*FED150700056"/>
    <s v="*FED150700056"/>
    <n v="1.5251791383577048E-3"/>
  </r>
  <r>
    <x v="150"/>
    <s v="Pesos"/>
    <d v="2026-07-02T00:00:00"/>
    <s v="08/06/2026"/>
    <n v="0.98128831000000005"/>
    <m/>
    <n v="70000000"/>
    <n v="68690181.739999995"/>
    <n v="70000000"/>
    <n v="68690181.739999995"/>
    <n v="90041867"/>
    <s v="AMOMPY"/>
    <s v="Momentum Capital Investment S.A."/>
    <s v="20/04/2026"/>
    <s v="20/04/2026"/>
    <n v="29"/>
    <s v="No"/>
    <s v=""/>
    <m/>
    <m/>
    <s v="*FED300600128"/>
    <s v="*FED300600128"/>
    <n v="1.5430156412344169E-3"/>
  </r>
  <r>
    <x v="150"/>
    <s v="Pesos"/>
    <d v="2026-08-03T00:00:00"/>
    <s v="08/06/2026"/>
    <n v="0.95740219000000004"/>
    <m/>
    <n v="80000000"/>
    <n v="76592175.5"/>
    <n v="80000000"/>
    <n v="76592175.5"/>
    <n v="90041869"/>
    <s v="AMOMPY"/>
    <s v="Momentum Capital Investment S.A."/>
    <s v="20/04/2026"/>
    <s v="20/04/2026"/>
    <n v="29"/>
    <s v="No"/>
    <s v=""/>
    <m/>
    <m/>
    <s v="*FED300700061"/>
    <s v="*FED300700061"/>
    <n v="1.7205213583508495E-3"/>
  </r>
  <r>
    <x v="150"/>
    <s v="Pesos"/>
    <d v="2026-08-05T00:00:00"/>
    <s v="08/06/2026"/>
    <n v="0.95449803"/>
    <m/>
    <n v="8500000"/>
    <n v="8113233.2800000003"/>
    <n v="8500000"/>
    <n v="8113233.2800000003"/>
    <n v="1070"/>
    <s v="AMOMPY"/>
    <s v="Momentum Capital Investment S.A."/>
    <s v="17/04/2026"/>
    <s v="17/04/2026"/>
    <n v="30"/>
    <s v="No"/>
    <s v=""/>
    <m/>
    <m/>
    <s v="*FED030800023"/>
    <s v="*FED030800023"/>
    <n v="1.8225087683431732E-4"/>
  </r>
  <r>
    <x v="150"/>
    <s v="Pesos"/>
    <d v="2026-08-05T00:00:00"/>
    <s v="08/06/2026"/>
    <n v="0.95449803"/>
    <m/>
    <n v="10000000"/>
    <n v="9544980.3300000001"/>
    <n v="10000000"/>
    <n v="9544980.3300000001"/>
    <n v="40621855"/>
    <s v="AMOMPY"/>
    <s v="Momentum Capital Investment S.A."/>
    <s v="17/04/2026"/>
    <s v="17/04/2026"/>
    <n v="30"/>
    <s v="No"/>
    <s v=""/>
    <m/>
    <m/>
    <s v="*FED030800024"/>
    <s v="*FED030800024"/>
    <n v="2.1441279628888122E-4"/>
  </r>
  <r>
    <x v="150"/>
    <s v="Pesos"/>
    <d v="2026-08-06T00:00:00"/>
    <s v="08/06/2026"/>
    <n v="0.95374976"/>
    <m/>
    <n v="8500000"/>
    <n v="8106872.9500000002"/>
    <n v="8500000"/>
    <n v="8106872.9500000002"/>
    <n v="1075"/>
    <s v="AMOMPY"/>
    <s v="Momentum Capital Investment S.A."/>
    <s v="17/04/2026"/>
    <s v="17/04/2026"/>
    <n v="30"/>
    <s v="No"/>
    <s v=""/>
    <m/>
    <m/>
    <s v="*FED040800020"/>
    <s v="*FED040800020"/>
    <n v="1.8210800214065937E-4"/>
  </r>
  <r>
    <x v="150"/>
    <s v="Pesos"/>
    <d v="2026-08-06T00:00:00"/>
    <s v="08/06/2026"/>
    <n v="0.95374976"/>
    <m/>
    <n v="10000000"/>
    <n v="9537497.5899999999"/>
    <n v="10000000"/>
    <n v="9537497.5899999999"/>
    <n v="40621856"/>
    <s v="AMOMPY"/>
    <s v="Momentum Capital Investment S.A."/>
    <s v="17/04/2026"/>
    <s v="17/04/2026"/>
    <n v="30"/>
    <s v="No"/>
    <s v=""/>
    <m/>
    <m/>
    <s v="*FED040800021"/>
    <s v="*FED040800021"/>
    <n v="2.1424470844041702E-4"/>
  </r>
  <r>
    <x v="150"/>
    <s v="Pesos"/>
    <d v="2026-08-07T00:00:00"/>
    <s v="08/06/2026"/>
    <n v="0.95300266"/>
    <m/>
    <n v="10000000"/>
    <n v="9530026.5700000003"/>
    <n v="10000000"/>
    <n v="9530026.5700000003"/>
    <n v="40621854"/>
    <s v="AMOMPY"/>
    <s v="Momentum Capital Investment S.A."/>
    <s v="17/04/2026"/>
    <s v="17/04/2026"/>
    <n v="30"/>
    <s v="No"/>
    <s v=""/>
    <m/>
    <m/>
    <s v="*FED050800034"/>
    <s v="*FED050800034"/>
    <n v="2.140768838631054E-4"/>
  </r>
  <r>
    <x v="150"/>
    <s v="Pesos"/>
    <d v="2026-07-15T00:00:00"/>
    <s v="08/06/2026"/>
    <n v="0.97048663999999996"/>
    <m/>
    <n v="4000000"/>
    <n v="3881946.55"/>
    <n v="4000000"/>
    <n v="3881946.55"/>
    <n v="798"/>
    <s v="AMOMPY"/>
    <s v="Momentum Capital Investment S.A."/>
    <s v="17/04/2026"/>
    <s v="17/04/2026"/>
    <n v="30"/>
    <s v="No"/>
    <s v=""/>
    <m/>
    <m/>
    <s v="*FED100700045"/>
    <s v="*FED100700045"/>
    <n v="8.7201752759345411E-5"/>
  </r>
  <r>
    <x v="150"/>
    <s v="Pesos"/>
    <d v="2026-07-30T00:00:00"/>
    <s v="08/06/2026"/>
    <n v="0.96295916999999998"/>
    <m/>
    <n v="75000000"/>
    <n v="72221937.709999993"/>
    <n v="75000000"/>
    <n v="72221937.709999993"/>
    <n v="16181"/>
    <s v="AMOMPY"/>
    <s v="Momentum Capital Investment S.A."/>
    <s v="22/04/2026"/>
    <s v="22/04/2026"/>
    <n v="27"/>
    <s v="No"/>
    <s v=""/>
    <m/>
    <m/>
    <s v="*FED280700037"/>
    <s v="*FED280700037"/>
    <n v="1.6223509197951902E-3"/>
  </r>
  <r>
    <x v="150"/>
    <s v="Pesos"/>
    <d v="2026-08-14T00:00:00"/>
    <s v="08/06/2026"/>
    <n v="0.95277882999999997"/>
    <m/>
    <n v="75000000"/>
    <n v="71458412.280000001"/>
    <n v="75000000"/>
    <n v="71458412.280000001"/>
    <n v="16182"/>
    <s v="AMOMPY"/>
    <s v="Momentum Capital Investment S.A."/>
    <s v="22/04/2026"/>
    <s v="22/04/2026"/>
    <n v="27"/>
    <s v="No"/>
    <s v=""/>
    <m/>
    <m/>
    <s v="*FED120800028"/>
    <s v="*FED120800028"/>
    <n v="1.6051995358400627E-3"/>
  </r>
  <r>
    <x v="151"/>
    <s v="Pesos"/>
    <d v="2026-09-30T00:00:00"/>
    <s v="08/06/2026"/>
    <n v="0.91432882000000004"/>
    <m/>
    <n v="50000000"/>
    <n v="45716440.829999998"/>
    <n v="50000000"/>
    <n v="45716440.829999998"/>
    <n v="787"/>
    <s v="AMOMPY"/>
    <s v="Momentum Capital Investment S.A."/>
    <s v="22/04/2026"/>
    <s v="22/04/2026"/>
    <n v="30"/>
    <s v="No"/>
    <s v=""/>
    <m/>
    <m/>
    <s v="*AFB280900003"/>
    <s v="*AFB280900003"/>
    <n v="1.0269471047443721E-3"/>
  </r>
  <r>
    <x v="151"/>
    <s v="Pesos"/>
    <d v="2026-07-02T00:00:00"/>
    <s v="08/06/2026"/>
    <n v="0.97939255000000003"/>
    <m/>
    <n v="50000000"/>
    <n v="48969627.310000002"/>
    <n v="50000000"/>
    <n v="48969627.310000002"/>
    <n v="11915481"/>
    <s v="AMOMPY"/>
    <s v="Momentum Capital Investment S.A."/>
    <s v="07/04/2026"/>
    <s v="07/04/2026"/>
    <n v="32"/>
    <s v="No"/>
    <s v=""/>
    <m/>
    <m/>
    <s v="*AFB300600009"/>
    <s v="*AFB300600009"/>
    <n v="1.1000247629385596E-3"/>
  </r>
  <r>
    <x v="151"/>
    <s v="Pesos"/>
    <d v="2026-08-04T00:00:00"/>
    <s v="08/06/2026"/>
    <n v="0.95240586000000005"/>
    <m/>
    <n v="50000000"/>
    <n v="47620292.920000002"/>
    <n v="50000000"/>
    <n v="47620292.920000002"/>
    <n v="11915482"/>
    <s v="AMOMPY"/>
    <s v="Momentum Capital Investment S.A."/>
    <s v="07/04/2026"/>
    <s v="07/04/2026"/>
    <n v="32"/>
    <s v="No"/>
    <s v=""/>
    <m/>
    <m/>
    <s v="*AFB310700008"/>
    <s v="*AFB310700008"/>
    <n v="1.0697141127657842E-3"/>
  </r>
  <r>
    <x v="151"/>
    <s v="Pesos"/>
    <d v="2026-08-19T00:00:00"/>
    <s v="08/06/2026"/>
    <n v="0.94062469000000004"/>
    <m/>
    <n v="3243208.42"/>
    <n v="3050641.93"/>
    <n v="3243208.42"/>
    <n v="3050641.93"/>
    <n v="143910"/>
    <s v="AMOMPY"/>
    <s v="Momentum Capital Investment S.A."/>
    <s v="17/04/2026"/>
    <s v="17/04/2026"/>
    <n v="32"/>
    <s v="No"/>
    <s v=""/>
    <m/>
    <m/>
    <s v="*AFB140800011"/>
    <s v="*AFB140800011"/>
    <n v="6.8527817142962036E-5"/>
  </r>
  <r>
    <x v="152"/>
    <s v="Pesos"/>
    <d v="2026-06-17T00:00:00"/>
    <s v="08/06/2026"/>
    <n v="0.99338654000000004"/>
    <m/>
    <n v="15200000"/>
    <n v="15099475.369999999"/>
    <n v="15200000"/>
    <n v="15099475.369999999"/>
    <n v="2600"/>
    <s v="AMOMPY"/>
    <s v="Momentum Capital Investment S.A."/>
    <s v="30/04/2026"/>
    <s v="30/04/2026"/>
    <n v="27"/>
    <s v="No"/>
    <s v=""/>
    <m/>
    <m/>
    <s v="*INP120600077"/>
    <s v="*INP120600077"/>
    <n v="3.3918568971810434E-4"/>
  </r>
  <r>
    <x v="152"/>
    <s v="Pesos"/>
    <d v="2026-06-11T00:00:00"/>
    <s v="08/06/2026"/>
    <n v="0.99778575000000003"/>
    <m/>
    <n v="15200000"/>
    <n v="15166343.33"/>
    <n v="15200000"/>
    <n v="15166343.33"/>
    <n v="2599"/>
    <s v="AMOMPY"/>
    <s v="Momentum Capital Investment S.A."/>
    <s v="30/04/2026"/>
    <s v="30/04/2026"/>
    <n v="27"/>
    <s v="No"/>
    <s v=""/>
    <m/>
    <m/>
    <s v="*INP090600070"/>
    <s v="*INP090600070"/>
    <n v="3.406877720472497E-4"/>
  </r>
  <r>
    <x v="152"/>
    <s v="Pesos"/>
    <d v="2026-06-18T00:00:00"/>
    <s v="08/06/2026"/>
    <n v="0.99265709000000002"/>
    <m/>
    <n v="15200000"/>
    <n v="15088387.75"/>
    <n v="15200000"/>
    <n v="15088387.75"/>
    <n v="2601"/>
    <s v="AMOMPY"/>
    <s v="Momentum Capital Investment S.A."/>
    <s v="30/04/2026"/>
    <s v="30/04/2026"/>
    <n v="27"/>
    <s v="No"/>
    <s v=""/>
    <m/>
    <m/>
    <s v="*INP160600075"/>
    <s v="*INP160600075"/>
    <n v="3.3893662397609158E-4"/>
  </r>
  <r>
    <x v="152"/>
    <s v="Pesos"/>
    <d v="2026-10-15T00:00:00"/>
    <s v="08/06/2026"/>
    <n v="0.90413692999999995"/>
    <m/>
    <n v="2000000"/>
    <n v="1808273.87"/>
    <n v="2000000"/>
    <n v="1808273.87"/>
    <n v="13442185"/>
    <s v="AMOMPY"/>
    <s v="Momentum Capital Investment S.A."/>
    <s v="29/05/2026"/>
    <s v="29/05/2026"/>
    <n v="30"/>
    <s v="No"/>
    <s v=""/>
    <m/>
    <m/>
    <s v="*INP121000042"/>
    <s v="*INP121000042"/>
    <n v="4.0619995381678996E-5"/>
  </r>
  <r>
    <x v="152"/>
    <s v="Pesos"/>
    <d v="2026-10-20T00:00:00"/>
    <s v="08/06/2026"/>
    <n v="0.90078986000000005"/>
    <m/>
    <n v="2000000"/>
    <n v="1801579.72"/>
    <n v="2000000"/>
    <n v="1801579.72"/>
    <n v="13442187"/>
    <s v="AMOMPY"/>
    <s v="Momentum Capital Investment S.A."/>
    <s v="29/05/2026"/>
    <s v="29/05/2026"/>
    <n v="30"/>
    <s v="No"/>
    <s v=""/>
    <m/>
    <m/>
    <s v="*INP161000050"/>
    <s v="*INP161000050"/>
    <n v="4.0469621952855261E-5"/>
  </r>
  <r>
    <x v="152"/>
    <s v="Pesos"/>
    <d v="2026-08-26T00:00:00"/>
    <s v="08/06/2026"/>
    <n v="0.94286022000000003"/>
    <m/>
    <n v="16545572.09"/>
    <n v="15600161.810000001"/>
    <n v="16545572.09"/>
    <n v="15600161.810000001"/>
    <n v="7610"/>
    <s v="AMOMPY"/>
    <s v="Momentum Capital Investment S.A."/>
    <s v="05/06/2026"/>
    <s v="05/06/2026"/>
    <n v="28"/>
    <s v="No"/>
    <s v=""/>
    <m/>
    <m/>
    <s v="*INP240800044"/>
    <s v="*INP240800044"/>
    <n v="3.5043281396066685E-4"/>
  </r>
  <r>
    <x v="152"/>
    <s v="Pesos"/>
    <d v="2026-09-22T00:00:00"/>
    <s v="08/06/2026"/>
    <n v="0.92479986999999997"/>
    <m/>
    <n v="10000000"/>
    <n v="9247998.6999999993"/>
    <n v="10000000"/>
    <n v="9247998.6999999993"/>
    <n v="1406548"/>
    <s v="AMOMPY"/>
    <s v="Momentum Capital Investment S.A."/>
    <s v="05/06/2026"/>
    <s v="05/06/2026"/>
    <n v="28"/>
    <s v="No"/>
    <s v=""/>
    <m/>
    <m/>
    <s v="*INP180900068"/>
    <s v="*INP180900068"/>
    <n v="2.0774157649237798E-4"/>
  </r>
  <r>
    <x v="153"/>
    <s v="Pesos"/>
    <d v="2026-07-23T00:00:00"/>
    <s v="08/06/2026"/>
    <n v="0.96663146"/>
    <m/>
    <n v="25000000"/>
    <n v="24165786.43"/>
    <n v="25000000"/>
    <n v="24165786.43"/>
    <n v="895"/>
    <s v="AMOMPY"/>
    <s v="Momentum Capital Investment S.A."/>
    <s v="22/04/2026"/>
    <s v="22/04/2026"/>
    <n v="28"/>
    <s v="No"/>
    <s v=""/>
    <m/>
    <m/>
    <s v="*TRD210700023"/>
    <s v="*TRD210700023"/>
    <n v="5.4284594245740056E-4"/>
  </r>
  <r>
    <x v="153"/>
    <s v="Pesos"/>
    <d v="2026-08-06T00:00:00"/>
    <s v="08/06/2026"/>
    <n v="0.95669965000000001"/>
    <m/>
    <n v="25000000"/>
    <n v="23917491.350000001"/>
    <n v="25000000"/>
    <n v="23917491.350000001"/>
    <n v="896"/>
    <s v="AMOMPY"/>
    <s v="Momentum Capital Investment S.A."/>
    <s v="22/04/2026"/>
    <s v="22/04/2026"/>
    <n v="28"/>
    <s v="No"/>
    <s v=""/>
    <m/>
    <m/>
    <s v="*TRD040800019"/>
    <s v="*TRD040800019"/>
    <n v="5.3726838854246527E-4"/>
  </r>
  <r>
    <x v="153"/>
    <s v="Pesos"/>
    <d v="2026-06-22T00:00:00"/>
    <s v="08/06/2026"/>
    <n v="0.98974998999999997"/>
    <m/>
    <n v="10000000"/>
    <n v="9897499.8599999994"/>
    <n v="10000000"/>
    <n v="9897499.8599999994"/>
    <n v="30172"/>
    <s v="AMOMPY"/>
    <s v="Momentum Capital Investment S.A."/>
    <s v="21/04/2026"/>
    <s v="21/04/2026"/>
    <n v="27"/>
    <s v="No"/>
    <s v=""/>
    <m/>
    <m/>
    <s v="*TRD180600032"/>
    <s v="*TRD180600032"/>
    <n v="2.2233158664365841E-4"/>
  </r>
  <r>
    <x v="153"/>
    <s v="Pesos"/>
    <d v="2026-06-25T00:00:00"/>
    <s v="08/06/2026"/>
    <n v="0.98758084999999995"/>
    <m/>
    <n v="10000000"/>
    <n v="9875808.4700000007"/>
    <n v="10000000"/>
    <n v="9875808.4700000007"/>
    <n v="30175"/>
    <s v="AMOMPY"/>
    <s v="Momentum Capital Investment S.A."/>
    <s v="21/04/2026"/>
    <s v="21/04/2026"/>
    <n v="27"/>
    <s v="No"/>
    <s v=""/>
    <m/>
    <m/>
    <s v="*TRD230600027"/>
    <s v="*TRD230600027"/>
    <n v="2.2184432408003902E-4"/>
  </r>
  <r>
    <x v="153"/>
    <s v="Pesos"/>
    <d v="2026-06-25T00:00:00"/>
    <s v="08/06/2026"/>
    <n v="0.98758084999999995"/>
    <m/>
    <n v="10000000"/>
    <n v="9875808.4700000007"/>
    <n v="10000000"/>
    <n v="9875808.4700000007"/>
    <n v="30174"/>
    <s v="AMOMPY"/>
    <s v="Momentum Capital Investment S.A."/>
    <s v="21/04/2026"/>
    <s v="21/04/2026"/>
    <n v="27"/>
    <s v="No"/>
    <s v=""/>
    <m/>
    <m/>
    <s v="*TRD230600026"/>
    <s v="*TRD230600026"/>
    <n v="2.2184432408003902E-4"/>
  </r>
  <r>
    <x v="153"/>
    <s v="Pesos"/>
    <d v="2026-06-25T00:00:00"/>
    <s v="08/06/2026"/>
    <n v="0.98758084999999995"/>
    <m/>
    <n v="10000000"/>
    <n v="9875808.4700000007"/>
    <n v="10000000"/>
    <n v="9875808.4700000007"/>
    <n v="30176"/>
    <s v="AMOMPY"/>
    <s v="Momentum Capital Investment S.A."/>
    <s v="21/04/2026"/>
    <s v="21/04/2026"/>
    <n v="27"/>
    <s v="No"/>
    <s v=""/>
    <m/>
    <m/>
    <s v="*TRD230600028"/>
    <s v="*TRD230600028"/>
    <n v="2.2184432408003902E-4"/>
  </r>
  <r>
    <x v="153"/>
    <s v="Pesos"/>
    <d v="2026-06-29T00:00:00"/>
    <s v="08/06/2026"/>
    <n v="0.98470338000000002"/>
    <m/>
    <n v="10000000"/>
    <n v="9847033.8300000001"/>
    <n v="10000000"/>
    <n v="9847033.8300000001"/>
    <n v="30178"/>
    <s v="AMOMPY"/>
    <s v="Momentum Capital Investment S.A."/>
    <s v="21/04/2026"/>
    <s v="21/04/2026"/>
    <n v="27"/>
    <s v="No"/>
    <s v=""/>
    <m/>
    <m/>
    <s v="*TRD250600019"/>
    <s v="*TRD250600019"/>
    <n v="2.2119794757518497E-4"/>
  </r>
  <r>
    <x v="153"/>
    <s v="Pesos"/>
    <d v="2026-06-29T00:00:00"/>
    <s v="08/06/2026"/>
    <n v="0.98470338000000002"/>
    <m/>
    <n v="10000000"/>
    <n v="9847033.8300000001"/>
    <n v="10000000"/>
    <n v="9847033.8300000001"/>
    <n v="30177"/>
    <s v="AMOMPY"/>
    <s v="Momentum Capital Investment S.A."/>
    <s v="21/04/2026"/>
    <s v="21/04/2026"/>
    <n v="27"/>
    <s v="No"/>
    <s v=""/>
    <m/>
    <m/>
    <s v="*TRD250600020"/>
    <s v="*TRD250600020"/>
    <n v="2.2119794757518497E-4"/>
  </r>
  <r>
    <x v="153"/>
    <s v="Pesos"/>
    <d v="2026-06-22T00:00:00"/>
    <s v="08/06/2026"/>
    <n v="0.98974998999999997"/>
    <m/>
    <n v="10000000"/>
    <n v="9897499.8599999994"/>
    <n v="10000000"/>
    <n v="9897499.8599999994"/>
    <n v="30173"/>
    <s v="AMOMPY"/>
    <s v="Momentum Capital Investment S.A."/>
    <s v="21/04/2026"/>
    <s v="21/04/2026"/>
    <n v="27"/>
    <s v="No"/>
    <s v=""/>
    <m/>
    <m/>
    <s v="*TRD180600034"/>
    <s v="*TRD180600034"/>
    <n v="2.2233158664365841E-4"/>
  </r>
  <r>
    <x v="153"/>
    <s v="Pesos"/>
    <d v="2026-06-22T00:00:00"/>
    <s v="08/06/2026"/>
    <n v="0.98974998999999997"/>
    <m/>
    <n v="10000000"/>
    <n v="9897499.8599999994"/>
    <n v="10000000"/>
    <n v="9897499.8599999994"/>
    <n v="30171"/>
    <s v="AMOMPY"/>
    <s v="Momentum Capital Investment S.A."/>
    <s v="21/04/2026"/>
    <s v="21/04/2026"/>
    <n v="27"/>
    <s v="No"/>
    <s v=""/>
    <m/>
    <m/>
    <s v="*TRD180600033"/>
    <s v="*TRD180600033"/>
    <n v="2.2233158664365841E-4"/>
  </r>
  <r>
    <x v="154"/>
    <s v="Pesos"/>
    <d v="2026-07-03T00:00:00"/>
    <s v="08/06/2026"/>
    <n v="0.98118285000000005"/>
    <m/>
    <n v="500000000"/>
    <n v="490591423.89999998"/>
    <n v="500000000"/>
    <n v="490591423.89999998"/>
    <n v="147165"/>
    <s v="AMOMPY"/>
    <s v="Momentum Capital Investment S.A."/>
    <s v="23/04/2026"/>
    <s v="23/04/2026"/>
    <n v="28"/>
    <s v="No"/>
    <s v=""/>
    <m/>
    <m/>
    <s v="#INT020760001"/>
    <s v="#INT020760001"/>
    <n v="1.1020355767851316E-2"/>
  </r>
  <r>
    <x v="154"/>
    <s v="Pesos"/>
    <d v="2026-06-23T00:00:00"/>
    <s v="08/06/2026"/>
    <n v="0.98862410000000001"/>
    <m/>
    <n v="50000000"/>
    <n v="49431205.009999998"/>
    <n v="50000000"/>
    <n v="49431205.009999998"/>
    <n v="4634"/>
    <s v="AMOMPY"/>
    <s v="Momentum Capital Investment S.A."/>
    <s v="12/05/2026"/>
    <s v="12/05/2026"/>
    <n v="28"/>
    <s v="No"/>
    <s v=""/>
    <m/>
    <m/>
    <s v="*BIF190600006"/>
    <s v="*BIF190600006"/>
    <n v="1.1103933715621449E-3"/>
  </r>
  <r>
    <x v="154"/>
    <s v="Pesos"/>
    <d v="2026-07-24T00:00:00"/>
    <s v="08/06/2026"/>
    <n v="0.96591510999999997"/>
    <m/>
    <n v="50000000"/>
    <n v="48295755.270000003"/>
    <n v="50000000"/>
    <n v="48295755.270000003"/>
    <n v="4635"/>
    <s v="AMOMPY"/>
    <s v="Momentum Capital Investment S.A."/>
    <s v="12/05/2026"/>
    <s v="12/05/2026"/>
    <n v="28"/>
    <s v="No"/>
    <s v=""/>
    <m/>
    <m/>
    <s v="*BIF220700005"/>
    <s v="*BIF220700005"/>
    <n v="1.0848872997440921E-3"/>
  </r>
  <r>
    <x v="154"/>
    <s v="Pesos"/>
    <d v="2026-07-23T00:00:00"/>
    <s v="08/06/2026"/>
    <n v="0.96663140999999997"/>
    <m/>
    <n v="50000000"/>
    <n v="48331570.450000003"/>
    <n v="50000000"/>
    <n v="48331570.450000003"/>
    <n v="4576"/>
    <s v="AMOMPY"/>
    <s v="Momentum Capital Investment S.A."/>
    <s v="05/05/2026"/>
    <s v="05/05/2026"/>
    <n v="28"/>
    <s v="No"/>
    <s v=""/>
    <m/>
    <m/>
    <s v="*BIF210700008"/>
    <s v="*BIF210700008"/>
    <n v="1.0856918307779856E-3"/>
  </r>
  <r>
    <x v="154"/>
    <s v="Pesos"/>
    <d v="2026-08-04T00:00:00"/>
    <s v="08/06/2026"/>
    <n v="0.95810585000000004"/>
    <m/>
    <n v="50000000"/>
    <n v="47905292.469999999"/>
    <n v="50000000"/>
    <n v="47905292.469999999"/>
    <n v="4577"/>
    <s v="AMOMPY"/>
    <s v="Momentum Capital Investment S.A."/>
    <s v="05/05/2026"/>
    <s v="05/05/2026"/>
    <n v="28"/>
    <s v="No"/>
    <s v=""/>
    <m/>
    <m/>
    <s v="*BIF310700007"/>
    <s v="*BIF310700007"/>
    <n v="1.0761161741995318E-3"/>
  </r>
  <r>
    <x v="147"/>
    <s v="Pesos"/>
    <d v="2026-09-08T00:00:00"/>
    <s v="08/06/2026"/>
    <n v="0.92969953000000005"/>
    <m/>
    <n v="60000000"/>
    <n v="55781971.869999997"/>
    <n v="60000000"/>
    <n v="55781971.869999997"/>
    <n v="61"/>
    <s v="AMOMPY"/>
    <s v="Momentum Capital Investment S.A."/>
    <s v="05/05/2026"/>
    <s v="05/05/2026"/>
    <n v="30"/>
    <s v="No"/>
    <s v=""/>
    <m/>
    <m/>
    <s v="*MIL040900020"/>
    <s v="*MIL040900020"/>
    <n v="1.2530532444957286E-3"/>
  </r>
  <r>
    <x v="147"/>
    <s v="Pesos"/>
    <d v="2026-07-15T00:00:00"/>
    <s v="08/06/2026"/>
    <n v="0.97048665000000001"/>
    <m/>
    <n v="60000000"/>
    <n v="58229199.229999997"/>
    <n v="60000000"/>
    <n v="58229199.229999997"/>
    <n v="59"/>
    <s v="AMOMPY"/>
    <s v="Momentum Capital Investment S.A."/>
    <s v="05/05/2026"/>
    <s v="05/05/2026"/>
    <n v="30"/>
    <s v="No"/>
    <s v=""/>
    <m/>
    <m/>
    <s v="*MIL100700051"/>
    <s v="*MIL100700051"/>
    <n v="1.3080263134043219E-3"/>
  </r>
  <r>
    <x v="147"/>
    <s v="Pesos"/>
    <d v="2026-06-17T00:00:00"/>
    <s v="08/06/2026"/>
    <n v="0.99265707000000003"/>
    <m/>
    <n v="60000000"/>
    <n v="59559424.259999998"/>
    <n v="60000000"/>
    <n v="59559424.259999998"/>
    <n v="58"/>
    <s v="AMOMPY"/>
    <s v="Momentum Capital Investment S.A."/>
    <s v="05/05/2026"/>
    <s v="05/05/2026"/>
    <n v="30"/>
    <s v="No"/>
    <s v=""/>
    <m/>
    <m/>
    <s v="*MIL120600032"/>
    <s v="*MIL120600032"/>
    <n v="1.3379077022092124E-3"/>
  </r>
  <r>
    <x v="147"/>
    <s v="Pesos"/>
    <d v="2026-08-19T00:00:00"/>
    <s v="08/06/2026"/>
    <n v="0.94412847"/>
    <m/>
    <n v="60000000"/>
    <n v="56647708.329999998"/>
    <n v="60000000"/>
    <n v="56647708.329999998"/>
    <n v="60"/>
    <s v="AMOMPY"/>
    <s v="Momentum Capital Investment S.A."/>
    <s v="05/05/2026"/>
    <s v="05/05/2026"/>
    <n v="30"/>
    <s v="No"/>
    <s v=""/>
    <m/>
    <m/>
    <s v="*MIL140800023"/>
    <s v="*MIL140800023"/>
    <n v="1.27250063661391E-3"/>
  </r>
  <r>
    <x v="147"/>
    <s v="Pesos"/>
    <d v="2026-08-07T00:00:00"/>
    <s v="08/06/2026"/>
    <n v="0.95300264999999995"/>
    <m/>
    <n v="10000000"/>
    <n v="9530026.5399999991"/>
    <n v="10000000"/>
    <n v="9530026.5399999991"/>
    <n v="991"/>
    <s v="AMOMPY"/>
    <s v="Momentum Capital Investment S.A."/>
    <s v="05/05/2026"/>
    <s v="05/05/2026"/>
    <n v="30"/>
    <s v="No"/>
    <s v=""/>
    <m/>
    <m/>
    <s v="*MIL050800016"/>
    <s v="*MIL050800016"/>
    <n v="2.1407688318920309E-4"/>
  </r>
  <r>
    <x v="147"/>
    <s v="Pesos"/>
    <d v="2026-08-21T00:00:00"/>
    <s v="08/06/2026"/>
    <n v="0.94447035999999995"/>
    <m/>
    <n v="10000000"/>
    <n v="9444703.5700000003"/>
    <n v="10000000"/>
    <n v="9444703.5700000003"/>
    <n v="2151"/>
    <s v="AMOMPY"/>
    <s v="Momentum Capital Investment S.A."/>
    <s v="27/04/2026"/>
    <s v="27/04/2026"/>
    <n v="29"/>
    <s v="No"/>
    <s v=""/>
    <m/>
    <m/>
    <s v="*MIL190800025"/>
    <s v="*MIL190800025"/>
    <n v="2.121602384237998E-4"/>
  </r>
  <r>
    <x v="147"/>
    <s v="Pesos"/>
    <d v="2026-08-20T00:00:00"/>
    <s v="08/06/2026"/>
    <n v="0.94517967000000003"/>
    <m/>
    <n v="10000000"/>
    <n v="9451796.6600000001"/>
    <n v="10000000"/>
    <n v="9451796.6600000001"/>
    <n v="2149"/>
    <s v="AMOMPY"/>
    <s v="Momentum Capital Investment S.A."/>
    <s v="27/04/2026"/>
    <s v="27/04/2026"/>
    <n v="29"/>
    <s v="No"/>
    <s v=""/>
    <m/>
    <m/>
    <s v="*MIL170800018"/>
    <s v="*MIL170800018"/>
    <n v="2.1231957340497819E-4"/>
  </r>
  <r>
    <x v="151"/>
    <s v="Pesos"/>
    <d v="2026-09-17T00:00:00"/>
    <s v="08/06/2026"/>
    <n v="0.918655"/>
    <m/>
    <n v="3243208.42"/>
    <n v="2979389.63"/>
    <n v="3243208.42"/>
    <n v="2979389.63"/>
    <n v="143911"/>
    <s v="AMOMPY"/>
    <s v="Momentum Capital Investment S.A."/>
    <s v="17/04/2026"/>
    <s v="17/04/2026"/>
    <n v="32"/>
    <s v="No"/>
    <s v=""/>
    <m/>
    <m/>
    <s v="*AFB150900012"/>
    <s v="*AFB150900012"/>
    <n v="6.6927247591551107E-5"/>
  </r>
  <r>
    <x v="151"/>
    <s v="Pesos"/>
    <d v="2026-06-09T00:00:00"/>
    <s v="08/06/2026"/>
    <n v="0.99920611000000004"/>
    <m/>
    <n v="4000000"/>
    <n v="3996824.45"/>
    <n v="4000000"/>
    <n v="3996824.45"/>
    <n v="842"/>
    <s v="AMOMPY"/>
    <s v="Momentum Capital Investment S.A."/>
    <s v="17/04/2026"/>
    <s v="17/04/2026"/>
    <n v="29"/>
    <s v="No"/>
    <s v=""/>
    <m/>
    <m/>
    <s v="*AFB050600015"/>
    <s v="*AFB050600015"/>
    <n v="8.9782302002949208E-5"/>
  </r>
  <r>
    <x v="155"/>
    <s v="Pesos"/>
    <d v="2026-07-01T00:00:00"/>
    <s v="08/06/2026"/>
    <n v="0.98327100000000001"/>
    <m/>
    <n v="200000000"/>
    <n v="196654199.09999999"/>
    <n v="200000000"/>
    <n v="196654199.09999999"/>
    <n v="18576"/>
    <s v="AMOMPY"/>
    <s v="Momentum Capital Investment S.A."/>
    <s v="29/04/2026"/>
    <s v="29/04/2026"/>
    <n v="27"/>
    <s v="No"/>
    <s v=""/>
    <m/>
    <m/>
    <s v="*AFD270600019"/>
    <s v="*AFD270600019"/>
    <n v="4.417523690274738E-3"/>
  </r>
  <r>
    <x v="156"/>
    <s v="Pesos"/>
    <d v="2026-08-31T00:00:00"/>
    <s v="08/06/2026"/>
    <n v="0.93946262999999997"/>
    <m/>
    <n v="35000000"/>
    <n v="32881191.93"/>
    <n v="35000000"/>
    <n v="32881191.93"/>
    <n v="3329632"/>
    <s v="AMOMPY"/>
    <s v="Momentum Capital Investment S.A."/>
    <s v="30/04/2026"/>
    <s v="30/04/2026"/>
    <n v="28"/>
    <s v="No"/>
    <s v=""/>
    <m/>
    <m/>
    <s v="*FID270800026"/>
    <s v="*FID270800026"/>
    <n v="7.386236601100146E-4"/>
  </r>
  <r>
    <x v="156"/>
    <s v="Pesos"/>
    <d v="2026-09-30T00:00:00"/>
    <s v="08/06/2026"/>
    <n v="0.91958079000000004"/>
    <m/>
    <n v="35000000"/>
    <n v="32185327.48"/>
    <n v="35000000"/>
    <n v="32185327.48"/>
    <n v="3329633"/>
    <s v="AMOMPY"/>
    <s v="Momentum Capital Investment S.A."/>
    <s v="30/04/2026"/>
    <s v="30/04/2026"/>
    <n v="28"/>
    <s v="No"/>
    <s v=""/>
    <m/>
    <m/>
    <s v="*FID260900031"/>
    <s v="*FID260900031"/>
    <n v="7.2299217241657428E-4"/>
  </r>
  <r>
    <x v="156"/>
    <s v="Pesos"/>
    <d v="2026-10-28T00:00:00"/>
    <s v="08/06/2026"/>
    <n v="0.90176902000000003"/>
    <m/>
    <n v="30000000"/>
    <n v="27053070.670000002"/>
    <n v="30000000"/>
    <n v="27053070.670000002"/>
    <n v="3329634"/>
    <s v="AMOMPY"/>
    <s v="Momentum Capital Investment S.A."/>
    <s v="30/04/2026"/>
    <s v="30/04/2026"/>
    <n v="28"/>
    <s v="No"/>
    <s v=""/>
    <m/>
    <m/>
    <s v="*FID261000025"/>
    <s v="*FID261000025"/>
    <n v="6.0770418900961919E-4"/>
  </r>
  <r>
    <x v="156"/>
    <s v="Pesos"/>
    <d v="2026-06-09T00:00:00"/>
    <s v="08/06/2026"/>
    <n v="0.99928817999999997"/>
    <m/>
    <n v="20000000"/>
    <n v="19985763.57"/>
    <n v="20000000"/>
    <n v="19985763.57"/>
    <n v="90026749"/>
    <s v="AMOMPY"/>
    <s v="Momentum Capital Investment S.A."/>
    <s v="30/04/2026"/>
    <s v="30/04/2026"/>
    <n v="26"/>
    <s v="No"/>
    <s v=""/>
    <m/>
    <m/>
    <s v="*FID050600036"/>
    <s v="*FID050600036"/>
    <n v="4.4894837965707505E-4"/>
  </r>
  <r>
    <x v="156"/>
    <s v="Pesos"/>
    <d v="2026-06-17T00:00:00"/>
    <s v="08/06/2026"/>
    <n v="0.99362992000000006"/>
    <m/>
    <n v="25000000"/>
    <n v="24840748.02"/>
    <n v="25000000"/>
    <n v="24840748.02"/>
    <n v="90026750"/>
    <s v="AMOMPY"/>
    <s v="Momentum Capital Investment S.A."/>
    <s v="30/04/2026"/>
    <s v="30/04/2026"/>
    <n v="26"/>
    <s v="No"/>
    <s v=""/>
    <m/>
    <m/>
    <s v="*FID120600027"/>
    <s v="*FID120600027"/>
    <n v="5.580078806590573E-4"/>
  </r>
  <r>
    <x v="156"/>
    <s v="Pesos"/>
    <d v="2026-09-22T00:00:00"/>
    <s v="08/06/2026"/>
    <n v="0.92232274999999997"/>
    <m/>
    <n v="25000000"/>
    <n v="23058068.800000001"/>
    <n v="25000000"/>
    <n v="23058068.800000001"/>
    <n v="66410159"/>
    <s v="AMOMPY"/>
    <s v="Momentum Capital Investment S.A."/>
    <s v="22/04/2026"/>
    <s v="22/04/2026"/>
    <n v="29"/>
    <s v="No"/>
    <s v=""/>
    <m/>
    <m/>
    <s v="*FID180900021"/>
    <s v="*FID180900021"/>
    <n v="5.1796282836649992E-4"/>
  </r>
  <r>
    <x v="156"/>
    <s v="Pesos"/>
    <d v="2026-07-22T00:00:00"/>
    <s v="08/06/2026"/>
    <n v="0.96509794000000004"/>
    <m/>
    <n v="15000000"/>
    <n v="14476469.060000001"/>
    <n v="15000000"/>
    <n v="14476469.060000001"/>
    <n v="2833124"/>
    <s v="AMOMPY"/>
    <s v="Momentum Capital Investment S.A."/>
    <s v="21/04/2026"/>
    <s v="21/04/2026"/>
    <n v="30"/>
    <s v="No"/>
    <s v=""/>
    <m/>
    <m/>
    <s v="*FID200700022"/>
    <s v="*FID200700022"/>
    <n v="3.2519084421665556E-4"/>
  </r>
  <r>
    <x v="156"/>
    <s v="Pesos"/>
    <d v="2026-07-16T00:00:00"/>
    <s v="08/06/2026"/>
    <n v="0.97265899"/>
    <m/>
    <n v="130000000"/>
    <n v="126445669.08"/>
    <n v="130000000"/>
    <n v="126445669.08"/>
    <n v="31"/>
    <s v="AMOMPY"/>
    <s v="Momentum Capital Investment S.A."/>
    <s v="17/04/2026"/>
    <s v="17/04/2026"/>
    <n v="27"/>
    <s v="No"/>
    <s v=""/>
    <m/>
    <m/>
    <s v="*FID140700021"/>
    <s v="*FID140700021"/>
    <n v="2.8404007707432673E-3"/>
  </r>
  <r>
    <x v="156"/>
    <s v="Pesos"/>
    <d v="2026-07-16T00:00:00"/>
    <s v="08/06/2026"/>
    <n v="0.97265899"/>
    <m/>
    <n v="150000000"/>
    <n v="145898848.94"/>
    <n v="150000000"/>
    <n v="145898848.94"/>
    <n v="30"/>
    <s v="AMOMPY"/>
    <s v="Momentum Capital Investment S.A."/>
    <s v="17/04/2026"/>
    <s v="17/04/2026"/>
    <n v="27"/>
    <s v="No"/>
    <s v=""/>
    <m/>
    <m/>
    <s v="*FID140700020"/>
    <s v="*FID140700020"/>
    <n v="3.2773855047383291E-3"/>
  </r>
  <r>
    <x v="157"/>
    <s v="Pesos"/>
    <d v="2026-06-10T00:00:00"/>
    <s v="08/06/2026"/>
    <n v="0.99792214000000001"/>
    <m/>
    <n v="100000000"/>
    <n v="99792214.359999999"/>
    <n v="100000000"/>
    <n v="99792214.359999999"/>
    <n v="3257451"/>
    <s v="AMOMPY"/>
    <s v="Momentum Capital Investment S.A."/>
    <s v="25/03/2026"/>
    <s v="25/03/2026"/>
    <n v="38"/>
    <s v="No"/>
    <s v=""/>
    <m/>
    <m/>
    <s v="*MAV080600773"/>
    <s v="*MAV080600773"/>
    <n v="2.2416733182295668E-3"/>
  </r>
  <r>
    <x v="158"/>
    <s v="Pesos"/>
    <d v="2026-07-29T00:00:00"/>
    <s v="08/06/2026"/>
    <n v="0.95592297000000004"/>
    <m/>
    <n v="50000000"/>
    <n v="47796148.649999999"/>
    <n v="50000000"/>
    <n v="47796148.649999999"/>
    <n v="135"/>
    <s v="AMOMPY"/>
    <s v="Momentum Capital Investment S.A."/>
    <s v="13/05/2026"/>
    <s v="13/05/2026"/>
    <n v="33"/>
    <s v="No"/>
    <s v=""/>
    <m/>
    <m/>
    <s v="*MAV270700938"/>
    <s v="*MAV270700938"/>
    <n v="1.0736644319397496E-3"/>
  </r>
  <r>
    <x v="158"/>
    <s v="Pesos"/>
    <d v="2026-08-05T00:00:00"/>
    <s v="08/06/2026"/>
    <n v="0.95017461999999997"/>
    <m/>
    <n v="50000000"/>
    <n v="47508730.899999999"/>
    <n v="50000000"/>
    <n v="47508730.899999999"/>
    <n v="136"/>
    <s v="AMOMPY"/>
    <s v="Momentum Capital Investment S.A."/>
    <s v="13/05/2026"/>
    <s v="13/05/2026"/>
    <n v="33"/>
    <s v="No"/>
    <s v=""/>
    <m/>
    <m/>
    <s v="*MAV030800838"/>
    <s v="*MAV030800838"/>
    <n v="1.067208049490551E-3"/>
  </r>
  <r>
    <x v="158"/>
    <s v="Pesos"/>
    <d v="2026-07-15T00:00:00"/>
    <s v="08/06/2026"/>
    <n v="0.96763089999999996"/>
    <m/>
    <n v="50000000"/>
    <n v="48381544.829999998"/>
    <n v="50000000"/>
    <n v="48381544.829999998"/>
    <n v="133"/>
    <s v="AMOMPY"/>
    <s v="Momentum Capital Investment S.A."/>
    <s v="13/05/2026"/>
    <s v="13/05/2026"/>
    <n v="33"/>
    <s v="No"/>
    <s v=""/>
    <m/>
    <m/>
    <s v="*MAV130701169"/>
    <s v="*MAV130701169"/>
    <n v="1.0868144257114632E-3"/>
  </r>
  <r>
    <x v="158"/>
    <s v="Pesos"/>
    <d v="2026-07-22T00:00:00"/>
    <s v="08/06/2026"/>
    <n v="0.96174130000000002"/>
    <m/>
    <n v="50000000"/>
    <n v="48087065.200000003"/>
    <n v="50000000"/>
    <n v="48087065.200000003"/>
    <n v="134"/>
    <s v="AMOMPY"/>
    <s v="Momentum Capital Investment S.A."/>
    <s v="13/05/2026"/>
    <s v="13/05/2026"/>
    <n v="33"/>
    <s v="No"/>
    <s v=""/>
    <m/>
    <m/>
    <s v="*MAV200701140"/>
    <s v="*MAV200701140"/>
    <n v="1.0801994093640787E-3"/>
  </r>
  <r>
    <x v="158"/>
    <s v="Pesos"/>
    <d v="2026-08-07T00:00:00"/>
    <s v="08/06/2026"/>
    <n v="0.94854490999999996"/>
    <m/>
    <n v="50000000"/>
    <n v="47427245.359999999"/>
    <n v="50000000"/>
    <n v="47427245.359999999"/>
    <n v="141"/>
    <s v="AMOMPY"/>
    <s v="Momentum Capital Investment S.A."/>
    <s v="22/05/2026"/>
    <s v="22/05/2026"/>
    <n v="33"/>
    <s v="No"/>
    <s v=""/>
    <m/>
    <m/>
    <s v="*MAV050801234"/>
    <s v="*MAV050801234"/>
    <n v="1.0653776064844407E-3"/>
  </r>
  <r>
    <x v="158"/>
    <s v="Pesos"/>
    <d v="2026-08-04T00:00:00"/>
    <s v="08/06/2026"/>
    <n v="0.95099153999999997"/>
    <m/>
    <n v="50000000"/>
    <n v="47549577.130000003"/>
    <n v="50000000"/>
    <n v="47549577.130000003"/>
    <n v="140"/>
    <s v="AMOMPY"/>
    <s v="Momentum Capital Investment S.A."/>
    <s v="22/05/2026"/>
    <s v="22/05/2026"/>
    <n v="33"/>
    <s v="No"/>
    <s v=""/>
    <m/>
    <m/>
    <s v="*MAV310701486"/>
    <s v="*MAV310701486"/>
    <n v="1.0681255950578932E-3"/>
  </r>
  <r>
    <x v="159"/>
    <s v="Pesos"/>
    <d v="2026-07-15T00:00:00"/>
    <s v="08/06/2026"/>
    <n v="0.96290836000000002"/>
    <m/>
    <n v="85000000"/>
    <n v="81847210.560000002"/>
    <n v="85000000"/>
    <n v="81847210.560000002"/>
    <n v="7363"/>
    <s v="AMOMPY"/>
    <s v="Momentum Capital Investment S.A."/>
    <s v="14/04/2026"/>
    <s v="14/04/2026"/>
    <n v="38"/>
    <s v="No"/>
    <s v=""/>
    <m/>
    <m/>
    <s v="*MAV130700974"/>
    <s v="*MAV130700974"/>
    <n v="1.8385673597940716E-3"/>
  </r>
  <r>
    <x v="159"/>
    <s v="Pesos"/>
    <d v="2026-06-22T00:00:00"/>
    <s v="08/06/2026"/>
    <n v="0.98600681000000001"/>
    <m/>
    <n v="85000000"/>
    <n v="83810578.640000001"/>
    <n v="85000000"/>
    <n v="83810578.640000001"/>
    <n v="7361"/>
    <s v="AMOMPY"/>
    <s v="Momentum Capital Investment S.A."/>
    <s v="10/04/2026"/>
    <s v="10/04/2026"/>
    <n v="37"/>
    <s v="No"/>
    <s v=""/>
    <m/>
    <m/>
    <s v="*MAV180601026"/>
    <s v="*MAV180601026"/>
    <n v="1.8826712998361494E-3"/>
  </r>
  <r>
    <x v="159"/>
    <s v="Pesos"/>
    <d v="2026-07-03T00:00:00"/>
    <s v="08/06/2026"/>
    <n v="0.97528391999999997"/>
    <m/>
    <n v="100000000"/>
    <n v="97528392.390000001"/>
    <n v="100000000"/>
    <n v="97528392.390000001"/>
    <n v="7353"/>
    <s v="AMOMPY"/>
    <s v="Momentum Capital Investment S.A."/>
    <s v="31/03/2026"/>
    <s v="31/03/2026"/>
    <n v="37"/>
    <s v="No"/>
    <s v=""/>
    <m/>
    <m/>
    <s v="*MAV010701052"/>
    <s v="*MAV010701052"/>
    <n v="2.1908201595947285E-3"/>
  </r>
  <r>
    <x v="159"/>
    <s v="Pesos"/>
    <d v="2026-07-22T00:00:00"/>
    <s v="08/06/2026"/>
    <n v="0.95730177999999999"/>
    <m/>
    <n v="100000000"/>
    <n v="95730177.689999998"/>
    <n v="100000000"/>
    <n v="95730177.689999998"/>
    <n v="7376"/>
    <s v="AMOMPY"/>
    <s v="Momentum Capital Investment S.A."/>
    <s v="23/04/2026"/>
    <s v="23/04/2026"/>
    <n v="37"/>
    <s v="No"/>
    <s v=""/>
    <m/>
    <m/>
    <s v="*MAV200701047"/>
    <s v="*MAV200701047"/>
    <n v="2.150426127462158E-3"/>
  </r>
  <r>
    <x v="159"/>
    <s v="Pesos"/>
    <d v="2026-06-12T00:00:00"/>
    <s v="08/06/2026"/>
    <n v="0.99574423000000001"/>
    <m/>
    <n v="115000000"/>
    <n v="114510586.68000001"/>
    <n v="115000000"/>
    <n v="114510586.68000001"/>
    <n v="7340"/>
    <s v="AMOMPY"/>
    <s v="Momentum Capital Investment S.A."/>
    <s v="16/03/2026"/>
    <s v="16/03/2026"/>
    <n v="39"/>
    <s v="No"/>
    <s v=""/>
    <m/>
    <m/>
    <s v="*MAV100601387"/>
    <s v="*MAV100601387"/>
    <n v="2.572298134294753E-3"/>
  </r>
  <r>
    <x v="159"/>
    <s v="Pesos"/>
    <d v="2026-06-16T00:00:00"/>
    <s v="08/06/2026"/>
    <n v="0.99152452999999996"/>
    <m/>
    <n v="115000000"/>
    <n v="114025320.88"/>
    <n v="115000000"/>
    <n v="114025320.88"/>
    <n v="7342"/>
    <s v="AMOMPY"/>
    <s v="Momentum Capital Investment S.A."/>
    <s v="16/03/2026"/>
    <s v="16/03/2026"/>
    <n v="39"/>
    <s v="No"/>
    <s v=""/>
    <m/>
    <m/>
    <s v="*MAV110600917"/>
    <s v="*MAV110600917"/>
    <n v="2.5613974101943229E-3"/>
  </r>
  <r>
    <x v="159"/>
    <s v="Pesos"/>
    <d v="2026-08-24T00:00:00"/>
    <s v="08/06/2026"/>
    <n v="0.9312414"/>
    <m/>
    <n v="100000000"/>
    <n v="93124139.989999995"/>
    <n v="100000000"/>
    <n v="93124139.989999995"/>
    <n v="7413"/>
    <s v="AMOMPY"/>
    <s v="Momentum Capital Investment S.A."/>
    <s v="20/05/2026"/>
    <s v="20/05/2026"/>
    <n v="35"/>
    <s v="No"/>
    <s v=""/>
    <m/>
    <m/>
    <s v="*MAV200801245"/>
    <s v="*MAV200801245"/>
    <n v="2.0918856369453748E-3"/>
  </r>
  <r>
    <x v="124"/>
    <s v="Pesos"/>
    <d v="2026-06-18T00:00:00"/>
    <s v="08/06/2026"/>
    <n v="0.98969633999999995"/>
    <m/>
    <n v="5450000"/>
    <n v="5393845.0599999996"/>
    <n v="5450000"/>
    <n v="5393845.0599999996"/>
    <n v="28513"/>
    <s v="AMOMPY"/>
    <s v="Momentum Capital Investment S.A."/>
    <s v="08/04/2026"/>
    <s v="08/04/2026"/>
    <n v="38"/>
    <s v="No"/>
    <s v=""/>
    <m/>
    <m/>
    <s v="*MAV140601123"/>
    <s v="*MAV140601123"/>
    <n v="1.2116414723544728E-4"/>
  </r>
  <r>
    <x v="124"/>
    <s v="Pesos"/>
    <d v="2026-07-16T00:00:00"/>
    <s v="08/06/2026"/>
    <n v="0.96194402999999995"/>
    <m/>
    <n v="5450000"/>
    <n v="5242594.99"/>
    <n v="5450000"/>
    <n v="5242594.99"/>
    <n v="28515"/>
    <s v="AMOMPY"/>
    <s v="Momentum Capital Investment S.A."/>
    <s v="08/04/2026"/>
    <s v="08/04/2026"/>
    <n v="38"/>
    <s v="No"/>
    <s v=""/>
    <m/>
    <m/>
    <s v="*MAV140701323"/>
    <s v="*MAV140701323"/>
    <n v="1.1776655506381534E-4"/>
  </r>
  <r>
    <x v="124"/>
    <s v="Pesos"/>
    <d v="2026-09-01T00:00:00"/>
    <s v="08/06/2026"/>
    <n v="0.91870123000000004"/>
    <m/>
    <n v="5450000"/>
    <n v="5006921.72"/>
    <n v="5450000"/>
    <n v="5006921.72"/>
    <n v="28518"/>
    <s v="AMOMPY"/>
    <s v="Momentum Capital Investment S.A."/>
    <s v="08/04/2026"/>
    <s v="08/04/2026"/>
    <n v="38"/>
    <s v="No"/>
    <s v=""/>
    <m/>
    <m/>
    <s v="*MAV280801000"/>
    <s v="*MAV280801000"/>
    <n v="1.1247253002822424E-4"/>
  </r>
  <r>
    <x v="124"/>
    <s v="Pesos"/>
    <d v="2026-08-18T00:00:00"/>
    <s v="08/06/2026"/>
    <n v="0.93117011000000005"/>
    <m/>
    <n v="5450000"/>
    <n v="5074877.08"/>
    <n v="5450000"/>
    <n v="5074877.08"/>
    <n v="28517"/>
    <s v="AMOMPY"/>
    <s v="Momentum Capital Investment S.A."/>
    <s v="08/04/2026"/>
    <s v="08/04/2026"/>
    <n v="38"/>
    <s v="No"/>
    <s v=""/>
    <m/>
    <m/>
    <s v="*MAV130800927"/>
    <s v="*MAV130800927"/>
    <n v="1.1399903906822952E-4"/>
  </r>
  <r>
    <x v="124"/>
    <s v="Pesos"/>
    <d v="2026-07-01T00:00:00"/>
    <s v="08/06/2026"/>
    <n v="0.97661485999999997"/>
    <m/>
    <n v="5450000"/>
    <n v="5322550.99"/>
    <n v="5450000"/>
    <n v="5322550.99"/>
    <n v="28514"/>
    <s v="AMOMPY"/>
    <s v="Momentum Capital Investment S.A."/>
    <s v="08/04/2026"/>
    <s v="08/04/2026"/>
    <n v="38"/>
    <s v="No"/>
    <s v=""/>
    <m/>
    <m/>
    <s v="*MAV290600741"/>
    <s v="*MAV290600741"/>
    <n v="1.1956263938744576E-4"/>
  </r>
  <r>
    <x v="160"/>
    <s v="Pesos"/>
    <d v="2026-09-24T00:00:00"/>
    <s v="08/06/2026"/>
    <n v="0.91350494000000004"/>
    <m/>
    <n v="15355310.449999999"/>
    <n v="14027151.9"/>
    <n v="15355310.449999999"/>
    <n v="14027151.9"/>
    <n v="30751"/>
    <s v="AMOMPY"/>
    <s v="Momentum Capital Investment S.A."/>
    <s v="04/06/2026"/>
    <s v="04/06/2026"/>
    <n v="32"/>
    <s v="No"/>
    <s v=""/>
    <m/>
    <m/>
    <s v="*MAV220901283"/>
    <s v="*MAV220901283"/>
    <n v="3.1509764911667379E-4"/>
  </r>
  <r>
    <x v="160"/>
    <s v="Pesos"/>
    <d v="2026-09-14T00:00:00"/>
    <s v="08/06/2026"/>
    <n v="0.92088002000000002"/>
    <m/>
    <n v="15355310.449999999"/>
    <n v="14140398.619999999"/>
    <n v="15355310.449999999"/>
    <n v="14140398.619999999"/>
    <n v="30743"/>
    <s v="AMOMPY"/>
    <s v="Momentum Capital Investment S.A."/>
    <s v="04/06/2026"/>
    <s v="04/06/2026"/>
    <n v="32"/>
    <s v="No"/>
    <s v=""/>
    <m/>
    <m/>
    <s v="*MAV100901257"/>
    <s v="*MAV100901257"/>
    <n v="3.1764155649691492E-4"/>
  </r>
  <r>
    <x v="160"/>
    <s v="Pesos"/>
    <d v="2026-09-15T00:00:00"/>
    <s v="08/06/2026"/>
    <n v="0.92013734000000003"/>
    <m/>
    <n v="15355310.449999999"/>
    <n v="14128994.52"/>
    <n v="15355310.449999999"/>
    <n v="14128994.52"/>
    <n v="30744"/>
    <s v="AMOMPY"/>
    <s v="Momentum Capital Investment S.A."/>
    <s v="04/06/2026"/>
    <s v="04/06/2026"/>
    <n v="32"/>
    <s v="No"/>
    <s v=""/>
    <m/>
    <m/>
    <s v="*MAV110901015"/>
    <s v="*MAV110901015"/>
    <n v="3.1738538153524713E-4"/>
  </r>
  <r>
    <x v="160"/>
    <s v="Pesos"/>
    <d v="2026-09-11T00:00:00"/>
    <s v="08/06/2026"/>
    <n v="0.92311606000000002"/>
    <m/>
    <n v="15355310.449999999"/>
    <n v="14174733.689999999"/>
    <n v="15355310.449999999"/>
    <n v="14174733.689999999"/>
    <n v="30742"/>
    <s v="AMOMPY"/>
    <s v="Momentum Capital Investment S.A."/>
    <s v="04/06/2026"/>
    <s v="04/06/2026"/>
    <n v="32"/>
    <s v="No"/>
    <s v=""/>
    <m/>
    <m/>
    <s v="*MAV090901172"/>
    <s v="*MAV090901172"/>
    <n v="3.1841283921463161E-4"/>
  </r>
  <r>
    <x v="161"/>
    <s v="Pesos"/>
    <d v="2026-07-08T00:00:00"/>
    <s v="08/06/2026"/>
    <n v="0.97048670000000004"/>
    <m/>
    <n v="50000000"/>
    <n v="48524334.789999999"/>
    <n v="50000000"/>
    <n v="48524334.789999999"/>
    <n v="29239213"/>
    <s v="AMOMPY"/>
    <s v="Momentum Capital Investment S.A."/>
    <s v="13/05/2026"/>
    <s v="13/05/2026"/>
    <n v="37"/>
    <s v="No"/>
    <s v=""/>
    <m/>
    <m/>
    <s v="*MAV060700916"/>
    <s v="*MAV060700916"/>
    <n v="1.0900219749726547E-3"/>
  </r>
  <r>
    <x v="161"/>
    <s v="Pesos"/>
    <d v="2026-07-15T00:00:00"/>
    <s v="08/06/2026"/>
    <n v="0.96384921000000001"/>
    <m/>
    <n v="50000000"/>
    <n v="48192460.420000002"/>
    <n v="50000000"/>
    <n v="48192460.420000002"/>
    <n v="29239217"/>
    <s v="AMOMPY"/>
    <s v="Momentum Capital Investment S.A."/>
    <s v="13/05/2026"/>
    <s v="13/05/2026"/>
    <n v="37"/>
    <s v="No"/>
    <s v=""/>
    <m/>
    <m/>
    <s v="*MAV120701200"/>
    <s v="*MAV120701200"/>
    <n v="1.0825669452891823E-3"/>
  </r>
  <r>
    <x v="162"/>
    <s v="Pesos"/>
    <d v="2026-08-04T00:00:00"/>
    <s v="08/06/2026"/>
    <n v="0.94120689999999996"/>
    <m/>
    <n v="60000000"/>
    <n v="56472414.189999998"/>
    <n v="60000000"/>
    <n v="56472414.189999998"/>
    <n v="152491"/>
    <s v="AMOMPY"/>
    <s v="Momentum Capital Investment S.A."/>
    <s v="04/06/2026"/>
    <s v="04/06/2026"/>
    <n v="40"/>
    <s v="No"/>
    <s v=""/>
    <m/>
    <m/>
    <s v="#MAV030860055"/>
    <s v="#MAV030860055"/>
    <n v="1.2685629326657601E-3"/>
  </r>
  <r>
    <x v="163"/>
    <s v="Pesos"/>
    <d v="2026-06-29T00:00:00"/>
    <s v="08/06/2026"/>
    <n v="0.97695460000000001"/>
    <m/>
    <n v="20000000"/>
    <n v="19539091.989999998"/>
    <n v="20000000"/>
    <n v="19539091.989999998"/>
    <n v="13318406"/>
    <s v="AMOMPY"/>
    <s v="Momentum Capital Investment S.A."/>
    <s v="27/03/2026"/>
    <s v="27/03/2026"/>
    <n v="41"/>
    <s v="No"/>
    <s v=""/>
    <m/>
    <m/>
    <s v="*MAV250601028"/>
    <s v="*MAV250601028"/>
    <n v="4.3891461330246452E-4"/>
  </r>
  <r>
    <x v="163"/>
    <s v="Pesos"/>
    <d v="2026-06-23T00:00:00"/>
    <s v="08/06/2026"/>
    <n v="0.98342993999999995"/>
    <m/>
    <n v="20000000"/>
    <n v="19668598.789999999"/>
    <n v="20000000"/>
    <n v="19668598.789999999"/>
    <n v="13318402"/>
    <s v="AMOMPY"/>
    <s v="Momentum Capital Investment S.A."/>
    <s v="27/03/2026"/>
    <s v="27/03/2026"/>
    <n v="41"/>
    <s v="No"/>
    <s v=""/>
    <m/>
    <m/>
    <s v="*MAV190600933"/>
    <s v="*MAV190600933"/>
    <n v="4.4182377750882229E-4"/>
  </r>
  <r>
    <x v="163"/>
    <s v="Pesos"/>
    <d v="2026-06-24T00:00:00"/>
    <s v="08/06/2026"/>
    <n v="0.98234474999999999"/>
    <m/>
    <n v="20000000"/>
    <n v="19646895.059999999"/>
    <n v="20000000"/>
    <n v="19646895.059999999"/>
    <n v="13318403"/>
    <s v="AMOMPY"/>
    <s v="Momentum Capital Investment S.A."/>
    <s v="27/03/2026"/>
    <s v="27/03/2026"/>
    <n v="41"/>
    <s v="No"/>
    <s v=""/>
    <m/>
    <m/>
    <s v="*MAV220600806"/>
    <s v="*MAV220600806"/>
    <n v="4.4133623774673681E-4"/>
  </r>
  <r>
    <x v="163"/>
    <s v="Pesos"/>
    <d v="2026-06-25T00:00:00"/>
    <s v="08/06/2026"/>
    <n v="0.98126195999999999"/>
    <m/>
    <n v="20000000"/>
    <n v="19625239.109999999"/>
    <n v="20000000"/>
    <n v="19625239.109999999"/>
    <n v="13318404"/>
    <s v="AMOMPY"/>
    <s v="Momentum Capital Investment S.A."/>
    <s v="27/03/2026"/>
    <s v="27/03/2026"/>
    <n v="41"/>
    <s v="No"/>
    <s v=""/>
    <m/>
    <m/>
    <s v="*MAV230601300"/>
    <s v="*MAV230601300"/>
    <n v="4.4084977128632956E-4"/>
  </r>
  <r>
    <x v="163"/>
    <s v="Pesos"/>
    <d v="2026-07-01T00:00:00"/>
    <s v="08/06/2026"/>
    <n v="0.97481512000000003"/>
    <m/>
    <n v="20000000"/>
    <n v="19496302.350000001"/>
    <n v="20000000"/>
    <n v="19496302.350000001"/>
    <n v="13318408"/>
    <s v="AMOMPY"/>
    <s v="Momentum Capital Investment S.A."/>
    <s v="27/03/2026"/>
    <s v="27/03/2026"/>
    <n v="41"/>
    <s v="No"/>
    <s v=""/>
    <m/>
    <m/>
    <s v="*MAV290600704"/>
    <s v="*MAV290600704"/>
    <n v="4.3795341212159275E-4"/>
  </r>
  <r>
    <x v="163"/>
    <s v="Pesos"/>
    <d v="2026-06-26T00:00:00"/>
    <s v="08/06/2026"/>
    <n v="0.98018154000000002"/>
    <m/>
    <n v="20000000"/>
    <n v="19603630.800000001"/>
    <n v="20000000"/>
    <n v="19603630.800000001"/>
    <n v="13318405"/>
    <s v="AMOMPY"/>
    <s v="Momentum Capital Investment S.A."/>
    <s v="27/03/2026"/>
    <s v="27/03/2026"/>
    <n v="41"/>
    <s v="No"/>
    <s v=""/>
    <m/>
    <m/>
    <s v="*MAV240601142"/>
    <s v="*MAV240601142"/>
    <n v="4.4036437498272326E-4"/>
  </r>
  <r>
    <x v="163"/>
    <s v="Pesos"/>
    <d v="2026-06-30T00:00:00"/>
    <s v="08/06/2026"/>
    <n v="0.97588372999999995"/>
    <m/>
    <n v="20000000"/>
    <n v="19517674.609999999"/>
    <n v="20000000"/>
    <n v="19517674.609999999"/>
    <n v="13318407"/>
    <s v="AMOMPY"/>
    <s v="Momentum Capital Investment S.A."/>
    <s v="27/03/2026"/>
    <s v="27/03/2026"/>
    <n v="41"/>
    <s v="No"/>
    <s v=""/>
    <m/>
    <m/>
    <s v="*MAV260601080"/>
    <s v="*MAV260601080"/>
    <n v="4.3843350593752338E-4"/>
  </r>
  <r>
    <x v="163"/>
    <s v="Pesos"/>
    <d v="2026-07-02T00:00:00"/>
    <s v="08/06/2026"/>
    <n v="0.97374883999999995"/>
    <m/>
    <n v="20000000"/>
    <n v="19474976.809999999"/>
    <n v="20000000"/>
    <n v="19474976.809999999"/>
    <n v="13318409"/>
    <s v="AMOMPY"/>
    <s v="Momentum Capital Investment S.A."/>
    <s v="27/03/2026"/>
    <s v="27/03/2026"/>
    <n v="41"/>
    <s v="No"/>
    <s v=""/>
    <m/>
    <m/>
    <s v="*MAV300601881"/>
    <s v="*MAV300601881"/>
    <n v="4.3747436779612676E-4"/>
  </r>
  <r>
    <x v="163"/>
    <s v="Pesos"/>
    <d v="2026-06-08T00:00:00"/>
    <s v="08/06/2026"/>
    <n v="1"/>
    <m/>
    <n v="20000000"/>
    <n v="20000000"/>
    <n v="20000000"/>
    <n v="20000000"/>
    <n v="13318413"/>
    <s v="AMOMPY"/>
    <s v="Momentum Capital Investment S.A."/>
    <s v="01/04/2026"/>
    <s v="01/04/2026"/>
    <n v="41"/>
    <s v="No"/>
    <s v=""/>
    <m/>
    <m/>
    <s v="*MAV040600763"/>
    <s v="*MAV040600763"/>
    <n v="4.4926817840573009E-4"/>
  </r>
  <r>
    <x v="163"/>
    <s v="Pesos"/>
    <d v="2026-06-09T00:00:00"/>
    <s v="08/06/2026"/>
    <n v="0.99887797"/>
    <m/>
    <n v="20000000"/>
    <n v="19977559.460000001"/>
    <n v="20000000"/>
    <n v="19977559.460000001"/>
    <n v="13318414"/>
    <s v="AMOMPY"/>
    <s v="Momentum Capital Investment S.A."/>
    <s v="01/04/2026"/>
    <s v="01/04/2026"/>
    <n v="41"/>
    <s v="No"/>
    <s v=""/>
    <m/>
    <m/>
    <s v="*MAV050601204"/>
    <s v="*MAV050601204"/>
    <n v="4.4876408737931802E-4"/>
  </r>
  <r>
    <x v="163"/>
    <s v="Pesos"/>
    <d v="2026-06-10T00:00:00"/>
    <s v="08/06/2026"/>
    <n v="0.99775846999999995"/>
    <m/>
    <n v="20000000"/>
    <n v="19955169.399999999"/>
    <n v="20000000"/>
    <n v="19955169.399999999"/>
    <n v="13318415"/>
    <s v="AMOMPY"/>
    <s v="Momentum Capital Investment S.A."/>
    <s v="01/04/2026"/>
    <s v="01/04/2026"/>
    <n v="41"/>
    <s v="No"/>
    <s v=""/>
    <m/>
    <m/>
    <s v="*MAV080600801"/>
    <s v="*MAV080600801"/>
    <n v="4.4826113030578822E-4"/>
  </r>
  <r>
    <x v="163"/>
    <s v="Pesos"/>
    <d v="2026-06-11T00:00:00"/>
    <s v="08/06/2026"/>
    <n v="0.99664145999999998"/>
    <m/>
    <n v="20000000"/>
    <n v="19932829.280000001"/>
    <n v="20000000"/>
    <n v="19932829.280000001"/>
    <n v="13318416"/>
    <s v="AMOMPY"/>
    <s v="Momentum Capital Investment S.A."/>
    <s v="01/04/2026"/>
    <s v="01/04/2026"/>
    <n v="41"/>
    <s v="No"/>
    <s v=""/>
    <m/>
    <m/>
    <s v="*MAV090601185"/>
    <s v="*MAV090601185"/>
    <n v="4.4775929505490005E-4"/>
  </r>
  <r>
    <x v="163"/>
    <s v="Pesos"/>
    <d v="2026-06-12T00:00:00"/>
    <s v="08/06/2026"/>
    <n v="0.99552695000000002"/>
    <m/>
    <n v="20000000"/>
    <n v="19910539.07"/>
    <n v="20000000"/>
    <n v="19910539.07"/>
    <n v="13318417"/>
    <s v="AMOMPY"/>
    <s v="Momentum Capital Investment S.A."/>
    <s v="01/04/2026"/>
    <s v="01/04/2026"/>
    <n v="41"/>
    <s v="No"/>
    <s v=""/>
    <m/>
    <m/>
    <s v="*MAV100601471"/>
    <s v="*MAV100601471"/>
    <n v="4.4725858095275093E-4"/>
  </r>
  <r>
    <x v="163"/>
    <s v="Pesos"/>
    <d v="2026-06-16T00:00:00"/>
    <s v="08/06/2026"/>
    <n v="0.99109373999999995"/>
    <m/>
    <n v="20000000"/>
    <n v="19821874.82"/>
    <n v="20000000"/>
    <n v="19821874.82"/>
    <n v="13318418"/>
    <s v="AMOMPY"/>
    <s v="Momentum Capital Investment S.A."/>
    <s v="01/04/2026"/>
    <s v="01/04/2026"/>
    <n v="41"/>
    <s v="No"/>
    <s v=""/>
    <m/>
    <m/>
    <s v="*MAV110600960"/>
    <s v="*MAV110600960"/>
    <n v="4.4526687964839041E-4"/>
  </r>
  <r>
    <x v="163"/>
    <s v="Pesos"/>
    <d v="2026-09-16T00:00:00"/>
    <s v="08/06/2026"/>
    <n v="0.91708564999999997"/>
    <m/>
    <n v="40000000"/>
    <n v="36683425.840000004"/>
    <n v="40000000"/>
    <n v="36683425.840000004"/>
    <n v="13662782"/>
    <s v="AMOMPY"/>
    <s v="Momentum Capital Investment S.A."/>
    <s v="29/05/2026"/>
    <s v="29/05/2026"/>
    <n v="33"/>
    <s v="No"/>
    <s v=""/>
    <m/>
    <m/>
    <s v="*MAV140900894"/>
    <s v="*MAV140900894"/>
    <n v="8.2403479524092451E-4"/>
  </r>
  <r>
    <x v="163"/>
    <s v="Pesos"/>
    <d v="2026-09-17T00:00:00"/>
    <s v="08/06/2026"/>
    <n v="0.91632581000000002"/>
    <m/>
    <n v="40000000"/>
    <n v="36653032.329999998"/>
    <n v="40000000"/>
    <n v="36653032.329999998"/>
    <n v="13662783"/>
    <s v="AMOMPY"/>
    <s v="Momentum Capital Investment S.A."/>
    <s v="29/05/2026"/>
    <s v="29/05/2026"/>
    <n v="33"/>
    <s v="No"/>
    <s v=""/>
    <m/>
    <m/>
    <s v="*MAV150901522"/>
    <s v="*MAV150901522"/>
    <n v="8.2335205339727159E-4"/>
  </r>
  <r>
    <x v="163"/>
    <s v="Pesos"/>
    <d v="2026-09-16T00:00:00"/>
    <s v="08/06/2026"/>
    <n v="0.91939559999999998"/>
    <m/>
    <n v="10000000"/>
    <n v="9193955.9800000004"/>
    <n v="10000000"/>
    <n v="9193955.9800000004"/>
    <n v="13795877"/>
    <s v="AMOMPY"/>
    <s v="Momentum Capital Investment S.A."/>
    <s v="04/06/2026"/>
    <s v="04/06/2026"/>
    <n v="32"/>
    <s v="No"/>
    <s v=""/>
    <m/>
    <m/>
    <s v="*MAV140900929"/>
    <s v="*MAV140900929"/>
    <n v="2.0652759277385344E-4"/>
  </r>
  <r>
    <x v="163"/>
    <s v="Pesos"/>
    <d v="2026-09-17T00:00:00"/>
    <s v="08/06/2026"/>
    <n v="0.91865505000000003"/>
    <m/>
    <n v="10000000"/>
    <n v="9186550.4900000002"/>
    <n v="10000000"/>
    <n v="9186550.4900000002"/>
    <n v="13795878"/>
    <s v="AMOMPY"/>
    <s v="Momentum Capital Investment S.A."/>
    <s v="04/06/2026"/>
    <s v="04/06/2026"/>
    <n v="32"/>
    <s v="No"/>
    <s v=""/>
    <m/>
    <m/>
    <s v="*MAV150901540"/>
    <s v="*MAV150901540"/>
    <n v="2.0636124022372835E-4"/>
  </r>
  <r>
    <x v="163"/>
    <s v="Pesos"/>
    <d v="2026-09-18T00:00:00"/>
    <s v="08/06/2026"/>
    <n v="0.91791595000000004"/>
    <m/>
    <n v="10000000"/>
    <n v="9179159.5199999996"/>
    <n v="10000000"/>
    <n v="9179159.5199999996"/>
    <n v="13795879"/>
    <s v="AMOMPY"/>
    <s v="Momentum Capital Investment S.A."/>
    <s v="04/06/2026"/>
    <s v="04/06/2026"/>
    <n v="32"/>
    <s v="No"/>
    <s v=""/>
    <m/>
    <m/>
    <s v="*MAV160901282"/>
    <s v="*MAV160901282"/>
    <n v="2.0619521384230077E-4"/>
  </r>
  <r>
    <x v="163"/>
    <s v="Pesos"/>
    <d v="2026-09-21T00:00:00"/>
    <s v="08/06/2026"/>
    <n v="0.91570499999999999"/>
    <m/>
    <n v="10000000"/>
    <n v="9157050.0399999991"/>
    <n v="10000000"/>
    <n v="9157050.0399999991"/>
    <n v="13795884"/>
    <s v="AMOMPY"/>
    <s v="Momentum Capital Investment S.A."/>
    <s v="04/06/2026"/>
    <s v="04/06/2026"/>
    <n v="32"/>
    <s v="No"/>
    <s v=""/>
    <m/>
    <m/>
    <s v="*MAV170901058"/>
    <s v="*MAV170901058"/>
    <n v="2.0569855955204587E-4"/>
  </r>
  <r>
    <x v="163"/>
    <s v="Pesos"/>
    <d v="2026-09-21T00:00:00"/>
    <s v="08/06/2026"/>
    <n v="0.91570499999999999"/>
    <m/>
    <n v="10000000"/>
    <n v="9157050.0399999991"/>
    <n v="10000000"/>
    <n v="9157050.0399999991"/>
    <n v="13795880"/>
    <s v="AMOMPY"/>
    <s v="Momentum Capital Investment S.A."/>
    <s v="04/06/2026"/>
    <s v="04/06/2026"/>
    <n v="32"/>
    <s v="No"/>
    <s v=""/>
    <m/>
    <m/>
    <s v="*MAV170901059"/>
    <s v="*MAV170901059"/>
    <n v="2.0569855955204587E-4"/>
  </r>
  <r>
    <x v="163"/>
    <s v="Pesos"/>
    <d v="2026-09-21T00:00:00"/>
    <s v="08/06/2026"/>
    <n v="0.91570499999999999"/>
    <m/>
    <n v="40000000"/>
    <n v="36628200.140000001"/>
    <n v="40000000"/>
    <n v="36628200.140000001"/>
    <n v="13662785"/>
    <s v="AMOMPY"/>
    <s v="Momentum Capital Investment S.A."/>
    <s v="04/06/2026"/>
    <s v="04/06/2026"/>
    <n v="32"/>
    <s v="No"/>
    <s v=""/>
    <m/>
    <m/>
    <s v="*MAV170901060"/>
    <s v="*MAV170901060"/>
    <n v="8.2279423775891538E-4"/>
  </r>
  <r>
    <x v="163"/>
    <s v="Pesos"/>
    <d v="2026-09-22T00:00:00"/>
    <s v="08/06/2026"/>
    <n v="0.91497063999999995"/>
    <m/>
    <n v="40000000"/>
    <n v="36598825.75"/>
    <n v="40000000"/>
    <n v="36598825.75"/>
    <n v="13662787"/>
    <s v="AMOMPY"/>
    <s v="Momentum Capital Investment S.A."/>
    <s v="04/06/2026"/>
    <s v="04/06/2026"/>
    <n v="32"/>
    <s v="No"/>
    <s v=""/>
    <m/>
    <m/>
    <s v="*MAV180901037"/>
    <s v="*MAV180901037"/>
    <n v="8.2213438882456139E-4"/>
  </r>
  <r>
    <x v="164"/>
    <s v="Pesos"/>
    <d v="2026-09-11T00:00:00"/>
    <s v="08/06/2026"/>
    <n v="0.93661801"/>
    <m/>
    <n v="100046704.59999999"/>
    <n v="93705545.540000007"/>
    <n v="100046704.59999999"/>
    <n v="93705545.540000007"/>
    <n v="568280"/>
    <s v="AMOMPY"/>
    <s v="Momentum Capital Investment S.A."/>
    <s v="24/04/2026"/>
    <s v="24/04/2026"/>
    <n v="26"/>
    <s v="No"/>
    <s v=""/>
    <m/>
    <m/>
    <s v="*MAV090901127"/>
    <s v="*MAV090901127"/>
    <n v="2.1049459875635492E-3"/>
  </r>
  <r>
    <x v="164"/>
    <s v="Pesos"/>
    <d v="2026-09-18T00:00:00"/>
    <s v="08/06/2026"/>
    <n v="0.93226410999999998"/>
    <m/>
    <n v="215007207.40000001"/>
    <n v="200443503.03999999"/>
    <n v="215007207.40000001"/>
    <n v="200443503.03999999"/>
    <n v="568286"/>
    <s v="AMOMPY"/>
    <s v="Momentum Capital Investment S.A."/>
    <s v="24/04/2026"/>
    <s v="24/04/2026"/>
    <n v="26"/>
    <s v="No"/>
    <s v=""/>
    <m/>
    <m/>
    <s v="*MAV160901235"/>
    <s v="*MAV160901235"/>
    <n v="4.502644374202211E-3"/>
  </r>
  <r>
    <x v="164"/>
    <s v="Pesos"/>
    <d v="2026-09-18T00:00:00"/>
    <s v="08/06/2026"/>
    <n v="0.93226410999999998"/>
    <m/>
    <n v="29857329.09"/>
    <n v="27834916.359999999"/>
    <n v="29857329.09"/>
    <n v="27834916.359999999"/>
    <n v="568285"/>
    <s v="AMOMPY"/>
    <s v="Momentum Capital Investment S.A."/>
    <s v="24/04/2026"/>
    <s v="24/04/2026"/>
    <n v="26"/>
    <s v="No"/>
    <s v=""/>
    <m/>
    <m/>
    <s v="*MAV160901236"/>
    <s v="*MAV160901236"/>
    <n v="6.2526710845665272E-4"/>
  </r>
  <r>
    <x v="164"/>
    <s v="Pesos"/>
    <d v="2026-09-18T00:00:00"/>
    <s v="08/06/2026"/>
    <n v="0.93226410999999998"/>
    <m/>
    <n v="92806889.260000005"/>
    <n v="86520532.099999994"/>
    <n v="92806889.260000005"/>
    <n v="86520532.099999994"/>
    <n v="568306"/>
    <s v="AMOMPY"/>
    <s v="Momentum Capital Investment S.A."/>
    <s v="24/04/2026"/>
    <s v="24/04/2026"/>
    <n v="26"/>
    <s v="No"/>
    <s v=""/>
    <m/>
    <m/>
    <s v="*MAV160901237"/>
    <s v="*MAV160901237"/>
    <n v="1.9435460925630746E-3"/>
  </r>
  <r>
    <x v="164"/>
    <s v="Pesos"/>
    <d v="2026-09-18T00:00:00"/>
    <s v="08/06/2026"/>
    <n v="0.93226410999999998"/>
    <m/>
    <n v="20411147.440000001"/>
    <n v="19028580.219999999"/>
    <n v="20411147.440000001"/>
    <n v="19028580.219999999"/>
    <n v="568296"/>
    <s v="AMOMPY"/>
    <s v="Momentum Capital Investment S.A."/>
    <s v="24/04/2026"/>
    <s v="24/04/2026"/>
    <n v="26"/>
    <s v="No"/>
    <s v=""/>
    <m/>
    <m/>
    <s v="*MAV160901238"/>
    <s v="*MAV160901238"/>
    <n v="4.2744677865433529E-4"/>
  </r>
  <r>
    <x v="164"/>
    <s v="Pesos"/>
    <d v="2026-08-20T00:00:00"/>
    <s v="08/06/2026"/>
    <n v="0.95057044000000002"/>
    <m/>
    <n v="28712357.309999999"/>
    <n v="27293118.120000001"/>
    <n v="28712357.309999999"/>
    <n v="27293118.120000001"/>
    <n v="568307"/>
    <s v="AMOMPY"/>
    <s v="Momentum Capital Investment S.A."/>
    <s v="24/04/2026"/>
    <s v="24/04/2026"/>
    <n v="26"/>
    <s v="No"/>
    <s v=""/>
    <m/>
    <m/>
    <s v="*MAV180801234"/>
    <s v="*MAV180801234"/>
    <n v="6.1309647303924117E-4"/>
  </r>
  <r>
    <x v="164"/>
    <s v="Pesos"/>
    <d v="2026-08-20T00:00:00"/>
    <s v="08/06/2026"/>
    <n v="0.95057044000000002"/>
    <m/>
    <n v="50399108.950000003"/>
    <n v="47907903.159999996"/>
    <n v="50399108.950000003"/>
    <n v="47907903.159999996"/>
    <n v="568283"/>
    <s v="AMOMPY"/>
    <s v="Momentum Capital Investment S.A."/>
    <s v="24/04/2026"/>
    <s v="24/04/2026"/>
    <n v="26"/>
    <s v="No"/>
    <s v=""/>
    <m/>
    <m/>
    <s v="*MAV180801235"/>
    <s v="*MAV180801235"/>
    <n v="1.0761748191965659E-3"/>
  </r>
  <r>
    <x v="164"/>
    <s v="Pesos"/>
    <d v="2026-08-20T00:00:00"/>
    <s v="08/06/2026"/>
    <n v="0.95057044000000002"/>
    <m/>
    <n v="4643215.3099999996"/>
    <n v="4413703.21"/>
    <n v="4643215.3099999996"/>
    <n v="4413703.21"/>
    <n v="568282"/>
    <s v="AMOMPY"/>
    <s v="Momentum Capital Investment S.A."/>
    <s v="24/04/2026"/>
    <s v="24/04/2026"/>
    <n v="26"/>
    <s v="No"/>
    <s v=""/>
    <m/>
    <m/>
    <s v="*MAV180801236"/>
    <s v="*MAV180801236"/>
    <n v="9.9146820059011178E-5"/>
  </r>
  <r>
    <x v="164"/>
    <s v="Pesos"/>
    <d v="2026-08-20T00:00:00"/>
    <s v="08/06/2026"/>
    <n v="0.95057042999999997"/>
    <m/>
    <n v="2120477.86"/>
    <n v="2015663.56"/>
    <n v="2120477.86"/>
    <n v="2015663.56"/>
    <n v="568321"/>
    <s v="AMOMPY"/>
    <s v="Momentum Capital Investment S.A."/>
    <s v="24/04/2026"/>
    <s v="24/04/2026"/>
    <n v="26"/>
    <s v="No"/>
    <s v=""/>
    <m/>
    <m/>
    <s v="*MAV180801237"/>
    <s v="*MAV180801237"/>
    <n v="4.5278674794000451E-5"/>
  </r>
  <r>
    <x v="164"/>
    <s v="Pesos"/>
    <d v="2026-09-18T00:00:00"/>
    <s v="08/06/2026"/>
    <n v="0.93226410999999998"/>
    <m/>
    <n v="68728608.280000001"/>
    <n v="64073214.890000001"/>
    <n v="68728608.280000001"/>
    <n v="64073214.890000001"/>
    <n v="568281"/>
    <s v="AMOMPY"/>
    <s v="Momentum Capital Investment S.A."/>
    <s v="24/04/2026"/>
    <s v="24/04/2026"/>
    <n v="26"/>
    <s v="No"/>
    <s v=""/>
    <m/>
    <m/>
    <s v="*MAV160901239"/>
    <s v="*MAV160901239"/>
    <n v="1.43930282691146E-3"/>
  </r>
  <r>
    <x v="164"/>
    <s v="Pesos"/>
    <d v="2026-09-18T00:00:00"/>
    <s v="08/06/2026"/>
    <n v="0.93226410999999998"/>
    <m/>
    <n v="6875275.0899999999"/>
    <n v="6409572.2199999997"/>
    <n v="6875275.0899999999"/>
    <n v="6409572.2199999997"/>
    <n v="568310"/>
    <s v="AMOMPY"/>
    <s v="Momentum Capital Investment S.A."/>
    <s v="24/04/2026"/>
    <s v="24/04/2026"/>
    <n v="26"/>
    <s v="No"/>
    <s v=""/>
    <m/>
    <m/>
    <s v="*MAV160901240"/>
    <s v="*MAV160901240"/>
    <n v="1.4398084178196855E-4"/>
  </r>
  <r>
    <x v="164"/>
    <s v="Pesos"/>
    <d v="2026-09-18T00:00:00"/>
    <s v="08/06/2026"/>
    <n v="0.93226410999999998"/>
    <m/>
    <n v="6937722.3200000003"/>
    <n v="6467789.5300000003"/>
    <n v="6937722.3200000003"/>
    <n v="6467789.5300000003"/>
    <n v="568313"/>
    <s v="AMOMPY"/>
    <s v="Momentum Capital Investment S.A."/>
    <s v="24/04/2026"/>
    <s v="24/04/2026"/>
    <n v="26"/>
    <s v="No"/>
    <s v=""/>
    <m/>
    <m/>
    <s v="*MAV160901241"/>
    <s v="*MAV160901241"/>
    <n v="1.4528860102273766E-4"/>
  </r>
  <r>
    <x v="164"/>
    <s v="Pesos"/>
    <d v="2026-09-18T00:00:00"/>
    <s v="08/06/2026"/>
    <n v="0.93226412000000003"/>
    <m/>
    <n v="3090146.07"/>
    <n v="2880832.3"/>
    <n v="3090146.07"/>
    <n v="2880832.3"/>
    <n v="568383"/>
    <s v="AMOMPY"/>
    <s v="Momentum Capital Investment S.A."/>
    <s v="24/04/2026"/>
    <s v="24/04/2026"/>
    <n v="26"/>
    <s v="No"/>
    <s v=""/>
    <m/>
    <m/>
    <s v="*MAV160901242"/>
    <s v="*MAV160901242"/>
    <n v="6.4713313985669484E-5"/>
  </r>
  <r>
    <x v="164"/>
    <s v="Pesos"/>
    <d v="2026-08-20T00:00:00"/>
    <s v="08/06/2026"/>
    <n v="0.95057044000000002"/>
    <m/>
    <n v="3412014.84"/>
    <n v="3243360.44"/>
    <n v="3412014.84"/>
    <n v="3243360.44"/>
    <n v="568312"/>
    <s v="AMOMPY"/>
    <s v="Momentum Capital Investment S.A."/>
    <s v="24/04/2026"/>
    <s v="24/04/2026"/>
    <n v="26"/>
    <s v="No"/>
    <s v=""/>
    <m/>
    <m/>
    <s v="*MAV180801238"/>
    <s v="*MAV180801238"/>
    <n v="7.2856931839600364E-5"/>
  </r>
  <r>
    <x v="164"/>
    <s v="Pesos"/>
    <d v="2026-08-20T00:00:00"/>
    <s v="08/06/2026"/>
    <n v="0.95057044999999996"/>
    <m/>
    <n v="2502217.0699999998"/>
    <n v="2378533.59"/>
    <n v="2502217.0699999998"/>
    <n v="2378533.59"/>
    <n v="568315"/>
    <s v="AMOMPY"/>
    <s v="Momentum Capital Investment S.A."/>
    <s v="24/04/2026"/>
    <s v="24/04/2026"/>
    <n v="26"/>
    <s v="No"/>
    <s v=""/>
    <m/>
    <m/>
    <s v="*MAV180801239"/>
    <s v="*MAV180801239"/>
    <n v="5.3429972662807074E-5"/>
  </r>
  <r>
    <x v="164"/>
    <s v="Pesos"/>
    <d v="2026-08-20T00:00:00"/>
    <s v="08/06/2026"/>
    <n v="0.95057044000000002"/>
    <m/>
    <n v="6395453.2000000002"/>
    <n v="6079328.7599999998"/>
    <n v="6395453.2000000002"/>
    <n v="6079328.7599999998"/>
    <n v="568311"/>
    <s v="AMOMPY"/>
    <s v="Momentum Capital Investment S.A."/>
    <s v="24/04/2026"/>
    <s v="24/04/2026"/>
    <n v="26"/>
    <s v="No"/>
    <s v=""/>
    <m/>
    <m/>
    <s v="*MAV180801240"/>
    <s v="*MAV180801240"/>
    <n v="1.3656244789673829E-4"/>
  </r>
  <r>
    <x v="164"/>
    <s v="Pesos"/>
    <d v="2026-08-20T00:00:00"/>
    <s v="08/06/2026"/>
    <n v="0.95057044999999996"/>
    <m/>
    <n v="1860181.4"/>
    <n v="1768233.46"/>
    <n v="1860181.4"/>
    <n v="1768233.46"/>
    <n v="568323"/>
    <s v="AMOMPY"/>
    <s v="Momentum Capital Investment S.A."/>
    <s v="24/04/2026"/>
    <s v="24/04/2026"/>
    <n v="26"/>
    <s v="No"/>
    <s v=""/>
    <m/>
    <m/>
    <s v="*MAV180801241"/>
    <s v="*MAV180801241"/>
    <n v="3.9720551278513066E-5"/>
  </r>
  <r>
    <x v="164"/>
    <s v="Pesos"/>
    <d v="2026-08-20T00:00:00"/>
    <s v="08/06/2026"/>
    <n v="0.95057042999999997"/>
    <m/>
    <n v="3621557.13"/>
    <n v="3442545.13"/>
    <n v="3621557.13"/>
    <n v="3442545.13"/>
    <n v="568292"/>
    <s v="AMOMPY"/>
    <s v="Momentum Capital Investment S.A."/>
    <s v="24/04/2026"/>
    <s v="24/04/2026"/>
    <n v="26"/>
    <s v="No"/>
    <s v=""/>
    <m/>
    <m/>
    <s v="*MAV180801242"/>
    <s v="*MAV180801242"/>
    <n v="7.7331298981730861E-5"/>
  </r>
  <r>
    <x v="164"/>
    <s v="Pesos"/>
    <d v="2026-08-20T00:00:00"/>
    <s v="08/06/2026"/>
    <n v="0.95057044000000002"/>
    <m/>
    <n v="14947325.66"/>
    <n v="14208485.93"/>
    <n v="14947325.66"/>
    <n v="14208485.93"/>
    <n v="568359"/>
    <s v="AMOMPY"/>
    <s v="Momentum Capital Investment S.A."/>
    <s v="24/04/2026"/>
    <s v="24/04/2026"/>
    <n v="26"/>
    <s v="No"/>
    <s v=""/>
    <m/>
    <m/>
    <s v="*MAV180801243"/>
    <s v="*MAV180801243"/>
    <n v="3.1917102958372727E-4"/>
  </r>
  <r>
    <x v="164"/>
    <s v="Pesos"/>
    <d v="2026-08-20T00:00:00"/>
    <s v="08/06/2026"/>
    <n v="0.95057044000000002"/>
    <m/>
    <n v="10604114.439999999"/>
    <n v="10079957.73"/>
    <n v="10604114.439999999"/>
    <n v="10079957.73"/>
    <n v="568349"/>
    <s v="AMOMPY"/>
    <s v="Momentum Capital Investment S.A."/>
    <s v="24/04/2026"/>
    <s v="24/04/2026"/>
    <n v="26"/>
    <s v="No"/>
    <s v=""/>
    <m/>
    <m/>
    <s v="*MAV180801244"/>
    <s v="*MAV180801244"/>
    <n v="2.264302123881929E-4"/>
  </r>
  <r>
    <x v="164"/>
    <s v="Pesos"/>
    <d v="2026-09-18T00:00:00"/>
    <s v="08/06/2026"/>
    <n v="0.93226410999999998"/>
    <m/>
    <n v="7075968.3200000003"/>
    <n v="6596671.3099999996"/>
    <n v="7075968.3200000003"/>
    <n v="6596671.3099999996"/>
    <n v="568319"/>
    <s v="AMOMPY"/>
    <s v="Momentum Capital Investment S.A."/>
    <s v="24/04/2026"/>
    <s v="24/04/2026"/>
    <n v="26"/>
    <s v="No"/>
    <s v=""/>
    <m/>
    <m/>
    <s v="*MAV160901244"/>
    <s v="*MAV160901244"/>
    <n v="1.4818372514925203E-4"/>
  </r>
  <r>
    <x v="164"/>
    <s v="Pesos"/>
    <d v="2026-09-18T00:00:00"/>
    <s v="08/06/2026"/>
    <n v="0.93226410999999998"/>
    <m/>
    <n v="11809132.970000001"/>
    <n v="11009230.85"/>
    <n v="11809132.970000001"/>
    <n v="11009230.85"/>
    <n v="568322"/>
    <s v="AMOMPY"/>
    <s v="Momentum Capital Investment S.A."/>
    <s v="24/04/2026"/>
    <s v="24/04/2026"/>
    <n v="26"/>
    <s v="No"/>
    <s v=""/>
    <m/>
    <m/>
    <s v="*MAV160901245"/>
    <s v="*MAV160901245"/>
    <n v="2.4730485448138333E-4"/>
  </r>
  <r>
    <x v="164"/>
    <s v="Pesos"/>
    <d v="2026-09-18T00:00:00"/>
    <s v="08/06/2026"/>
    <n v="0.93226410999999998"/>
    <m/>
    <n v="31694713.280000001"/>
    <n v="29547843.699999999"/>
    <n v="31694713.280000001"/>
    <n v="29547843.699999999"/>
    <n v="568350"/>
    <s v="AMOMPY"/>
    <s v="Momentum Capital Investment S.A."/>
    <s v="24/04/2026"/>
    <s v="24/04/2026"/>
    <n v="26"/>
    <s v="No"/>
    <s v=""/>
    <m/>
    <m/>
    <s v="*MAV160901243"/>
    <s v="*MAV160901243"/>
    <n v="6.6374529574581139E-4"/>
  </r>
  <r>
    <x v="164"/>
    <s v="Pesos"/>
    <d v="2026-09-18T00:00:00"/>
    <s v="08/06/2026"/>
    <n v="0.93226410999999998"/>
    <m/>
    <n v="20011620.16"/>
    <n v="18656115.280000001"/>
    <n v="20011620.16"/>
    <n v="18656115.280000001"/>
    <n v="568324"/>
    <s v="AMOMPY"/>
    <s v="Momentum Capital Investment S.A."/>
    <s v="24/04/2026"/>
    <s v="24/04/2026"/>
    <n v="26"/>
    <s v="No"/>
    <s v=""/>
    <m/>
    <m/>
    <s v="*MAV160901246"/>
    <s v="*MAV160901246"/>
    <n v="4.1907994639864537E-4"/>
  </r>
  <r>
    <x v="164"/>
    <s v="Pesos"/>
    <d v="2026-09-18T00:00:00"/>
    <s v="08/06/2026"/>
    <n v="0.93226410999999998"/>
    <m/>
    <n v="34118781"/>
    <n v="31807715.030000001"/>
    <n v="34118781"/>
    <n v="31807715.030000001"/>
    <n v="568355"/>
    <s v="AMOMPY"/>
    <s v="Momentum Capital Investment S.A."/>
    <s v="24/04/2026"/>
    <s v="24/04/2026"/>
    <n v="26"/>
    <s v="No"/>
    <s v=""/>
    <m/>
    <m/>
    <s v="*MAV160901247"/>
    <s v="*MAV160901247"/>
    <n v="7.1450970953883307E-4"/>
  </r>
  <r>
    <x v="164"/>
    <s v="Pesos"/>
    <d v="2026-08-26T00:00:00"/>
    <s v="08/06/2026"/>
    <n v="0.95061994000000005"/>
    <m/>
    <n v="169949.7"/>
    <n v="161557.57"/>
    <n v="169949.7"/>
    <n v="161557.57"/>
    <n v="612232"/>
    <s v="AMOMPY"/>
    <s v="Momentum Capital Investment S.A."/>
    <s v="29/05/2026"/>
    <s v="29/05/2026"/>
    <n v="24"/>
    <s v="No"/>
    <s v=""/>
    <m/>
    <m/>
    <s v="*MAV240800868"/>
    <s v="*MAV240800868"/>
    <n v="3.6291337590778113E-6"/>
  </r>
  <r>
    <x v="164"/>
    <s v="Pesos"/>
    <d v="2026-09-23T00:00:00"/>
    <s v="08/06/2026"/>
    <n v="0.93426863999999998"/>
    <m/>
    <n v="685765.71"/>
    <n v="640689.4"/>
    <n v="685765.71"/>
    <n v="640689.4"/>
    <n v="612096"/>
    <s v="AMOMPY"/>
    <s v="Momentum Capital Investment S.A."/>
    <s v="29/05/2026"/>
    <s v="29/05/2026"/>
    <n v="24"/>
    <s v="No"/>
    <s v=""/>
    <m/>
    <m/>
    <s v="*MAV210900782"/>
    <s v="*MAV210900782"/>
    <n v="1.4392067983093009E-5"/>
  </r>
  <r>
    <x v="164"/>
    <s v="Pesos"/>
    <d v="2026-07-27T00:00:00"/>
    <s v="08/06/2026"/>
    <n v="0.96878664000000003"/>
    <m/>
    <n v="1068909.47"/>
    <n v="1035545.22"/>
    <n v="1068909.47"/>
    <n v="1035545.22"/>
    <n v="612119"/>
    <s v="AMOMPY"/>
    <s v="Momentum Capital Investment S.A."/>
    <s v="29/05/2026"/>
    <s v="29/05/2026"/>
    <n v="24"/>
    <s v="No"/>
    <s v=""/>
    <m/>
    <m/>
    <s v="*MAV230701095"/>
    <s v="*MAV230701095"/>
    <n v="2.326187573230805E-5"/>
  </r>
  <r>
    <x v="164"/>
    <s v="Pesos"/>
    <d v="2026-07-27T00:00:00"/>
    <s v="08/06/2026"/>
    <n v="0.96878664999999997"/>
    <m/>
    <n v="505653.95"/>
    <n v="489870.8"/>
    <n v="505653.95"/>
    <n v="489870.8"/>
    <n v="612156"/>
    <s v="AMOMPY"/>
    <s v="Momentum Capital Investment S.A."/>
    <s v="29/05/2026"/>
    <s v="29/05/2026"/>
    <n v="24"/>
    <s v="No"/>
    <s v=""/>
    <m/>
    <m/>
    <s v="*MAV230701094"/>
    <s v="*MAV230701094"/>
    <n v="1.1004168098507885E-5"/>
  </r>
  <r>
    <x v="164"/>
    <s v="Pesos"/>
    <d v="2026-08-26T00:00:00"/>
    <s v="08/06/2026"/>
    <n v="0.95061994000000005"/>
    <m/>
    <n v="169949.7"/>
    <n v="161557.57"/>
    <n v="169949.7"/>
    <n v="161557.57"/>
    <n v="612239"/>
    <s v="AMOMPY"/>
    <s v="Momentum Capital Investment S.A."/>
    <s v="29/05/2026"/>
    <s v="29/05/2026"/>
    <n v="24"/>
    <s v="No"/>
    <s v=""/>
    <m/>
    <m/>
    <s v="*MAV240800866"/>
    <s v="*MAV240800866"/>
    <n v="3.6291337590778113E-6"/>
  </r>
  <r>
    <x v="164"/>
    <s v="Pesos"/>
    <d v="2026-09-23T00:00:00"/>
    <s v="08/06/2026"/>
    <n v="0.93426863000000004"/>
    <m/>
    <n v="535280.22"/>
    <n v="500095.52"/>
    <n v="535280.22"/>
    <n v="500095.52"/>
    <n v="612233"/>
    <s v="AMOMPY"/>
    <s v="Momentum Capital Investment S.A."/>
    <s v="29/05/2026"/>
    <s v="29/05/2026"/>
    <n v="24"/>
    <s v="No"/>
    <s v=""/>
    <m/>
    <m/>
    <s v="*MAV210900783"/>
    <s v="*MAV210900783"/>
    <n v="1.1233850164963318E-5"/>
  </r>
  <r>
    <x v="164"/>
    <s v="Pesos"/>
    <d v="2026-09-23T00:00:00"/>
    <s v="08/06/2026"/>
    <n v="0.93426863000000004"/>
    <m/>
    <n v="535280.22"/>
    <n v="500095.52"/>
    <n v="535280.22"/>
    <n v="500095.52"/>
    <n v="612235"/>
    <s v="AMOMPY"/>
    <s v="Momentum Capital Investment S.A."/>
    <s v="29/05/2026"/>
    <s v="29/05/2026"/>
    <n v="24"/>
    <s v="No"/>
    <s v=""/>
    <m/>
    <m/>
    <s v="*MAV210900784"/>
    <s v="*MAV210900784"/>
    <n v="1.1233850164963318E-5"/>
  </r>
  <r>
    <x v="164"/>
    <s v="Pesos"/>
    <d v="2026-09-23T00:00:00"/>
    <s v="08/06/2026"/>
    <n v="0.93426865000000003"/>
    <m/>
    <n v="689115.82"/>
    <n v="643819.30000000005"/>
    <n v="689115.82"/>
    <n v="643819.30000000005"/>
    <n v="612121"/>
    <s v="AMOMPY"/>
    <s v="Momentum Capital Investment S.A."/>
    <s v="29/05/2026"/>
    <s v="29/05/2026"/>
    <n v="24"/>
    <s v="No"/>
    <s v=""/>
    <m/>
    <m/>
    <s v="*MAV210900785"/>
    <s v="*MAV210900785"/>
    <n v="1.4462376206672614E-5"/>
  </r>
  <r>
    <x v="164"/>
    <s v="Pesos"/>
    <d v="2026-09-23T00:00:00"/>
    <s v="08/06/2026"/>
    <n v="0.93426863999999998"/>
    <m/>
    <n v="2688265.68"/>
    <n v="2511562.31"/>
    <n v="2688265.68"/>
    <n v="2511562.31"/>
    <n v="612240"/>
    <s v="AMOMPY"/>
    <s v="Momentum Capital Investment S.A."/>
    <s v="29/05/2026"/>
    <s v="29/05/2026"/>
    <n v="24"/>
    <s v="No"/>
    <s v=""/>
    <m/>
    <m/>
    <s v="*MAV210900786"/>
    <s v="*MAV210900786"/>
    <n v="5.6418251198309381E-5"/>
  </r>
  <r>
    <x v="164"/>
    <s v="Pesos"/>
    <d v="2026-07-27T00:00:00"/>
    <s v="08/06/2026"/>
    <n v="0.96878664999999997"/>
    <m/>
    <n v="8802443.9000000004"/>
    <n v="8527690.1500000004"/>
    <n v="8802443.9000000004"/>
    <n v="8527690.1500000004"/>
    <n v="612236"/>
    <s v="AMOMPY"/>
    <s v="Momentum Capital Investment S.A."/>
    <s v="29/05/2026"/>
    <s v="29/05/2026"/>
    <n v="24"/>
    <s v="No"/>
    <s v=""/>
    <m/>
    <m/>
    <s v="*MAV230701096"/>
    <s v="*MAV230701096"/>
    <n v="1.9156099098494936E-4"/>
  </r>
  <r>
    <x v="164"/>
    <s v="Pesos"/>
    <d v="2026-07-27T00:00:00"/>
    <s v="08/06/2026"/>
    <n v="0.96878666000000002"/>
    <m/>
    <n v="970094.59"/>
    <n v="939814.7"/>
    <n v="970094.59"/>
    <n v="939814.7"/>
    <n v="612136"/>
    <s v="AMOMPY"/>
    <s v="Momentum Capital Investment S.A."/>
    <s v="29/05/2026"/>
    <s v="29/05/2026"/>
    <n v="24"/>
    <s v="No"/>
    <s v=""/>
    <m/>
    <m/>
    <s v="*MAV230701097"/>
    <s v="*MAV230701097"/>
    <n v="2.1111441915396381E-5"/>
  </r>
  <r>
    <x v="164"/>
    <s v="Pesos"/>
    <d v="2026-07-27T00:00:00"/>
    <s v="08/06/2026"/>
    <n v="0.96878664999999997"/>
    <m/>
    <n v="1044096.2"/>
    <n v="1011506.46"/>
    <n v="1044096.2"/>
    <n v="1011506.46"/>
    <n v="612237"/>
    <s v="AMOMPY"/>
    <s v="Momentum Capital Investment S.A."/>
    <s v="29/05/2026"/>
    <s v="29/05/2026"/>
    <n v="24"/>
    <s v="No"/>
    <s v=""/>
    <m/>
    <m/>
    <s v="*MAV230701098"/>
    <s v="*MAV230701098"/>
    <n v="2.2721883236491423E-5"/>
  </r>
  <r>
    <x v="164"/>
    <s v="Pesos"/>
    <d v="2026-07-27T00:00:00"/>
    <s v="08/06/2026"/>
    <n v="0.96878664999999997"/>
    <m/>
    <n v="3745855.84"/>
    <n v="3628935.13"/>
    <n v="3745855.84"/>
    <n v="3628935.13"/>
    <n v="612155"/>
    <s v="AMOMPY"/>
    <s v="Momentum Capital Investment S.A."/>
    <s v="29/05/2026"/>
    <s v="29/05/2026"/>
    <n v="24"/>
    <s v="No"/>
    <s v=""/>
    <m/>
    <m/>
    <s v="*MAV230701099"/>
    <s v="*MAV230701099"/>
    <n v="8.1518253770383059E-5"/>
  </r>
  <r>
    <x v="164"/>
    <s v="Pesos"/>
    <d v="2026-07-27T00:00:00"/>
    <s v="08/06/2026"/>
    <n v="0.96878673999999998"/>
    <m/>
    <n v="128742.88"/>
    <n v="124724.4"/>
    <n v="128742.88"/>
    <n v="124724.4"/>
    <n v="612126"/>
    <s v="AMOMPY"/>
    <s v="Momentum Capital Investment S.A."/>
    <s v="29/05/2026"/>
    <s v="29/05/2026"/>
    <n v="24"/>
    <s v="No"/>
    <s v=""/>
    <m/>
    <m/>
    <s v="*MAV230701100"/>
    <s v="*MAV230701100"/>
    <n v="2.8017351995373819E-6"/>
  </r>
  <r>
    <x v="164"/>
    <s v="Pesos"/>
    <d v="2026-07-27T00:00:00"/>
    <s v="08/06/2026"/>
    <n v="0.96878677000000002"/>
    <m/>
    <n v="84170.31"/>
    <n v="81543.08"/>
    <n v="84170.31"/>
    <n v="81543.08"/>
    <n v="612115"/>
    <s v="AMOMPY"/>
    <s v="Momentum Capital Investment S.A."/>
    <s v="29/05/2026"/>
    <s v="29/05/2026"/>
    <n v="24"/>
    <s v="No"/>
    <s v=""/>
    <m/>
    <m/>
    <s v="*MAV230701101"/>
    <s v="*MAV230701101"/>
    <n v="1.831735550659636E-6"/>
  </r>
  <r>
    <x v="164"/>
    <s v="Pesos"/>
    <d v="2026-07-27T00:00:00"/>
    <s v="08/06/2026"/>
    <n v="0.96878664999999997"/>
    <m/>
    <n v="1044096.2"/>
    <n v="1011506.46"/>
    <n v="1044096.2"/>
    <n v="1011506.46"/>
    <n v="612241"/>
    <s v="AMOMPY"/>
    <s v="Momentum Capital Investment S.A."/>
    <s v="29/05/2026"/>
    <s v="29/05/2026"/>
    <n v="24"/>
    <s v="No"/>
    <s v=""/>
    <m/>
    <m/>
    <s v="*MAV230701102"/>
    <s v="*MAV230701102"/>
    <n v="2.2721883236491423E-5"/>
  </r>
  <r>
    <x v="164"/>
    <s v="Pesos"/>
    <d v="2026-08-26T00:00:00"/>
    <s v="08/06/2026"/>
    <n v="0.95061998000000003"/>
    <m/>
    <n v="2382065.5699999998"/>
    <n v="2264439.12"/>
    <n v="2382065.5699999998"/>
    <n v="2264439.12"/>
    <n v="612234"/>
    <s v="AMOMPY"/>
    <s v="Momentum Capital Investment S.A."/>
    <s v="29/05/2026"/>
    <s v="29/05/2026"/>
    <n v="24"/>
    <s v="No"/>
    <s v=""/>
    <m/>
    <m/>
    <s v="*MAV240800867"/>
    <s v="*MAV240800867"/>
    <n v="5.0867021927653723E-5"/>
  </r>
  <r>
    <x v="165"/>
    <s v="Pesos"/>
    <d v="2026-09-15T00:00:00"/>
    <s v="08/06/2026"/>
    <n v="0.93176431000000004"/>
    <m/>
    <n v="150000000"/>
    <n v="139764646.88"/>
    <n v="150000000"/>
    <n v="139764646.88"/>
    <n v="67980"/>
    <s v="AMOMPY"/>
    <s v="Momentum Capital Investment S.A."/>
    <s v="12/05/2026"/>
    <s v="12/05/2026"/>
    <n v="27"/>
    <s v="No"/>
    <s v=""/>
    <m/>
    <m/>
    <s v="*MAV110900982"/>
    <s v="*MAV110900982"/>
    <n v="3.139590415464885E-3"/>
  </r>
  <r>
    <x v="165"/>
    <s v="Pesos"/>
    <d v="2026-07-15T00:00:00"/>
    <s v="08/06/2026"/>
    <n v="0.97335936000000001"/>
    <m/>
    <n v="50000000"/>
    <n v="48667967.939999998"/>
    <n v="50000000"/>
    <n v="48667967.939999998"/>
    <n v="67982"/>
    <s v="AMOMPY"/>
    <s v="Momentum Capital Investment S.A."/>
    <s v="12/05/2026"/>
    <s v="12/05/2026"/>
    <n v="27"/>
    <s v="No"/>
    <s v=""/>
    <m/>
    <m/>
    <s v="*MAV110701223"/>
    <s v="*MAV110701223"/>
    <n v="1.0932484651556135E-3"/>
  </r>
  <r>
    <x v="165"/>
    <s v="Pesos"/>
    <d v="2026-08-13T00:00:00"/>
    <s v="08/06/2026"/>
    <n v="0.95345080000000004"/>
    <m/>
    <n v="150000000"/>
    <n v="143017619.75"/>
    <n v="150000000"/>
    <n v="143017619.75"/>
    <n v="67981"/>
    <s v="AMOMPY"/>
    <s v="Momentum Capital Investment S.A."/>
    <s v="12/05/2026"/>
    <s v="12/05/2026"/>
    <n v="27"/>
    <s v="No"/>
    <s v=""/>
    <m/>
    <m/>
    <s v="*MAV110801321"/>
    <s v="*MAV110801321"/>
    <n v="3.2126632752502932E-3"/>
  </r>
  <r>
    <x v="166"/>
    <s v="Pesos"/>
    <d v="2026-09-16T00:00:00"/>
    <s v="08/06/2026"/>
    <n v="0.91478705999999999"/>
    <m/>
    <n v="22500000"/>
    <n v="20582708.879999999"/>
    <n v="22500000"/>
    <n v="20582708.879999999"/>
    <n v="90000088"/>
    <s v="AMOMPY"/>
    <s v="Momentum Capital Investment S.A."/>
    <s v="20/05/2026"/>
    <s v="20/05/2026"/>
    <n v="34"/>
    <s v="No"/>
    <s v=""/>
    <m/>
    <m/>
    <s v="*MAV120901461"/>
    <s v="*MAV120901461"/>
    <n v="4.6235780625865223E-4"/>
  </r>
  <r>
    <x v="167"/>
    <s v="Pesos"/>
    <d v="2026-06-11T00:00:00"/>
    <s v="08/06/2026"/>
    <n v="0.99655983999999997"/>
    <m/>
    <n v="17368953.050000001"/>
    <n v="17309201.120000001"/>
    <n v="17368953.050000001"/>
    <n v="17309201.120000001"/>
    <n v="5108"/>
    <s v="AMOMPY"/>
    <s v="Momentum Capital Investment S.A."/>
    <s v="24/04/2026"/>
    <s v="24/04/2026"/>
    <n v="42"/>
    <s v="No"/>
    <s v=""/>
    <m/>
    <m/>
    <s v="*MAV090601306"/>
    <s v="*MAV090601306"/>
    <n v="3.8882366284204118E-4"/>
  </r>
  <r>
    <x v="167"/>
    <s v="Pesos"/>
    <d v="2026-07-07T00:00:00"/>
    <s v="08/06/2026"/>
    <n v="0.96770805999999998"/>
    <m/>
    <n v="9040891.3100000005"/>
    <n v="8748943.3599999994"/>
    <n v="9040891.3100000005"/>
    <n v="8748943.3599999994"/>
    <n v="90022248"/>
    <s v="AMOMPY"/>
    <s v="Momentum Capital Investment S.A."/>
    <s v="04/06/2026"/>
    <s v="04/06/2026"/>
    <n v="42"/>
    <s v="No"/>
    <s v=""/>
    <m/>
    <m/>
    <s v="*MAV030701309"/>
    <s v="*MAV030701309"/>
    <n v="1.9653109231610537E-4"/>
  </r>
  <r>
    <x v="168"/>
    <s v="Pesos"/>
    <d v="2026-07-17T00:00:00"/>
    <s v="08/06/2026"/>
    <n v="0.96594066999999995"/>
    <m/>
    <n v="24746871.309999999"/>
    <n v="23904009.539999999"/>
    <n v="24746871.309999999"/>
    <n v="23904009.539999999"/>
    <n v="89"/>
    <s v="AMOMPY"/>
    <s v="Momentum Capital Investment S.A."/>
    <s v="27/05/2026"/>
    <s v="27/05/2026"/>
    <n v="33"/>
    <s v="No"/>
    <s v=""/>
    <m/>
    <m/>
    <s v="*MAV150701847"/>
    <s v="*MAV150701847"/>
    <n v="5.3696554113144969E-4"/>
  </r>
  <r>
    <x v="169"/>
    <s v="Pesos"/>
    <d v="2026-06-24T00:00:00"/>
    <s v="08/06/2026"/>
    <n v="0.98488938000000004"/>
    <m/>
    <n v="5450000"/>
    <n v="5367647.13"/>
    <n v="5450000"/>
    <n v="5367647.13"/>
    <n v="6921"/>
    <s v="AMOMPY"/>
    <s v="Momentum Capital Investment S.A."/>
    <s v="20/04/2026"/>
    <s v="20/04/2026"/>
    <n v="35"/>
    <s v="No"/>
    <s v=""/>
    <m/>
    <m/>
    <s v="*MAV200601042"/>
    <s v="*MAV200601042"/>
    <n v="1.2057565242099225E-4"/>
  </r>
  <r>
    <x v="169"/>
    <s v="Pesos"/>
    <d v="2026-07-23T00:00:00"/>
    <s v="08/06/2026"/>
    <n v="0.95863430999999999"/>
    <m/>
    <n v="5450000"/>
    <n v="5224557.01"/>
    <n v="5450000"/>
    <n v="5224557.01"/>
    <n v="6898"/>
    <s v="AMOMPY"/>
    <s v="Momentum Capital Investment S.A."/>
    <s v="20/04/2026"/>
    <s v="20/04/2026"/>
    <n v="35"/>
    <s v="No"/>
    <s v=""/>
    <m/>
    <m/>
    <s v="*MAV210701206"/>
    <s v="*MAV210701206"/>
    <n v="1.1736136054297937E-4"/>
  </r>
  <r>
    <x v="169"/>
    <s v="Pesos"/>
    <d v="2026-07-29T00:00:00"/>
    <s v="08/06/2026"/>
    <n v="0.95337609000000001"/>
    <m/>
    <n v="5450000"/>
    <n v="5195899.71"/>
    <n v="5450000"/>
    <n v="5195899.71"/>
    <n v="6896"/>
    <s v="AMOMPY"/>
    <s v="Momentum Capital Investment S.A."/>
    <s v="20/04/2026"/>
    <s v="20/04/2026"/>
    <n v="35"/>
    <s v="No"/>
    <s v=""/>
    <m/>
    <m/>
    <s v="*MAV260701074"/>
    <s v="*MAV260701074"/>
    <n v="1.1671761989452806E-4"/>
  </r>
  <r>
    <x v="169"/>
    <s v="Pesos"/>
    <d v="2026-09-10T00:00:00"/>
    <s v="08/06/2026"/>
    <n v="0.91731607000000004"/>
    <m/>
    <n v="4250000"/>
    <n v="3898593.2799999998"/>
    <n v="4250000"/>
    <n v="3898593.2799999998"/>
    <n v="6839"/>
    <s v="AMOMPY"/>
    <s v="Momentum Capital Investment S.A."/>
    <s v="20/04/2026"/>
    <s v="20/04/2026"/>
    <n v="35"/>
    <s v="No"/>
    <s v=""/>
    <m/>
    <m/>
    <s v="*MAV080901113"/>
    <s v="*MAV080901113"/>
    <n v="8.7575695062521008E-5"/>
  </r>
  <r>
    <x v="169"/>
    <s v="Pesos"/>
    <d v="2026-06-17T00:00:00"/>
    <s v="08/06/2026"/>
    <n v="0.99144370999999998"/>
    <m/>
    <n v="5450000"/>
    <n v="5403368.2199999997"/>
    <n v="5450000"/>
    <n v="5403368.2199999997"/>
    <n v="6922"/>
    <s v="AMOMPY"/>
    <s v="Momentum Capital Investment S.A."/>
    <s v="20/04/2026"/>
    <s v="20/04/2026"/>
    <n v="35"/>
    <s v="No"/>
    <s v=""/>
    <m/>
    <m/>
    <s v="*MAV120601599"/>
    <s v="*MAV120601599"/>
    <n v="1.213780698727406E-4"/>
  </r>
  <r>
    <x v="169"/>
    <s v="Pesos"/>
    <d v="2026-07-27T00:00:00"/>
    <s v="08/06/2026"/>
    <n v="0.95512235999999995"/>
    <m/>
    <n v="5450000"/>
    <n v="5205416.8499999996"/>
    <n v="5450000"/>
    <n v="5205416.8499999996"/>
    <n v="6899"/>
    <s v="AMOMPY"/>
    <s v="Momentum Capital Investment S.A."/>
    <s v="20/04/2026"/>
    <s v="20/04/2026"/>
    <n v="35"/>
    <s v="No"/>
    <s v=""/>
    <m/>
    <m/>
    <s v="*MAV230700964"/>
    <s v="*MAV230700964"/>
    <n v="1.1693140730209966E-4"/>
  </r>
  <r>
    <x v="169"/>
    <s v="Pesos"/>
    <d v="2026-07-30T00:00:00"/>
    <s v="08/06/2026"/>
    <n v="0.95250526999999996"/>
    <m/>
    <n v="5450000"/>
    <n v="5191153.74"/>
    <n v="5450000"/>
    <n v="5191153.74"/>
    <n v="6900"/>
    <s v="AMOMPY"/>
    <s v="Momentum Capital Investment S.A."/>
    <s v="20/04/2026"/>
    <s v="20/04/2026"/>
    <n v="35"/>
    <s v="No"/>
    <s v=""/>
    <m/>
    <m/>
    <s v="*MAV280701169"/>
    <s v="*MAV280701169"/>
    <n v="1.1661100922969464E-4"/>
  </r>
  <r>
    <x v="170"/>
    <s v="Pesos"/>
    <d v="2026-08-05T00:00:00"/>
    <s v="08/06/2026"/>
    <n v="0.96326407999999997"/>
    <m/>
    <n v="1484637.46"/>
    <n v="1430097.93"/>
    <n v="1484637.46"/>
    <n v="1430097.93"/>
    <n v="40012463"/>
    <s v="AMOMPY"/>
    <s v="Momentum Capital Investment S.A."/>
    <s v="29/05/2026"/>
    <s v="29/05/2026"/>
    <n v="24"/>
    <s v="No"/>
    <s v=""/>
    <m/>
    <m/>
    <s v="*MAV030800891"/>
    <s v="*MAV030800891"/>
    <n v="3.2124874597645262E-5"/>
  </r>
  <r>
    <x v="170"/>
    <s v="Pesos"/>
    <d v="2026-08-05T00:00:00"/>
    <s v="08/06/2026"/>
    <n v="0.96770778999999996"/>
    <m/>
    <n v="8756336.9900000002"/>
    <n v="8473575.5500000007"/>
    <n v="8756336.9900000002"/>
    <n v="8473575.5500000007"/>
    <n v="40012226"/>
    <s v="AMOMPY"/>
    <s v="Momentum Capital Investment S.A."/>
    <s v="22/05/2026"/>
    <s v="22/05/2026"/>
    <n v="21"/>
    <s v="No"/>
    <s v=""/>
    <m/>
    <m/>
    <s v="*MAV030800874"/>
    <s v="*MAV030800874"/>
    <n v="1.9034539259659162E-4"/>
  </r>
  <r>
    <x v="170"/>
    <s v="Pesos"/>
    <d v="2026-07-03T00:00:00"/>
    <s v="08/06/2026"/>
    <n v="0.98582044999999996"/>
    <m/>
    <n v="8168237.8700000001"/>
    <n v="8052415.9400000004"/>
    <n v="8168237.8700000001"/>
    <n v="8052415.9400000004"/>
    <n v="40012237"/>
    <s v="AMOMPY"/>
    <s v="Momentum Capital Investment S.A."/>
    <s v="22/05/2026"/>
    <s v="22/05/2026"/>
    <n v="21"/>
    <s v="No"/>
    <s v=""/>
    <m/>
    <m/>
    <s v="*MAV010701292"/>
    <s v="*MAV010701292"/>
    <n v="1.8088471205645324E-4"/>
  </r>
  <r>
    <x v="152"/>
    <s v="Pesos"/>
    <d v="2026-06-17T00:00:00"/>
    <s v="08/06/2026"/>
    <n v="0.99314325999999997"/>
    <m/>
    <n v="10000000"/>
    <n v="9931432.5999999996"/>
    <n v="10000000"/>
    <n v="9931432.5999999996"/>
    <n v="66404952"/>
    <s v="AMOMPY"/>
    <s v="Momentum Capital Investment S.A."/>
    <s v="22/04/2026"/>
    <s v="22/04/2026"/>
    <n v="28"/>
    <s v="No"/>
    <s v=""/>
    <m/>
    <m/>
    <s v="*INP120600075"/>
    <s v="*INP120600075"/>
    <n v="2.2309383165806417E-4"/>
  </r>
  <r>
    <x v="152"/>
    <s v="Pesos"/>
    <d v="2026-06-16T00:00:00"/>
    <s v="08/06/2026"/>
    <n v="0.99390047999999998"/>
    <m/>
    <n v="5000000"/>
    <n v="4969502.42"/>
    <n v="5000000"/>
    <n v="4969502.42"/>
    <n v="66405016"/>
    <s v="AMOMPY"/>
    <s v="Momentum Capital Investment S.A."/>
    <s v="22/04/2026"/>
    <s v="22/04/2026"/>
    <n v="28"/>
    <s v="No"/>
    <s v=""/>
    <m/>
    <m/>
    <s v="*INP110600062"/>
    <s v="*INP110600062"/>
    <n v="1.1163196499081336E-4"/>
  </r>
  <r>
    <x v="152"/>
    <s v="Pesos"/>
    <d v="2026-07-28T00:00:00"/>
    <s v="08/06/2026"/>
    <n v="0.96052638000000001"/>
    <m/>
    <n v="10000000"/>
    <n v="9605263.7699999996"/>
    <n v="10000000"/>
    <n v="9605263.7699999996"/>
    <n v="90019958"/>
    <s v="AMOMPY"/>
    <s v="Momentum Capital Investment S.A."/>
    <s v="22/04/2026"/>
    <s v="22/04/2026"/>
    <n v="30"/>
    <s v="No"/>
    <s v=""/>
    <m/>
    <m/>
    <s v="*INP240700065"/>
    <s v="*INP240700065"/>
    <n v="2.1576696785272276E-4"/>
  </r>
  <r>
    <x v="152"/>
    <s v="Pesos"/>
    <d v="2026-07-29T00:00:00"/>
    <s v="08/06/2026"/>
    <n v="0.95976863000000001"/>
    <m/>
    <n v="10000000"/>
    <n v="9597686.2599999998"/>
    <n v="10000000"/>
    <n v="9597686.2599999998"/>
    <n v="90019959"/>
    <s v="AMOMPY"/>
    <s v="Momentum Capital Investment S.A."/>
    <s v="22/04/2026"/>
    <s v="22/04/2026"/>
    <n v="30"/>
    <s v="No"/>
    <s v=""/>
    <m/>
    <m/>
    <s v="*INP270700049"/>
    <s v="*INP270700049"/>
    <n v="2.1559675114699519E-4"/>
  </r>
  <r>
    <x v="152"/>
    <s v="Pesos"/>
    <d v="2026-07-31T00:00:00"/>
    <s v="08/06/2026"/>
    <n v="0.95825685000000005"/>
    <m/>
    <n v="10000000"/>
    <n v="9582568.4800000004"/>
    <n v="10000000"/>
    <n v="9582568.4800000004"/>
    <n v="90019960"/>
    <s v="AMOMPY"/>
    <s v="Momentum Capital Investment S.A."/>
    <s v="22/04/2026"/>
    <s v="22/04/2026"/>
    <n v="30"/>
    <s v="No"/>
    <s v=""/>
    <m/>
    <m/>
    <s v="*INP290700069"/>
    <s v="*INP290700069"/>
    <n v="2.1525715427288828E-4"/>
  </r>
  <r>
    <x v="152"/>
    <s v="Pesos"/>
    <d v="2026-08-03T00:00:00"/>
    <s v="08/06/2026"/>
    <n v="0.95599802"/>
    <m/>
    <n v="10000000"/>
    <n v="9559980.2100000009"/>
    <n v="10000000"/>
    <n v="9559980.2100000009"/>
    <n v="90019961"/>
    <s v="AMOMPY"/>
    <s v="Momentum Capital Investment S.A."/>
    <s v="22/04/2026"/>
    <s v="22/04/2026"/>
    <n v="30"/>
    <s v="No"/>
    <s v=""/>
    <m/>
    <m/>
    <s v="*INP300700065"/>
    <s v="*INP300700065"/>
    <n v="2.1474974472707645E-4"/>
  </r>
  <r>
    <x v="152"/>
    <s v="Pesos"/>
    <d v="2026-07-17T00:00:00"/>
    <s v="08/06/2026"/>
    <n v="0.97095131999999995"/>
    <m/>
    <n v="1000000"/>
    <n v="970951.32"/>
    <n v="1000000"/>
    <n v="970951.32"/>
    <n v="10805445"/>
    <s v="AMOMPY"/>
    <s v="Momentum Capital Investment S.A."/>
    <s v="22/04/2026"/>
    <s v="22/04/2026"/>
    <n v="28"/>
    <s v="No"/>
    <s v=""/>
    <m/>
    <m/>
    <s v="*INP150700098"/>
    <s v="*INP150700098"/>
    <n v="2.1810876542851953E-5"/>
  </r>
  <r>
    <x v="152"/>
    <s v="Pesos"/>
    <d v="2026-07-13T00:00:00"/>
    <s v="08/06/2026"/>
    <n v="0.97385277999999997"/>
    <m/>
    <n v="1000000"/>
    <n v="973852.78"/>
    <n v="1000000"/>
    <n v="973852.78"/>
    <n v="18305446"/>
    <s v="AMOMPY"/>
    <s v="Momentum Capital Investment S.A."/>
    <s v="22/04/2026"/>
    <s v="22/04/2026"/>
    <n v="28"/>
    <s v="No"/>
    <s v=""/>
    <m/>
    <m/>
    <s v="*INP070700054"/>
    <s v="*INP070700054"/>
    <n v="2.1876053225297811E-5"/>
  </r>
  <r>
    <x v="152"/>
    <s v="Pesos"/>
    <d v="2026-08-20T00:00:00"/>
    <s v="08/06/2026"/>
    <n v="0.94517960000000001"/>
    <m/>
    <n v="6410198.7999999998"/>
    <n v="6058789.1600000001"/>
    <n v="6410198.7999999998"/>
    <n v="6058789.1600000001"/>
    <n v="5612"/>
    <s v="AMOMPY"/>
    <s v="Momentum Capital Investment S.A."/>
    <s v="22/04/2026"/>
    <s v="22/04/2026"/>
    <n v="29"/>
    <s v="No"/>
    <s v=""/>
    <m/>
    <m/>
    <s v="*INP170800028"/>
    <s v="*INP170800028"/>
    <n v="1.3610105846287917E-4"/>
  </r>
  <r>
    <x v="152"/>
    <s v="Pesos"/>
    <d v="2026-08-20T00:00:00"/>
    <s v="08/06/2026"/>
    <n v="0.94517960000000001"/>
    <m/>
    <n v="5184831.3600000003"/>
    <n v="4900596.8499999996"/>
    <n v="5184831.3600000003"/>
    <n v="4900596.8499999996"/>
    <n v="6881"/>
    <s v="AMOMPY"/>
    <s v="Momentum Capital Investment S.A."/>
    <s v="22/04/2026"/>
    <s v="22/04/2026"/>
    <n v="29"/>
    <s v="No"/>
    <s v=""/>
    <m/>
    <m/>
    <s v="*INP180800042"/>
    <s v="*INP180800042"/>
    <n v="1.1008411099501793E-4"/>
  </r>
  <r>
    <x v="152"/>
    <s v="Pesos"/>
    <d v="2026-07-15T00:00:00"/>
    <s v="08/06/2026"/>
    <n v="0.97144240000000004"/>
    <m/>
    <n v="788284.3"/>
    <n v="765772.80000000005"/>
    <n v="788284.3"/>
    <n v="765772.80000000005"/>
    <n v="5375"/>
    <s v="AMOMPY"/>
    <s v="Momentum Capital Investment S.A."/>
    <s v="22/04/2026"/>
    <s v="22/04/2026"/>
    <n v="29"/>
    <s v="No"/>
    <s v=""/>
    <m/>
    <m/>
    <s v="*INP130700051"/>
    <s v="*INP130700051"/>
    <n v="1.7201867546432774E-5"/>
  </r>
  <r>
    <x v="152"/>
    <s v="Pesos"/>
    <d v="2026-07-28T00:00:00"/>
    <s v="08/06/2026"/>
    <n v="0.96179188999999998"/>
    <m/>
    <n v="5000000"/>
    <n v="4808959.47"/>
    <n v="5000000"/>
    <n v="4808959.47"/>
    <n v="6878"/>
    <s v="AMOMPY"/>
    <s v="Momentum Capital Investment S.A."/>
    <s v="22/04/2026"/>
    <s v="22/04/2026"/>
    <n v="29"/>
    <s v="No"/>
    <s v=""/>
    <m/>
    <m/>
    <s v="*INP240700064"/>
    <s v="*INP240700064"/>
    <n v="1.0802562305569425E-4"/>
  </r>
  <r>
    <x v="152"/>
    <s v="Pesos"/>
    <d v="2026-08-13T00:00:00"/>
    <s v="08/06/2026"/>
    <n v="0.95017443000000001"/>
    <m/>
    <n v="5000000"/>
    <n v="4750872.13"/>
    <n v="5000000"/>
    <n v="4750872.13"/>
    <n v="6879"/>
    <s v="AMOMPY"/>
    <s v="Momentum Capital Investment S.A."/>
    <s v="22/04/2026"/>
    <s v="22/04/2026"/>
    <n v="29"/>
    <s v="No"/>
    <s v=""/>
    <m/>
    <m/>
    <s v="*INP110800047"/>
    <s v="*INP110800047"/>
    <n v="1.0672078338418254E-4"/>
  </r>
  <r>
    <x v="152"/>
    <s v="Pesos"/>
    <d v="2026-08-19T00:00:00"/>
    <s v="08/06/2026"/>
    <n v="0.94588998000000002"/>
    <m/>
    <n v="5000000"/>
    <n v="4729449.88"/>
    <n v="5000000"/>
    <n v="4729449.88"/>
    <n v="6880"/>
    <s v="AMOMPY"/>
    <s v="Momentum Capital Investment S.A."/>
    <s v="22/04/2026"/>
    <s v="22/04/2026"/>
    <n v="29"/>
    <s v="No"/>
    <s v=""/>
    <m/>
    <m/>
    <s v="*INP140800093"/>
    <s v="*INP140800093"/>
    <n v="1.0623956662243992E-4"/>
  </r>
  <r>
    <x v="152"/>
    <s v="Pesos"/>
    <d v="2026-08-05T00:00:00"/>
    <s v="08/06/2026"/>
    <n v="0.95449804000000005"/>
    <m/>
    <n v="15000000"/>
    <n v="14317470.66"/>
    <n v="15000000"/>
    <n v="14317470.66"/>
    <n v="90000127"/>
    <s v="AMOMPY"/>
    <s v="Momentum Capital Investment S.A."/>
    <s v="05/05/2026"/>
    <s v="05/05/2026"/>
    <n v="30"/>
    <s v="No"/>
    <s v=""/>
    <m/>
    <m/>
    <s v="*INP030800027"/>
    <s v="*INP030800027"/>
    <n v="3.216191981397843E-4"/>
  </r>
  <r>
    <x v="152"/>
    <s v="Pesos"/>
    <d v="2026-08-10T00:00:00"/>
    <s v="08/06/2026"/>
    <n v="0.95076850000000002"/>
    <m/>
    <n v="10000000"/>
    <n v="9507685.0399999991"/>
    <n v="10000000"/>
    <n v="9507685.0399999991"/>
    <n v="40200399"/>
    <s v="AMOMPY"/>
    <s v="Momentum Capital Investment S.A."/>
    <s v="05/05/2026"/>
    <s v="05/05/2026"/>
    <n v="30"/>
    <s v="No"/>
    <s v=""/>
    <m/>
    <m/>
    <s v="*INP060800057"/>
    <s v="*INP060800057"/>
    <n v="2.1357501693881052E-4"/>
  </r>
  <r>
    <x v="152"/>
    <s v="Pesos"/>
    <d v="2026-06-16T00:00:00"/>
    <s v="08/06/2026"/>
    <n v="0.99368400999999995"/>
    <m/>
    <n v="50000000"/>
    <n v="49684200.409999996"/>
    <n v="50000000"/>
    <n v="49684200.409999996"/>
    <n v="147630"/>
    <s v="AMOMPY"/>
    <s v="Momentum Capital Investment S.A."/>
    <s v="28/04/2026"/>
    <s v="28/04/2026"/>
    <n v="29"/>
    <s v="No"/>
    <s v=""/>
    <m/>
    <m/>
    <s v="#IGA120660002"/>
    <s v="#IGA120660002"/>
    <n v="1.1160765106872962E-3"/>
  </r>
  <r>
    <x v="152"/>
    <s v="Pesos"/>
    <d v="2026-06-22T00:00:00"/>
    <s v="08/06/2026"/>
    <n v="0.98899915000000005"/>
    <m/>
    <n v="50000000"/>
    <n v="49449957.299999997"/>
    <n v="50000000"/>
    <n v="49449957.299999997"/>
    <n v="147632"/>
    <s v="AMOMPY"/>
    <s v="Momentum Capital Investment S.A."/>
    <s v="28/04/2026"/>
    <s v="28/04/2026"/>
    <n v="29"/>
    <s v="No"/>
    <s v=""/>
    <m/>
    <m/>
    <s v="#IGA190660001"/>
    <s v="#IGA190660001"/>
    <n v="1.1108146119206065E-3"/>
  </r>
  <r>
    <x v="152"/>
    <s v="Pesos"/>
    <d v="2026-06-24T00:00:00"/>
    <s v="08/06/2026"/>
    <n v="0.98744728000000004"/>
    <m/>
    <n v="50000000"/>
    <n v="49372363.82"/>
    <n v="50000000"/>
    <n v="49372363.82"/>
    <n v="147633"/>
    <s v="AMOMPY"/>
    <s v="Momentum Capital Investment S.A."/>
    <s v="28/04/2026"/>
    <s v="28/04/2026"/>
    <n v="29"/>
    <s v="No"/>
    <s v=""/>
    <m/>
    <m/>
    <s v="#IGA230660001"/>
    <s v="#IGA230660001"/>
    <n v="1.1090715978498186E-3"/>
  </r>
  <r>
    <x v="152"/>
    <s v="Pesos"/>
    <d v="2026-06-09T00:00:00"/>
    <s v="08/06/2026"/>
    <n v="0.99920611000000004"/>
    <m/>
    <n v="50000000"/>
    <n v="49960305.689999998"/>
    <n v="50000000"/>
    <n v="49960305.689999998"/>
    <n v="147629"/>
    <s v="AMOMPY"/>
    <s v="Momentum Capital Investment S.A."/>
    <s v="28/04/2026"/>
    <s v="28/04/2026"/>
    <n v="29"/>
    <s v="No"/>
    <s v=""/>
    <m/>
    <m/>
    <s v="#IGA080660002"/>
    <s v="#IGA080660002"/>
    <n v="1.1222787764969865E-3"/>
  </r>
  <r>
    <x v="152"/>
    <s v="Pesos"/>
    <d v="2026-06-18T00:00:00"/>
    <s v="08/06/2026"/>
    <n v="0.99211742000000003"/>
    <m/>
    <n v="50000000"/>
    <n v="49605871.240000002"/>
    <n v="50000000"/>
    <n v="49605871.240000002"/>
    <n v="147631"/>
    <s v="AMOMPY"/>
    <s v="Momentum Capital Investment S.A."/>
    <s v="28/04/2026"/>
    <s v="28/04/2026"/>
    <n v="29"/>
    <s v="No"/>
    <s v=""/>
    <m/>
    <m/>
    <s v="#IGA170660001"/>
    <s v="#IGA170660001"/>
    <n v="1.1143169705111998E-3"/>
  </r>
  <r>
    <x v="152"/>
    <s v="Pesos"/>
    <d v="2026-06-12T00:00:00"/>
    <s v="08/06/2026"/>
    <n v="0.99715880000000001"/>
    <m/>
    <n v="16000000"/>
    <n v="15954540.83"/>
    <n v="16000000"/>
    <n v="15954540.83"/>
    <n v="90000617"/>
    <s v="AMOMPY"/>
    <s v="Momentum Capital Investment S.A."/>
    <s v="29/04/2026"/>
    <s v="29/04/2026"/>
    <n v="26"/>
    <s v="No"/>
    <s v=""/>
    <m/>
    <m/>
    <s v="*INP100600108"/>
    <s v="*INP100600108"/>
    <n v="3.5839337479969723E-4"/>
  </r>
  <r>
    <x v="152"/>
    <s v="Pesos"/>
    <d v="2026-08-07T00:00:00"/>
    <s v="08/06/2026"/>
    <n v="0.95300278000000005"/>
    <m/>
    <n v="8000000"/>
    <n v="7624022.2300000004"/>
    <n v="8000000"/>
    <n v="7624022.2300000004"/>
    <n v="90000620"/>
    <s v="AMOMPY"/>
    <s v="Momentum Capital Investment S.A."/>
    <s v="04/05/2026"/>
    <s v="04/05/2026"/>
    <n v="30"/>
    <s v="No"/>
    <s v=""/>
    <m/>
    <m/>
    <s v="*INP050800057"/>
    <s v="*INP050800057"/>
    <n v="1.712615289698446E-4"/>
  </r>
  <r>
    <x v="152"/>
    <s v="Pesos"/>
    <d v="2026-06-09T00:00:00"/>
    <s v="08/06/2026"/>
    <n v="0.99923346999999996"/>
    <m/>
    <n v="12000000"/>
    <n v="11990801.59"/>
    <n v="12000000"/>
    <n v="11990801.59"/>
    <n v="90000618"/>
    <s v="AMOMPY"/>
    <s v="Momentum Capital Investment S.A."/>
    <s v="04/05/2026"/>
    <s v="04/05/2026"/>
    <n v="28"/>
    <s v="No"/>
    <s v=""/>
    <m/>
    <m/>
    <s v="*INP050600071"/>
    <s v="*INP050600071"/>
    <n v="2.6935427939819156E-4"/>
  </r>
  <r>
    <x v="152"/>
    <s v="Pesos"/>
    <d v="2026-07-07T00:00:00"/>
    <s v="08/06/2026"/>
    <n v="0.97747790000000001"/>
    <m/>
    <n v="12000000"/>
    <n v="11729734.779999999"/>
    <n v="12000000"/>
    <n v="11729734.779999999"/>
    <n v="90000619"/>
    <s v="AMOMPY"/>
    <s v="Momentum Capital Investment S.A."/>
    <s v="04/05/2026"/>
    <s v="04/05/2026"/>
    <n v="29"/>
    <s v="No"/>
    <s v=""/>
    <m/>
    <m/>
    <s v="*INP030700058"/>
    <s v="*INP030700058"/>
    <n v="2.634898288896468E-4"/>
  </r>
  <r>
    <x v="152"/>
    <s v="Pesos"/>
    <d v="2026-08-14T00:00:00"/>
    <s v="08/06/2026"/>
    <n v="0.94780591000000003"/>
    <m/>
    <n v="1040000"/>
    <n v="985718.15"/>
    <n v="1040000"/>
    <n v="985718.15"/>
    <n v="10401546"/>
    <s v="AMOMPY"/>
    <s v="Momentum Capital Investment S.A."/>
    <s v="30/04/2026"/>
    <s v="30/04/2026"/>
    <n v="30"/>
    <s v="No"/>
    <s v=""/>
    <m/>
    <m/>
    <s v="*INP120800052"/>
    <s v="*INP120800052"/>
    <n v="2.214258988359831E-5"/>
  </r>
  <r>
    <x v="152"/>
    <s v="Pesos"/>
    <d v="2026-08-26T00:00:00"/>
    <s v="08/06/2026"/>
    <n v="0.93902764999999999"/>
    <m/>
    <n v="1040000"/>
    <n v="976588.76"/>
    <n v="1040000"/>
    <n v="976588.76"/>
    <n v="10601549"/>
    <s v="AMOMPY"/>
    <s v="Momentum Capital Investment S.A."/>
    <s v="30/04/2026"/>
    <s v="30/04/2026"/>
    <n v="30"/>
    <s v="No"/>
    <s v=""/>
    <m/>
    <m/>
    <s v="*INP220800066"/>
    <s v="*INP220800066"/>
    <n v="2.1937512662835534E-5"/>
  </r>
  <r>
    <x v="152"/>
    <s v="Pesos"/>
    <d v="2026-08-20T00:00:00"/>
    <s v="08/06/2026"/>
    <n v="0.94339627999999998"/>
    <m/>
    <n v="1040000"/>
    <n v="981132.13"/>
    <n v="1040000"/>
    <n v="981132.13"/>
    <n v="13301548"/>
    <s v="AMOMPY"/>
    <s v="Momentum Capital Investment S.A."/>
    <s v="30/04/2026"/>
    <s v="30/04/2026"/>
    <n v="30"/>
    <s v="No"/>
    <s v=""/>
    <m/>
    <m/>
    <s v="*INP180800044"/>
    <s v="*INP180800044"/>
    <n v="2.2039572241021699E-5"/>
  </r>
  <r>
    <x v="152"/>
    <s v="Pesos"/>
    <d v="2026-07-29T00:00:00"/>
    <s v="08/06/2026"/>
    <n v="0.95976866999999999"/>
    <m/>
    <n v="1040000"/>
    <n v="998159.42"/>
    <n v="1040000"/>
    <n v="998159.42"/>
    <n v="15901552"/>
    <s v="AMOMPY"/>
    <s v="Momentum Capital Investment S.A."/>
    <s v="30/04/2026"/>
    <s v="30/04/2026"/>
    <n v="30"/>
    <s v="No"/>
    <s v=""/>
    <m/>
    <m/>
    <s v="*INP270700051"/>
    <s v="*INP270700051"/>
    <n v="2.2422063219096004E-5"/>
  </r>
  <r>
    <x v="152"/>
    <s v="Pesos"/>
    <d v="2026-07-24T00:00:00"/>
    <s v="08/06/2026"/>
    <n v="0.96356927999999997"/>
    <m/>
    <n v="1040000"/>
    <n v="1002112.05"/>
    <n v="1040000"/>
    <n v="1002112.05"/>
    <n v="12201550"/>
    <s v="AMOMPY"/>
    <s v="Momentum Capital Investment S.A."/>
    <s v="30/04/2026"/>
    <s v="30/04/2026"/>
    <n v="30"/>
    <s v="No"/>
    <s v=""/>
    <m/>
    <m/>
    <s v="*INP220700080"/>
    <s v="*INP220700080"/>
    <n v="2.2510852763096597E-5"/>
  </r>
  <r>
    <x v="152"/>
    <s v="Pesos"/>
    <d v="2026-08-10T00:00:00"/>
    <s v="08/06/2026"/>
    <n v="0.95076843"/>
    <m/>
    <n v="1040000"/>
    <n v="988799.17"/>
    <n v="1040000"/>
    <n v="988799.17"/>
    <n v="13001545"/>
    <s v="AMOMPY"/>
    <s v="Momentum Capital Investment S.A."/>
    <s v="30/04/2026"/>
    <s v="30/04/2026"/>
    <n v="30"/>
    <s v="No"/>
    <s v=""/>
    <m/>
    <m/>
    <s v="*INP060800056"/>
    <s v="*INP060800056"/>
    <n v="2.2211800095749892E-5"/>
  </r>
  <r>
    <x v="152"/>
    <s v="Pesos"/>
    <d v="2026-07-28T00:00:00"/>
    <s v="08/06/2026"/>
    <n v="0.96052641999999999"/>
    <m/>
    <n v="1040000"/>
    <n v="998947.47"/>
    <n v="1040000"/>
    <n v="998947.47"/>
    <n v="16601551"/>
    <s v="AMOMPY"/>
    <s v="Momentum Capital Investment S.A."/>
    <s v="30/04/2026"/>
    <s v="30/04/2026"/>
    <n v="30"/>
    <s v="No"/>
    <s v=""/>
    <m/>
    <m/>
    <s v="*INP240700067"/>
    <s v="*INP240700067"/>
    <n v="2.2439765508495633E-5"/>
  </r>
  <r>
    <x v="152"/>
    <s v="Pesos"/>
    <d v="2026-07-31T00:00:00"/>
    <s v="08/06/2026"/>
    <n v="0.95825687999999998"/>
    <m/>
    <n v="1040000"/>
    <n v="996587.15"/>
    <n v="1040000"/>
    <n v="996587.15"/>
    <n v="11001553"/>
    <s v="AMOMPY"/>
    <s v="Momentum Capital Investment S.A."/>
    <s v="30/04/2026"/>
    <s v="30/04/2026"/>
    <n v="30"/>
    <s v="No"/>
    <s v=""/>
    <m/>
    <m/>
    <s v="*INP290700073"/>
    <s v="*INP290700073"/>
    <n v="2.2386744675152904E-5"/>
  </r>
  <r>
    <x v="152"/>
    <s v="Pesos"/>
    <d v="2026-08-20T00:00:00"/>
    <s v="08/06/2026"/>
    <n v="0.94339627999999998"/>
    <m/>
    <n v="1040000"/>
    <n v="981132.13"/>
    <n v="1040000"/>
    <n v="981132.13"/>
    <n v="19101547"/>
    <s v="AMOMPY"/>
    <s v="Momentum Capital Investment S.A."/>
    <s v="30/04/2026"/>
    <s v="30/04/2026"/>
    <n v="30"/>
    <s v="No"/>
    <s v=""/>
    <m/>
    <m/>
    <s v="*INP150800068"/>
    <s v="*INP150800068"/>
    <n v="2.2039572241021699E-5"/>
  </r>
  <r>
    <x v="152"/>
    <s v="Pesos"/>
    <d v="2026-07-31T00:00:00"/>
    <s v="08/06/2026"/>
    <n v="0.95959209999999995"/>
    <m/>
    <n v="5000000"/>
    <n v="4797960.4800000004"/>
    <n v="5000000"/>
    <n v="4797960.4800000004"/>
    <n v="16779606"/>
    <s v="AMOMPY"/>
    <s v="Momentum Capital Investment S.A."/>
    <s v="30/04/2026"/>
    <s v="30/04/2026"/>
    <n v="29"/>
    <s v="No"/>
    <s v=""/>
    <m/>
    <m/>
    <s v="*INP290700072"/>
    <s v="*INP290700072"/>
    <n v="1.0777854824561412E-4"/>
  </r>
  <r>
    <x v="152"/>
    <s v="Pesos"/>
    <d v="2026-07-30T00:00:00"/>
    <s v="08/06/2026"/>
    <n v="0.96032415999999998"/>
    <m/>
    <n v="5000000"/>
    <n v="4801620.78"/>
    <n v="5000000"/>
    <n v="4801620.78"/>
    <n v="16779605"/>
    <s v="AMOMPY"/>
    <s v="Momentum Capital Investment S.A."/>
    <s v="30/04/2026"/>
    <s v="30/04/2026"/>
    <n v="29"/>
    <s v="No"/>
    <s v=""/>
    <m/>
    <m/>
    <s v="*INP280700072"/>
    <s v="*INP280700072"/>
    <n v="1.0786077106128504E-4"/>
  </r>
  <r>
    <x v="152"/>
    <s v="Pesos"/>
    <d v="2026-07-29T00:00:00"/>
    <s v="08/06/2026"/>
    <n v="0.96105748000000002"/>
    <m/>
    <n v="5000000"/>
    <n v="4805287.38"/>
    <n v="5000000"/>
    <n v="4805287.38"/>
    <n v="16779604"/>
    <s v="AMOMPY"/>
    <s v="Momentum Capital Investment S.A."/>
    <s v="30/04/2026"/>
    <s v="30/04/2026"/>
    <n v="29"/>
    <s v="No"/>
    <s v=""/>
    <m/>
    <m/>
    <s v="*INP270700050"/>
    <s v="*INP270700050"/>
    <n v="1.0794313539643216E-4"/>
  </r>
  <r>
    <x v="152"/>
    <s v="Pesos"/>
    <d v="2026-07-24T00:00:00"/>
    <s v="08/06/2026"/>
    <n v="0.96474081"/>
    <m/>
    <n v="5000000"/>
    <n v="4823704.07"/>
    <n v="5000000"/>
    <n v="4823704.07"/>
    <n v="16779603"/>
    <s v="AMOMPY"/>
    <s v="Momentum Capital Investment S.A."/>
    <s v="30/04/2026"/>
    <s v="30/04/2026"/>
    <n v="29"/>
    <s v="No"/>
    <s v=""/>
    <m/>
    <m/>
    <s v="*INP220700079"/>
    <s v="*INP220700079"/>
    <n v="1.0835683703486032E-4"/>
  </r>
  <r>
    <x v="152"/>
    <s v="Pesos"/>
    <d v="2026-07-23T00:00:00"/>
    <s v="08/06/2026"/>
    <n v="0.96548089999999998"/>
    <m/>
    <n v="5000000"/>
    <n v="4827404.49"/>
    <n v="5000000"/>
    <n v="4827404.49"/>
    <n v="16779602"/>
    <s v="AMOMPY"/>
    <s v="Momentum Capital Investment S.A."/>
    <s v="30/04/2026"/>
    <s v="30/04/2026"/>
    <n v="29"/>
    <s v="No"/>
    <s v=""/>
    <m/>
    <m/>
    <s v="*INP210700080"/>
    <s v="*INP210700080"/>
    <n v="1.0843996108249712E-4"/>
  </r>
  <r>
    <x v="152"/>
    <s v="Pesos"/>
    <d v="2026-07-20T00:00:00"/>
    <s v="08/06/2026"/>
    <n v="0.96770783999999999"/>
    <m/>
    <n v="5000000"/>
    <n v="4838539.1900000004"/>
    <n v="5000000"/>
    <n v="4838539.1900000004"/>
    <n v="16779601"/>
    <s v="AMOMPY"/>
    <s v="Momentum Capital Investment S.A."/>
    <s v="30/04/2026"/>
    <s v="30/04/2026"/>
    <n v="29"/>
    <s v="No"/>
    <s v=""/>
    <m/>
    <m/>
    <s v="*INP160700044"/>
    <s v="*INP160700044"/>
    <n v="1.0869008440180184E-4"/>
  </r>
  <r>
    <x v="152"/>
    <s v="Pesos"/>
    <d v="2026-07-15T00:00:00"/>
    <s v="08/06/2026"/>
    <n v="0.97144227999999999"/>
    <m/>
    <n v="5000000"/>
    <n v="4857211.41"/>
    <n v="5000000"/>
    <n v="4857211.41"/>
    <n v="16779600"/>
    <s v="AMOMPY"/>
    <s v="Momentum Capital Investment S.A."/>
    <s v="30/04/2026"/>
    <s v="30/04/2026"/>
    <n v="29"/>
    <s v="No"/>
    <s v=""/>
    <m/>
    <m/>
    <s v="*INP100700075"/>
    <s v="*INP100700075"/>
    <n v="1.0910952611511139E-4"/>
  </r>
  <r>
    <x v="152"/>
    <s v="Pesos"/>
    <d v="2026-07-08T00:00:00"/>
    <s v="08/06/2026"/>
    <n v="0.97671931000000001"/>
    <m/>
    <n v="5000000"/>
    <n v="4883596.53"/>
    <n v="5000000"/>
    <n v="4883596.53"/>
    <n v="16779599"/>
    <s v="AMOMPY"/>
    <s v="Momentum Capital Investment S.A."/>
    <s v="30/04/2026"/>
    <s v="30/04/2026"/>
    <n v="29"/>
    <s v="No"/>
    <s v=""/>
    <m/>
    <m/>
    <s v="*INP060700044"/>
    <s v="*INP060700044"/>
    <n v="1.0970222585508222E-4"/>
  </r>
  <r>
    <x v="152"/>
    <s v="Pesos"/>
    <d v="2026-07-07T00:00:00"/>
    <s v="08/06/2026"/>
    <n v="0.97747788000000002"/>
    <m/>
    <n v="5000000"/>
    <n v="4887389.41"/>
    <n v="5000000"/>
    <n v="4887389.41"/>
    <n v="16779598"/>
    <s v="AMOMPY"/>
    <s v="Momentum Capital Investment S.A."/>
    <s v="30/04/2026"/>
    <s v="30/04/2026"/>
    <n v="29"/>
    <s v="No"/>
    <s v=""/>
    <m/>
    <m/>
    <s v="*INP030700057"/>
    <s v="*INP030700057"/>
    <n v="1.097874268695078E-4"/>
  </r>
  <r>
    <x v="152"/>
    <s v="Pesos"/>
    <d v="2026-07-03T00:00:00"/>
    <s v="08/06/2026"/>
    <n v="0.98052388999999995"/>
    <m/>
    <n v="5000000"/>
    <n v="4902619.46"/>
    <n v="5000000"/>
    <n v="4902619.46"/>
    <n v="16779597"/>
    <s v="AMOMPY"/>
    <s v="Momentum Capital Investment S.A."/>
    <s v="30/04/2026"/>
    <s v="30/04/2026"/>
    <n v="29"/>
    <s v="No"/>
    <s v=""/>
    <m/>
    <m/>
    <s v="*INP010700054"/>
    <s v="*INP010700054"/>
    <n v="1.101295457105342E-4"/>
  </r>
  <r>
    <x v="152"/>
    <s v="Pesos"/>
    <d v="2026-09-04T00:00:00"/>
    <s v="08/06/2026"/>
    <n v="0.93254985999999995"/>
    <m/>
    <n v="5000000"/>
    <n v="4662749.29"/>
    <n v="5000000"/>
    <n v="4662749.29"/>
    <n v="58"/>
    <s v="AMOMPY"/>
    <s v="Momentum Capital Investment S.A."/>
    <s v="30/04/2026"/>
    <s v="30/04/2026"/>
    <n v="30"/>
    <s v="No"/>
    <s v=""/>
    <m/>
    <m/>
    <s v="*INP020900036"/>
    <s v="*INP020900036"/>
    <n v="1.0474124399404555E-4"/>
  </r>
  <r>
    <x v="152"/>
    <s v="Pesos"/>
    <d v="2026-08-28T00:00:00"/>
    <s v="08/06/2026"/>
    <n v="0.93953514000000005"/>
    <m/>
    <n v="40000000"/>
    <n v="37581405.789999999"/>
    <n v="40000000"/>
    <n v="37581405.789999999"/>
    <n v="80939845"/>
    <s v="AMOMPY"/>
    <s v="Momentum Capital Investment S.A."/>
    <s v="30/04/2026"/>
    <s v="30/04/2026"/>
    <n v="29"/>
    <s v="No"/>
    <s v=""/>
    <m/>
    <m/>
    <s v="*INP260800068"/>
    <s v="*INP260800068"/>
    <n v="8.4420648605999283E-4"/>
  </r>
  <r>
    <x v="152"/>
    <s v="Pesos"/>
    <d v="2026-08-27T00:00:00"/>
    <s v="08/06/2026"/>
    <n v="0.94023705999999996"/>
    <m/>
    <n v="40000000"/>
    <n v="37609482.359999999"/>
    <n v="40000000"/>
    <n v="37609482.359999999"/>
    <n v="80939846"/>
    <s v="AMOMPY"/>
    <s v="Momentum Capital Investment S.A."/>
    <s v="30/04/2026"/>
    <s v="30/04/2026"/>
    <n v="29"/>
    <s v="No"/>
    <s v=""/>
    <m/>
    <m/>
    <s v="*INP250800064"/>
    <s v="*INP250800064"/>
    <n v="8.4483718153298187E-4"/>
  </r>
  <r>
    <x v="152"/>
    <s v="Pesos"/>
    <d v="2026-08-24T00:00:00"/>
    <s v="08/06/2026"/>
    <n v="0.94234894000000002"/>
    <m/>
    <n v="11923076.92"/>
    <n v="11235698.880000001"/>
    <n v="11923076.92"/>
    <n v="11235698.880000001"/>
    <n v="90021985"/>
    <s v="AMOMPY"/>
    <s v="Momentum Capital Investment S.A."/>
    <s v="30/04/2026"/>
    <s v="30/04/2026"/>
    <n v="29"/>
    <s v="No"/>
    <s v=""/>
    <m/>
    <m/>
    <s v="*NEU200800029"/>
    <s v="*NEU200800029"/>
    <n v="2.5239209844664509E-4"/>
  </r>
  <r>
    <x v="152"/>
    <s v="Pesos"/>
    <d v="2026-09-08T00:00:00"/>
    <s v="08/06/2026"/>
    <n v="0.93188318999999997"/>
    <m/>
    <n v="11923076.92"/>
    <n v="11110914.949999999"/>
    <n v="11923076.92"/>
    <n v="11110914.949999999"/>
    <n v="90021986"/>
    <s v="AMOMPY"/>
    <s v="Momentum Capital Investment S.A."/>
    <s v="30/04/2026"/>
    <s v="30/04/2026"/>
    <n v="29"/>
    <s v="No"/>
    <s v=""/>
    <m/>
    <m/>
    <s v="*NEU040900012"/>
    <s v="*NEU040900012"/>
    <n v="2.4958902600037464E-4"/>
  </r>
  <r>
    <x v="152"/>
    <s v="Pesos"/>
    <d v="2026-08-25T00:00:00"/>
    <s v="08/06/2026"/>
    <n v="0.94164404000000002"/>
    <m/>
    <n v="40000000"/>
    <n v="37665761.640000001"/>
    <n v="40000000"/>
    <n v="37665761.640000001"/>
    <n v="80939847"/>
    <s v="AMOMPY"/>
    <s v="Momentum Capital Investment S.A."/>
    <s v="30/04/2026"/>
    <s v="30/04/2026"/>
    <n v="29"/>
    <s v="No"/>
    <s v=""/>
    <m/>
    <m/>
    <s v="*INP210800035"/>
    <s v="*INP210800035"/>
    <n v="8.4610140601336121E-4"/>
  </r>
  <r>
    <x v="152"/>
    <s v="Pesos"/>
    <d v="2026-06-09T00:00:00"/>
    <s v="08/06/2026"/>
    <n v="0.99926082000000005"/>
    <m/>
    <n v="15200000"/>
    <n v="15188764.48"/>
    <n v="15200000"/>
    <n v="15188764.48"/>
    <n v="2598"/>
    <s v="AMOMPY"/>
    <s v="Momentum Capital Investment S.A."/>
    <s v="30/04/2026"/>
    <s v="30/04/2026"/>
    <n v="27"/>
    <s v="No"/>
    <s v=""/>
    <m/>
    <m/>
    <s v="*INP050600070"/>
    <s v="*INP050600070"/>
    <n v="3.4119142750816279E-4"/>
  </r>
  <r>
    <x v="147"/>
    <s v="Pesos"/>
    <d v="2026-09-01T00:00:00"/>
    <s v="08/06/2026"/>
    <n v="0.93673812999999995"/>
    <m/>
    <n v="10000000"/>
    <n v="9367381.3300000001"/>
    <n v="10000000"/>
    <n v="9367381.3300000001"/>
    <n v="2158"/>
    <s v="AMOMPY"/>
    <s v="Momentum Capital Investment S.A."/>
    <s v="27/04/2026"/>
    <s v="27/04/2026"/>
    <n v="29"/>
    <s v="No"/>
    <s v=""/>
    <m/>
    <m/>
    <s v="*MIL280800030"/>
    <s v="*MIL280800030"/>
    <n v="2.1042331732804725E-4"/>
  </r>
  <r>
    <x v="147"/>
    <s v="Pesos"/>
    <d v="2026-08-31T00:00:00"/>
    <s v="08/06/2026"/>
    <n v="0.93743586999999995"/>
    <m/>
    <n v="10000000"/>
    <n v="9374358.7300000004"/>
    <n v="10000000"/>
    <n v="9374358.7300000004"/>
    <n v="2157"/>
    <s v="AMOMPY"/>
    <s v="Momentum Capital Investment S.A."/>
    <s v="27/04/2026"/>
    <s v="27/04/2026"/>
    <n v="29"/>
    <s v="No"/>
    <s v=""/>
    <m/>
    <m/>
    <s v="*MIL270800028"/>
    <s v="*MIL270800028"/>
    <n v="2.1058005351744767E-4"/>
  </r>
  <r>
    <x v="147"/>
    <s v="Pesos"/>
    <d v="2026-08-25T00:00:00"/>
    <s v="08/06/2026"/>
    <n v="0.94164389999999998"/>
    <m/>
    <n v="10000000"/>
    <n v="9416438.9900000002"/>
    <n v="10000000"/>
    <n v="9416438.9900000002"/>
    <n v="2153"/>
    <s v="AMOMPY"/>
    <s v="Momentum Capital Investment S.A."/>
    <s v="27/04/2026"/>
    <s v="27/04/2026"/>
    <n v="29"/>
    <s v="No"/>
    <s v=""/>
    <m/>
    <m/>
    <s v="*MIL210800022"/>
    <s v="*MIL210800022"/>
    <n v="2.1152531960529964E-4"/>
  </r>
  <r>
    <x v="147"/>
    <s v="Pesos"/>
    <d v="2026-08-27T00:00:00"/>
    <s v="08/06/2026"/>
    <n v="0.94023709"/>
    <m/>
    <n v="10000000"/>
    <n v="9402370.8800000008"/>
    <n v="10000000"/>
    <n v="9402370.8800000008"/>
    <n v="2155"/>
    <s v="AMOMPY"/>
    <s v="Momentum Capital Investment S.A."/>
    <s v="27/04/2026"/>
    <s v="27/04/2026"/>
    <n v="29"/>
    <s v="No"/>
    <s v=""/>
    <m/>
    <m/>
    <s v="*MIL250800027"/>
    <s v="*MIL250800027"/>
    <n v="2.1120930189763408E-4"/>
  </r>
  <r>
    <x v="147"/>
    <s v="Pesos"/>
    <d v="2026-08-24T00:00:00"/>
    <s v="08/06/2026"/>
    <n v="0.94234896999999995"/>
    <m/>
    <n v="10000000"/>
    <n v="9423489.6699999999"/>
    <n v="10000000"/>
    <n v="9423489.6699999999"/>
    <n v="2152"/>
    <s v="AMOMPY"/>
    <s v="Momentum Capital Investment S.A."/>
    <s v="27/04/2026"/>
    <s v="27/04/2026"/>
    <n v="29"/>
    <s v="No"/>
    <s v=""/>
    <m/>
    <m/>
    <s v="*MIL200800031"/>
    <s v="*MIL200800031"/>
    <n v="2.1168370191330572E-4"/>
  </r>
  <r>
    <x v="147"/>
    <s v="Pesos"/>
    <d v="2026-08-26T00:00:00"/>
    <s v="08/06/2026"/>
    <n v="0.94094005000000003"/>
    <m/>
    <n v="10000000"/>
    <n v="9409400.5099999998"/>
    <n v="10000000"/>
    <n v="9409400.5099999998"/>
    <n v="2154"/>
    <s v="AMOMPY"/>
    <s v="Momentum Capital Investment S.A."/>
    <s v="27/04/2026"/>
    <s v="27/04/2026"/>
    <n v="29"/>
    <s v="No"/>
    <s v=""/>
    <m/>
    <m/>
    <s v="*MIL240800017"/>
    <s v="*MIL240800017"/>
    <n v="2.1136721135088236E-4"/>
  </r>
  <r>
    <x v="147"/>
    <s v="Pesos"/>
    <d v="2026-08-28T00:00:00"/>
    <s v="08/06/2026"/>
    <n v="0.93953516999999998"/>
    <m/>
    <n v="10000000"/>
    <n v="9395351.7400000002"/>
    <n v="10000000"/>
    <n v="9395351.7400000002"/>
    <n v="2156"/>
    <s v="AMOMPY"/>
    <s v="Momentum Capital Investment S.A."/>
    <s v="27/04/2026"/>
    <s v="27/04/2026"/>
    <n v="29"/>
    <s v="No"/>
    <s v=""/>
    <m/>
    <m/>
    <s v="*MIL260800030"/>
    <s v="*MIL260800030"/>
    <n v="2.1105162808554532E-4"/>
  </r>
  <r>
    <x v="147"/>
    <s v="Pesos"/>
    <d v="2026-08-20T00:00:00"/>
    <s v="08/06/2026"/>
    <n v="0.94517967000000003"/>
    <m/>
    <n v="10000000"/>
    <n v="9451796.6600000001"/>
    <n v="10000000"/>
    <n v="9451796.6600000001"/>
    <n v="2150"/>
    <s v="AMOMPY"/>
    <s v="Momentum Capital Investment S.A."/>
    <s v="27/04/2026"/>
    <s v="27/04/2026"/>
    <n v="29"/>
    <s v="No"/>
    <s v=""/>
    <m/>
    <m/>
    <s v="*MIL180800036"/>
    <s v="*MIL180800036"/>
    <n v="2.1231957340497819E-4"/>
  </r>
  <r>
    <x v="147"/>
    <s v="Pesos"/>
    <d v="2026-07-13T00:00:00"/>
    <s v="08/06/2026"/>
    <n v="0.97476309000000005"/>
    <m/>
    <n v="10000000"/>
    <n v="9747630.9100000001"/>
    <n v="10000000"/>
    <n v="9747630.9100000001"/>
    <n v="32531"/>
    <s v="AMOMPY"/>
    <s v="Momentum Capital Investment S.A."/>
    <s v="27/04/2026"/>
    <s v="27/04/2026"/>
    <n v="27"/>
    <s v="No"/>
    <s v=""/>
    <m/>
    <m/>
    <s v="*MIL070700029"/>
    <s v="*MIL070700029"/>
    <n v="2.1896501913535444E-4"/>
  </r>
  <r>
    <x v="147"/>
    <s v="Pesos"/>
    <d v="2026-07-07T00:00:00"/>
    <s v="08/06/2026"/>
    <n v="0.97899853000000003"/>
    <m/>
    <n v="10000000"/>
    <n v="9789985.3000000007"/>
    <n v="10000000"/>
    <n v="9789985.3000000007"/>
    <n v="32530"/>
    <s v="AMOMPY"/>
    <s v="Momentum Capital Investment S.A."/>
    <s v="27/04/2026"/>
    <s v="27/04/2026"/>
    <n v="27"/>
    <s v="No"/>
    <s v=""/>
    <m/>
    <m/>
    <s v="*MIL030700016"/>
    <s v="*MIL030700016"/>
    <n v="2.1991644311749375E-4"/>
  </r>
  <r>
    <x v="147"/>
    <s v="Pesos"/>
    <d v="2026-07-03T00:00:00"/>
    <s v="08/06/2026"/>
    <n v="0.98184269999999996"/>
    <m/>
    <n v="10000000"/>
    <n v="9818426.9800000004"/>
    <n v="10000000"/>
    <n v="9818426.9800000004"/>
    <n v="32529"/>
    <s v="AMOMPY"/>
    <s v="Momentum Capital Investment S.A."/>
    <s v="27/04/2026"/>
    <s v="27/04/2026"/>
    <n v="27"/>
    <s v="No"/>
    <s v=""/>
    <m/>
    <m/>
    <s v="*MIL010700023"/>
    <s v="*MIL010700023"/>
    <n v="2.2055534020571369E-4"/>
  </r>
  <r>
    <x v="147"/>
    <s v="Pesos"/>
    <d v="2026-07-01T00:00:00"/>
    <s v="08/06/2026"/>
    <n v="0.98327094000000004"/>
    <m/>
    <n v="12000000"/>
    <n v="11799251.300000001"/>
    <n v="12000000"/>
    <n v="11799251.300000001"/>
    <n v="32526"/>
    <s v="AMOMPY"/>
    <s v="Momentum Capital Investment S.A."/>
    <s v="27/04/2026"/>
    <s v="27/04/2026"/>
    <n v="27"/>
    <s v="No"/>
    <s v=""/>
    <m/>
    <m/>
    <s v="*MIL290600031"/>
    <s v="*MIL290600031"/>
    <n v="2.6505140690512215E-4"/>
  </r>
  <r>
    <x v="147"/>
    <s v="Pesos"/>
    <d v="2026-07-02T00:00:00"/>
    <s v="08/06/2026"/>
    <n v="0.98255634999999997"/>
    <m/>
    <n v="7000000"/>
    <n v="6877894.4299999997"/>
    <n v="7000000"/>
    <n v="6877894.4299999997"/>
    <n v="66547883"/>
    <s v="AMOMPY"/>
    <s v="Momentum Capital Investment S.A."/>
    <s v="27/04/2026"/>
    <s v="27/04/2026"/>
    <n v="27"/>
    <s v="No"/>
    <s v=""/>
    <m/>
    <m/>
    <s v="*MIL300600062"/>
    <s v="*MIL300600062"/>
    <n v="1.5450095509165086E-4"/>
  </r>
  <r>
    <x v="147"/>
    <s v="Pesos"/>
    <d v="2026-09-10T00:00:00"/>
    <s v="08/06/2026"/>
    <n v="0.93050527999999999"/>
    <m/>
    <n v="5500000"/>
    <n v="5117779.04"/>
    <n v="5500000"/>
    <n v="5117779.04"/>
    <n v="66554093"/>
    <s v="AMOMPY"/>
    <s v="Momentum Capital Investment S.A."/>
    <s v="28/04/2026"/>
    <s v="28/04/2026"/>
    <n v="29"/>
    <s v="No"/>
    <s v=""/>
    <m/>
    <m/>
    <s v="*MIL080900027"/>
    <s v="*MIL080900027"/>
    <n v="1.149627633391913E-4"/>
  </r>
  <r>
    <x v="147"/>
    <s v="Pesos"/>
    <d v="2026-08-19T00:00:00"/>
    <s v="08/06/2026"/>
    <n v="0.94588992000000005"/>
    <m/>
    <n v="5500000"/>
    <n v="5202394.57"/>
    <n v="5500000"/>
    <n v="5202394.57"/>
    <n v="66554053"/>
    <s v="AMOMPY"/>
    <s v="Momentum Capital Investment S.A."/>
    <s v="28/04/2026"/>
    <s v="28/04/2026"/>
    <n v="29"/>
    <s v="No"/>
    <s v=""/>
    <m/>
    <m/>
    <s v="*MIL140800022"/>
    <s v="*MIL140800022"/>
    <n v="1.1686351659058808E-4"/>
  </r>
  <r>
    <x v="147"/>
    <s v="Pesos"/>
    <d v="2026-08-25T00:00:00"/>
    <s v="08/06/2026"/>
    <n v="0.94164393999999996"/>
    <m/>
    <n v="5500000"/>
    <n v="5179041.6900000004"/>
    <n v="5500000"/>
    <n v="5179041.6900000004"/>
    <n v="66554072"/>
    <s v="AMOMPY"/>
    <s v="Momentum Capital Investment S.A."/>
    <s v="28/04/2026"/>
    <s v="28/04/2026"/>
    <n v="29"/>
    <s v="No"/>
    <s v=""/>
    <m/>
    <m/>
    <s v="*MIL210800023"/>
    <s v="*MIL210800023"/>
    <n v="1.163389312976817E-4"/>
  </r>
  <r>
    <x v="147"/>
    <s v="Pesos"/>
    <d v="2026-07-22T00:00:00"/>
    <s v="08/06/2026"/>
    <n v="0.96622204"/>
    <m/>
    <n v="40000000"/>
    <n v="38648881.600000001"/>
    <n v="40000000"/>
    <n v="38648881.600000001"/>
    <n v="54026408"/>
    <s v="AMOMPY"/>
    <s v="Momentum Capital Investment S.A."/>
    <s v="28/04/2026"/>
    <s v="28/04/2026"/>
    <n v="29"/>
    <s v="No"/>
    <s v=""/>
    <m/>
    <m/>
    <s v="*MIL200700046"/>
    <s v="*MIL200700046"/>
    <n v="8.6818563169253698E-4"/>
  </r>
  <r>
    <x v="147"/>
    <s v="Pesos"/>
    <d v="2026-07-24T00:00:00"/>
    <s v="08/06/2026"/>
    <n v="0.96474073000000005"/>
    <m/>
    <n v="40000000"/>
    <n v="38589629.32"/>
    <n v="40000000"/>
    <n v="38589629.32"/>
    <n v="54026409"/>
    <s v="AMOMPY"/>
    <s v="Momentum Capital Investment S.A."/>
    <s v="28/04/2026"/>
    <s v="28/04/2026"/>
    <n v="29"/>
    <s v="No"/>
    <s v=""/>
    <m/>
    <m/>
    <s v="*MIL220700040"/>
    <s v="*MIL220700040"/>
    <n v="8.6685462349743762E-4"/>
  </r>
  <r>
    <x v="147"/>
    <s v="Pesos"/>
    <d v="2026-07-28T00:00:00"/>
    <s v="08/06/2026"/>
    <n v="0.96179183999999995"/>
    <m/>
    <n v="30000000"/>
    <n v="28853755.25"/>
    <n v="30000000"/>
    <n v="28853755.25"/>
    <n v="54026410"/>
    <s v="AMOMPY"/>
    <s v="Momentum Capital Investment S.A."/>
    <s v="28/04/2026"/>
    <s v="28/04/2026"/>
    <n v="29"/>
    <s v="No"/>
    <s v=""/>
    <m/>
    <m/>
    <s v="*MIL240700033"/>
    <s v="*MIL240700033"/>
    <n v="6.4815370306661355E-4"/>
  </r>
  <r>
    <x v="147"/>
    <s v="Pesos"/>
    <d v="2026-07-16T00:00:00"/>
    <s v="08/06/2026"/>
    <n v="0.97069309000000004"/>
    <m/>
    <n v="1200000"/>
    <n v="1164831.71"/>
    <n v="1200000"/>
    <n v="1164831.71"/>
    <n v="544"/>
    <s v="AMOMPY"/>
    <s v="Momentum Capital Investment S.A."/>
    <s v="28/04/2026"/>
    <s v="28/04/2026"/>
    <n v="29"/>
    <s v="No"/>
    <s v=""/>
    <m/>
    <m/>
    <s v="*MIL140700053"/>
    <s v="*MIL140700053"/>
    <n v="2.616609102504658E-5"/>
  </r>
  <r>
    <x v="147"/>
    <s v="Pesos"/>
    <d v="2026-07-08T00:00:00"/>
    <s v="08/06/2026"/>
    <n v="0.97671934999999999"/>
    <m/>
    <n v="1200000"/>
    <n v="1172063.22"/>
    <n v="1200000"/>
    <n v="1172063.22"/>
    <n v="543"/>
    <s v="AMOMPY"/>
    <s v="Momentum Capital Investment S.A."/>
    <s v="28/04/2026"/>
    <s v="28/04/2026"/>
    <n v="29"/>
    <s v="No"/>
    <s v=""/>
    <m/>
    <m/>
    <s v="*MIL040700024"/>
    <s v="*MIL040700024"/>
    <n v="2.6328535391287723E-5"/>
  </r>
  <r>
    <x v="147"/>
    <s v="Pesos"/>
    <d v="2026-07-29T00:00:00"/>
    <s v="08/06/2026"/>
    <n v="0.96105753999999999"/>
    <m/>
    <n v="1300000"/>
    <n v="1249374.8"/>
    <n v="1300000"/>
    <n v="1249374.8"/>
    <n v="545"/>
    <s v="AMOMPY"/>
    <s v="Momentum Capital Investment S.A."/>
    <s v="28/04/2026"/>
    <s v="28/04/2026"/>
    <n v="29"/>
    <s v="No"/>
    <s v=""/>
    <m/>
    <m/>
    <s v="*MIL250700034"/>
    <s v="*MIL250700034"/>
    <n v="2.8065217027101168E-5"/>
  </r>
  <r>
    <x v="147"/>
    <s v="Pesos"/>
    <d v="2026-07-08T00:00:00"/>
    <s v="08/06/2026"/>
    <n v="0.97671936000000004"/>
    <m/>
    <n v="12500000"/>
    <n v="12208991.970000001"/>
    <n v="12500000"/>
    <n v="12208991.970000001"/>
    <n v="9798605"/>
    <s v="AMOMPY"/>
    <s v="Momentum Capital Investment S.A."/>
    <s v="28/04/2026"/>
    <s v="28/04/2026"/>
    <n v="29"/>
    <s v="No"/>
    <s v=""/>
    <m/>
    <m/>
    <s v="*MIL060700031"/>
    <s v="*MIL060700031"/>
    <n v="2.7425557912660431E-4"/>
  </r>
  <r>
    <x v="147"/>
    <s v="Pesos"/>
    <d v="2026-07-15T00:00:00"/>
    <s v="08/06/2026"/>
    <n v="0.97144233999999996"/>
    <m/>
    <n v="12500000"/>
    <n v="12143029.26"/>
    <n v="12500000"/>
    <n v="12143029.26"/>
    <n v="9798604"/>
    <s v="AMOMPY"/>
    <s v="Momentum Capital Investment S.A."/>
    <s v="28/04/2026"/>
    <s v="28/04/2026"/>
    <n v="29"/>
    <s v="No"/>
    <s v=""/>
    <m/>
    <m/>
    <s v="*MIL130700044"/>
    <s v="*MIL130700044"/>
    <n v="2.7277383179838399E-4"/>
  </r>
  <r>
    <x v="147"/>
    <s v="Pesos"/>
    <d v="2026-07-22T00:00:00"/>
    <s v="08/06/2026"/>
    <n v="0.96622204"/>
    <m/>
    <n v="12500000"/>
    <n v="12077775.5"/>
    <n v="12500000"/>
    <n v="12077775.5"/>
    <n v="9798603"/>
    <s v="AMOMPY"/>
    <s v="Momentum Capital Investment S.A."/>
    <s v="28/04/2026"/>
    <s v="28/04/2026"/>
    <n v="29"/>
    <s v="No"/>
    <s v=""/>
    <m/>
    <m/>
    <s v="*MIL200700047"/>
    <s v="*MIL200700047"/>
    <n v="2.713080099039178E-4"/>
  </r>
  <r>
    <x v="147"/>
    <s v="Pesos"/>
    <d v="2026-06-24T00:00:00"/>
    <s v="08/06/2026"/>
    <n v="0.98744728000000004"/>
    <m/>
    <n v="11000000"/>
    <n v="10861920.029999999"/>
    <n v="11000000"/>
    <n v="10861920.029999999"/>
    <n v="9798601"/>
    <s v="AMOMPY"/>
    <s v="Momentum Capital Investment S.A."/>
    <s v="28/04/2026"/>
    <s v="28/04/2026"/>
    <n v="29"/>
    <s v="No"/>
    <s v=""/>
    <m/>
    <m/>
    <s v="*MIL210600024"/>
    <s v="*MIL210600024"/>
    <n v="2.4399575129334063E-4"/>
  </r>
  <r>
    <x v="147"/>
    <s v="Pesos"/>
    <d v="2026-06-30T00:00:00"/>
    <s v="08/06/2026"/>
    <n v="0.9828209"/>
    <m/>
    <n v="11000000"/>
    <n v="10811029.92"/>
    <n v="11000000"/>
    <n v="10811029.92"/>
    <n v="9798600"/>
    <s v="AMOMPY"/>
    <s v="Momentum Capital Investment S.A."/>
    <s v="28/04/2026"/>
    <s v="28/04/2026"/>
    <n v="29"/>
    <s v="No"/>
    <s v=""/>
    <m/>
    <m/>
    <s v="*MIL260600033"/>
    <s v="*MIL260600033"/>
    <n v="2.4285258594241229E-4"/>
  </r>
  <r>
    <x v="147"/>
    <s v="Pesos"/>
    <d v="2026-07-29T00:00:00"/>
    <s v="08/06/2026"/>
    <n v="0.96105755000000004"/>
    <m/>
    <n v="12500000"/>
    <n v="12013219.32"/>
    <n v="12500000"/>
    <n v="12013219.32"/>
    <n v="9798602"/>
    <s v="AMOMPY"/>
    <s v="Momentum Capital Investment S.A."/>
    <s v="28/04/2026"/>
    <s v="28/04/2026"/>
    <n v="29"/>
    <s v="No"/>
    <s v=""/>
    <m/>
    <m/>
    <s v="*MIL270700025"/>
    <s v="*MIL270700025"/>
    <n v="2.6985785803424617E-4"/>
  </r>
  <r>
    <x v="147"/>
    <s v="Pesos"/>
    <d v="2026-07-08T00:00:00"/>
    <s v="08/06/2026"/>
    <n v="0.97671931000000001"/>
    <m/>
    <n v="7000000"/>
    <n v="6837035.1500000004"/>
    <n v="7000000"/>
    <n v="6837035.1500000004"/>
    <n v="66582572"/>
    <s v="AMOMPY"/>
    <s v="Momentum Capital Investment S.A."/>
    <s v="30/04/2026"/>
    <s v="30/04/2026"/>
    <n v="29"/>
    <s v="No"/>
    <s v=""/>
    <m/>
    <m/>
    <s v="*MIL060700032"/>
    <s v="*MIL060700032"/>
    <n v="1.5358311637682237E-4"/>
  </r>
  <r>
    <x v="147"/>
    <s v="Pesos"/>
    <d v="2026-07-15T00:00:00"/>
    <s v="08/06/2026"/>
    <n v="0.97144227999999999"/>
    <m/>
    <n v="25000000"/>
    <n v="24286057.079999998"/>
    <n v="25000000"/>
    <n v="24286057.079999998"/>
    <n v="3418"/>
    <s v="AMOMPY"/>
    <s v="Momentum Capital Investment S.A."/>
    <s v="30/04/2026"/>
    <s v="30/04/2026"/>
    <n v="29"/>
    <s v="No"/>
    <s v=""/>
    <m/>
    <m/>
    <s v="*MIL100700050"/>
    <s v="*MIL100700050"/>
    <n v="5.4554763124945913E-4"/>
  </r>
  <r>
    <x v="147"/>
    <s v="Pesos"/>
    <d v="2026-07-23T00:00:00"/>
    <s v="08/06/2026"/>
    <n v="0.96548089999999998"/>
    <m/>
    <n v="25000000"/>
    <n v="24137022.48"/>
    <n v="25000000"/>
    <n v="24137022.48"/>
    <n v="3419"/>
    <s v="AMOMPY"/>
    <s v="Momentum Capital Investment S.A."/>
    <s v="30/04/2026"/>
    <s v="30/04/2026"/>
    <n v="29"/>
    <s v="No"/>
    <s v=""/>
    <m/>
    <m/>
    <s v="*MIL210700043"/>
    <s v="*MIL210700043"/>
    <n v="5.421998060863879E-4"/>
  </r>
  <r>
    <x v="147"/>
    <s v="Pesos"/>
    <d v="2026-07-01T00:00:00"/>
    <s v="08/06/2026"/>
    <n v="0.98205397000000005"/>
    <m/>
    <n v="25000000"/>
    <n v="24551349.350000001"/>
    <n v="25000000"/>
    <n v="24551349.350000001"/>
    <n v="3417"/>
    <s v="AMOMPY"/>
    <s v="Momentum Capital Investment S.A."/>
    <s v="30/04/2026"/>
    <s v="30/04/2026"/>
    <n v="29"/>
    <s v="No"/>
    <s v=""/>
    <m/>
    <m/>
    <s v="*MIL280600026"/>
    <s v="*MIL280600026"/>
    <n v="5.5150699999386029E-4"/>
  </r>
  <r>
    <x v="147"/>
    <s v="Pesos"/>
    <d v="2026-07-13T00:00:00"/>
    <s v="08/06/2026"/>
    <n v="0.97294424999999995"/>
    <m/>
    <n v="20000000"/>
    <n v="19458885"/>
    <n v="20000000"/>
    <n v="19458885"/>
    <n v="816"/>
    <s v="AMOMPY"/>
    <s v="Momentum Capital Investment S.A."/>
    <s v="30/04/2026"/>
    <s v="30/04/2026"/>
    <n v="29"/>
    <s v="No"/>
    <s v=""/>
    <m/>
    <m/>
    <s v="*MIL070700030"/>
    <s v="*MIL070700030"/>
    <n v="4.3711289088782925E-4"/>
  </r>
  <r>
    <x v="147"/>
    <s v="Pesos"/>
    <d v="2026-07-14T00:00:00"/>
    <s v="08/06/2026"/>
    <n v="0.97219268999999997"/>
    <m/>
    <n v="20000000"/>
    <n v="19443853.739999998"/>
    <n v="20000000"/>
    <n v="19443853.739999998"/>
    <n v="817"/>
    <s v="AMOMPY"/>
    <s v="Momentum Capital Investment S.A."/>
    <s v="30/04/2026"/>
    <s v="30/04/2026"/>
    <n v="29"/>
    <s v="No"/>
    <s v=""/>
    <m/>
    <m/>
    <s v="*MIL080700030"/>
    <s v="*MIL080700030"/>
    <n v="4.3677523754786206E-4"/>
  </r>
  <r>
    <x v="147"/>
    <s v="Pesos"/>
    <d v="2026-08-05T00:00:00"/>
    <s v="08/06/2026"/>
    <n v="0.95594789000000002"/>
    <m/>
    <n v="4166666.66"/>
    <n v="3983116.21"/>
    <n v="4166666.66"/>
    <n v="3983116.21"/>
    <n v="13567710"/>
    <s v="AMOMPY"/>
    <s v="Momentum Capital Investment S.A."/>
    <s v="30/04/2026"/>
    <s v="30/04/2026"/>
    <n v="29"/>
    <s v="No"/>
    <s v=""/>
    <m/>
    <m/>
    <s v="*MIL020800023"/>
    <s v="*MIL020800023"/>
    <n v="8.9474368202251773E-5"/>
  </r>
  <r>
    <x v="147"/>
    <s v="Pesos"/>
    <d v="2026-06-18T00:00:00"/>
    <s v="08/06/2026"/>
    <n v="0.99211746000000001"/>
    <m/>
    <n v="4166666.66"/>
    <n v="4133822.73"/>
    <n v="4166666.66"/>
    <n v="4133822.73"/>
    <n v="13567712"/>
    <s v="AMOMPY"/>
    <s v="Momentum Capital Investment S.A."/>
    <s v="30/04/2026"/>
    <s v="30/04/2026"/>
    <n v="29"/>
    <s v="No"/>
    <s v=""/>
    <m/>
    <m/>
    <s v="*MIL150600041"/>
    <s v="*MIL150600041"/>
    <n v="9.2859750387965103E-5"/>
  </r>
  <r>
    <x v="147"/>
    <s v="Pesos"/>
    <d v="2026-07-22T00:00:00"/>
    <s v="08/06/2026"/>
    <n v="0.96622198000000004"/>
    <m/>
    <n v="4166666.7"/>
    <n v="4025924.93"/>
    <n v="4166666.7"/>
    <n v="4025924.93"/>
    <n v="13567715"/>
    <s v="AMOMPY"/>
    <s v="Momentum Capital Investment S.A."/>
    <s v="30/04/2026"/>
    <s v="30/04/2026"/>
    <n v="29"/>
    <s v="No"/>
    <s v=""/>
    <m/>
    <m/>
    <s v="*MIL200700049"/>
    <s v="*MIL200700049"/>
    <n v="9.0435997984965823E-5"/>
  </r>
  <r>
    <x v="147"/>
    <s v="Pesos"/>
    <d v="2026-06-24T00:00:00"/>
    <s v="08/06/2026"/>
    <n v="0.98744732000000002"/>
    <m/>
    <n v="4166666.66"/>
    <n v="4114363.84"/>
    <n v="4166666.66"/>
    <n v="4114363.84"/>
    <n v="13567711"/>
    <s v="AMOMPY"/>
    <s v="Momentum Capital Investment S.A."/>
    <s v="30/04/2026"/>
    <s v="30/04/2026"/>
    <n v="29"/>
    <s v="No"/>
    <s v=""/>
    <m/>
    <m/>
    <s v="*MIL220600032"/>
    <s v="*MIL220600032"/>
    <n v="9.2422637384760223E-5"/>
  </r>
  <r>
    <x v="147"/>
    <s v="Pesos"/>
    <d v="2026-06-24T00:00:00"/>
    <s v="08/06/2026"/>
    <n v="0.98744732000000002"/>
    <m/>
    <n v="10000000"/>
    <n v="9874473.2200000007"/>
    <n v="10000000"/>
    <n v="9874473.2200000007"/>
    <n v="66581649"/>
    <s v="AMOMPY"/>
    <s v="Momentum Capital Investment S.A."/>
    <s v="30/04/2026"/>
    <s v="30/04/2026"/>
    <n v="29"/>
    <s v="No"/>
    <s v=""/>
    <m/>
    <m/>
    <s v="*MIL200600039"/>
    <s v="*MIL200600039"/>
    <n v="2.218143298132782E-4"/>
  </r>
  <r>
    <x v="147"/>
    <s v="Pesos"/>
    <d v="2026-07-22T00:00:00"/>
    <s v="08/06/2026"/>
    <n v="0.96622198000000004"/>
    <m/>
    <n v="10000000"/>
    <n v="9662219.7699999996"/>
    <n v="10000000"/>
    <n v="9662219.7699999996"/>
    <n v="66581708"/>
    <s v="AMOMPY"/>
    <s v="Momentum Capital Investment S.A."/>
    <s v="30/04/2026"/>
    <s v="30/04/2026"/>
    <n v="29"/>
    <s v="No"/>
    <s v=""/>
    <m/>
    <m/>
    <s v="*MIL200700050"/>
    <s v="*MIL200700050"/>
    <n v="2.1704639377118659E-4"/>
  </r>
  <r>
    <x v="147"/>
    <s v="Pesos"/>
    <d v="2026-06-24T00:00:00"/>
    <s v="08/06/2026"/>
    <n v="0.98744732000000002"/>
    <m/>
    <n v="10000000"/>
    <n v="9874473.2200000007"/>
    <n v="10000000"/>
    <n v="9874473.2200000007"/>
    <n v="66581682"/>
    <s v="AMOMPY"/>
    <s v="Momentum Capital Investment S.A."/>
    <s v="30/04/2026"/>
    <s v="30/04/2026"/>
    <n v="29"/>
    <s v="No"/>
    <s v=""/>
    <m/>
    <m/>
    <s v="*MIL210600025"/>
    <s v="*MIL210600025"/>
    <n v="2.218143298132782E-4"/>
  </r>
  <r>
    <x v="147"/>
    <s v="Pesos"/>
    <d v="2026-07-23T00:00:00"/>
    <s v="08/06/2026"/>
    <n v="0.96548089999999998"/>
    <m/>
    <n v="10000000"/>
    <n v="9654808.9900000002"/>
    <n v="10000000"/>
    <n v="9654808.9900000002"/>
    <n v="66581742"/>
    <s v="AMOMPY"/>
    <s v="Momentum Capital Investment S.A."/>
    <s v="30/04/2026"/>
    <s v="30/04/2026"/>
    <n v="29"/>
    <s v="No"/>
    <s v=""/>
    <m/>
    <m/>
    <s v="*MIL210700044"/>
    <s v="*MIL210700044"/>
    <n v="2.1687992238962834E-4"/>
  </r>
  <r>
    <x v="147"/>
    <s v="Pesos"/>
    <d v="2026-09-04T00:00:00"/>
    <s v="08/06/2026"/>
    <n v="0.93465127000000003"/>
    <m/>
    <n v="10000000"/>
    <n v="9346512.6999999993"/>
    <n v="10000000"/>
    <n v="9346512.6999999993"/>
    <n v="66613066"/>
    <s v="AMOMPY"/>
    <s v="Momentum Capital Investment S.A."/>
    <s v="30/04/2026"/>
    <s v="30/04/2026"/>
    <n v="29"/>
    <s v="No"/>
    <s v=""/>
    <m/>
    <m/>
    <s v="*MIL020900026"/>
    <s v="*MIL020900026"/>
    <n v="2.0995453675875107E-4"/>
  </r>
  <r>
    <x v="147"/>
    <s v="Pesos"/>
    <d v="2026-09-08T00:00:00"/>
    <s v="08/06/2026"/>
    <n v="0.93188318999999997"/>
    <m/>
    <n v="10000000"/>
    <n v="9318831.9000000004"/>
    <n v="10000000"/>
    <n v="9318831.9000000004"/>
    <n v="66613291"/>
    <s v="AMOMPY"/>
    <s v="Momentum Capital Investment S.A."/>
    <s v="30/04/2026"/>
    <s v="30/04/2026"/>
    <n v="29"/>
    <s v="No"/>
    <s v=""/>
    <m/>
    <m/>
    <s v="*MIL040900019"/>
    <s v="*MIL040900019"/>
    <n v="2.0933273162911044E-4"/>
  </r>
  <r>
    <x v="147"/>
    <s v="Pesos"/>
    <d v="2026-09-09T00:00:00"/>
    <s v="08/06/2026"/>
    <n v="0.93119386000000004"/>
    <m/>
    <n v="10000000"/>
    <n v="9311938.6199999992"/>
    <n v="10000000"/>
    <n v="9311938.6199999992"/>
    <n v="66613416"/>
    <s v="AMOMPY"/>
    <s v="Momentum Capital Investment S.A."/>
    <s v="30/04/2026"/>
    <s v="30/04/2026"/>
    <n v="29"/>
    <s v="No"/>
    <s v=""/>
    <m/>
    <m/>
    <s v="*MIL070900021"/>
    <s v="*MIL070900021"/>
    <n v="2.0917788506166838E-4"/>
  </r>
  <r>
    <x v="147"/>
    <s v="Pesos"/>
    <d v="2026-07-13T00:00:00"/>
    <s v="08/06/2026"/>
    <n v="0.97294424999999995"/>
    <m/>
    <n v="6500000"/>
    <n v="6324137.6399999997"/>
    <n v="6500000"/>
    <n v="6324137.6399999997"/>
    <n v="66607731"/>
    <s v="AMOMPY"/>
    <s v="Momentum Capital Investment S.A."/>
    <s v="30/04/2026"/>
    <s v="30/04/2026"/>
    <n v="29"/>
    <s v="No"/>
    <s v=""/>
    <m/>
    <m/>
    <s v="*MIL070700031"/>
    <s v="*MIL070700031"/>
    <n v="1.4206168987549562E-4"/>
  </r>
  <r>
    <x v="147"/>
    <s v="Pesos"/>
    <d v="2026-08-05T00:00:00"/>
    <s v="08/06/2026"/>
    <n v="0.95594794999999999"/>
    <m/>
    <n v="12500000"/>
    <n v="11949349.310000001"/>
    <n v="12500000"/>
    <n v="11949349.310000001"/>
    <n v="4955"/>
    <s v="AMOMPY"/>
    <s v="Momentum Capital Investment S.A."/>
    <s v="24/04/2026"/>
    <s v="24/04/2026"/>
    <n v="29"/>
    <s v="No"/>
    <s v=""/>
    <m/>
    <m/>
    <s v="*MIL010800019"/>
    <s v="*MIL010800019"/>
    <n v="2.6842311988187336E-4"/>
  </r>
  <r>
    <x v="147"/>
    <s v="Pesos"/>
    <d v="2026-07-15T00:00:00"/>
    <s v="08/06/2026"/>
    <n v="0.97144233000000002"/>
    <m/>
    <n v="12500000"/>
    <n v="12143029.060000001"/>
    <n v="12500000"/>
    <n v="12143029.060000001"/>
    <n v="4949"/>
    <s v="AMOMPY"/>
    <s v="Momentum Capital Investment S.A."/>
    <s v="24/04/2026"/>
    <s v="24/04/2026"/>
    <n v="29"/>
    <s v="No"/>
    <s v=""/>
    <m/>
    <m/>
    <s v="*MIL110700039"/>
    <s v="*MIL110700039"/>
    <n v="2.7277382730570227E-4"/>
  </r>
  <r>
    <x v="147"/>
    <s v="Pesos"/>
    <d v="2026-08-25T00:00:00"/>
    <s v="08/06/2026"/>
    <n v="0.94164393000000002"/>
    <m/>
    <n v="12500000"/>
    <n v="11770549.09"/>
    <n v="12500000"/>
    <n v="11770549.09"/>
    <n v="4956"/>
    <s v="AMOMPY"/>
    <s v="Momentum Capital Investment S.A."/>
    <s v="24/04/2026"/>
    <s v="24/04/2026"/>
    <n v="29"/>
    <s v="No"/>
    <s v=""/>
    <m/>
    <m/>
    <s v="*MIL210800021"/>
    <s v="*MIL210800021"/>
    <n v="2.6440665742497618E-4"/>
  </r>
  <r>
    <x v="147"/>
    <s v="Pesos"/>
    <d v="2026-07-24T00:00:00"/>
    <s v="08/06/2026"/>
    <n v="0.96474072"/>
    <m/>
    <n v="12500000"/>
    <n v="12059258.99"/>
    <n v="12500000"/>
    <n v="12059258.99"/>
    <n v="4954"/>
    <s v="AMOMPY"/>
    <s v="Momentum Capital Investment S.A."/>
    <s v="24/04/2026"/>
    <s v="24/04/2026"/>
    <n v="29"/>
    <s v="No"/>
    <s v=""/>
    <m/>
    <m/>
    <s v="*MIL220700038"/>
    <s v="*MIL220700038"/>
    <n v="2.7089206596801123E-4"/>
  </r>
  <r>
    <x v="147"/>
    <s v="Pesos"/>
    <d v="2026-07-17T00:00:00"/>
    <s v="08/06/2026"/>
    <n v="0.96994504000000004"/>
    <m/>
    <n v="3500000"/>
    <n v="3394807.65"/>
    <n v="3500000"/>
    <n v="3394807.65"/>
    <n v="404"/>
    <s v="AMOMPY"/>
    <s v="Momentum Capital Investment S.A."/>
    <s v="22/04/2026"/>
    <s v="22/04/2026"/>
    <n v="29"/>
    <s v="No"/>
    <s v=""/>
    <m/>
    <m/>
    <s v="*MIL150700044"/>
    <s v="*MIL150700044"/>
    <n v="7.6258952447666865E-5"/>
  </r>
  <r>
    <x v="147"/>
    <s v="Pesos"/>
    <d v="2026-07-22T00:00:00"/>
    <s v="08/06/2026"/>
    <n v="0.96622193999999995"/>
    <m/>
    <n v="3500000"/>
    <n v="3381776.8"/>
    <n v="3500000"/>
    <n v="3381776.8"/>
    <n v="405"/>
    <s v="AMOMPY"/>
    <s v="Momentum Capital Investment S.A."/>
    <s v="22/04/2026"/>
    <s v="22/04/2026"/>
    <n v="29"/>
    <s v="No"/>
    <s v=""/>
    <m/>
    <m/>
    <s v="*MIL200700045"/>
    <s v="*MIL200700045"/>
    <n v="7.5966235135537937E-5"/>
  </r>
  <r>
    <x v="147"/>
    <s v="Pesos"/>
    <d v="2026-07-29T00:00:00"/>
    <s v="08/06/2026"/>
    <n v="0.96105744000000004"/>
    <m/>
    <n v="3500000"/>
    <n v="3363701.05"/>
    <n v="3500000"/>
    <n v="3363701.05"/>
    <n v="406"/>
    <s v="AMOMPY"/>
    <s v="Momentum Capital Investment S.A."/>
    <s v="22/04/2026"/>
    <s v="22/04/2026"/>
    <n v="29"/>
    <s v="No"/>
    <s v=""/>
    <m/>
    <m/>
    <s v="*MIL250700033"/>
    <s v="*MIL250700033"/>
    <n v="7.5560192171747077E-5"/>
  </r>
  <r>
    <x v="147"/>
    <s v="Pesos"/>
    <d v="2026-08-03T00:00:00"/>
    <s v="08/06/2026"/>
    <n v="0.95740228000000005"/>
    <m/>
    <n v="3500000"/>
    <n v="3350907.97"/>
    <n v="3500000"/>
    <n v="3350907.97"/>
    <n v="407"/>
    <s v="AMOMPY"/>
    <s v="Momentum Capital Investment S.A."/>
    <s v="22/04/2026"/>
    <s v="22/04/2026"/>
    <n v="29"/>
    <s v="No"/>
    <s v=""/>
    <m/>
    <m/>
    <s v="*MIL300700030"/>
    <s v="*MIL300700030"/>
    <n v="7.5272815984357144E-5"/>
  </r>
  <r>
    <x v="147"/>
    <s v="Pesos"/>
    <d v="2026-08-24T00:00:00"/>
    <s v="08/06/2026"/>
    <n v="0.94234890999999998"/>
    <m/>
    <n v="10000000"/>
    <n v="9423489.0500000007"/>
    <n v="10000000"/>
    <n v="9423489.0500000007"/>
    <n v="66412292"/>
    <s v="AMOMPY"/>
    <s v="Momentum Capital Investment S.A."/>
    <s v="22/04/2026"/>
    <s v="22/04/2026"/>
    <n v="29"/>
    <s v="No"/>
    <s v=""/>
    <m/>
    <m/>
    <s v="*MIL200800030"/>
    <s v="*MIL200800030"/>
    <n v="2.116836879859922E-4"/>
  </r>
  <r>
    <x v="147"/>
    <s v="Pesos"/>
    <d v="2026-08-26T00:00:00"/>
    <s v="08/06/2026"/>
    <n v="0.94093998999999995"/>
    <m/>
    <n v="10000000"/>
    <n v="9409399.8499999996"/>
    <n v="10000000"/>
    <n v="9409399.8499999996"/>
    <n v="66412396"/>
    <s v="AMOMPY"/>
    <s v="Momentum Capital Investment S.A."/>
    <s v="22/04/2026"/>
    <s v="22/04/2026"/>
    <n v="29"/>
    <s v="No"/>
    <s v=""/>
    <m/>
    <m/>
    <s v="*MIL240800016"/>
    <s v="*MIL240800016"/>
    <n v="2.1136719652503248E-4"/>
  </r>
  <r>
    <x v="147"/>
    <s v="Pesos"/>
    <d v="2026-08-27T00:00:00"/>
    <s v="08/06/2026"/>
    <n v="0.94023701999999998"/>
    <m/>
    <n v="10000000"/>
    <n v="9402370.2400000002"/>
    <n v="10000000"/>
    <n v="9402370.2400000002"/>
    <n v="66412433"/>
    <s v="AMOMPY"/>
    <s v="Momentum Capital Investment S.A."/>
    <s v="22/04/2026"/>
    <s v="22/04/2026"/>
    <n v="29"/>
    <s v="No"/>
    <s v=""/>
    <m/>
    <m/>
    <s v="*MIL250800026"/>
    <s v="*MIL250800026"/>
    <n v="2.1120928752105237E-4"/>
  </r>
  <r>
    <x v="147"/>
    <s v="Pesos"/>
    <d v="2026-08-28T00:00:00"/>
    <s v="08/06/2026"/>
    <n v="0.93953527000000003"/>
    <m/>
    <n v="10000000"/>
    <n v="9395352.7400000002"/>
    <n v="10000000"/>
    <n v="9395352.7400000002"/>
    <n v="66412455"/>
    <s v="AMOMPY"/>
    <s v="Momentum Capital Investment S.A."/>
    <s v="22/04/2026"/>
    <s v="22/04/2026"/>
    <n v="29"/>
    <s v="No"/>
    <s v=""/>
    <m/>
    <m/>
    <s v="*MIL260800029"/>
    <s v="*MIL260800029"/>
    <n v="2.1105165054895425E-4"/>
  </r>
  <r>
    <x v="147"/>
    <s v="Pesos"/>
    <d v="2026-08-31T00:00:00"/>
    <s v="08/06/2026"/>
    <n v="0.93743580999999998"/>
    <m/>
    <n v="10000000"/>
    <n v="9374358.0999999996"/>
    <n v="10000000"/>
    <n v="9374358.0999999996"/>
    <n v="66412480"/>
    <s v="AMOMPY"/>
    <s v="Momentum Capital Investment S.A."/>
    <s v="22/04/2026"/>
    <s v="22/04/2026"/>
    <n v="29"/>
    <s v="No"/>
    <s v=""/>
    <m/>
    <m/>
    <s v="*MIL270800027"/>
    <s v="*MIL270800027"/>
    <n v="2.1058003936550002E-4"/>
  </r>
  <r>
    <x v="147"/>
    <s v="Pesos"/>
    <d v="2026-09-01T00:00:00"/>
    <s v="08/06/2026"/>
    <n v="0.93673824000000006"/>
    <m/>
    <n v="10000000"/>
    <n v="9367382.3499999996"/>
    <n v="10000000"/>
    <n v="9367382.3499999996"/>
    <n v="66412510"/>
    <s v="AMOMPY"/>
    <s v="Momentum Capital Investment S.A."/>
    <s v="22/04/2026"/>
    <s v="22/04/2026"/>
    <n v="29"/>
    <s v="No"/>
    <s v=""/>
    <m/>
    <m/>
    <s v="*MIL280800029"/>
    <s v="*MIL280800029"/>
    <n v="2.1042334024072435E-4"/>
  </r>
  <r>
    <x v="147"/>
    <s v="Pesos"/>
    <d v="2026-08-25T00:00:00"/>
    <s v="08/06/2026"/>
    <n v="0.94164400000000004"/>
    <m/>
    <n v="10000000"/>
    <n v="9416439.9900000002"/>
    <n v="10000000"/>
    <n v="9416439.9900000002"/>
    <n v="66412351"/>
    <s v="AMOMPY"/>
    <s v="Momentum Capital Investment S.A."/>
    <s v="22/04/2026"/>
    <s v="22/04/2026"/>
    <n v="29"/>
    <s v="No"/>
    <s v=""/>
    <m/>
    <m/>
    <s v="*MIL210800020"/>
    <s v="*MIL210800020"/>
    <n v="2.1152534206870857E-4"/>
  </r>
  <r>
    <x v="147"/>
    <s v="Pesos"/>
    <d v="2026-07-27T00:00:00"/>
    <s v="08/06/2026"/>
    <n v="0.96439664999999997"/>
    <m/>
    <n v="150000000"/>
    <n v="144659496.97999999"/>
    <n v="150000000"/>
    <n v="144659496.97999999"/>
    <n v="51"/>
    <s v="AMOMPY"/>
    <s v="Momentum Capital Investment S.A."/>
    <s v="21/04/2026"/>
    <s v="21/04/2026"/>
    <n v="27.5"/>
    <s v="No"/>
    <s v=""/>
    <m/>
    <m/>
    <s v="*MIL230700028"/>
    <s v="*MIL230700028"/>
    <n v="3.2495454348646902E-3"/>
  </r>
  <r>
    <x v="27"/>
    <s v="Pesos"/>
    <d v="2026-06-17T00:00:00"/>
    <s v="08/06/2026"/>
    <n v="0.99120140999999995"/>
    <m/>
    <n v="16400000"/>
    <n v="16255703.18"/>
    <n v="16400000"/>
    <n v="16255703.18"/>
    <n v="95826334"/>
    <s v="AMOMPY"/>
    <s v="Momentum Capital Investment S.A."/>
    <s v="14/04/2026"/>
    <s v="14/04/2026"/>
    <n v="36"/>
    <s v="No"/>
    <s v=""/>
    <m/>
    <m/>
    <s v="*MAV120601553"/>
    <s v="*MAV120601553"/>
    <n v="3.6515850781914169E-4"/>
  </r>
  <r>
    <x v="27"/>
    <s v="Pesos"/>
    <d v="2026-06-18T00:00:00"/>
    <s v="08/06/2026"/>
    <n v="0.99023335999999995"/>
    <m/>
    <n v="16400000"/>
    <n v="16239827.039999999"/>
    <n v="16400000"/>
    <n v="16239827.039999999"/>
    <n v="95826365"/>
    <s v="AMOMPY"/>
    <s v="Momentum Capital Investment S.A."/>
    <s v="16/04/2026"/>
    <s v="16/04/2026"/>
    <n v="36"/>
    <s v="No"/>
    <s v=""/>
    <m/>
    <m/>
    <s v="*MAV150601145"/>
    <s v="*MAV150601145"/>
    <n v="3.6480187559424592E-4"/>
  </r>
  <r>
    <x v="27"/>
    <s v="Pesos"/>
    <d v="2026-08-12T00:00:00"/>
    <s v="08/06/2026"/>
    <n v="0.94928489000000005"/>
    <m/>
    <n v="16800000"/>
    <n v="15947986.18"/>
    <n v="16800000"/>
    <n v="15947986.18"/>
    <n v="32660"/>
    <s v="AMOMPY"/>
    <s v="Momentum Capital Investment S.A."/>
    <s v="04/05/2026"/>
    <s v="04/05/2026"/>
    <n v="30"/>
    <s v="No"/>
    <s v=""/>
    <m/>
    <m/>
    <s v="*MAV100800966"/>
    <s v="*MAV100800966"/>
    <n v="3.5824613501641786E-4"/>
  </r>
  <r>
    <x v="27"/>
    <s v="Pesos"/>
    <d v="2026-08-20T00:00:00"/>
    <s v="08/06/2026"/>
    <n v="0.94339627000000004"/>
    <m/>
    <n v="13500000"/>
    <n v="12735849.630000001"/>
    <n v="13500000"/>
    <n v="12735849.630000001"/>
    <n v="32806"/>
    <s v="AMOMPY"/>
    <s v="Momentum Capital Investment S.A."/>
    <s v="07/05/2026"/>
    <s v="07/05/2026"/>
    <n v="30"/>
    <s v="No"/>
    <s v=""/>
    <m/>
    <m/>
    <s v="*MAV180801262"/>
    <s v="*MAV180801262"/>
    <n v="2.8609059818596958E-4"/>
  </r>
  <r>
    <x v="27"/>
    <s v="Pesos"/>
    <d v="2026-07-15T00:00:00"/>
    <s v="08/06/2026"/>
    <n v="0.96479177000000005"/>
    <m/>
    <n v="16800000"/>
    <n v="16208501.68"/>
    <n v="16800000"/>
    <n v="16208501.68"/>
    <n v="32476"/>
    <s v="AMOMPY"/>
    <s v="Momentum Capital Investment S.A."/>
    <s v="27/04/2026"/>
    <s v="27/04/2026"/>
    <n v="36"/>
    <s v="No"/>
    <s v=""/>
    <m/>
    <m/>
    <s v="*MAV130701035"/>
    <s v="*MAV130701035"/>
    <n v="3.6409820122299078E-4"/>
  </r>
  <r>
    <x v="27"/>
    <s v="Pesos"/>
    <d v="2026-08-05T00:00:00"/>
    <s v="08/06/2026"/>
    <n v="0.94588994000000004"/>
    <m/>
    <n v="16800000"/>
    <n v="15890951.029999999"/>
    <n v="16800000"/>
    <n v="15890951.029999999"/>
    <n v="32600"/>
    <s v="AMOMPY"/>
    <s v="Momentum Capital Investment S.A."/>
    <s v="29/04/2026"/>
    <s v="29/04/2026"/>
    <n v="36"/>
    <s v="No"/>
    <s v=""/>
    <m/>
    <m/>
    <s v="*MAV030800746"/>
    <s v="*MAV030800746"/>
    <n v="3.5696493111913799E-4"/>
  </r>
  <r>
    <x v="171"/>
    <s v="Pesos"/>
    <d v="2026-07-03T00:00:00"/>
    <s v="08/06/2026"/>
    <n v="0.97986583000000005"/>
    <m/>
    <n v="1000000000"/>
    <n v="979865827.70000005"/>
    <n v="1000000000"/>
    <n v="979865827.70000005"/>
    <n v="147160"/>
    <s v="AMOMPY"/>
    <s v="Momentum Capital Investment S.A."/>
    <s v="23/04/2026"/>
    <s v="23/04/2026"/>
    <n v="30"/>
    <s v="No"/>
    <s v=""/>
    <m/>
    <m/>
    <s v="#MAV020760016"/>
    <s v="#MAV020760016"/>
    <n v="2.2011126774640098E-2"/>
  </r>
  <r>
    <x v="171"/>
    <s v="Dolar 3500"/>
    <d v="2026-11-04T00:00:00"/>
    <s v="08/06/2026"/>
    <n v="0.96837525000000002"/>
    <s v="1 US3 = 1445,3977163583 $"/>
    <n v="500000"/>
    <n v="484187.63"/>
    <n v="722698858.17999995"/>
    <n v="699843694.69000006"/>
    <n v="152502"/>
    <s v="AMOMPY"/>
    <s v="Momentum Capital Investment S.A."/>
    <s v="04/06/2026"/>
    <s v="04/06/2026"/>
    <n v="8"/>
    <s v="No"/>
    <s v=""/>
    <m/>
    <m/>
    <s v="#UMV021160025"/>
    <s v="#UMV021160025"/>
    <n v="1.5720875094105611E-2"/>
  </r>
  <r>
    <x v="172"/>
    <s v="Pesos"/>
    <d v="2026-06-17T00:00:00"/>
    <s v="08/06/2026"/>
    <n v="0.99047516999999996"/>
    <m/>
    <n v="100000000"/>
    <n v="99047516.980000004"/>
    <n v="100000000"/>
    <n v="99047516.980000004"/>
    <n v="638"/>
    <s v="AMOMPY"/>
    <s v="Momentum Capital Investment S.A."/>
    <s v="12/05/2026"/>
    <s v="12/05/2026"/>
    <n v="39"/>
    <s v="No"/>
    <s v=""/>
    <m/>
    <m/>
    <s v="*MAV120601814"/>
    <s v="*MAV120601814"/>
    <n v="2.2249448764607611E-3"/>
  </r>
  <r>
    <x v="172"/>
    <s v="Pesos"/>
    <d v="2026-07-20T00:00:00"/>
    <s v="08/06/2026"/>
    <n v="0.96128537999999997"/>
    <m/>
    <n v="100000000"/>
    <n v="96128538.469999999"/>
    <n v="100000000"/>
    <n v="96128538.469999999"/>
    <n v="693"/>
    <s v="AMOMPY"/>
    <s v="Momentum Capital Investment S.A."/>
    <s v="01/06/2026"/>
    <s v="01/06/2026"/>
    <n v="35"/>
    <s v="No"/>
    <s v=""/>
    <m/>
    <m/>
    <s v="*MAV160701255"/>
    <s v="*MAV160701255"/>
    <n v="2.1593746685611022E-3"/>
  </r>
  <r>
    <x v="172"/>
    <s v="Pesos"/>
    <d v="2026-06-29T00:00:00"/>
    <s v="08/06/2026"/>
    <n v="0.97915605999999999"/>
    <m/>
    <n v="80000000"/>
    <n v="78332484.459999993"/>
    <n v="80000000"/>
    <n v="78332484.459999993"/>
    <n v="663"/>
    <s v="AMOMPY"/>
    <s v="Momentum Capital Investment S.A."/>
    <s v="20/05/2026"/>
    <s v="20/05/2026"/>
    <n v="37"/>
    <s v="No"/>
    <s v=""/>
    <m/>
    <m/>
    <s v="*MAV250601288"/>
    <s v="*MAV250601288"/>
    <n v="1.7596146301669677E-3"/>
  </r>
  <r>
    <x v="172"/>
    <s v="Pesos"/>
    <d v="2026-06-23T00:00:00"/>
    <s v="08/06/2026"/>
    <n v="0.98502237000000004"/>
    <m/>
    <n v="80000000"/>
    <n v="78801789.819999993"/>
    <n v="80000000"/>
    <n v="78801789.819999993"/>
    <n v="662"/>
    <s v="AMOMPY"/>
    <s v="Momentum Capital Investment S.A."/>
    <s v="20/05/2026"/>
    <s v="20/05/2026"/>
    <n v="37"/>
    <s v="No"/>
    <s v=""/>
    <m/>
    <m/>
    <s v="*MAV190601291"/>
    <s v="*MAV190601291"/>
    <n v="1.7701568283771301E-3"/>
  </r>
  <r>
    <x v="173"/>
    <s v="Pesos"/>
    <d v="2026-06-23T00:00:00"/>
    <s v="08/06/2026"/>
    <n v="0.98621994999999996"/>
    <m/>
    <n v="625000000"/>
    <n v="616387471.05999994"/>
    <n v="625000000"/>
    <n v="616387471.05999994"/>
    <n v="148747"/>
    <s v="AMOMPY"/>
    <s v="Momentum Capital Investment S.A."/>
    <s v="07/05/2026"/>
    <s v="07/05/2026"/>
    <n v="34"/>
    <s v="No"/>
    <s v=""/>
    <m/>
    <m/>
    <s v="#MAV220660051"/>
    <s v="#MAV220660051"/>
    <n v="1.3846163815762041E-2"/>
  </r>
  <r>
    <x v="173"/>
    <s v="Pesos"/>
    <d v="2026-06-23T00:00:00"/>
    <s v="08/06/2026"/>
    <n v="0.98621994999999996"/>
    <m/>
    <n v="625000000"/>
    <n v="616387471.05999994"/>
    <n v="625000000"/>
    <n v="616387471.05999994"/>
    <n v="148748"/>
    <s v="AMOMPY"/>
    <s v="Momentum Capital Investment S.A."/>
    <s v="07/05/2026"/>
    <s v="07/05/2026"/>
    <n v="34"/>
    <s v="No"/>
    <s v=""/>
    <m/>
    <m/>
    <s v="#MAV220660052"/>
    <s v="#MAV220660052"/>
    <n v="1.3846163815762041E-2"/>
  </r>
  <r>
    <x v="174"/>
    <s v="Pesos"/>
    <d v="2026-07-06T00:00:00"/>
    <s v="08/06/2026"/>
    <n v="0.98044489000000001"/>
    <m/>
    <n v="1000000000"/>
    <n v="980444893.60000002"/>
    <n v="1000000000"/>
    <n v="980444893.60000002"/>
    <n v="10453"/>
    <s v="AMOMPY"/>
    <s v="Momentum Capital Investment S.A."/>
    <s v="30/04/2026"/>
    <s v="30/04/2026"/>
    <n v="26"/>
    <s v="No"/>
    <s v=""/>
    <m/>
    <m/>
    <s v="*MAV020700846"/>
    <s v="*MAV020700846"/>
    <n v="2.2024134568743591E-2"/>
  </r>
  <r>
    <x v="174"/>
    <s v="Pesos"/>
    <d v="2026-07-02T00:00:00"/>
    <s v="08/06/2026"/>
    <n v="0.98319153999999997"/>
    <m/>
    <n v="1000000000"/>
    <n v="983191537"/>
    <n v="1000000000"/>
    <n v="983191537"/>
    <n v="10452"/>
    <s v="AMOMPY"/>
    <s v="Momentum Capital Investment S.A."/>
    <s v="30/04/2026"/>
    <s v="30/04/2026"/>
    <n v="26"/>
    <s v="No"/>
    <s v=""/>
    <m/>
    <m/>
    <s v="*MAV300602111"/>
    <s v="*MAV300602111"/>
    <n v="2.2085833542595999E-2"/>
  </r>
  <r>
    <x v="175"/>
    <s v="Pesos"/>
    <d v="2026-07-01T00:00:00"/>
    <s v="08/06/2026"/>
    <n v="0.97902482000000002"/>
    <m/>
    <n v="10000000"/>
    <n v="9790248.1999999993"/>
    <n v="10000000"/>
    <n v="9790248.1999999993"/>
    <n v="16814"/>
    <s v="AMOMPY"/>
    <s v="Momentum Capital Investment S.A."/>
    <s v="29/04/2026"/>
    <s v="29/04/2026"/>
    <n v="34"/>
    <s v="No"/>
    <s v=""/>
    <m/>
    <m/>
    <s v="*MAV290600831"/>
    <s v="*MAV290600831"/>
    <n v="2.1992234874769888E-4"/>
  </r>
  <r>
    <x v="175"/>
    <s v="Pesos"/>
    <d v="2026-07-31T00:00:00"/>
    <s v="08/06/2026"/>
    <n v="0.95295293999999997"/>
    <m/>
    <n v="5000000"/>
    <n v="4764764.6900000004"/>
    <n v="5000000"/>
    <n v="4764764.6900000004"/>
    <n v="16815"/>
    <s v="AMOMPY"/>
    <s v="Momentum Capital Investment S.A."/>
    <s v="29/04/2026"/>
    <s v="29/04/2026"/>
    <n v="34"/>
    <s v="No"/>
    <s v=""/>
    <m/>
    <m/>
    <s v="*MAV290701134"/>
    <s v="*MAV290701134"/>
    <n v="1.0703285764041217E-4"/>
  </r>
  <r>
    <x v="175"/>
    <s v="Pesos"/>
    <d v="2026-08-24T00:00:00"/>
    <s v="08/06/2026"/>
    <n v="0.93491471999999998"/>
    <m/>
    <n v="10000000"/>
    <n v="9349147.2300000004"/>
    <n v="10000000"/>
    <n v="9349147.2300000004"/>
    <n v="3221"/>
    <s v="AMOMPY"/>
    <s v="Momentum Capital Investment S.A."/>
    <s v="03/06/2026"/>
    <s v="03/06/2026"/>
    <n v="33"/>
    <s v="No"/>
    <s v=""/>
    <m/>
    <m/>
    <s v="*MAV200801291"/>
    <s v="*MAV200801291"/>
    <n v="2.1001371728345387E-4"/>
  </r>
  <r>
    <x v="175"/>
    <s v="Pesos"/>
    <d v="2026-08-31T00:00:00"/>
    <s v="08/06/2026"/>
    <n v="0.92941552999999999"/>
    <m/>
    <n v="10000000"/>
    <n v="9294155.2699999996"/>
    <n v="10000000"/>
    <n v="9294155.2699999996"/>
    <n v="3222"/>
    <s v="AMOMPY"/>
    <s v="Momentum Capital Investment S.A."/>
    <s v="03/06/2026"/>
    <s v="03/06/2026"/>
    <n v="33"/>
    <s v="No"/>
    <s v=""/>
    <m/>
    <m/>
    <s v="*MAV270801044"/>
    <s v="*MAV270801044"/>
    <n v="2.087784103986458E-4"/>
  </r>
  <r>
    <x v="176"/>
    <s v="Pesos"/>
    <d v="2026-06-08T00:00:00"/>
    <s v="08/06/2026"/>
    <n v="1"/>
    <m/>
    <n v="3000000"/>
    <n v="3000000"/>
    <n v="3000000"/>
    <n v="3000000"/>
    <n v="3181"/>
    <s v="AMOMPY"/>
    <s v="Momentum Capital Investment S.A."/>
    <s v="17/03/2026"/>
    <s v="17/03/2026"/>
    <n v="43"/>
    <s v="No"/>
    <s v=""/>
    <m/>
    <m/>
    <s v="*MAV040600716"/>
    <s v="*MAV040600716"/>
    <n v="6.739022676085951E-5"/>
  </r>
  <r>
    <x v="176"/>
    <s v="Pesos"/>
    <d v="2026-06-09T00:00:00"/>
    <s v="08/06/2026"/>
    <n v="0.99887798000000005"/>
    <m/>
    <n v="2164521.13"/>
    <n v="2162092.4900000002"/>
    <n v="2164521.13"/>
    <n v="2162092.4900000002"/>
    <n v="3182"/>
    <s v="AMOMPY"/>
    <s v="Momentum Capital Investment S.A."/>
    <s v="27/03/2026"/>
    <s v="27/03/2026"/>
    <n v="41"/>
    <s v="No"/>
    <s v=""/>
    <m/>
    <m/>
    <s v="*MAV050601166"/>
    <s v="*MAV050601166"/>
    <n v="4.8567967726350461E-5"/>
  </r>
  <r>
    <x v="176"/>
    <s v="Pesos"/>
    <d v="2026-08-14T00:00:00"/>
    <s v="08/06/2026"/>
    <n v="0.92684292000000001"/>
    <m/>
    <n v="3000000"/>
    <n v="2780528.75"/>
    <n v="3000000"/>
    <n v="2780528.75"/>
    <n v="3074"/>
    <s v="AMOMPY"/>
    <s v="Momentum Capital Investment S.A."/>
    <s v="13/02/2026"/>
    <s v="13/02/2026"/>
    <n v="43"/>
    <s v="No"/>
    <s v=""/>
    <m/>
    <m/>
    <s v="*MAV120801367"/>
    <s v="*MAV120801367"/>
    <n v="6.2460154325863078E-5"/>
  </r>
  <r>
    <x v="176"/>
    <s v="Pesos"/>
    <d v="2026-07-15T00:00:00"/>
    <s v="08/06/2026"/>
    <n v="0.95823164000000005"/>
    <m/>
    <n v="3000000"/>
    <n v="2874694.93"/>
    <n v="3000000"/>
    <n v="2874694.93"/>
    <n v="3071"/>
    <s v="AMOMPY"/>
    <s v="Momentum Capital Investment S.A."/>
    <s v="13/02/2026"/>
    <s v="13/02/2026"/>
    <n v="43"/>
    <s v="No"/>
    <s v=""/>
    <m/>
    <m/>
    <s v="*MAV130700768"/>
    <s v="*MAV130700768"/>
    <n v="6.4575447733664391E-5"/>
  </r>
  <r>
    <x v="176"/>
    <s v="Pesos"/>
    <d v="2026-06-16T00:00:00"/>
    <s v="08/06/2026"/>
    <n v="0.99066335000000005"/>
    <m/>
    <n v="3000000"/>
    <n v="2971990.04"/>
    <n v="3000000"/>
    <n v="2971990.04"/>
    <n v="3068"/>
    <s v="AMOMPY"/>
    <s v="Momentum Capital Investment S.A."/>
    <s v="13/02/2026"/>
    <s v="13/02/2026"/>
    <n v="43"/>
    <s v="No"/>
    <s v=""/>
    <m/>
    <m/>
    <s v="*MAV110600884"/>
    <s v="*MAV110600884"/>
    <n v="6.6761027575538647E-5"/>
  </r>
  <r>
    <x v="176"/>
    <s v="Pesos"/>
    <d v="2026-06-17T00:00:00"/>
    <s v="08/06/2026"/>
    <n v="0.98950850000000001"/>
    <m/>
    <n v="3500000"/>
    <n v="3463279.75"/>
    <n v="3500000"/>
    <n v="3463279.75"/>
    <n v="3069"/>
    <s v="AMOMPY"/>
    <s v="Momentum Capital Investment S.A."/>
    <s v="13/02/2026"/>
    <s v="13/02/2026"/>
    <n v="43"/>
    <s v="No"/>
    <s v=""/>
    <m/>
    <m/>
    <s v="*MAV120601309"/>
    <s v="*MAV120601309"/>
    <n v="7.7797069229597614E-5"/>
  </r>
  <r>
    <x v="176"/>
    <s v="Pesos"/>
    <d v="2026-08-18T00:00:00"/>
    <s v="08/06/2026"/>
    <n v="0.92281243000000002"/>
    <m/>
    <n v="3500000"/>
    <n v="3229843.52"/>
    <n v="3500000"/>
    <n v="3229843.52"/>
    <n v="3075"/>
    <s v="AMOMPY"/>
    <s v="Momentum Capital Investment S.A."/>
    <s v="13/02/2026"/>
    <s v="13/02/2026"/>
    <n v="43"/>
    <s v="No"/>
    <s v=""/>
    <m/>
    <m/>
    <s v="*MAV130800916"/>
    <s v="*MAV130800916"/>
    <n v="7.2553295738297561E-5"/>
  </r>
  <r>
    <x v="176"/>
    <s v="Pesos"/>
    <d v="2026-07-16T00:00:00"/>
    <s v="08/06/2026"/>
    <n v="0.95715110999999997"/>
    <m/>
    <n v="3500000"/>
    <n v="3350028.88"/>
    <n v="3500000"/>
    <n v="3350028.88"/>
    <n v="3072"/>
    <s v="AMOMPY"/>
    <s v="Momentum Capital Investment S.A."/>
    <s v="13/02/2026"/>
    <s v="13/02/2026"/>
    <n v="43"/>
    <s v="No"/>
    <s v=""/>
    <m/>
    <m/>
    <s v="*MAV140701247"/>
    <s v="*MAV140701247"/>
    <n v="7.5253068626209403E-5"/>
  </r>
  <r>
    <x v="176"/>
    <s v="Pesos"/>
    <d v="2026-08-19T00:00:00"/>
    <s v="08/06/2026"/>
    <n v="0.92181040000000003"/>
    <m/>
    <n v="3500000"/>
    <n v="3226336.4"/>
    <n v="3500000"/>
    <n v="3226336.4"/>
    <n v="3076"/>
    <s v="AMOMPY"/>
    <s v="Momentum Capital Investment S.A."/>
    <s v="13/02/2026"/>
    <s v="13/02/2026"/>
    <n v="43"/>
    <s v="No"/>
    <s v=""/>
    <m/>
    <m/>
    <s v="*MAV140801103"/>
    <s v="*MAV140801103"/>
    <n v="7.2474513867605041E-5"/>
  </r>
  <r>
    <x v="176"/>
    <s v="Pesos"/>
    <d v="2026-07-17T00:00:00"/>
    <s v="08/06/2026"/>
    <n v="0.95607310999999995"/>
    <m/>
    <n v="3500000"/>
    <n v="3346255.88"/>
    <n v="3500000"/>
    <n v="3346255.88"/>
    <n v="3073"/>
    <s v="AMOMPY"/>
    <s v="Momentum Capital Investment S.A."/>
    <s v="13/02/2026"/>
    <s v="13/02/2026"/>
    <n v="43"/>
    <s v="No"/>
    <s v=""/>
    <m/>
    <m/>
    <s v="*MAV150701443"/>
    <s v="*MAV150701443"/>
    <n v="7.5168314184353158E-5"/>
  </r>
  <r>
    <x v="176"/>
    <s v="Pesos"/>
    <d v="2026-06-18T00:00:00"/>
    <s v="08/06/2026"/>
    <n v="0.98835638000000003"/>
    <m/>
    <n v="3500000"/>
    <n v="3459247.32"/>
    <n v="3500000"/>
    <n v="3459247.32"/>
    <n v="3070"/>
    <s v="AMOMPY"/>
    <s v="Momentum Capital Investment S.A."/>
    <s v="13/02/2026"/>
    <s v="13/02/2026"/>
    <n v="43"/>
    <s v="No"/>
    <s v=""/>
    <m/>
    <m/>
    <s v="*MAV160601113"/>
    <s v="*MAV160601113"/>
    <n v="7.7706487105565171E-5"/>
  </r>
  <r>
    <x v="177"/>
    <s v="Pesos"/>
    <d v="2026-06-19T00:00:00"/>
    <s v="08/06/2026"/>
    <n v="0.99044829000000001"/>
    <m/>
    <n v="100000000"/>
    <n v="99044829.260000005"/>
    <n v="100000000"/>
    <n v="99044829.260000005"/>
    <n v="16751404"/>
    <s v="AMOMPY"/>
    <s v="Momentum Capital Investment S.A."/>
    <s v="14/05/2026"/>
    <s v="14/05/2026"/>
    <n v="32"/>
    <s v="No"/>
    <s v=""/>
    <m/>
    <m/>
    <s v="*MAV170601281"/>
    <s v="*MAV170601281"/>
    <n v="2.2248845011073378E-3"/>
  </r>
  <r>
    <x v="177"/>
    <s v="Pesos"/>
    <d v="2026-06-18T00:00:00"/>
    <s v="08/06/2026"/>
    <n v="0.99130910999999999"/>
    <m/>
    <n v="100000000"/>
    <n v="99130910.799999997"/>
    <n v="100000000"/>
    <n v="99130910.799999997"/>
    <n v="16751403"/>
    <s v="AMOMPY"/>
    <s v="Momentum Capital Investment S.A."/>
    <s v="14/05/2026"/>
    <s v="14/05/2026"/>
    <n v="32"/>
    <s v="No"/>
    <s v=""/>
    <m/>
    <m/>
    <s v="*MAV160601570"/>
    <s v="*MAV160601570"/>
    <n v="2.2268181859408454E-3"/>
  </r>
  <r>
    <x v="177"/>
    <s v="Pesos"/>
    <d v="2026-06-22T00:00:00"/>
    <s v="08/06/2026"/>
    <n v="0.98787488999999995"/>
    <m/>
    <n v="150000000"/>
    <n v="148181232.94999999"/>
    <n v="150000000"/>
    <n v="148181232.94999999"/>
    <n v="16751405"/>
    <s v="AMOMPY"/>
    <s v="Momentum Capital Investment S.A."/>
    <s v="14/05/2026"/>
    <s v="14/05/2026"/>
    <n v="32"/>
    <s v="No"/>
    <s v=""/>
    <m/>
    <m/>
    <s v="*MAV180601215"/>
    <s v="*MAV180601215"/>
    <n v="3.3286556300680822E-3"/>
  </r>
  <r>
    <x v="178"/>
    <s v="Pesos"/>
    <d v="2026-07-21T00:00:00"/>
    <s v="08/06/2026"/>
    <n v="0.95823177999999998"/>
    <m/>
    <n v="5000000"/>
    <n v="4791158.9000000004"/>
    <n v="5000000"/>
    <n v="4791158.9000000004"/>
    <n v="40734601"/>
    <s v="AMOMPY"/>
    <s v="Momentum Capital Investment S.A."/>
    <s v="05/05/2026"/>
    <s v="05/05/2026"/>
    <n v="37"/>
    <s v="No"/>
    <s v=""/>
    <m/>
    <m/>
    <s v="*MAV170701437"/>
    <s v="*MAV170701437"/>
    <n v="1.0762576157277008E-4"/>
  </r>
  <r>
    <x v="178"/>
    <s v="Pesos"/>
    <d v="2026-07-15T00:00:00"/>
    <s v="08/06/2026"/>
    <n v="0.96384915999999998"/>
    <m/>
    <n v="5000000"/>
    <n v="4819245.79"/>
    <n v="5000000"/>
    <n v="4819245.79"/>
    <n v="40734594"/>
    <s v="AMOMPY"/>
    <s v="Momentum Capital Investment S.A."/>
    <s v="05/05/2026"/>
    <s v="05/05/2026"/>
    <n v="37"/>
    <s v="No"/>
    <s v=""/>
    <m/>
    <m/>
    <s v="*MAV130701116"/>
    <s v="*MAV130701116"/>
    <n v="1.0825668886813918E-4"/>
  </r>
  <r>
    <x v="178"/>
    <s v="Pesos"/>
    <d v="2026-07-17T00:00:00"/>
    <s v="08/06/2026"/>
    <n v="0.96196926999999999"/>
    <m/>
    <n v="5000000"/>
    <n v="4809846.33"/>
    <n v="5000000"/>
    <n v="4809846.33"/>
    <n v="40734595"/>
    <s v="AMOMPY"/>
    <s v="Momentum Capital Investment S.A."/>
    <s v="05/05/2026"/>
    <s v="05/05/2026"/>
    <n v="37"/>
    <s v="No"/>
    <s v=""/>
    <m/>
    <m/>
    <s v="*MAV150701651"/>
    <s v="*MAV150701651"/>
    <n v="1.080455449545293E-4"/>
  </r>
  <r>
    <x v="178"/>
    <s v="Pesos"/>
    <d v="2026-07-31T00:00:00"/>
    <s v="08/06/2026"/>
    <n v="0.94901329000000001"/>
    <m/>
    <n v="3000000"/>
    <n v="2847039.86"/>
    <n v="3000000"/>
    <n v="2847039.86"/>
    <n v="40743006"/>
    <s v="AMOMPY"/>
    <s v="Momentum Capital Investment S.A."/>
    <s v="19/05/2026"/>
    <s v="19/05/2026"/>
    <n v="37"/>
    <s v="No"/>
    <s v=""/>
    <m/>
    <m/>
    <s v="*MAV290701214"/>
    <s v="*MAV290701214"/>
    <n v="6.3954220587535235E-5"/>
  </r>
  <r>
    <x v="178"/>
    <s v="Pesos"/>
    <d v="2026-08-03T00:00:00"/>
    <s v="08/06/2026"/>
    <n v="0.94628232999999995"/>
    <m/>
    <n v="3000000"/>
    <n v="2838846.98"/>
    <n v="3000000"/>
    <n v="2838846.98"/>
    <n v="40743007"/>
    <s v="AMOMPY"/>
    <s v="Momentum Capital Investment S.A."/>
    <s v="19/05/2026"/>
    <s v="19/05/2026"/>
    <n v="37"/>
    <s v="No"/>
    <s v=""/>
    <m/>
    <m/>
    <s v="*MAV300701240"/>
    <s v="*MAV300701240"/>
    <n v="6.3770180573860397E-5"/>
  </r>
  <r>
    <x v="178"/>
    <s v="Pesos"/>
    <d v="2026-08-06T00:00:00"/>
    <s v="08/06/2026"/>
    <n v="0.94645409000000003"/>
    <m/>
    <n v="1718406.99"/>
    <n v="1626393.33"/>
    <n v="1718406.99"/>
    <n v="1626393.33"/>
    <n v="40751277"/>
    <s v="AMOMPY"/>
    <s v="Momentum Capital Investment S.A."/>
    <s v="02/06/2026"/>
    <s v="02/06/2026"/>
    <n v="35"/>
    <s v="No"/>
    <s v=""/>
    <m/>
    <m/>
    <s v="*MAV040801154"/>
    <s v="*MAV040801154"/>
    <n v="3.6534338437016475E-5"/>
  </r>
  <r>
    <x v="178"/>
    <s v="Pesos"/>
    <d v="2026-08-07T00:00:00"/>
    <s v="08/06/2026"/>
    <n v="0.94559610999999999"/>
    <m/>
    <n v="4104000"/>
    <n v="3880726.45"/>
    <n v="4104000"/>
    <n v="3880726.45"/>
    <n v="40751278"/>
    <s v="AMOMPY"/>
    <s v="Momentum Capital Investment S.A."/>
    <s v="02/06/2026"/>
    <s v="02/06/2026"/>
    <n v="35"/>
    <s v="No"/>
    <s v=""/>
    <m/>
    <m/>
    <s v="*MAV050801267"/>
    <s v="*MAV050801267"/>
    <n v="8.7174345154121785E-5"/>
  </r>
  <r>
    <x v="178"/>
    <s v="Pesos"/>
    <d v="2026-08-05T00:00:00"/>
    <s v="08/06/2026"/>
    <n v="0.94731390999999998"/>
    <m/>
    <n v="2000000"/>
    <n v="1894627.82"/>
    <n v="2000000"/>
    <n v="1894627.82"/>
    <n v="40751276"/>
    <s v="AMOMPY"/>
    <s v="Momentum Capital Investment S.A."/>
    <s v="02/06/2026"/>
    <s v="02/06/2026"/>
    <n v="35"/>
    <s v="No"/>
    <s v=""/>
    <m/>
    <m/>
    <s v="*MAV030800905"/>
    <s v="*MAV030800905"/>
    <n v="4.2559799472410972E-5"/>
  </r>
  <r>
    <x v="178"/>
    <s v="Pesos"/>
    <d v="2026-08-07T00:00:00"/>
    <s v="08/06/2026"/>
    <n v="0.94559612000000004"/>
    <m/>
    <n v="5500000"/>
    <n v="5200778.63"/>
    <n v="5500000"/>
    <n v="5200778.63"/>
    <n v="40751262"/>
    <s v="AMOMPY"/>
    <s v="Momentum Capital Investment S.A."/>
    <s v="02/06/2026"/>
    <s v="02/06/2026"/>
    <n v="35"/>
    <s v="No"/>
    <s v=""/>
    <m/>
    <m/>
    <s v="*MAV050801268"/>
    <s v="*MAV050801268"/>
    <n v="1.1682721706957741E-4"/>
  </r>
  <r>
    <x v="178"/>
    <s v="Pesos"/>
    <d v="2026-08-04T00:00:00"/>
    <s v="08/06/2026"/>
    <n v="0.94537565000000001"/>
    <m/>
    <n v="3000000"/>
    <n v="2836126.96"/>
    <n v="3000000"/>
    <n v="2836126.96"/>
    <n v="40743008"/>
    <s v="AMOMPY"/>
    <s v="Momentum Capital Investment S.A."/>
    <s v="19/05/2026"/>
    <s v="19/05/2026"/>
    <n v="37"/>
    <s v="No"/>
    <s v=""/>
    <m/>
    <m/>
    <s v="*MAV310701462"/>
    <s v="*MAV310701462"/>
    <n v="6.370907965232904E-5"/>
  </r>
  <r>
    <x v="178"/>
    <s v="Pesos"/>
    <d v="2026-08-04T00:00:00"/>
    <s v="08/06/2026"/>
    <n v="0.94537565000000001"/>
    <m/>
    <n v="6000000"/>
    <n v="5672253.9199999999"/>
    <n v="6000000"/>
    <n v="5672253.9199999999"/>
    <n v="40743010"/>
    <s v="AMOMPY"/>
    <s v="Momentum Capital Investment S.A."/>
    <s v="19/05/2026"/>
    <s v="19/05/2026"/>
    <n v="37"/>
    <s v="No"/>
    <s v=""/>
    <m/>
    <m/>
    <s v="*MAV310701461"/>
    <s v="*MAV310701461"/>
    <n v="1.2741815930465808E-4"/>
  </r>
  <r>
    <x v="178"/>
    <s v="Pesos"/>
    <d v="2026-08-04T00:00:00"/>
    <s v="08/06/2026"/>
    <n v="0.94537565000000001"/>
    <m/>
    <n v="3000000"/>
    <n v="2836126.96"/>
    <n v="3000000"/>
    <n v="2836126.96"/>
    <n v="40743009"/>
    <s v="AMOMPY"/>
    <s v="Momentum Capital Investment S.A."/>
    <s v="19/05/2026"/>
    <s v="19/05/2026"/>
    <n v="37"/>
    <s v="No"/>
    <s v=""/>
    <m/>
    <m/>
    <s v="*MAV310701460"/>
    <s v="*MAV310701460"/>
    <n v="6.370907965232904E-5"/>
  </r>
  <r>
    <x v="178"/>
    <s v="Pesos"/>
    <d v="2026-07-20T00:00:00"/>
    <s v="08/06/2026"/>
    <n v="0.96022315000000003"/>
    <m/>
    <n v="3000000"/>
    <n v="2880669.46"/>
    <n v="3000000"/>
    <n v="2880669.46"/>
    <n v="40743001"/>
    <s v="AMOMPY"/>
    <s v="Momentum Capital Investment S.A."/>
    <s v="20/05/2026"/>
    <s v="20/05/2026"/>
    <n v="36"/>
    <s v="No"/>
    <s v=""/>
    <m/>
    <m/>
    <s v="*MAV160701168"/>
    <s v="*MAV160701168"/>
    <n v="6.4709656044160897E-5"/>
  </r>
  <r>
    <x v="178"/>
    <s v="Pesos"/>
    <d v="2026-07-21T00:00:00"/>
    <s v="08/06/2026"/>
    <n v="0.95931454999999999"/>
    <m/>
    <n v="3750000"/>
    <n v="3597429.58"/>
    <n v="3750000"/>
    <n v="3597429.58"/>
    <n v="40742998"/>
    <s v="AMOMPY"/>
    <s v="Momentum Capital Investment S.A."/>
    <s v="20/05/2026"/>
    <s v="20/05/2026"/>
    <n v="36"/>
    <s v="No"/>
    <s v=""/>
    <m/>
    <m/>
    <s v="*MAV170701635"/>
    <s v="*MAV170701635"/>
    <n v="8.0810531717474528E-5"/>
  </r>
  <r>
    <x v="178"/>
    <s v="Pesos"/>
    <d v="2026-07-22T00:00:00"/>
    <s v="08/06/2026"/>
    <n v="0.95840789999999998"/>
    <m/>
    <n v="5000000"/>
    <n v="4792039.51"/>
    <n v="5000000"/>
    <n v="4792039.51"/>
    <n v="40742990"/>
    <s v="AMOMPY"/>
    <s v="Momentum Capital Investment S.A."/>
    <s v="20/05/2026"/>
    <s v="20/05/2026"/>
    <n v="36"/>
    <s v="No"/>
    <s v=""/>
    <m/>
    <m/>
    <s v="*MAV200701203"/>
    <s v="*MAV200701203"/>
    <n v="1.0764554307529936E-4"/>
  </r>
  <r>
    <x v="178"/>
    <s v="Pesos"/>
    <d v="2026-07-27T00:00:00"/>
    <s v="08/06/2026"/>
    <n v="0.95389930999999994"/>
    <m/>
    <n v="3000000"/>
    <n v="2861697.94"/>
    <n v="3000000"/>
    <n v="2861697.94"/>
    <n v="40743003"/>
    <s v="AMOMPY"/>
    <s v="Momentum Capital Investment S.A."/>
    <s v="20/05/2026"/>
    <s v="20/05/2026"/>
    <n v="36"/>
    <s v="No"/>
    <s v=""/>
    <m/>
    <m/>
    <s v="*MAV230701065"/>
    <s v="*MAV230701065"/>
    <n v="6.4283491032561516E-5"/>
  </r>
  <r>
    <x v="178"/>
    <s v="Pesos"/>
    <d v="2026-07-28T00:00:00"/>
    <s v="08/06/2026"/>
    <n v="0.95300262999999996"/>
    <m/>
    <n v="5000000"/>
    <n v="4765013.17"/>
    <n v="5000000"/>
    <n v="4765013.17"/>
    <n v="40742991"/>
    <s v="AMOMPY"/>
    <s v="Momentum Capital Investment S.A."/>
    <s v="20/05/2026"/>
    <s v="20/05/2026"/>
    <n v="36"/>
    <s v="No"/>
    <s v=""/>
    <m/>
    <m/>
    <s v="*MAV240701245"/>
    <s v="*MAV240701245"/>
    <n v="1.0703843934826067E-4"/>
  </r>
  <r>
    <x v="178"/>
    <s v="Pesos"/>
    <d v="2026-07-16T00:00:00"/>
    <s v="08/06/2026"/>
    <n v="0.96387460000000003"/>
    <m/>
    <n v="3750000"/>
    <n v="3614529.74"/>
    <n v="3750000"/>
    <n v="3614529.74"/>
    <n v="40742997"/>
    <s v="AMOMPY"/>
    <s v="Momentum Capital Investment S.A."/>
    <s v="20/05/2026"/>
    <s v="20/05/2026"/>
    <n v="36"/>
    <s v="No"/>
    <s v=""/>
    <m/>
    <m/>
    <s v="*MAV140701525"/>
    <s v="*MAV140701525"/>
    <n v="8.1194659604156866E-5"/>
  </r>
  <r>
    <x v="178"/>
    <s v="Pesos"/>
    <d v="2026-07-07T00:00:00"/>
    <s v="08/06/2026"/>
    <n v="0.97219274"/>
    <m/>
    <n v="3000000"/>
    <n v="2916578.23"/>
    <n v="3000000"/>
    <n v="2916578.23"/>
    <n v="40743052"/>
    <s v="AMOMPY"/>
    <s v="Momentum Capital Investment S.A."/>
    <s v="26/05/2026"/>
    <s v="26/05/2026"/>
    <n v="36"/>
    <s v="No"/>
    <s v=""/>
    <m/>
    <m/>
    <s v="*MAV030701186"/>
    <s v="*MAV030701186"/>
    <n v="6.5516289428495426E-5"/>
  </r>
  <r>
    <x v="178"/>
    <s v="Pesos"/>
    <d v="2026-07-14T00:00:00"/>
    <s v="08/06/2026"/>
    <n v="0.96571079999999998"/>
    <m/>
    <n v="4000000"/>
    <n v="3862843.19"/>
    <n v="4000000"/>
    <n v="3862843.19"/>
    <n v="40743053"/>
    <s v="AMOMPY"/>
    <s v="Momentum Capital Investment S.A."/>
    <s v="26/05/2026"/>
    <s v="26/05/2026"/>
    <n v="36"/>
    <s v="No"/>
    <s v=""/>
    <m/>
    <m/>
    <s v="*MAV080701399"/>
    <s v="*MAV080701399"/>
    <n v="8.6772626171913977E-5"/>
  </r>
  <r>
    <x v="178"/>
    <s v="Pesos"/>
    <d v="2026-07-06T00:00:00"/>
    <s v="08/06/2026"/>
    <n v="0.97312591000000004"/>
    <m/>
    <n v="3000000"/>
    <n v="2919377.74"/>
    <n v="3000000"/>
    <n v="2919377.74"/>
    <n v="40743051"/>
    <s v="AMOMPY"/>
    <s v="Momentum Capital Investment S.A."/>
    <s v="26/05/2026"/>
    <s v="26/05/2026"/>
    <n v="36"/>
    <s v="No"/>
    <s v=""/>
    <m/>
    <m/>
    <s v="*MAV020700980"/>
    <s v="*MAV020700980"/>
    <n v="6.5579175966401854E-5"/>
  </r>
  <r>
    <x v="179"/>
    <s v="Pesos"/>
    <d v="2026-07-17T00:00:00"/>
    <s v="08/06/2026"/>
    <n v="0.95803046999999997"/>
    <m/>
    <n v="45000000"/>
    <n v="43111371.240000002"/>
    <n v="45000000"/>
    <n v="43111371.240000002"/>
    <n v="64885072"/>
    <s v="AMOMPY"/>
    <s v="Momentum Capital Investment S.A."/>
    <s v="13/02/2026"/>
    <s v="13/02/2026"/>
    <n v="41"/>
    <s v="No"/>
    <s v=""/>
    <m/>
    <m/>
    <s v="*MAV150701442"/>
    <s v="*MAV150701442"/>
    <n v="9.6842836127839903E-4"/>
  </r>
  <r>
    <x v="179"/>
    <s v="Pesos"/>
    <d v="2026-06-17T00:00:00"/>
    <s v="08/06/2026"/>
    <n v="0.98999159000000003"/>
    <m/>
    <n v="45000000"/>
    <n v="44549621.670000002"/>
    <n v="45000000"/>
    <n v="44549621.670000002"/>
    <n v="64885008"/>
    <s v="AMOMPY"/>
    <s v="Momentum Capital Investment S.A."/>
    <s v="13/02/2026"/>
    <s v="13/02/2026"/>
    <n v="41"/>
    <s v="No"/>
    <s v=""/>
    <m/>
    <m/>
    <s v="*MAV120601308"/>
    <s v="*MAV120601308"/>
    <n v="1.000736368817267E-3"/>
  </r>
  <r>
    <x v="179"/>
    <s v="Pesos"/>
    <d v="2026-06-22T00:00:00"/>
    <s v="08/06/2026"/>
    <n v="0.98451747999999994"/>
    <m/>
    <n v="45000000"/>
    <n v="44303286.590000004"/>
    <n v="45000000"/>
    <n v="44303286.590000004"/>
    <n v="64885035"/>
    <s v="AMOMPY"/>
    <s v="Momentum Capital Investment S.A."/>
    <s v="13/02/2026"/>
    <s v="13/02/2026"/>
    <n v="41"/>
    <s v="No"/>
    <s v=""/>
    <m/>
    <m/>
    <s v="*MAV180600915"/>
    <s v="*MAV180600915"/>
    <n v="9.9520284318381546E-4"/>
  </r>
  <r>
    <x v="179"/>
    <s v="Pesos"/>
    <d v="2026-07-31T00:00:00"/>
    <s v="08/06/2026"/>
    <n v="0.94381104000000005"/>
    <m/>
    <n v="40000000"/>
    <n v="37752441.600000001"/>
    <n v="40000000"/>
    <n v="37752441.600000001"/>
    <n v="64885127"/>
    <s v="AMOMPY"/>
    <s v="Momentum Capital Investment S.A."/>
    <s v="13/02/2026"/>
    <s v="13/02/2026"/>
    <n v="41"/>
    <s v="No"/>
    <s v=""/>
    <m/>
    <m/>
    <s v="*MAV290701035"/>
    <s v="*MAV290701035"/>
    <n v="8.480485334000353E-4"/>
  </r>
  <r>
    <x v="179"/>
    <s v="Pesos"/>
    <d v="2026-08-07T00:00:00"/>
    <s v="08/06/2026"/>
    <n v="0.93685845000000001"/>
    <m/>
    <n v="50000000"/>
    <n v="46842922.590000004"/>
    <n v="50000000"/>
    <n v="46842922.590000004"/>
    <n v="1127975"/>
    <s v="AMOMPY"/>
    <s v="Momentum Capital Investment S.A."/>
    <s v="03/03/2026"/>
    <s v="03/03/2026"/>
    <n v="41"/>
    <s v="No"/>
    <s v=""/>
    <m/>
    <m/>
    <s v="*MAV050801071"/>
    <s v="*MAV050801071"/>
    <n v="1.0522517251604962E-3"/>
  </r>
  <r>
    <x v="179"/>
    <s v="Pesos"/>
    <d v="2026-08-03T00:00:00"/>
    <s v="08/06/2026"/>
    <n v="0.94765818000000002"/>
    <m/>
    <n v="25000000"/>
    <n v="23691454.420000002"/>
    <n v="25000000"/>
    <n v="23691454.420000002"/>
    <n v="1165497"/>
    <s v="AMOMPY"/>
    <s v="Momentum Capital Investment S.A."/>
    <s v="06/04/2026"/>
    <s v="06/04/2026"/>
    <n v="36"/>
    <s v="No"/>
    <s v=""/>
    <m/>
    <m/>
    <s v="*MAV300701114"/>
    <s v="*MAV300701114"/>
    <n v="5.3219082855278919E-4"/>
  </r>
  <r>
    <x v="179"/>
    <s v="Pesos"/>
    <d v="2026-08-14T00:00:00"/>
    <s v="08/06/2026"/>
    <n v="0.93801407999999997"/>
    <m/>
    <n v="25000000"/>
    <n v="23450352.010000002"/>
    <n v="25000000"/>
    <n v="23450352.010000002"/>
    <n v="1176620"/>
    <s v="AMOMPY"/>
    <s v="Momentum Capital Investment S.A."/>
    <s v="14/04/2026"/>
    <s v="14/04/2026"/>
    <n v="36"/>
    <s v="No"/>
    <s v=""/>
    <m/>
    <m/>
    <s v="*MAV120801432"/>
    <s v="*MAV120801432"/>
    <n v="5.2677484652529261E-4"/>
  </r>
  <r>
    <x v="179"/>
    <s v="Pesos"/>
    <d v="2026-07-02T00:00:00"/>
    <s v="08/06/2026"/>
    <n v="0.97687615999999999"/>
    <m/>
    <n v="25000000"/>
    <n v="24421904.079999998"/>
    <n v="25000000"/>
    <n v="24421904.079999998"/>
    <n v="1173719"/>
    <s v="AMOMPY"/>
    <s v="Momentum Capital Investment S.A."/>
    <s v="10/04/2026"/>
    <s v="10/04/2026"/>
    <n v="36"/>
    <s v="No"/>
    <s v=""/>
    <m/>
    <m/>
    <s v="*MAV300601956"/>
    <s v="*MAV300601956"/>
    <n v="5.4859921796105327E-4"/>
  </r>
  <r>
    <x v="179"/>
    <s v="Pesos"/>
    <d v="2026-09-17T00:00:00"/>
    <s v="08/06/2026"/>
    <n v="0.91865514999999998"/>
    <m/>
    <n v="25000000"/>
    <n v="22966378.800000001"/>
    <n v="25000000"/>
    <n v="22966378.800000001"/>
    <n v="1215681"/>
    <s v="AMOMPY"/>
    <s v="Momentum Capital Investment S.A."/>
    <s v="15/05/2026"/>
    <s v="15/05/2026"/>
    <n v="32"/>
    <s v="No"/>
    <s v=""/>
    <m/>
    <m/>
    <s v="*MAV150901502"/>
    <s v="*MAV150901502"/>
    <n v="5.1590315840259883E-4"/>
  </r>
  <r>
    <x v="179"/>
    <s v="Pesos"/>
    <d v="2026-09-09T00:00:00"/>
    <s v="08/06/2026"/>
    <n v="0.92461243000000004"/>
    <m/>
    <n v="25000000"/>
    <n v="23115310.73"/>
    <n v="25000000"/>
    <n v="23115310.73"/>
    <n v="475878"/>
    <s v="AMOMPY"/>
    <s v="Momentum Capital Investment S.A."/>
    <s v="08/05/2026"/>
    <s v="08/05/2026"/>
    <n v="32"/>
    <s v="No"/>
    <s v=""/>
    <m/>
    <m/>
    <s v="*MAV050901234"/>
    <s v="*MAV050901234"/>
    <n v="5.1924867724747635E-4"/>
  </r>
  <r>
    <x v="179"/>
    <s v="Pesos"/>
    <d v="2026-09-08T00:00:00"/>
    <s v="08/06/2026"/>
    <n v="0.92320928999999996"/>
    <m/>
    <n v="25000000"/>
    <n v="23080232.129999999"/>
    <n v="25000000"/>
    <n v="23080232.129999999"/>
    <n v="475880"/>
    <s v="AMOMPY"/>
    <s v="Momentum Capital Investment S.A."/>
    <s v="26/05/2026"/>
    <s v="26/05/2026"/>
    <n v="33"/>
    <s v="No"/>
    <s v=""/>
    <m/>
    <m/>
    <s v="*MAV040900920"/>
    <s v="*MAV040900920"/>
    <n v="5.1846069231132512E-4"/>
  </r>
  <r>
    <x v="179"/>
    <s v="Pesos"/>
    <d v="2026-10-07T00:00:00"/>
    <s v="08/06/2026"/>
    <n v="0.90139060000000004"/>
    <m/>
    <n v="25000000"/>
    <n v="22534765.02"/>
    <n v="25000000"/>
    <n v="22534765.02"/>
    <n v="1233892"/>
    <s v="AMOMPY"/>
    <s v="Momentum Capital Investment S.A."/>
    <s v="01/06/2026"/>
    <s v="01/06/2026"/>
    <n v="33"/>
    <s v="No"/>
    <s v=""/>
    <m/>
    <m/>
    <s v="*MAV031001149"/>
    <s v="*MAV031001149"/>
    <n v="5.0620764156682826E-4"/>
  </r>
  <r>
    <x v="179"/>
    <s v="Pesos"/>
    <d v="2026-10-15T00:00:00"/>
    <s v="08/06/2026"/>
    <n v="0.89555185999999998"/>
    <m/>
    <n v="25000000"/>
    <n v="22388796.43"/>
    <n v="25000000"/>
    <n v="22388796.43"/>
    <n v="475881"/>
    <s v="AMOMPY"/>
    <s v="Momentum Capital Investment S.A."/>
    <s v="08/06/2026"/>
    <s v="08/06/2026"/>
    <n v="33"/>
    <s v="No"/>
    <s v=""/>
    <m/>
    <m/>
    <s v="*MAV101001396"/>
    <s v="*MAV101001396"/>
    <n v="5.0292868944014065E-4"/>
  </r>
  <r>
    <x v="180"/>
    <s v="Pesos"/>
    <d v="2026-06-19T00:00:00"/>
    <s v="08/06/2026"/>
    <n v="0.99222535000000001"/>
    <m/>
    <n v="105680999.8"/>
    <n v="104859366.51000001"/>
    <n v="105680999.8"/>
    <n v="104859366.51000001"/>
    <n v="76335659"/>
    <s v="AMOMPY"/>
    <s v="Momentum Capital Investment S.A."/>
    <s v="05/05/2026"/>
    <s v="05/05/2026"/>
    <n v="26"/>
    <s v="No"/>
    <s v=""/>
    <m/>
    <m/>
    <s v="*MAV170601219"/>
    <s v="*MAV170601219"/>
    <n v="2.3554988290363258E-3"/>
  </r>
  <r>
    <x v="181"/>
    <s v="Pesos"/>
    <d v="2026-06-11T00:00:00"/>
    <s v="08/06/2026"/>
    <n v="0.99754036000000001"/>
    <m/>
    <n v="6343009.7599999998"/>
    <n v="6327408.2699999996"/>
    <n v="6343009.7599999998"/>
    <n v="6327408.2699999996"/>
    <n v="896767"/>
    <s v="AMOMPY"/>
    <s v="Momentum Capital Investment S.A."/>
    <s v="02/06/2026"/>
    <s v="02/06/2026"/>
    <n v="30"/>
    <s v="No"/>
    <s v=""/>
    <m/>
    <m/>
    <s v="*MAV090601542"/>
    <s v="*MAV090601542"/>
    <n v="1.4213515937461259E-4"/>
  </r>
  <r>
    <x v="181"/>
    <s v="Pesos"/>
    <d v="2026-06-22T00:00:00"/>
    <s v="08/06/2026"/>
    <n v="0.98862415999999997"/>
    <m/>
    <n v="10000000"/>
    <n v="9886241.5800000001"/>
    <n v="10000000"/>
    <n v="9886241.5800000001"/>
    <n v="898798"/>
    <s v="AMOMPY"/>
    <s v="Momentum Capital Investment S.A."/>
    <s v="02/06/2026"/>
    <s v="02/06/2026"/>
    <n v="30"/>
    <s v="No"/>
    <s v=""/>
    <m/>
    <m/>
    <s v="*MAV180601378"/>
    <s v="*MAV180601378"/>
    <n v="2.2207868729627933E-4"/>
  </r>
  <r>
    <x v="182"/>
    <s v="Pesos"/>
    <d v="2026-06-08T00:00:00"/>
    <s v="08/06/2026"/>
    <n v="1"/>
    <m/>
    <n v="10608716.66"/>
    <n v="10608716.66"/>
    <n v="10608716.66"/>
    <n v="10608716.66"/>
    <n v="2708"/>
    <s v="AMOMPY"/>
    <s v="Momentum Capital Investment S.A."/>
    <s v="31/03/2026"/>
    <s v="31/03/2026"/>
    <n v="27"/>
    <s v="No"/>
    <s v=""/>
    <m/>
    <m/>
    <s v="%INC050600021"/>
    <s v="%INC050600021"/>
    <n v="2.3830794045303605E-4"/>
  </r>
  <r>
    <x v="182"/>
    <s v="Pesos"/>
    <d v="2026-06-08T00:00:00"/>
    <s v="08/06/2026"/>
    <n v="1"/>
    <m/>
    <n v="5795550.9000000004"/>
    <n v="5795550.9000000004"/>
    <n v="5795550.9000000004"/>
    <n v="5795550.9000000004"/>
    <n v="2709"/>
    <s v="AMOMPY"/>
    <s v="Momentum Capital Investment S.A."/>
    <s v="31/03/2026"/>
    <s v="31/03/2026"/>
    <n v="27"/>
    <s v="No"/>
    <s v=""/>
    <m/>
    <m/>
    <s v="%INC050600022"/>
    <s v="%INC050600022"/>
    <n v="1.3018782978503447E-4"/>
  </r>
  <r>
    <x v="182"/>
    <s v="Pesos"/>
    <d v="2026-06-22T00:00:00"/>
    <s v="08/06/2026"/>
    <n v="0.98975000000000002"/>
    <m/>
    <n v="38020423.149999999"/>
    <n v="37630713.740000002"/>
    <n v="38020423.149999999"/>
    <n v="37630713.740000002"/>
    <n v="2721"/>
    <s v="AMOMPY"/>
    <s v="Momentum Capital Investment S.A."/>
    <s v="31/03/2026"/>
    <s v="31/03/2026"/>
    <n v="27"/>
    <s v="No"/>
    <s v=""/>
    <m/>
    <m/>
    <s v="%INC190600019"/>
    <s v="%INC190600019"/>
    <n v="8.4531411070386394E-4"/>
  </r>
  <r>
    <x v="182"/>
    <s v="Pesos"/>
    <d v="2026-06-11T00:00:00"/>
    <s v="08/06/2026"/>
    <n v="0.99778573999999998"/>
    <m/>
    <n v="20146795.890000001"/>
    <n v="20102185.68"/>
    <n v="20146795.890000001"/>
    <n v="20102185.68"/>
    <n v="1509"/>
    <s v="AMOMPY"/>
    <s v="Momentum Capital Investment S.A."/>
    <s v="01/04/2026"/>
    <s v="01/04/2026"/>
    <n v="27"/>
    <s v="No"/>
    <s v=""/>
    <m/>
    <m/>
    <s v="%INC100600020"/>
    <s v="%INC100600020"/>
    <n v="4.5156361712136761E-4"/>
  </r>
  <r>
    <x v="182"/>
    <s v="Pesos"/>
    <d v="2026-06-11T00:00:00"/>
    <s v="08/06/2026"/>
    <n v="0.99778573999999998"/>
    <m/>
    <n v="7921214.3099999996"/>
    <n v="7903674.7000000002"/>
    <n v="7921214.3099999996"/>
    <n v="7903674.7000000002"/>
    <n v="1510"/>
    <s v="AMOMPY"/>
    <s v="Momentum Capital Investment S.A."/>
    <s v="01/04/2026"/>
    <s v="01/04/2026"/>
    <n v="27"/>
    <s v="No"/>
    <s v=""/>
    <m/>
    <m/>
    <s v="%INC100600021"/>
    <s v="%INC100600021"/>
    <n v="1.7754347675902275E-4"/>
  </r>
  <r>
    <x v="182"/>
    <s v="Pesos"/>
    <d v="2026-06-11T00:00:00"/>
    <s v="08/06/2026"/>
    <n v="0.99778573999999998"/>
    <m/>
    <n v="8670779.9700000007"/>
    <n v="8651580.6199999992"/>
    <n v="8670779.9700000007"/>
    <n v="8651580.6199999992"/>
    <n v="1511"/>
    <s v="AMOMPY"/>
    <s v="Momentum Capital Investment S.A."/>
    <s v="01/04/2026"/>
    <s v="01/04/2026"/>
    <n v="27"/>
    <s v="No"/>
    <s v=""/>
    <m/>
    <m/>
    <s v="%INC100600022"/>
    <s v="%INC100600022"/>
    <n v="1.9434399327388581E-4"/>
  </r>
  <r>
    <x v="182"/>
    <s v="Pesos"/>
    <d v="2026-06-11T00:00:00"/>
    <s v="08/06/2026"/>
    <n v="0.99778573999999998"/>
    <m/>
    <n v="4374979.37"/>
    <n v="4365292.04"/>
    <n v="4374979.37"/>
    <n v="4365292.04"/>
    <n v="1512"/>
    <s v="AMOMPY"/>
    <s v="Momentum Capital Investment S.A."/>
    <s v="01/04/2026"/>
    <s v="01/04/2026"/>
    <n v="27"/>
    <s v="No"/>
    <s v=""/>
    <m/>
    <m/>
    <s v="%INC100600023"/>
    <s v="%INC100600023"/>
    <n v="9.8059340150991674E-5"/>
  </r>
  <r>
    <x v="182"/>
    <s v="Pesos"/>
    <d v="2026-06-17T00:00:00"/>
    <s v="08/06/2026"/>
    <n v="0.99338652000000005"/>
    <m/>
    <n v="8150793.21"/>
    <n v="8096888.1299999999"/>
    <n v="8150793.21"/>
    <n v="8096888.1299999999"/>
    <n v="1514"/>
    <s v="AMOMPY"/>
    <s v="Momentum Capital Investment S.A."/>
    <s v="01/04/2026"/>
    <s v="01/04/2026"/>
    <n v="27"/>
    <s v="No"/>
    <s v=""/>
    <m/>
    <m/>
    <s v="%INC130600024"/>
    <s v="%INC130600024"/>
    <n v="1.8188370904600391E-4"/>
  </r>
  <r>
    <x v="182"/>
    <s v="Pesos"/>
    <d v="2026-06-17T00:00:00"/>
    <s v="08/06/2026"/>
    <n v="0.99338652000000005"/>
    <m/>
    <n v="9628546.5999999996"/>
    <n v="9564868.4399999995"/>
    <n v="9628546.5999999996"/>
    <n v="9564868.4399999995"/>
    <n v="1515"/>
    <s v="AMOMPY"/>
    <s v="Momentum Capital Investment S.A."/>
    <s v="01/04/2026"/>
    <s v="01/04/2026"/>
    <n v="27"/>
    <s v="No"/>
    <s v=""/>
    <m/>
    <m/>
    <s v="%INC130600025"/>
    <s v="%INC130600025"/>
    <n v="2.1485955103646285E-4"/>
  </r>
  <r>
    <x v="182"/>
    <s v="Pesos"/>
    <d v="2026-06-17T00:00:00"/>
    <s v="08/06/2026"/>
    <n v="0.99338652000000005"/>
    <m/>
    <n v="12499446.35"/>
    <n v="12416781.560000001"/>
    <n v="12499446.35"/>
    <n v="12416781.560000001"/>
    <n v="1516"/>
    <s v="AMOMPY"/>
    <s v="Momentum Capital Investment S.A."/>
    <s v="01/04/2026"/>
    <s v="01/04/2026"/>
    <n v="27"/>
    <s v="No"/>
    <s v=""/>
    <m/>
    <m/>
    <s v="%INC130600026"/>
    <s v="%INC130600026"/>
    <n v="2.7892324165615297E-4"/>
  </r>
  <r>
    <x v="182"/>
    <s v="Pesos"/>
    <d v="2026-06-17T00:00:00"/>
    <s v="08/06/2026"/>
    <n v="0.99338652000000005"/>
    <m/>
    <n v="11821171.93"/>
    <n v="11742992.880000001"/>
    <n v="11821171.93"/>
    <n v="11742992.880000001"/>
    <n v="1517"/>
    <s v="AMOMPY"/>
    <s v="Momentum Capital Investment S.A."/>
    <s v="01/04/2026"/>
    <s v="01/04/2026"/>
    <n v="27"/>
    <s v="No"/>
    <s v=""/>
    <m/>
    <m/>
    <s v="%INC140600036"/>
    <s v="%INC140600036"/>
    <n v="2.6378765101145289E-4"/>
  </r>
  <r>
    <x v="182"/>
    <s v="Pesos"/>
    <d v="2026-06-18T00:00:00"/>
    <s v="08/06/2026"/>
    <n v="0.99265707999999997"/>
    <m/>
    <n v="10622333.02"/>
    <n v="10544334.060000001"/>
    <n v="10622333.02"/>
    <n v="10544334.060000001"/>
    <n v="1518"/>
    <s v="AMOMPY"/>
    <s v="Momentum Capital Investment S.A."/>
    <s v="01/04/2026"/>
    <s v="01/04/2026"/>
    <n v="27"/>
    <s v="No"/>
    <s v=""/>
    <m/>
    <m/>
    <s v="%INC170600022"/>
    <s v="%INC170600022"/>
    <n v="2.3686168778188482E-4"/>
  </r>
  <r>
    <x v="182"/>
    <s v="Pesos"/>
    <d v="2026-06-30T00:00:00"/>
    <s v="08/06/2026"/>
    <n v="0.98398669999999999"/>
    <m/>
    <n v="10530592.43"/>
    <n v="10361962.85"/>
    <n v="10530592.43"/>
    <n v="10361962.85"/>
    <n v="5805"/>
    <s v="AMOMPY"/>
    <s v="Momentum Capital Investment S.A."/>
    <s v="14/04/2026"/>
    <s v="14/04/2026"/>
    <n v="27"/>
    <s v="No"/>
    <s v=""/>
    <m/>
    <m/>
    <s v="%INC280600029"/>
    <s v="%INC280600029"/>
    <n v="2.3276500871636735E-4"/>
  </r>
  <r>
    <x v="182"/>
    <s v="Pesos"/>
    <d v="2026-06-30T00:00:00"/>
    <s v="08/06/2026"/>
    <n v="0.98398669999999999"/>
    <m/>
    <n v="6111109.9900000002"/>
    <n v="6013250.9400000004"/>
    <n v="6111109.9900000002"/>
    <n v="6013250.9400000004"/>
    <n v="5806"/>
    <s v="AMOMPY"/>
    <s v="Momentum Capital Investment S.A."/>
    <s v="14/04/2026"/>
    <s v="14/04/2026"/>
    <n v="27"/>
    <s v="No"/>
    <s v=""/>
    <m/>
    <m/>
    <s v="%INC280600031"/>
    <s v="%INC280600031"/>
    <n v="1.3507811480551721E-4"/>
  </r>
  <r>
    <x v="182"/>
    <s v="Pesos"/>
    <d v="2026-06-30T00:00:00"/>
    <s v="08/06/2026"/>
    <n v="0.98398669999999999"/>
    <m/>
    <n v="10039730.84"/>
    <n v="9878961.5700000003"/>
    <n v="10039730.84"/>
    <n v="9878961.5700000003"/>
    <n v="5807"/>
    <s v="AMOMPY"/>
    <s v="Momentum Capital Investment S.A."/>
    <s v="14/04/2026"/>
    <s v="14/04/2026"/>
    <n v="27"/>
    <s v="No"/>
    <s v=""/>
    <m/>
    <m/>
    <s v="%INC280600030"/>
    <s v="%INC280600030"/>
    <n v="2.2191515345470556E-4"/>
  </r>
  <r>
    <x v="182"/>
    <s v="Pesos"/>
    <d v="2026-06-09T00:00:00"/>
    <s v="08/06/2026"/>
    <n v="0.99926082000000005"/>
    <m/>
    <n v="4419130.95"/>
    <n v="4415864.43"/>
    <n v="4419130.95"/>
    <n v="4415864.43"/>
    <n v="5808"/>
    <s v="AMOMPY"/>
    <s v="Momentum Capital Investment S.A."/>
    <s v="14/04/2026"/>
    <s v="14/04/2026"/>
    <n v="27"/>
    <s v="No"/>
    <s v=""/>
    <m/>
    <m/>
    <s v="%INC070600043"/>
    <s v="%INC070600043"/>
    <n v="9.9195368427637873E-5"/>
  </r>
  <r>
    <x v="182"/>
    <s v="Pesos"/>
    <d v="2026-06-09T00:00:00"/>
    <s v="08/06/2026"/>
    <n v="0.99926082000000005"/>
    <m/>
    <n v="10938133.199999999"/>
    <n v="10930047.99"/>
    <n v="10938133.199999999"/>
    <n v="10930047.99"/>
    <n v="5809"/>
    <s v="AMOMPY"/>
    <s v="Momentum Capital Investment S.A."/>
    <s v="14/04/2026"/>
    <s v="14/04/2026"/>
    <n v="27"/>
    <s v="No"/>
    <s v=""/>
    <m/>
    <m/>
    <s v="%INC070600044"/>
    <s v="%INC070600044"/>
    <n v="2.4552613751772559E-4"/>
  </r>
  <r>
    <x v="182"/>
    <s v="Pesos"/>
    <d v="2026-06-23T00:00:00"/>
    <s v="08/06/2026"/>
    <n v="0.98902592"/>
    <m/>
    <n v="8695148.9399999995"/>
    <n v="8599727.7100000009"/>
    <n v="8695148.9399999995"/>
    <n v="8599727.7100000009"/>
    <n v="5812"/>
    <s v="AMOMPY"/>
    <s v="Momentum Capital Investment S.A."/>
    <s v="14/04/2026"/>
    <s v="14/04/2026"/>
    <n v="27"/>
    <s v="No"/>
    <s v=""/>
    <m/>
    <m/>
    <s v="%INC220600023"/>
    <s v="%INC220600023"/>
    <n v="1.9317920015284905E-4"/>
  </r>
  <r>
    <x v="182"/>
    <s v="Pesos"/>
    <d v="2026-06-23T00:00:00"/>
    <s v="08/06/2026"/>
    <n v="0.98902592"/>
    <m/>
    <n v="9052127.2200000007"/>
    <n v="8952788.4700000007"/>
    <n v="9052127.2200000007"/>
    <n v="8952788.4700000007"/>
    <n v="5813"/>
    <s v="AMOMPY"/>
    <s v="Momentum Capital Investment S.A."/>
    <s v="14/04/2026"/>
    <s v="14/04/2026"/>
    <n v="27"/>
    <s v="No"/>
    <s v=""/>
    <m/>
    <m/>
    <s v="%INC220600024"/>
    <s v="%INC220600024"/>
    <n v="2.0111014837843617E-4"/>
  </r>
  <r>
    <x v="182"/>
    <s v="Pesos"/>
    <d v="2026-06-24T00:00:00"/>
    <s v="08/06/2026"/>
    <n v="0.98830286000000001"/>
    <m/>
    <n v="14148617.74"/>
    <n v="13983119.359999999"/>
    <n v="14148617.74"/>
    <n v="13983119.359999999"/>
    <n v="5814"/>
    <s v="AMOMPY"/>
    <s v="Momentum Capital Investment S.A."/>
    <s v="14/04/2026"/>
    <s v="14/04/2026"/>
    <n v="27"/>
    <s v="No"/>
    <s v=""/>
    <m/>
    <m/>
    <s v="%INC230600018"/>
    <s v="%INC230600018"/>
    <n v="3.1410852816485491E-4"/>
  </r>
  <r>
    <x v="182"/>
    <s v="Pesos"/>
    <d v="2026-08-04T00:00:00"/>
    <s v="08/06/2026"/>
    <n v="0.95954165000000002"/>
    <m/>
    <n v="27789080.199999999"/>
    <n v="26664779.739999998"/>
    <n v="27789080.199999999"/>
    <n v="26664779.739999998"/>
    <n v="540"/>
    <s v="AMOMPY"/>
    <s v="Momentum Capital Investment S.A."/>
    <s v="04/05/2026"/>
    <s v="04/05/2026"/>
    <n v="27"/>
    <s v="No"/>
    <s v=""/>
    <m/>
    <m/>
    <s v="%INC010800022"/>
    <s v="%INC010800022"/>
    <n v="5.9898185106899084E-4"/>
  </r>
  <r>
    <x v="160"/>
    <s v="Pesos"/>
    <d v="2026-06-29T00:00:00"/>
    <s v="08/06/2026"/>
    <n v="0.97695460000000001"/>
    <m/>
    <n v="15909586.57"/>
    <n v="15542943.779999999"/>
    <n v="15909586.57"/>
    <n v="15542943.779999999"/>
    <n v="30494"/>
    <s v="AMOMPY"/>
    <s v="Momentum Capital Investment S.A."/>
    <s v="27/03/2026"/>
    <s v="27/03/2026"/>
    <n v="41"/>
    <s v="No"/>
    <s v=""/>
    <m/>
    <m/>
    <s v="*MAV250601029"/>
    <s v="*MAV250601029"/>
    <n v="3.4914750195516359E-4"/>
  </r>
  <r>
    <x v="160"/>
    <s v="Pesos"/>
    <d v="2026-06-30T00:00:00"/>
    <s v="08/06/2026"/>
    <n v="0.97588372999999995"/>
    <m/>
    <n v="15909586.57"/>
    <n v="15525906.689999999"/>
    <n v="15909586.57"/>
    <n v="15525906.689999999"/>
    <n v="30495"/>
    <s v="AMOMPY"/>
    <s v="Momentum Capital Investment S.A."/>
    <s v="27/03/2026"/>
    <s v="27/03/2026"/>
    <n v="41"/>
    <s v="No"/>
    <s v=""/>
    <m/>
    <m/>
    <s v="*MAV260601072"/>
    <s v="*MAV260601072"/>
    <n v="3.4876479083568188E-4"/>
  </r>
  <r>
    <x v="160"/>
    <s v="Pesos"/>
    <d v="2026-07-01T00:00:00"/>
    <s v="08/06/2026"/>
    <n v="0.97481512000000003"/>
    <m/>
    <n v="15389210.15"/>
    <n v="15001634.710000001"/>
    <n v="15389210.15"/>
    <n v="15001634.710000001"/>
    <n v="9344719"/>
    <s v="AMOMPY"/>
    <s v="Momentum Capital Investment S.A."/>
    <s v="27/03/2026"/>
    <s v="27/03/2026"/>
    <n v="41"/>
    <s v="No"/>
    <s v=""/>
    <m/>
    <m/>
    <s v="*MAV290600703"/>
    <s v="*MAV290600703"/>
    <n v="3.3698785496349363E-4"/>
  </r>
  <r>
    <x v="160"/>
    <s v="Pesos"/>
    <d v="2026-07-01T00:00:00"/>
    <s v="08/06/2026"/>
    <n v="0.97481512000000003"/>
    <m/>
    <n v="14664256.84"/>
    <n v="14294939.25"/>
    <n v="14664256.84"/>
    <n v="14294939.25"/>
    <n v="30529"/>
    <s v="AMOMPY"/>
    <s v="Momentum Capital Investment S.A."/>
    <s v="27/03/2026"/>
    <s v="27/03/2026"/>
    <n v="41"/>
    <s v="No"/>
    <s v=""/>
    <m/>
    <m/>
    <s v="*MAV290600705"/>
    <s v="*MAV290600705"/>
    <n v="3.2111306586340364E-4"/>
  </r>
  <r>
    <x v="160"/>
    <s v="Pesos"/>
    <d v="2026-07-02T00:00:00"/>
    <s v="08/06/2026"/>
    <n v="0.97374883999999995"/>
    <m/>
    <n v="15909586.57"/>
    <n v="15491941.48"/>
    <n v="15909586.57"/>
    <n v="15491941.48"/>
    <n v="30497"/>
    <s v="AMOMPY"/>
    <s v="Momentum Capital Investment S.A."/>
    <s v="27/03/2026"/>
    <s v="27/03/2026"/>
    <n v="41"/>
    <s v="No"/>
    <s v=""/>
    <m/>
    <m/>
    <s v="*MAV300601877"/>
    <s v="*MAV300601877"/>
    <n v="3.4800181643438848E-4"/>
  </r>
  <r>
    <x v="160"/>
    <s v="Pesos"/>
    <d v="2026-06-29T00:00:00"/>
    <s v="08/06/2026"/>
    <n v="0.97695460000000001"/>
    <m/>
    <n v="15389210.15"/>
    <n v="15034559.640000001"/>
    <n v="15389210.15"/>
    <n v="15034559.640000001"/>
    <n v="9344720"/>
    <s v="AMOMPY"/>
    <s v="Momentum Capital Investment S.A."/>
    <s v="27/03/2026"/>
    <s v="27/03/2026"/>
    <n v="41"/>
    <s v="No"/>
    <s v=""/>
    <m/>
    <m/>
    <s v="*MAV250601031"/>
    <s v="*MAV250601031"/>
    <n v="3.3772746112975543E-4"/>
  </r>
  <r>
    <x v="160"/>
    <s v="Pesos"/>
    <d v="2026-06-30T00:00:00"/>
    <s v="08/06/2026"/>
    <n v="0.97588372999999995"/>
    <m/>
    <n v="14664256.84"/>
    <n v="14310609.68"/>
    <n v="14664256.84"/>
    <n v="14310609.68"/>
    <n v="30528"/>
    <s v="AMOMPY"/>
    <s v="Momentum Capital Investment S.A."/>
    <s v="27/03/2026"/>
    <s v="27/03/2026"/>
    <n v="41"/>
    <s v="No"/>
    <s v=""/>
    <m/>
    <m/>
    <s v="*MAV260601088"/>
    <s v="*MAV260601088"/>
    <n v="3.2146507714045039E-4"/>
  </r>
  <r>
    <x v="160"/>
    <s v="Pesos"/>
    <d v="2026-07-01T00:00:00"/>
    <s v="08/06/2026"/>
    <n v="0.97481512000000003"/>
    <m/>
    <n v="15909586.57"/>
    <n v="15508905.5"/>
    <n v="15909586.57"/>
    <n v="15508905.5"/>
    <n v="30496"/>
    <s v="AMOMPY"/>
    <s v="Momentum Capital Investment S.A."/>
    <s v="27/03/2026"/>
    <s v="27/03/2026"/>
    <n v="41"/>
    <s v="No"/>
    <s v=""/>
    <m/>
    <m/>
    <s v="*MAV290600706"/>
    <s v="*MAV290600706"/>
    <n v="3.4838288615258041E-4"/>
  </r>
  <r>
    <x v="160"/>
    <s v="Pesos"/>
    <d v="2026-07-02T00:00:00"/>
    <s v="08/06/2026"/>
    <n v="0.97374883999999995"/>
    <m/>
    <n v="14664256.859999999"/>
    <n v="14279303.109999999"/>
    <n v="14664256.859999999"/>
    <n v="14279303.109999999"/>
    <n v="30530"/>
    <s v="AMOMPY"/>
    <s v="Momentum Capital Investment S.A."/>
    <s v="27/03/2026"/>
    <s v="27/03/2026"/>
    <n v="41"/>
    <s v="No"/>
    <s v=""/>
    <m/>
    <m/>
    <s v="*MAV300601878"/>
    <s v="*MAV300601878"/>
    <n v="3.2076182485664878E-4"/>
  </r>
  <r>
    <x v="160"/>
    <s v="Pesos"/>
    <d v="2026-06-17T00:00:00"/>
    <s v="08/06/2026"/>
    <n v="0.98999163000000001"/>
    <m/>
    <n v="10918371.689999999"/>
    <n v="10809096.619999999"/>
    <n v="10918371.689999999"/>
    <n v="10809096.619999999"/>
    <n v="30456"/>
    <s v="AMOMPY"/>
    <s v="Momentum Capital Investment S.A."/>
    <s v="01/04/2026"/>
    <s v="01/04/2026"/>
    <n v="41"/>
    <s v="No"/>
    <s v=""/>
    <m/>
    <m/>
    <s v="*MAV120601480"/>
    <s v="*MAV120601480"/>
    <n v="2.4280915743394668E-4"/>
  </r>
  <r>
    <x v="160"/>
    <s v="Pesos"/>
    <d v="2026-06-18T00:00:00"/>
    <s v="08/06/2026"/>
    <n v="0.98889192999999997"/>
    <m/>
    <n v="10918371.689999999"/>
    <n v="10797089.66"/>
    <n v="10918371.689999999"/>
    <n v="10797089.66"/>
    <n v="30457"/>
    <s v="AMOMPY"/>
    <s v="Momentum Capital Investment S.A."/>
    <s v="01/04/2026"/>
    <s v="01/04/2026"/>
    <n v="41"/>
    <s v="No"/>
    <s v=""/>
    <m/>
    <m/>
    <s v="*MAV160601255"/>
    <s v="*MAV160601255"/>
    <n v="2.4253944018157717E-4"/>
  </r>
  <r>
    <x v="160"/>
    <s v="Pesos"/>
    <d v="2026-06-19T00:00:00"/>
    <s v="08/06/2026"/>
    <n v="0.98779466999999999"/>
    <m/>
    <n v="10918371.689999999"/>
    <n v="10785109.34"/>
    <n v="10918371.689999999"/>
    <n v="10785109.34"/>
    <n v="30458"/>
    <s v="AMOMPY"/>
    <s v="Momentum Capital Investment S.A."/>
    <s v="01/04/2026"/>
    <s v="01/04/2026"/>
    <n v="41"/>
    <s v="No"/>
    <s v=""/>
    <m/>
    <m/>
    <s v="*MAV170601091"/>
    <s v="*MAV170601091"/>
    <n v="2.4227032135442129E-4"/>
  </r>
  <r>
    <x v="160"/>
    <s v="Pesos"/>
    <d v="2026-06-22T00:00:00"/>
    <s v="08/06/2026"/>
    <n v="0.98451749"/>
    <m/>
    <n v="10918371.689999999"/>
    <n v="10749327.859999999"/>
    <n v="10918371.689999999"/>
    <n v="10749327.859999999"/>
    <n v="30459"/>
    <s v="AMOMPY"/>
    <s v="Momentum Capital Investment S.A."/>
    <s v="01/04/2026"/>
    <s v="01/04/2026"/>
    <n v="41"/>
    <s v="No"/>
    <s v=""/>
    <m/>
    <m/>
    <s v="*MAV180601006"/>
    <s v="*MAV180601006"/>
    <n v="2.4146654733740822E-4"/>
  </r>
  <r>
    <x v="160"/>
    <s v="Pesos"/>
    <d v="2026-06-23T00:00:00"/>
    <s v="08/06/2026"/>
    <n v="0.98342989999999997"/>
    <m/>
    <n v="10918371.689999999"/>
    <n v="10737453.15"/>
    <n v="10918371.689999999"/>
    <n v="10737453.15"/>
    <n v="30460"/>
    <s v="AMOMPY"/>
    <s v="Momentum Capital Investment S.A."/>
    <s v="01/04/2026"/>
    <s v="01/04/2026"/>
    <n v="41"/>
    <s v="No"/>
    <s v=""/>
    <m/>
    <m/>
    <s v="*MAV190600954"/>
    <s v="*MAV190600954"/>
    <n v="2.4119980087086842E-4"/>
  </r>
  <r>
    <x v="160"/>
    <s v="Pesos"/>
    <d v="2026-06-24T00:00:00"/>
    <s v="08/06/2026"/>
    <n v="0.98234478000000003"/>
    <m/>
    <n v="10918371.689999999"/>
    <n v="10725605.460000001"/>
    <n v="10918371.689999999"/>
    <n v="10725605.460000001"/>
    <n v="30461"/>
    <s v="AMOMPY"/>
    <s v="Momentum Capital Investment S.A."/>
    <s v="01/04/2026"/>
    <s v="01/04/2026"/>
    <n v="41"/>
    <s v="No"/>
    <s v=""/>
    <m/>
    <m/>
    <s v="*MAV220600829"/>
    <s v="*MAV220600829"/>
    <n v="2.4093366136563764E-4"/>
  </r>
  <r>
    <x v="160"/>
    <s v="Pesos"/>
    <d v="2026-06-08T00:00:00"/>
    <s v="08/06/2026"/>
    <n v="1"/>
    <m/>
    <n v="10918371.689999999"/>
    <n v="10918371.689999999"/>
    <n v="10918371.689999999"/>
    <n v="10918371.689999999"/>
    <n v="30450"/>
    <s v="AMOMPY"/>
    <s v="Momentum Capital Investment S.A."/>
    <s v="01/04/2026"/>
    <s v="01/04/2026"/>
    <n v="41"/>
    <s v="No"/>
    <s v=""/>
    <m/>
    <m/>
    <s v="*MAV040600761"/>
    <s v="*MAV040600761"/>
    <n v="2.4526384801614961E-4"/>
  </r>
  <r>
    <x v="160"/>
    <s v="Pesos"/>
    <d v="2026-06-09T00:00:00"/>
    <s v="08/06/2026"/>
    <n v="0.99887797"/>
    <m/>
    <n v="10918371.689999999"/>
    <n v="10906120.98"/>
    <n v="10918371.689999999"/>
    <n v="10906120.98"/>
    <n v="30451"/>
    <s v="AMOMPY"/>
    <s v="Momentum Capital Investment S.A."/>
    <s v="01/04/2026"/>
    <s v="01/04/2026"/>
    <n v="41"/>
    <s v="No"/>
    <s v=""/>
    <m/>
    <m/>
    <s v="*MAV050601202"/>
    <s v="*MAV050601202"/>
    <n v="2.449886553078558E-4"/>
  </r>
  <r>
    <x v="160"/>
    <s v="Pesos"/>
    <d v="2026-06-10T00:00:00"/>
    <s v="08/06/2026"/>
    <n v="0.99775846999999995"/>
    <m/>
    <n v="10918371.689999999"/>
    <n v="10893897.83"/>
    <n v="10918371.689999999"/>
    <n v="10893897.83"/>
    <n v="30452"/>
    <s v="AMOMPY"/>
    <s v="Momentum Capital Investment S.A."/>
    <s v="01/04/2026"/>
    <s v="01/04/2026"/>
    <n v="41"/>
    <s v="No"/>
    <s v=""/>
    <m/>
    <m/>
    <s v="*MAV080600800"/>
    <s v="*MAV080600800"/>
    <n v="2.4471408169111176E-4"/>
  </r>
  <r>
    <x v="160"/>
    <s v="Pesos"/>
    <d v="2026-06-11T00:00:00"/>
    <s v="08/06/2026"/>
    <n v="0.99664145999999998"/>
    <m/>
    <n v="10918371.689999999"/>
    <n v="10881701.949999999"/>
    <n v="10918371.689999999"/>
    <n v="10881701.949999999"/>
    <n v="30453"/>
    <s v="AMOMPY"/>
    <s v="Momentum Capital Investment S.A."/>
    <s v="01/04/2026"/>
    <s v="01/04/2026"/>
    <n v="41"/>
    <s v="No"/>
    <s v=""/>
    <m/>
    <m/>
    <s v="*MAV090601184"/>
    <s v="*MAV090601184"/>
    <n v="2.4444012065152903E-4"/>
  </r>
  <r>
    <x v="160"/>
    <s v="Pesos"/>
    <d v="2026-06-12T00:00:00"/>
    <s v="08/06/2026"/>
    <n v="0.99552695000000002"/>
    <m/>
    <n v="10918371.689999999"/>
    <n v="10869533.300000001"/>
    <n v="10918371.689999999"/>
    <n v="10869533.300000001"/>
    <n v="30454"/>
    <s v="AMOMPY"/>
    <s v="Momentum Capital Investment S.A."/>
    <s v="01/04/2026"/>
    <s v="01/04/2026"/>
    <n v="41"/>
    <s v="No"/>
    <s v=""/>
    <m/>
    <m/>
    <s v="*MAV100601469"/>
    <s v="*MAV100601469"/>
    <n v="2.4416677129057121E-4"/>
  </r>
  <r>
    <x v="160"/>
    <s v="Pesos"/>
    <d v="2026-06-16T00:00:00"/>
    <s v="08/06/2026"/>
    <n v="0.99109373999999995"/>
    <m/>
    <n v="10918371.689999999"/>
    <n v="10821129.83"/>
    <n v="10918371.689999999"/>
    <n v="10821129.83"/>
    <n v="30455"/>
    <s v="AMOMPY"/>
    <s v="Momentum Capital Investment S.A."/>
    <s v="01/04/2026"/>
    <s v="01/04/2026"/>
    <n v="41"/>
    <s v="No"/>
    <s v=""/>
    <m/>
    <m/>
    <s v="*MAV110600959"/>
    <s v="*MAV110600959"/>
    <n v="2.4307946435080037E-4"/>
  </r>
  <r>
    <x v="160"/>
    <s v="Pesos"/>
    <d v="2026-06-25T00:00:00"/>
    <s v="08/06/2026"/>
    <n v="0.98126199000000003"/>
    <m/>
    <n v="10918371.720000001"/>
    <n v="10713783.119999999"/>
    <n v="10918371.720000001"/>
    <n v="10713783.119999999"/>
    <n v="30462"/>
    <s v="AMOMPY"/>
    <s v="Momentum Capital Investment S.A."/>
    <s v="01/04/2026"/>
    <s v="01/04/2026"/>
    <n v="41"/>
    <s v="No"/>
    <s v=""/>
    <m/>
    <m/>
    <s v="*MAV230601319"/>
    <s v="*MAV230601319"/>
    <n v="2.4066809130782294E-4"/>
  </r>
  <r>
    <x v="160"/>
    <s v="Pesos"/>
    <d v="2026-06-26T00:00:00"/>
    <s v="08/06/2026"/>
    <n v="0.98018156999999995"/>
    <m/>
    <n v="11785044.42"/>
    <n v="11551483.34"/>
    <n v="11785044.42"/>
    <n v="11551483.34"/>
    <n v="9344726"/>
    <s v="AMOMPY"/>
    <s v="Momentum Capital Investment S.A."/>
    <s v="01/04/2026"/>
    <s v="01/04/2026"/>
    <n v="41"/>
    <s v="No"/>
    <s v=""/>
    <m/>
    <m/>
    <s v="*MAV240601164"/>
    <s v="*MAV240601164"/>
    <n v="2.5948569390229695E-4"/>
  </r>
  <r>
    <x v="160"/>
    <s v="Pesos"/>
    <d v="2026-06-30T00:00:00"/>
    <s v="08/06/2026"/>
    <n v="0.97588366999999998"/>
    <m/>
    <n v="11785044.42"/>
    <n v="11500832.460000001"/>
    <n v="11785044.42"/>
    <n v="11500832.460000001"/>
    <n v="9344725"/>
    <s v="AMOMPY"/>
    <s v="Momentum Capital Investment S.A."/>
    <s v="01/04/2026"/>
    <s v="01/04/2026"/>
    <n v="41"/>
    <s v="No"/>
    <s v=""/>
    <m/>
    <m/>
    <s v="*MAV260601132"/>
    <s v="*MAV260601132"/>
    <n v="2.5834790247268461E-4"/>
  </r>
  <r>
    <x v="160"/>
    <s v="Pesos"/>
    <d v="2026-07-02T00:00:00"/>
    <s v="08/06/2026"/>
    <n v="0.97374888000000004"/>
    <m/>
    <n v="11785044.42"/>
    <n v="11475673.800000001"/>
    <n v="11785044.42"/>
    <n v="11475673.800000001"/>
    <n v="9344724"/>
    <s v="AMOMPY"/>
    <s v="Momentum Capital Investment S.A."/>
    <s v="01/04/2026"/>
    <s v="01/04/2026"/>
    <n v="41"/>
    <s v="No"/>
    <s v=""/>
    <m/>
    <m/>
    <s v="*MAV300601920"/>
    <s v="*MAV300601920"/>
    <n v="2.577827532052181E-4"/>
  </r>
  <r>
    <x v="160"/>
    <s v="Pesos"/>
    <d v="2026-06-08T00:00:00"/>
    <s v="08/06/2026"/>
    <n v="1"/>
    <m/>
    <n v="13296076.9"/>
    <n v="13296076.9"/>
    <n v="13296076.9"/>
    <n v="13296076.9"/>
    <n v="30430"/>
    <s v="AMOMPY"/>
    <s v="Momentum Capital Investment S.A."/>
    <s v="01/04/2026"/>
    <s v="01/04/2026"/>
    <n v="41"/>
    <s v="No"/>
    <s v=""/>
    <m/>
    <m/>
    <s v="*MAV040600762"/>
    <s v="*MAV040600762"/>
    <n v="2.9867521244027531E-4"/>
  </r>
  <r>
    <x v="160"/>
    <s v="Pesos"/>
    <d v="2026-06-09T00:00:00"/>
    <s v="08/06/2026"/>
    <n v="0.99887797"/>
    <m/>
    <n v="13296076.9"/>
    <n v="13281158.35"/>
    <n v="13296076.9"/>
    <n v="13281158.35"/>
    <n v="30431"/>
    <s v="AMOMPY"/>
    <s v="Momentum Capital Investment S.A."/>
    <s v="01/04/2026"/>
    <s v="01/04/2026"/>
    <n v="41"/>
    <s v="No"/>
    <s v=""/>
    <m/>
    <m/>
    <s v="*MAV050601203"/>
    <s v="*MAV050601203"/>
    <n v="2.9834009095112756E-4"/>
  </r>
  <r>
    <x v="160"/>
    <s v="Pesos"/>
    <d v="2026-06-10T00:00:00"/>
    <s v="08/06/2026"/>
    <n v="0.99775846999999995"/>
    <m/>
    <n v="13296076.83"/>
    <n v="13266273.27"/>
    <n v="13296076.83"/>
    <n v="13266273.27"/>
    <n v="30432"/>
    <s v="AMOMPY"/>
    <s v="Momentum Capital Investment S.A."/>
    <s v="01/04/2026"/>
    <s v="01/04/2026"/>
    <n v="41"/>
    <s v="No"/>
    <s v=""/>
    <m/>
    <m/>
    <s v="*MAV080600802"/>
    <s v="*MAV080600802"/>
    <n v="2.9800572131227641E-4"/>
  </r>
  <r>
    <x v="160"/>
    <s v="Pesos"/>
    <d v="2026-09-03T00:00:00"/>
    <s v="08/06/2026"/>
    <n v="0.92707852999999996"/>
    <m/>
    <n v="16005575.67"/>
    <n v="14838425.49"/>
    <n v="16005575.67"/>
    <n v="14838425.49"/>
    <n v="30712"/>
    <s v="AMOMPY"/>
    <s v="Momentum Capital Investment S.A."/>
    <s v="27/05/2026"/>
    <s v="27/05/2026"/>
    <n v="33"/>
    <s v="No"/>
    <s v=""/>
    <m/>
    <m/>
    <s v="*MAV010901181"/>
    <s v="*MAV010901181"/>
    <n v="3.3332161951507263E-4"/>
  </r>
  <r>
    <x v="160"/>
    <s v="Pesos"/>
    <d v="2026-09-03T00:00:00"/>
    <s v="08/06/2026"/>
    <n v="0.92707852999999996"/>
    <m/>
    <n v="12080215.710000001"/>
    <n v="11199308.57"/>
    <n v="12080215.710000001"/>
    <n v="11199308.57"/>
    <n v="30702"/>
    <s v="AMOMPY"/>
    <s v="Momentum Capital Investment S.A."/>
    <s v="27/05/2026"/>
    <s v="27/05/2026"/>
    <n v="33"/>
    <s v="No"/>
    <s v=""/>
    <m/>
    <m/>
    <s v="*MAV010901180"/>
    <s v="*MAV010901180"/>
    <n v="2.5157464803237907E-4"/>
  </r>
  <r>
    <x v="160"/>
    <s v="Pesos"/>
    <d v="2026-09-09T00:00:00"/>
    <s v="08/06/2026"/>
    <n v="0.92243934000000005"/>
    <m/>
    <n v="16005575.68"/>
    <n v="14764172.699999999"/>
    <n v="16005575.68"/>
    <n v="14764172.699999999"/>
    <n v="30716"/>
    <s v="AMOMPY"/>
    <s v="Momentum Capital Investment S.A."/>
    <s v="27/05/2026"/>
    <s v="27/05/2026"/>
    <n v="33"/>
    <s v="No"/>
    <s v=""/>
    <m/>
    <m/>
    <s v="*MAV070900791"/>
    <s v="*MAV070900791"/>
    <n v="3.3165364872983044E-4"/>
  </r>
  <r>
    <x v="160"/>
    <s v="Pesos"/>
    <d v="2026-09-08T00:00:00"/>
    <s v="08/06/2026"/>
    <n v="0.92320935000000004"/>
    <m/>
    <n v="16005575.68"/>
    <n v="14776497.18"/>
    <n v="16005575.68"/>
    <n v="14776497.18"/>
    <n v="30715"/>
    <s v="AMOMPY"/>
    <s v="Momentum Capital Investment S.A."/>
    <s v="27/05/2026"/>
    <s v="27/05/2026"/>
    <n v="33"/>
    <s v="No"/>
    <s v=""/>
    <m/>
    <m/>
    <s v="*MAV040900921"/>
    <s v="*MAV040900921"/>
    <n v="3.3193049856380035E-4"/>
  </r>
  <r>
    <x v="160"/>
    <s v="Pesos"/>
    <d v="2026-09-07T00:00:00"/>
    <s v="08/06/2026"/>
    <n v="0.92398064999999996"/>
    <m/>
    <n v="16005575.68"/>
    <n v="14788842.23"/>
    <n v="16005575.68"/>
    <n v="14788842.23"/>
    <n v="30714"/>
    <s v="AMOMPY"/>
    <s v="Momentum Capital Investment S.A."/>
    <s v="27/05/2026"/>
    <s v="27/05/2026"/>
    <n v="33"/>
    <s v="No"/>
    <s v=""/>
    <m/>
    <m/>
    <s v="*MAV030900818"/>
    <s v="*MAV030900818"/>
    <n v="3.3220781047009175E-4"/>
  </r>
  <r>
    <x v="160"/>
    <s v="Pesos"/>
    <d v="2026-09-04T00:00:00"/>
    <s v="08/06/2026"/>
    <n v="0.92630204999999999"/>
    <m/>
    <n v="16005575.68"/>
    <n v="14825997.550000001"/>
    <n v="16005575.68"/>
    <n v="14825997.550000001"/>
    <n v="30713"/>
    <s v="AMOMPY"/>
    <s v="Momentum Capital Investment S.A."/>
    <s v="27/05/2026"/>
    <s v="27/05/2026"/>
    <n v="33"/>
    <s v="No"/>
    <s v=""/>
    <m/>
    <m/>
    <s v="*MAV020901169"/>
    <s v="*MAV020901169"/>
    <n v="3.3304244561681588E-4"/>
  </r>
  <r>
    <x v="160"/>
    <s v="Pesos"/>
    <d v="2026-09-17T00:00:00"/>
    <s v="08/06/2026"/>
    <n v="0.91632566999999998"/>
    <m/>
    <n v="16005575.68"/>
    <n v="14666319.84"/>
    <n v="16005575.68"/>
    <n v="14666319.84"/>
    <n v="30722"/>
    <s v="AMOMPY"/>
    <s v="Momentum Capital Investment S.A."/>
    <s v="27/05/2026"/>
    <s v="27/05/2026"/>
    <n v="33"/>
    <s v="No"/>
    <s v=""/>
    <m/>
    <m/>
    <s v="*MAV150901518"/>
    <s v="*MAV150901518"/>
    <n v="3.2945553992163093E-4"/>
  </r>
  <r>
    <x v="160"/>
    <s v="Pesos"/>
    <d v="2026-09-16T00:00:00"/>
    <s v="08/06/2026"/>
    <n v="0.91708551000000005"/>
    <m/>
    <n v="16005575.68"/>
    <n v="14678481.460000001"/>
    <n v="16005575.68"/>
    <n v="14678481.460000001"/>
    <n v="30721"/>
    <s v="AMOMPY"/>
    <s v="Momentum Capital Investment S.A."/>
    <s v="27/05/2026"/>
    <s v="27/05/2026"/>
    <n v="33"/>
    <s v="No"/>
    <s v=""/>
    <m/>
    <m/>
    <s v="*MAV140900871"/>
    <s v="*MAV140900871"/>
    <n v="3.2972873136482406E-4"/>
  </r>
  <r>
    <x v="160"/>
    <s v="Pesos"/>
    <d v="2026-09-15T00:00:00"/>
    <s v="08/06/2026"/>
    <n v="0.91784659999999996"/>
    <m/>
    <n v="16005575.68"/>
    <n v="14690663.25"/>
    <n v="16005575.68"/>
    <n v="14690663.25"/>
    <n v="30720"/>
    <s v="AMOMPY"/>
    <s v="Momentum Capital Investment S.A."/>
    <s v="27/05/2026"/>
    <s v="27/05/2026"/>
    <n v="33"/>
    <s v="No"/>
    <s v=""/>
    <m/>
    <m/>
    <s v="*MAV110900995"/>
    <s v="*MAV110900995"/>
    <n v="3.3000237589497512E-4"/>
  </r>
  <r>
    <x v="160"/>
    <s v="Pesos"/>
    <d v="2026-09-14T00:00:00"/>
    <s v="08/06/2026"/>
    <n v="0.91860896000000003"/>
    <m/>
    <n v="16005575.68"/>
    <n v="14702865.25"/>
    <n v="16005575.68"/>
    <n v="14702865.25"/>
    <n v="30719"/>
    <s v="AMOMPY"/>
    <s v="Momentum Capital Investment S.A."/>
    <s v="27/05/2026"/>
    <s v="27/05/2026"/>
    <n v="33"/>
    <s v="No"/>
    <s v=""/>
    <m/>
    <m/>
    <s v="*MAV100901186"/>
    <s v="*MAV100901186"/>
    <n v="3.3027647441062044E-4"/>
  </r>
  <r>
    <x v="160"/>
    <s v="Pesos"/>
    <d v="2026-09-11T00:00:00"/>
    <s v="08/06/2026"/>
    <n v="0.92090340999999998"/>
    <m/>
    <n v="16005575.68"/>
    <n v="14739589.25"/>
    <n v="16005575.68"/>
    <n v="14739589.25"/>
    <n v="30718"/>
    <s v="AMOMPY"/>
    <s v="Momentum Capital Investment S.A."/>
    <s v="27/05/2026"/>
    <s v="27/05/2026"/>
    <n v="33"/>
    <s v="No"/>
    <s v=""/>
    <m/>
    <m/>
    <s v="*MAV090901145"/>
    <s v="*MAV090901145"/>
    <n v="3.3110142063980905E-4"/>
  </r>
  <r>
    <x v="160"/>
    <s v="Pesos"/>
    <d v="2026-09-10T00:00:00"/>
    <s v="08/06/2026"/>
    <n v="0.92167085999999998"/>
    <m/>
    <n v="16005575.68"/>
    <n v="14751872.720000001"/>
    <n v="16005575.68"/>
    <n v="14751872.720000001"/>
    <n v="30717"/>
    <s v="AMOMPY"/>
    <s v="Momentum Capital Investment S.A."/>
    <s v="27/05/2026"/>
    <s v="27/05/2026"/>
    <n v="33"/>
    <s v="No"/>
    <s v=""/>
    <m/>
    <m/>
    <s v="*MAV080901149"/>
    <s v="*MAV080901149"/>
    <n v="3.3137734924937914E-4"/>
  </r>
  <r>
    <x v="160"/>
    <s v="Pesos"/>
    <d v="2026-09-03T00:00:00"/>
    <s v="08/06/2026"/>
    <n v="0.92707852999999996"/>
    <m/>
    <n v="15230335.939999999"/>
    <n v="14119717.390000001"/>
    <n v="15230335.939999999"/>
    <n v="14119717.390000001"/>
    <n v="30690"/>
    <s v="AMOMPY"/>
    <s v="Momentum Capital Investment S.A."/>
    <s v="27/05/2026"/>
    <s v="27/05/2026"/>
    <n v="33"/>
    <s v="No"/>
    <s v=""/>
    <m/>
    <m/>
    <s v="*MAV010901182"/>
    <s v="*MAV010901182"/>
    <n v="3.1717698557045046E-4"/>
  </r>
  <r>
    <x v="160"/>
    <s v="Pesos"/>
    <d v="2026-09-16T00:00:00"/>
    <s v="08/06/2026"/>
    <n v="0.91939559999999998"/>
    <m/>
    <n v="15355310.449999999"/>
    <n v="14117604.83"/>
    <n v="15355310.449999999"/>
    <n v="14117604.83"/>
    <n v="30745"/>
    <s v="AMOMPY"/>
    <s v="Momentum Capital Investment S.A."/>
    <s v="04/06/2026"/>
    <s v="04/06/2026"/>
    <n v="32"/>
    <s v="No"/>
    <s v=""/>
    <m/>
    <m/>
    <s v="*MAV140900928"/>
    <s v="*MAV140900928"/>
    <n v="3.1712953027130184E-4"/>
  </r>
  <r>
    <x v="160"/>
    <s v="Pesos"/>
    <d v="2026-09-17T00:00:00"/>
    <s v="08/06/2026"/>
    <n v="0.91865505000000003"/>
    <m/>
    <n v="15355310.449999999"/>
    <n v="14106233.48"/>
    <n v="15355310.449999999"/>
    <n v="14106233.48"/>
    <n v="30746"/>
    <s v="AMOMPY"/>
    <s v="Momentum Capital Investment S.A."/>
    <s v="04/06/2026"/>
    <s v="04/06/2026"/>
    <n v="32"/>
    <s v="No"/>
    <s v=""/>
    <m/>
    <m/>
    <s v="*MAV150901539"/>
    <s v="*MAV150901539"/>
    <n v="3.1687409098627616E-4"/>
  </r>
  <r>
    <x v="160"/>
    <s v="Pesos"/>
    <d v="2026-09-18T00:00:00"/>
    <s v="08/06/2026"/>
    <n v="0.91791595000000004"/>
    <m/>
    <n v="15355310.449999999"/>
    <n v="14094884.41"/>
    <n v="15355310.449999999"/>
    <n v="14094884.41"/>
    <n v="30747"/>
    <s v="AMOMPY"/>
    <s v="Momentum Capital Investment S.A."/>
    <s v="04/06/2026"/>
    <s v="04/06/2026"/>
    <n v="32"/>
    <s v="No"/>
    <s v=""/>
    <m/>
    <m/>
    <s v="*MAV160901281"/>
    <s v="*MAV160901281"/>
    <n v="3.1661915218600119E-4"/>
  </r>
  <r>
    <x v="160"/>
    <s v="Pesos"/>
    <d v="2026-09-21T00:00:00"/>
    <s v="08/06/2026"/>
    <n v="0.91570499999999999"/>
    <m/>
    <n v="15355310.449999999"/>
    <n v="14060934.609999999"/>
    <n v="15355310.449999999"/>
    <n v="14060934.609999999"/>
    <n v="30748"/>
    <s v="AMOMPY"/>
    <s v="Momentum Capital Investment S.A."/>
    <s v="04/06/2026"/>
    <s v="04/06/2026"/>
    <n v="32"/>
    <s v="No"/>
    <s v=""/>
    <m/>
    <m/>
    <s v="*MAV170901057"/>
    <s v="*MAV170901057"/>
    <n v="3.1585652394583924E-4"/>
  </r>
  <r>
    <x v="160"/>
    <s v="Pesos"/>
    <d v="2026-09-22T00:00:00"/>
    <s v="08/06/2026"/>
    <n v="0.91497063999999995"/>
    <m/>
    <n v="15355310.449999999"/>
    <n v="14049658.289999999"/>
    <n v="15355310.449999999"/>
    <n v="14049658.289999999"/>
    <n v="30749"/>
    <s v="AMOMPY"/>
    <s v="Momentum Capital Investment S.A."/>
    <s v="04/06/2026"/>
    <s v="04/06/2026"/>
    <n v="32"/>
    <s v="No"/>
    <s v=""/>
    <m/>
    <m/>
    <s v="*MAV180901036"/>
    <s v="*MAV180901036"/>
    <n v="3.1560321935856318E-4"/>
  </r>
  <r>
    <x v="160"/>
    <s v="Pesos"/>
    <d v="2026-09-23T00:00:00"/>
    <s v="08/06/2026"/>
    <n v="0.91423719999999997"/>
    <m/>
    <n v="15355310.449999999"/>
    <n v="14038396.07"/>
    <n v="15355310.449999999"/>
    <n v="14038396.07"/>
    <n v="30750"/>
    <s v="AMOMPY"/>
    <s v="Momentum Capital Investment S.A."/>
    <s v="04/06/2026"/>
    <s v="04/06/2026"/>
    <n v="32"/>
    <s v="No"/>
    <s v=""/>
    <m/>
    <m/>
    <s v="*MAV210900806"/>
    <s v="*MAV210900806"/>
    <n v="3.1535023150535302E-4"/>
  </r>
  <r>
    <x v="183"/>
    <s v="Pesos"/>
    <d v="2026-07-30T00:00:00"/>
    <s v="08/06/2026"/>
    <n v="0.96032415000000004"/>
    <m/>
    <n v="6530318"/>
    <n v="6271222.0999999996"/>
    <n v="6530318"/>
    <n v="6271222.0999999996"/>
    <n v="69"/>
    <s v="AMOMPY"/>
    <s v="Momentum Capital Investment S.A."/>
    <s v="29/01/2026"/>
    <s v="29/01/2026"/>
    <n v="29"/>
    <s v="No"/>
    <s v=""/>
    <m/>
    <m/>
    <s v="*ACI280700201"/>
    <s v="*ACI280700201"/>
    <n v="1.4087302646223786E-4"/>
  </r>
  <r>
    <x v="183"/>
    <s v="Pesos"/>
    <d v="2026-07-01T00:00:00"/>
    <s v="08/06/2026"/>
    <n v="0.98205397000000005"/>
    <m/>
    <n v="6530318"/>
    <n v="6413124.75"/>
    <n v="6530318"/>
    <n v="6413124.75"/>
    <n v="68"/>
    <s v="AMOMPY"/>
    <s v="Momentum Capital Investment S.A."/>
    <s v="29/01/2026"/>
    <s v="29/01/2026"/>
    <n v="29"/>
    <s v="No"/>
    <s v=""/>
    <m/>
    <m/>
    <s v="*ACI280600193"/>
    <s v="*ACI280600193"/>
    <n v="1.4406064371606016E-4"/>
  </r>
  <r>
    <x v="183"/>
    <s v="Pesos"/>
    <d v="2026-09-15T00:00:00"/>
    <s v="08/06/2026"/>
    <n v="0.92707837999999998"/>
    <m/>
    <n v="42000000"/>
    <n v="38937292"/>
    <n v="42000000"/>
    <n v="38937292"/>
    <n v="7579"/>
    <s v="AMOMPY"/>
    <s v="Momentum Capital Investment S.A."/>
    <s v="20/04/2026"/>
    <s v="20/04/2026"/>
    <n v="29"/>
    <s v="No"/>
    <s v=""/>
    <m/>
    <m/>
    <s v="*ACI110900205"/>
    <s v="*ACI110900205"/>
    <n v="8.7466431244460029E-4"/>
  </r>
  <r>
    <x v="183"/>
    <s v="Pesos"/>
    <d v="2026-08-14T00:00:00"/>
    <s v="08/06/2026"/>
    <n v="0.94945767000000003"/>
    <m/>
    <n v="42000000"/>
    <n v="39877222.210000001"/>
    <n v="42000000"/>
    <n v="39877222.210000001"/>
    <n v="7578"/>
    <s v="AMOMPY"/>
    <s v="Momentum Capital Investment S.A."/>
    <s v="20/04/2026"/>
    <s v="20/04/2026"/>
    <n v="29"/>
    <s v="No"/>
    <s v=""/>
    <m/>
    <m/>
    <s v="*ACI120800233"/>
    <s v="*ACI120800233"/>
    <n v="8.957783491083611E-4"/>
  </r>
  <r>
    <x v="183"/>
    <s v="Pesos"/>
    <d v="2026-07-01T00:00:00"/>
    <s v="08/06/2026"/>
    <n v="0.98755424000000003"/>
    <m/>
    <n v="1695872.63"/>
    <n v="1674766.21"/>
    <n v="1695872.63"/>
    <n v="1674766.21"/>
    <n v="6118"/>
    <s v="AMOMPY"/>
    <s v="Momentum Capital Investment S.A."/>
    <s v="29/05/2026"/>
    <s v="29/05/2026"/>
    <n v="20"/>
    <s v="No"/>
    <s v=""/>
    <m/>
    <m/>
    <s v="*ACI280600223"/>
    <s v="*ACI280600223"/>
    <n v="3.762095822110842E-5"/>
  </r>
  <r>
    <x v="183"/>
    <s v="Pesos"/>
    <d v="2026-07-29T00:00:00"/>
    <s v="08/06/2026"/>
    <n v="0.97281454000000001"/>
    <m/>
    <n v="2500000"/>
    <n v="2432036.36"/>
    <n v="2500000"/>
    <n v="2432036.36"/>
    <n v="6127"/>
    <s v="AMOMPY"/>
    <s v="Momentum Capital Investment S.A."/>
    <s v="29/05/2026"/>
    <s v="29/05/2026"/>
    <n v="20"/>
    <s v="No"/>
    <s v=""/>
    <m/>
    <m/>
    <s v="*ACI250700361"/>
    <s v="*ACI250700361"/>
    <n v="5.4631827263685112E-5"/>
  </r>
  <r>
    <x v="183"/>
    <s v="Pesos"/>
    <d v="2026-07-24T00:00:00"/>
    <s v="08/06/2026"/>
    <n v="0.97541431999999995"/>
    <m/>
    <n v="2500000"/>
    <n v="2438535.79"/>
    <n v="2500000"/>
    <n v="2438535.79"/>
    <n v="6126"/>
    <s v="AMOMPY"/>
    <s v="Momentum Capital Investment S.A."/>
    <s v="29/05/2026"/>
    <s v="29/05/2026"/>
    <n v="20"/>
    <s v="No"/>
    <s v=""/>
    <m/>
    <m/>
    <s v="*ACI220700283"/>
    <s v="*ACI220700283"/>
    <n v="5.4777826617523895E-5"/>
  </r>
  <r>
    <x v="183"/>
    <s v="Pesos"/>
    <d v="2026-07-22T00:00:00"/>
    <s v="08/06/2026"/>
    <n v="0.97645802999999998"/>
    <m/>
    <n v="2500000"/>
    <n v="2441145.08"/>
    <n v="2500000"/>
    <n v="2441145.08"/>
    <n v="6125"/>
    <s v="AMOMPY"/>
    <s v="Momentum Capital Investment S.A."/>
    <s v="29/05/2026"/>
    <s v="29/05/2026"/>
    <n v="20"/>
    <s v="No"/>
    <s v=""/>
    <m/>
    <m/>
    <s v="*ACI190700175"/>
    <s v="*ACI190700175"/>
    <n v="5.4836440165785508E-5"/>
  </r>
  <r>
    <x v="183"/>
    <s v="Pesos"/>
    <d v="2026-08-20T00:00:00"/>
    <s v="08/06/2026"/>
    <n v="0.96153849999999996"/>
    <m/>
    <n v="2500000"/>
    <n v="2403846.25"/>
    <n v="2500000"/>
    <n v="2403846.25"/>
    <n v="6135"/>
    <s v="AMOMPY"/>
    <s v="Momentum Capital Investment S.A."/>
    <s v="29/05/2026"/>
    <s v="29/05/2026"/>
    <n v="20"/>
    <s v="No"/>
    <s v=""/>
    <m/>
    <m/>
    <s v="*ACI180800202"/>
    <s v="*ACI180800202"/>
    <n v="5.3998581295247262E-5"/>
  </r>
  <r>
    <x v="183"/>
    <s v="Pesos"/>
    <d v="2026-07-20T00:00:00"/>
    <s v="08/06/2026"/>
    <n v="0.97750413000000003"/>
    <m/>
    <n v="2500000"/>
    <n v="2443760.33"/>
    <n v="2500000"/>
    <n v="2443760.33"/>
    <n v="6124"/>
    <s v="AMOMPY"/>
    <s v="Momentum Capital Investment S.A."/>
    <s v="29/05/2026"/>
    <s v="29/05/2026"/>
    <n v="20"/>
    <s v="No"/>
    <s v=""/>
    <m/>
    <m/>
    <s v="*ACI160700208"/>
    <s v="*ACI160700208"/>
    <n v="5.4895187595964291E-5"/>
  </r>
  <r>
    <x v="183"/>
    <s v="Pesos"/>
    <d v="2026-08-20T00:00:00"/>
    <s v="08/06/2026"/>
    <n v="0.96153849999999996"/>
    <m/>
    <n v="2500000"/>
    <n v="2403846.25"/>
    <n v="2500000"/>
    <n v="2403846.25"/>
    <n v="6134"/>
    <s v="AMOMPY"/>
    <s v="Momentum Capital Investment S.A."/>
    <s v="29/05/2026"/>
    <s v="29/05/2026"/>
    <n v="20"/>
    <s v="No"/>
    <s v=""/>
    <m/>
    <m/>
    <s v="*ACI150800332"/>
    <s v="*ACI150800332"/>
    <n v="5.3998581295247262E-5"/>
  </r>
  <r>
    <x v="183"/>
    <s v="Pesos"/>
    <d v="2026-07-15T00:00:00"/>
    <s v="08/06/2026"/>
    <n v="0.98012891000000002"/>
    <m/>
    <n v="2500000"/>
    <n v="2450322.27"/>
    <n v="2500000"/>
    <n v="2450322.27"/>
    <n v="6123"/>
    <s v="AMOMPY"/>
    <s v="Momentum Capital Investment S.A."/>
    <s v="29/05/2026"/>
    <s v="29/05/2026"/>
    <n v="20"/>
    <s v="No"/>
    <s v=""/>
    <m/>
    <m/>
    <s v="*ACI130700173"/>
    <s v="*ACI130700173"/>
    <n v="5.5042591137494673E-5"/>
  </r>
  <r>
    <x v="183"/>
    <s v="Pesos"/>
    <d v="2026-08-14T00:00:00"/>
    <s v="08/06/2026"/>
    <n v="0.96458787999999995"/>
    <m/>
    <n v="2500000"/>
    <n v="2411469.7000000002"/>
    <n v="2500000"/>
    <n v="2411469.7000000002"/>
    <n v="6133"/>
    <s v="AMOMPY"/>
    <s v="Momentum Capital Investment S.A."/>
    <s v="29/05/2026"/>
    <s v="29/05/2026"/>
    <n v="20"/>
    <s v="No"/>
    <s v=""/>
    <m/>
    <m/>
    <s v="*ACI120800246"/>
    <s v="*ACI120800246"/>
    <n v="5.4169829969980624E-5"/>
  </r>
  <r>
    <x v="183"/>
    <s v="Pesos"/>
    <d v="2026-08-25T00:00:00"/>
    <s v="08/06/2026"/>
    <n v="0.95901223000000002"/>
    <m/>
    <n v="2500000"/>
    <n v="2397530.5699999998"/>
    <n v="2500000"/>
    <n v="2397530.5699999998"/>
    <n v="6136"/>
    <s v="AMOMPY"/>
    <s v="Momentum Capital Investment S.A."/>
    <s v="29/05/2026"/>
    <s v="29/05/2026"/>
    <n v="20"/>
    <s v="No"/>
    <s v=""/>
    <m/>
    <m/>
    <s v="*ACI210800309"/>
    <s v="*ACI210800309"/>
    <n v="5.385670959279758E-5"/>
  </r>
  <r>
    <x v="183"/>
    <s v="Pesos"/>
    <d v="2026-08-26T00:00:00"/>
    <s v="08/06/2026"/>
    <n v="0.95850849999999999"/>
    <m/>
    <n v="2500000"/>
    <n v="2396271.25"/>
    <n v="2500000"/>
    <n v="2396271.25"/>
    <n v="6137"/>
    <s v="AMOMPY"/>
    <s v="Momentum Capital Investment S.A."/>
    <s v="29/05/2026"/>
    <s v="29/05/2026"/>
    <n v="20"/>
    <s v="No"/>
    <s v=""/>
    <m/>
    <m/>
    <s v="*ACI240800158"/>
    <s v="*ACI240800158"/>
    <n v="5.3828420972676091E-5"/>
  </r>
  <r>
    <x v="183"/>
    <s v="Pesos"/>
    <d v="2026-09-01T00:00:00"/>
    <s v="08/06/2026"/>
    <n v="0.95549753999999998"/>
    <m/>
    <n v="2500000"/>
    <n v="2388743.85"/>
    <n v="2500000"/>
    <n v="2388743.85"/>
    <n v="6138"/>
    <s v="AMOMPY"/>
    <s v="Momentum Capital Investment S.A."/>
    <s v="29/05/2026"/>
    <s v="29/05/2026"/>
    <n v="20"/>
    <s v="No"/>
    <s v=""/>
    <m/>
    <m/>
    <s v="*ACI280800203"/>
    <s v="*ACI280800203"/>
    <n v="5.3659329908369526E-5"/>
  </r>
  <r>
    <x v="183"/>
    <s v="Pesos"/>
    <d v="2026-07-03T00:00:00"/>
    <s v="08/06/2026"/>
    <n v="0.98648654999999996"/>
    <m/>
    <n v="2500000"/>
    <n v="2466216.37"/>
    <n v="2500000"/>
    <n v="2466216.37"/>
    <n v="6119"/>
    <s v="AMOMPY"/>
    <s v="Momentum Capital Investment S.A."/>
    <s v="29/05/2026"/>
    <s v="29/05/2026"/>
    <n v="20"/>
    <s v="No"/>
    <s v=""/>
    <m/>
    <m/>
    <s v="*ACI010700324"/>
    <s v="*ACI010700324"/>
    <n v="5.53996268052146E-5"/>
  </r>
  <r>
    <x v="183"/>
    <s v="Pesos"/>
    <d v="2026-08-05T00:00:00"/>
    <s v="08/06/2026"/>
    <n v="0.96919814999999998"/>
    <m/>
    <n v="2500000"/>
    <n v="2422995.37"/>
    <n v="2500000"/>
    <n v="2422995.37"/>
    <n v="6130"/>
    <s v="AMOMPY"/>
    <s v="Momentum Capital Investment S.A."/>
    <s v="29/05/2026"/>
    <s v="29/05/2026"/>
    <n v="20"/>
    <s v="No"/>
    <s v=""/>
    <m/>
    <m/>
    <s v="*ACI030800138"/>
    <s v="*ACI030800138"/>
    <n v="5.4428735808270902E-5"/>
  </r>
  <r>
    <x v="183"/>
    <s v="Pesos"/>
    <d v="2026-07-08T00:00:00"/>
    <s v="08/06/2026"/>
    <n v="0.98382749999999997"/>
    <m/>
    <n v="2500000"/>
    <n v="2459568.75"/>
    <n v="2500000"/>
    <n v="2459568.75"/>
    <n v="6120"/>
    <s v="AMOMPY"/>
    <s v="Momentum Capital Investment S.A."/>
    <s v="29/05/2026"/>
    <s v="29/05/2026"/>
    <n v="20"/>
    <s v="No"/>
    <s v=""/>
    <m/>
    <m/>
    <s v="*ACI040700235"/>
    <s v="*ACI040700235"/>
    <n v="5.5250298598807926E-5"/>
  </r>
  <r>
    <x v="183"/>
    <s v="Pesos"/>
    <d v="2026-08-10T00:00:00"/>
    <s v="08/06/2026"/>
    <n v="0.96663136000000005"/>
    <m/>
    <n v="2500000"/>
    <n v="2416578.39"/>
    <n v="2500000"/>
    <n v="2416578.39"/>
    <n v="6131"/>
    <s v="AMOMPY"/>
    <s v="Momentum Capital Investment S.A."/>
    <s v="29/05/2026"/>
    <s v="29/05/2026"/>
    <n v="20"/>
    <s v="No"/>
    <s v=""/>
    <m/>
    <m/>
    <s v="*ACI060800164"/>
    <s v="*ACI060800164"/>
    <n v="5.4284588562497598E-5"/>
  </r>
  <r>
    <x v="183"/>
    <s v="Pesos"/>
    <d v="2026-07-13T00:00:00"/>
    <s v="08/06/2026"/>
    <n v="0.98118289999999997"/>
    <m/>
    <n v="2500000"/>
    <n v="2452957.2400000002"/>
    <n v="2500000"/>
    <n v="2452957.2400000002"/>
    <n v="6121"/>
    <s v="AMOMPY"/>
    <s v="Momentum Capital Investment S.A."/>
    <s v="29/05/2026"/>
    <s v="29/05/2026"/>
    <n v="20"/>
    <s v="No"/>
    <s v=""/>
    <m/>
    <m/>
    <s v="*ACI070700239"/>
    <s v="*ACI070700239"/>
    <n v="5.5101781546097364E-5"/>
  </r>
  <r>
    <x v="183"/>
    <s v="Pesos"/>
    <d v="2026-08-12T00:00:00"/>
    <s v="08/06/2026"/>
    <n v="0.96560853999999996"/>
    <m/>
    <n v="2500000"/>
    <n v="2414021.35"/>
    <n v="2500000"/>
    <n v="2414021.35"/>
    <n v="6132"/>
    <s v="AMOMPY"/>
    <s v="Momentum Capital Investment S.A."/>
    <s v="29/05/2026"/>
    <s v="29/05/2026"/>
    <n v="20"/>
    <s v="No"/>
    <s v=""/>
    <m/>
    <m/>
    <s v="*ACI090800238"/>
    <s v="*ACI090800238"/>
    <n v="5.422714872735207E-5"/>
  </r>
  <r>
    <x v="183"/>
    <s v="Pesos"/>
    <d v="2026-07-15T00:00:00"/>
    <s v="08/06/2026"/>
    <n v="0.98012891000000002"/>
    <m/>
    <n v="2500000"/>
    <n v="2450322.27"/>
    <n v="2500000"/>
    <n v="2450322.27"/>
    <n v="6122"/>
    <s v="AMOMPY"/>
    <s v="Momentum Capital Investment S.A."/>
    <s v="29/05/2026"/>
    <s v="29/05/2026"/>
    <n v="20"/>
    <s v="No"/>
    <s v=""/>
    <m/>
    <m/>
    <s v="*ACI100700332"/>
    <s v="*ACI100700332"/>
    <n v="5.5042591137494673E-5"/>
  </r>
  <r>
    <x v="183"/>
    <s v="Pesos"/>
    <d v="2026-07-30T00:00:00"/>
    <s v="08/06/2026"/>
    <n v="0.97229622000000004"/>
    <m/>
    <n v="2500000"/>
    <n v="2430740.5499999998"/>
    <n v="2500000"/>
    <n v="2430740.5499999998"/>
    <n v="6128"/>
    <s v="AMOMPY"/>
    <s v="Momentum Capital Investment S.A."/>
    <s v="29/05/2026"/>
    <s v="29/05/2026"/>
    <n v="20"/>
    <s v="No"/>
    <s v=""/>
    <m/>
    <m/>
    <s v="*ACI280700242"/>
    <s v="*ACI280700242"/>
    <n v="5.4602718953772117E-5"/>
  </r>
  <r>
    <x v="183"/>
    <s v="Pesos"/>
    <d v="2026-08-04T00:00:00"/>
    <s v="08/06/2026"/>
    <n v="0.96971317000000001"/>
    <m/>
    <n v="2500000"/>
    <n v="2424282.92"/>
    <n v="2500000"/>
    <n v="2424282.92"/>
    <n v="6129"/>
    <s v="AMOMPY"/>
    <s v="Momentum Capital Investment S.A."/>
    <s v="29/05/2026"/>
    <s v="29/05/2026"/>
    <n v="20"/>
    <s v="No"/>
    <s v=""/>
    <m/>
    <m/>
    <s v="*ACI310700409"/>
    <s v="*ACI310700409"/>
    <n v="5.4457658570426211E-5"/>
  </r>
  <r>
    <x v="184"/>
    <s v="Pesos"/>
    <d v="2026-07-17T00:00:00"/>
    <s v="08/06/2026"/>
    <n v="0.97095129000000002"/>
    <m/>
    <n v="15000000"/>
    <n v="14564269.279999999"/>
    <n v="15000000"/>
    <n v="14564269.279999999"/>
    <n v="29131904"/>
    <s v="AMOMPY"/>
    <s v="Momentum Capital Investment S.A."/>
    <s v="21/04/2026"/>
    <s v="21/04/2026"/>
    <n v="28"/>
    <s v="No"/>
    <s v=""/>
    <m/>
    <m/>
    <s v="*PRO150700020"/>
    <s v="*PRO150700020"/>
    <n v="3.271631364618067E-4"/>
  </r>
  <r>
    <x v="184"/>
    <s v="Pesos"/>
    <d v="2026-07-24T00:00:00"/>
    <s v="08/06/2026"/>
    <n v="0.96591514000000001"/>
    <m/>
    <n v="15000000"/>
    <n v="14488727.060000001"/>
    <n v="15000000"/>
    <n v="14488727.060000001"/>
    <n v="29131906"/>
    <s v="AMOMPY"/>
    <s v="Momentum Capital Investment S.A."/>
    <s v="21/04/2026"/>
    <s v="21/04/2026"/>
    <n v="28"/>
    <s v="No"/>
    <s v=""/>
    <m/>
    <m/>
    <s v="*PRO220700012"/>
    <s v="*PRO220700012"/>
    <n v="3.2546620068320048E-4"/>
  </r>
  <r>
    <x v="184"/>
    <s v="Pesos"/>
    <d v="2026-07-31T00:00:00"/>
    <s v="08/06/2026"/>
    <n v="0.96093096"/>
    <m/>
    <n v="15000000"/>
    <n v="14413964.439999999"/>
    <n v="15000000"/>
    <n v="14413964.439999999"/>
    <n v="29131905"/>
    <s v="AMOMPY"/>
    <s v="Momentum Capital Investment S.A."/>
    <s v="21/04/2026"/>
    <s v="21/04/2026"/>
    <n v="28"/>
    <s v="No"/>
    <s v=""/>
    <m/>
    <m/>
    <s v="*PRO290700011"/>
    <s v="*PRO290700011"/>
    <n v="3.2378677737818847E-4"/>
  </r>
  <r>
    <x v="184"/>
    <s v="Pesos"/>
    <d v="2026-07-14T00:00:00"/>
    <s v="08/06/2026"/>
    <n v="0.97312584999999996"/>
    <m/>
    <n v="15000000"/>
    <n v="14596887.68"/>
    <n v="15000000"/>
    <n v="14596887.68"/>
    <n v="29131907"/>
    <s v="AMOMPY"/>
    <s v="Momentum Capital Investment S.A."/>
    <s v="21/04/2026"/>
    <s v="21/04/2026"/>
    <n v="28"/>
    <s v="No"/>
    <s v=""/>
    <m/>
    <m/>
    <s v="*PRO080700009"/>
    <s v="*PRO080700009"/>
    <n v="3.2789585691933218E-4"/>
  </r>
  <r>
    <x v="184"/>
    <s v="Pesos"/>
    <d v="2026-07-01T00:00:00"/>
    <s v="08/06/2026"/>
    <n v="0.98388059999999999"/>
    <m/>
    <n v="14000000"/>
    <n v="13774328.41"/>
    <n v="14000000"/>
    <n v="13774328.41"/>
    <n v="61"/>
    <s v="AMOMPY"/>
    <s v="Momentum Capital Investment S.A."/>
    <s v="22/04/2026"/>
    <s v="22/04/2026"/>
    <n v="26"/>
    <s v="No"/>
    <s v=""/>
    <m/>
    <m/>
    <s v="*PRO270600010"/>
    <s v="*PRO270600010"/>
    <n v="3.0941837167614982E-4"/>
  </r>
  <r>
    <x v="184"/>
    <s v="Pesos"/>
    <d v="2026-06-26T00:00:00"/>
    <s v="08/06/2026"/>
    <n v="0.98685990999999995"/>
    <m/>
    <n v="25000000"/>
    <n v="24671497.670000002"/>
    <n v="25000000"/>
    <n v="24671497.670000002"/>
    <n v="900"/>
    <s v="AMOMPY"/>
    <s v="Momentum Capital Investment S.A."/>
    <s v="22/04/2026"/>
    <s v="22/04/2026"/>
    <n v="27"/>
    <s v="No"/>
    <s v=""/>
    <m/>
    <m/>
    <s v="*PRO240600012"/>
    <s v="*PRO240600012"/>
    <n v="5.542059408371057E-4"/>
  </r>
  <r>
    <x v="184"/>
    <s v="Pesos"/>
    <d v="2026-07-16T00:00:00"/>
    <s v="08/06/2026"/>
    <n v="0.97364490000000004"/>
    <m/>
    <n v="96959948.799999997"/>
    <n v="94404559.620000005"/>
    <n v="96959948.799999997"/>
    <n v="94404559.620000005"/>
    <n v="1289"/>
    <s v="AMOMPY"/>
    <s v="Momentum Capital Investment S.A."/>
    <s v="04/05/2026"/>
    <s v="04/05/2026"/>
    <n v="26"/>
    <s v="No"/>
    <s v=""/>
    <m/>
    <m/>
    <s v="*PRO140700017"/>
    <s v="*PRO140700017"/>
    <n v="2.1206482266836273E-3"/>
  </r>
  <r>
    <x v="184"/>
    <s v="Pesos"/>
    <d v="2026-07-01T00:00:00"/>
    <s v="08/06/2026"/>
    <n v="0.98388054000000003"/>
    <m/>
    <n v="19183831"/>
    <n v="18874598.07"/>
    <n v="19183831"/>
    <n v="18874598.07"/>
    <n v="76811"/>
    <s v="AMOMPY"/>
    <s v="Momentum Capital Investment S.A."/>
    <s v="04/05/2026"/>
    <s v="04/05/2026"/>
    <n v="26"/>
    <s v="No"/>
    <s v=""/>
    <m/>
    <m/>
    <s v="*PRO290600005"/>
    <s v="*PRO290600005"/>
    <n v="4.2398781465246042E-4"/>
  </r>
  <r>
    <x v="184"/>
    <s v="Pesos"/>
    <d v="2026-06-25T00:00:00"/>
    <s v="08/06/2026"/>
    <n v="0.98803536000000003"/>
    <m/>
    <n v="36057385.109999999"/>
    <n v="35625971.509999998"/>
    <n v="36057385.109999999"/>
    <n v="35625971.509999998"/>
    <n v="40627727"/>
    <s v="AMOMPY"/>
    <s v="Momentum Capital Investment S.A."/>
    <s v="04/05/2026"/>
    <s v="04/05/2026"/>
    <n v="26"/>
    <s v="No"/>
    <s v=""/>
    <m/>
    <m/>
    <s v="*PRO230600016"/>
    <s v="*PRO230600016"/>
    <n v="8.0028076621160675E-4"/>
  </r>
  <r>
    <x v="184"/>
    <s v="Pesos"/>
    <d v="2026-06-24T00:00:00"/>
    <s v="08/06/2026"/>
    <n v="0.98873118000000004"/>
    <m/>
    <n v="44732891.780000001"/>
    <n v="44228804.68"/>
    <n v="44732891.780000001"/>
    <n v="44228804.68"/>
    <n v="1300"/>
    <s v="AMOMPY"/>
    <s v="Momentum Capital Investment S.A."/>
    <s v="04/05/2026"/>
    <s v="04/05/2026"/>
    <n v="26"/>
    <s v="No"/>
    <s v=""/>
    <m/>
    <m/>
    <s v="*PRO200600024"/>
    <s v="*PRO200600024"/>
    <n v="9.9352972558232138E-4"/>
  </r>
  <r>
    <x v="184"/>
    <s v="Pesos"/>
    <d v="2026-06-24T00:00:00"/>
    <s v="08/06/2026"/>
    <n v="0.98873118000000004"/>
    <m/>
    <n v="44732891.770000003"/>
    <n v="44228804.670000002"/>
    <n v="44732891.770000003"/>
    <n v="44228804.670000002"/>
    <n v="1303"/>
    <s v="AMOMPY"/>
    <s v="Momentum Capital Investment S.A."/>
    <s v="04/05/2026"/>
    <s v="04/05/2026"/>
    <n v="26"/>
    <s v="No"/>
    <s v=""/>
    <m/>
    <m/>
    <s v="*PRO200600023"/>
    <s v="*PRO200600023"/>
    <n v="9.9352972535768748E-4"/>
  </r>
  <r>
    <x v="184"/>
    <s v="Pesos"/>
    <d v="2026-08-05T00:00:00"/>
    <s v="08/06/2026"/>
    <n v="0.95886093999999999"/>
    <m/>
    <n v="6060681.79"/>
    <n v="5811351.0199999996"/>
    <n v="6060681.79"/>
    <n v="5811351.0199999996"/>
    <n v="66717853"/>
    <s v="AMOMPY"/>
    <s v="Momentum Capital Investment S.A."/>
    <s v="06/05/2026"/>
    <s v="06/05/2026"/>
    <n v="27"/>
    <s v="No"/>
    <s v=""/>
    <m/>
    <m/>
    <s v="*PRO030800006"/>
    <s v="*PRO030800006"/>
    <n v="1.3054275434158405E-4"/>
  </r>
  <r>
    <x v="184"/>
    <s v="Pesos"/>
    <d v="2026-11-11T00:00:00"/>
    <s v="08/06/2026"/>
    <n v="0.88972320000000005"/>
    <m/>
    <n v="35000000"/>
    <n v="31140312.02"/>
    <n v="35000000"/>
    <n v="31140312.02"/>
    <n v="65"/>
    <s v="AMOMPY"/>
    <s v="Momentum Capital Investment S.A."/>
    <s v="29/05/2026"/>
    <s v="29/05/2026"/>
    <n v="29"/>
    <s v="No"/>
    <s v=""/>
    <m/>
    <m/>
    <s v="*PRO061100023"/>
    <s v="*PRO061100023"/>
    <n v="6.9951756281057297E-4"/>
  </r>
  <r>
    <x v="184"/>
    <s v="Pesos"/>
    <d v="2026-11-17T00:00:00"/>
    <s v="08/06/2026"/>
    <n v="0.88596553"/>
    <m/>
    <n v="35000000"/>
    <n v="31008793.420000002"/>
    <n v="35000000"/>
    <n v="31008793.420000002"/>
    <n v="66"/>
    <s v="AMOMPY"/>
    <s v="Momentum Capital Investment S.A."/>
    <s v="29/05/2026"/>
    <s v="29/05/2026"/>
    <n v="29"/>
    <s v="No"/>
    <s v=""/>
    <m/>
    <m/>
    <s v="*PRO131100018"/>
    <s v="*PRO131100018"/>
    <n v="6.9656320671814952E-4"/>
  </r>
  <r>
    <x v="184"/>
    <s v="Pesos"/>
    <d v="2026-11-25T00:00:00"/>
    <s v="08/06/2026"/>
    <n v="0.88100425000000004"/>
    <m/>
    <n v="30000000"/>
    <n v="26430127.440000001"/>
    <n v="30000000"/>
    <n v="26430127.440000001"/>
    <n v="67"/>
    <s v="AMOMPY"/>
    <s v="Momentum Capital Investment S.A."/>
    <s v="29/05/2026"/>
    <s v="29/05/2026"/>
    <n v="29"/>
    <s v="No"/>
    <s v=""/>
    <m/>
    <m/>
    <s v="*PRO201100027"/>
    <s v="*PRO201100027"/>
    <n v="5.937107605000051E-4"/>
  </r>
  <r>
    <x v="184"/>
    <s v="Pesos"/>
    <d v="2026-07-07T00:00:00"/>
    <s v="08/06/2026"/>
    <n v="0.98052404000000004"/>
    <m/>
    <n v="319651714"/>
    <n v="313426191.25"/>
    <n v="319651714"/>
    <n v="313426191.25"/>
    <n v="77043555"/>
    <s v="AMOMPY"/>
    <s v="Momentum Capital Investment S.A."/>
    <s v="04/06/2026"/>
    <s v="04/06/2026"/>
    <n v="25"/>
    <s v="No"/>
    <s v=""/>
    <m/>
    <m/>
    <s v="*PRO030700015"/>
    <s v="*PRO030700015"/>
    <n v="7.0406207003766734E-3"/>
  </r>
  <r>
    <x v="185"/>
    <s v="Pesos"/>
    <d v="2026-06-10T00:00:00"/>
    <s v="08/06/2026"/>
    <n v="0.99846811999999996"/>
    <m/>
    <n v="5000000"/>
    <n v="4992340.59"/>
    <n v="5000000"/>
    <n v="4992340.59"/>
    <n v="6034639"/>
    <s v="AMOMPY"/>
    <s v="Momentum Capital Investment S.A."/>
    <s v="04/05/2026"/>
    <s v="04/05/2026"/>
    <n v="28"/>
    <s v="No"/>
    <s v=""/>
    <m/>
    <m/>
    <s v="*CUY080600010"/>
    <s v="*CUY080600010"/>
    <n v="1.1214498814251438E-4"/>
  </r>
  <r>
    <x v="185"/>
    <s v="Pesos"/>
    <d v="2026-06-11T00:00:00"/>
    <s v="08/06/2026"/>
    <n v="0.99770393000000002"/>
    <m/>
    <n v="5000000"/>
    <n v="4988519.6399999997"/>
    <n v="5000000"/>
    <n v="4988519.6399999997"/>
    <n v="6034640"/>
    <s v="AMOMPY"/>
    <s v="Momentum Capital Investment S.A."/>
    <s v="04/05/2026"/>
    <s v="04/05/2026"/>
    <n v="28"/>
    <s v="No"/>
    <s v=""/>
    <m/>
    <m/>
    <s v="*CUY090600023"/>
    <s v="*CUY090600023"/>
    <n v="1.120591565802004E-4"/>
  </r>
  <r>
    <x v="185"/>
    <s v="Pesos"/>
    <d v="2026-06-18T00:00:00"/>
    <s v="08/06/2026"/>
    <n v="0.99238720999999996"/>
    <m/>
    <n v="5000000"/>
    <n v="4961936.04"/>
    <n v="5000000"/>
    <n v="4961936.04"/>
    <n v="6034641"/>
    <s v="AMOMPY"/>
    <s v="Momentum Capital Investment S.A."/>
    <s v="04/05/2026"/>
    <s v="04/05/2026"/>
    <n v="28"/>
    <s v="No"/>
    <s v=""/>
    <m/>
    <m/>
    <s v="*CUY150600029"/>
    <s v="*CUY150600029"/>
    <n v="1.1146199830282709E-4"/>
  </r>
  <r>
    <x v="185"/>
    <s v="Pesos"/>
    <d v="2026-06-18T00:00:00"/>
    <s v="08/06/2026"/>
    <n v="0.99238720999999996"/>
    <m/>
    <n v="5000000"/>
    <n v="4961936.04"/>
    <n v="5000000"/>
    <n v="4961936.04"/>
    <n v="6034642"/>
    <s v="AMOMPY"/>
    <s v="Momentum Capital Investment S.A."/>
    <s v="04/05/2026"/>
    <s v="04/05/2026"/>
    <n v="28"/>
    <s v="No"/>
    <s v=""/>
    <m/>
    <m/>
    <s v="*CUY160600030"/>
    <s v="*CUY160600030"/>
    <n v="1.1146199830282709E-4"/>
  </r>
  <r>
    <x v="185"/>
    <s v="Pesos"/>
    <d v="2026-06-24T00:00:00"/>
    <s v="08/06/2026"/>
    <n v="0.98787484999999997"/>
    <m/>
    <n v="5000000"/>
    <n v="4939374.2699999996"/>
    <n v="5000000"/>
    <n v="4939374.2699999996"/>
    <n v="6034643"/>
    <s v="AMOMPY"/>
    <s v="Momentum Capital Investment S.A."/>
    <s v="04/05/2026"/>
    <s v="04/05/2026"/>
    <n v="28"/>
    <s v="No"/>
    <s v=""/>
    <m/>
    <m/>
    <s v="*CUY220600023"/>
    <s v="*CUY220600023"/>
    <n v="1.1095518403735163E-4"/>
  </r>
  <r>
    <x v="185"/>
    <s v="Pesos"/>
    <d v="2026-06-25T00:00:00"/>
    <s v="08/06/2026"/>
    <n v="0.98712685"/>
    <m/>
    <n v="5000000"/>
    <n v="4935634.2699999996"/>
    <n v="5000000"/>
    <n v="4935634.2699999996"/>
    <n v="6034644"/>
    <s v="AMOMPY"/>
    <s v="Momentum Capital Investment S.A."/>
    <s v="04/05/2026"/>
    <s v="04/05/2026"/>
    <n v="28"/>
    <s v="No"/>
    <s v=""/>
    <m/>
    <m/>
    <s v="*CUY230600036"/>
    <s v="*CUY230600036"/>
    <n v="1.1087117088798976E-4"/>
  </r>
  <r>
    <x v="185"/>
    <s v="Pesos"/>
    <d v="2026-07-01T00:00:00"/>
    <s v="08/06/2026"/>
    <n v="0.98266207999999999"/>
    <m/>
    <n v="5000000"/>
    <n v="4913310.41"/>
    <n v="5000000"/>
    <n v="4913310.41"/>
    <n v="6034645"/>
    <s v="AMOMPY"/>
    <s v="Momentum Capital Investment S.A."/>
    <s v="04/05/2026"/>
    <s v="04/05/2026"/>
    <n v="28"/>
    <s v="No"/>
    <s v=""/>
    <m/>
    <m/>
    <s v="*CUY290600023"/>
    <s v="*CUY290600023"/>
    <n v="1.1036970089213053E-4"/>
  </r>
  <r>
    <x v="185"/>
    <s v="Pesos"/>
    <d v="2026-07-02T00:00:00"/>
    <s v="08/06/2026"/>
    <n v="0.98192197000000003"/>
    <m/>
    <n v="5000000"/>
    <n v="4909609.8499999996"/>
    <n v="5000000"/>
    <n v="4909609.8499999996"/>
    <n v="6034646"/>
    <s v="AMOMPY"/>
    <s v="Momentum Capital Investment S.A."/>
    <s v="04/05/2026"/>
    <s v="04/05/2026"/>
    <n v="28"/>
    <s v="No"/>
    <s v=""/>
    <m/>
    <m/>
    <s v="*CUY300600035"/>
    <s v="*CUY300600035"/>
    <n v="1.1028657369961647E-4"/>
  </r>
  <r>
    <x v="185"/>
    <s v="Pesos"/>
    <d v="2026-08-06T00:00:00"/>
    <s v="08/06/2026"/>
    <n v="0.95669956"/>
    <m/>
    <n v="6500000"/>
    <n v="6218547.1299999999"/>
    <n v="6500000"/>
    <n v="6218547.1299999999"/>
    <n v="29175497"/>
    <s v="AMOMPY"/>
    <s v="Momentum Capital Investment S.A."/>
    <s v="04/05/2026"/>
    <s v="04/05/2026"/>
    <n v="28"/>
    <s v="No"/>
    <s v=""/>
    <m/>
    <m/>
    <s v="*CUY040800025"/>
    <s v="*CUY040800025"/>
    <n v="1.3968976707126403E-4"/>
  </r>
  <r>
    <x v="185"/>
    <s v="Pesos"/>
    <d v="2026-07-08T00:00:00"/>
    <s v="08/06/2026"/>
    <n v="0.97750404000000002"/>
    <m/>
    <n v="6500000"/>
    <n v="6353776.2599999998"/>
    <n v="6500000"/>
    <n v="6353776.2599999998"/>
    <n v="29175485"/>
    <s v="AMOMPY"/>
    <s v="Momentum Capital Investment S.A."/>
    <s v="04/05/2026"/>
    <s v="04/05/2026"/>
    <n v="28"/>
    <s v="No"/>
    <s v=""/>
    <m/>
    <m/>
    <s v="*CUY060700025"/>
    <s v="*CUY060700025"/>
    <n v="1.4272747431638862E-4"/>
  </r>
  <r>
    <x v="185"/>
    <s v="Pesos"/>
    <d v="2026-07-13T00:00:00"/>
    <s v="08/06/2026"/>
    <n v="0.97385283"/>
    <m/>
    <n v="6500000"/>
    <n v="6330043.3899999997"/>
    <n v="6500000"/>
    <n v="6330043.3899999997"/>
    <n v="29175483"/>
    <s v="AMOMPY"/>
    <s v="Momentum Capital Investment S.A."/>
    <s v="04/05/2026"/>
    <s v="04/05/2026"/>
    <n v="28"/>
    <s v="No"/>
    <s v=""/>
    <m/>
    <m/>
    <s v="*CUY070700022"/>
    <s v="*CUY070700022"/>
    <n v="1.421943531527266E-4"/>
  </r>
  <r>
    <x v="185"/>
    <s v="Pesos"/>
    <d v="2026-08-12T00:00:00"/>
    <s v="08/06/2026"/>
    <n v="0.95250531999999999"/>
    <m/>
    <n v="7000000"/>
    <n v="6667537.2199999997"/>
    <n v="7000000"/>
    <n v="6667537.2199999997"/>
    <n v="29175494"/>
    <s v="AMOMPY"/>
    <s v="Momentum Capital Investment S.A."/>
    <s v="04/05/2026"/>
    <s v="04/05/2026"/>
    <n v="28"/>
    <s v="No"/>
    <s v=""/>
    <m/>
    <m/>
    <s v="*CUY100800020"/>
    <s v="*CUY100800020"/>
    <n v="1.4977561506409026E-4"/>
  </r>
  <r>
    <x v="185"/>
    <s v="Pesos"/>
    <d v="2026-08-13T00:00:00"/>
    <s v="08/06/2026"/>
    <n v="0.95180980000000004"/>
    <m/>
    <n v="7000000"/>
    <n v="6662668.5700000003"/>
    <n v="7000000"/>
    <n v="6662668.5700000003"/>
    <n v="29175498"/>
    <s v="AMOMPY"/>
    <s v="Momentum Capital Investment S.A."/>
    <s v="04/05/2026"/>
    <s v="04/05/2026"/>
    <n v="28"/>
    <s v="No"/>
    <s v=""/>
    <m/>
    <m/>
    <s v="*CUY110800024"/>
    <s v="*CUY110800024"/>
    <n v="1.4966624858825053E-4"/>
  </r>
  <r>
    <x v="185"/>
    <s v="Pesos"/>
    <d v="2026-07-15T00:00:00"/>
    <s v="08/06/2026"/>
    <n v="0.97239987000000006"/>
    <m/>
    <n v="6500000"/>
    <n v="6320599.1299999999"/>
    <n v="6500000"/>
    <n v="6320599.1299999999"/>
    <n v="29175490"/>
    <s v="AMOMPY"/>
    <s v="Momentum Capital Investment S.A."/>
    <s v="04/05/2026"/>
    <s v="04/05/2026"/>
    <n v="28"/>
    <s v="No"/>
    <s v=""/>
    <m/>
    <m/>
    <s v="*CUY130700038"/>
    <s v="*CUY130700038"/>
    <n v="1.419822028783971E-4"/>
  </r>
  <r>
    <x v="185"/>
    <s v="Pesos"/>
    <d v="2026-07-16T00:00:00"/>
    <s v="08/06/2026"/>
    <n v="0.97167501000000001"/>
    <m/>
    <n v="6500000"/>
    <n v="6315887.5599999996"/>
    <n v="6500000"/>
    <n v="6315887.5599999996"/>
    <n v="29175488"/>
    <s v="AMOMPY"/>
    <s v="Momentum Capital Investment S.A."/>
    <s v="04/05/2026"/>
    <s v="04/05/2026"/>
    <n v="28"/>
    <s v="No"/>
    <s v=""/>
    <m/>
    <m/>
    <s v="*CUY140700024"/>
    <s v="*CUY140700024"/>
    <n v="1.4187636495483055E-4"/>
  </r>
  <r>
    <x v="185"/>
    <s v="Pesos"/>
    <d v="2026-08-20T00:00:00"/>
    <s v="08/06/2026"/>
    <n v="0.94696977000000004"/>
    <m/>
    <n v="5000000"/>
    <n v="4734848.83"/>
    <n v="5000000"/>
    <n v="4734848.83"/>
    <n v="29175486"/>
    <s v="AMOMPY"/>
    <s v="Momentum Capital Investment S.A."/>
    <s v="04/05/2026"/>
    <s v="04/05/2026"/>
    <n v="28"/>
    <s v="No"/>
    <s v=""/>
    <m/>
    <m/>
    <s v="*CUY170800021"/>
    <s v="*CUY170800021"/>
    <n v="1.0636084544403011E-4"/>
  </r>
  <r>
    <x v="185"/>
    <s v="Pesos"/>
    <d v="2026-08-05T00:00:00"/>
    <s v="08/06/2026"/>
    <n v="0.95740223999999996"/>
    <m/>
    <n v="6500000"/>
    <n v="6223114.5899999999"/>
    <n v="6500000"/>
    <n v="6223114.5899999999"/>
    <n v="29175491"/>
    <s v="AMOMPY"/>
    <s v="Momentum Capital Investment S.A."/>
    <s v="04/05/2026"/>
    <s v="04/05/2026"/>
    <n v="28"/>
    <s v="No"/>
    <s v=""/>
    <m/>
    <m/>
    <s v="*CUY030800022"/>
    <s v="*CUY030800022"/>
    <n v="1.3979236779297109E-4"/>
  </r>
  <r>
    <x v="185"/>
    <s v="Pesos"/>
    <d v="2026-07-22T00:00:00"/>
    <s v="08/06/2026"/>
    <n v="0.96734872000000005"/>
    <m/>
    <n v="6500000"/>
    <n v="6287766.6799999997"/>
    <n v="6500000"/>
    <n v="6287766.6799999997"/>
    <n v="29175495"/>
    <s v="AMOMPY"/>
    <s v="Momentum Capital Investment S.A."/>
    <s v="04/05/2026"/>
    <s v="04/05/2026"/>
    <n v="28"/>
    <s v="No"/>
    <s v=""/>
    <m/>
    <m/>
    <s v="*CUY200700030"/>
    <s v="*CUY200700030"/>
    <n v="1.4124467412819224E-4"/>
  </r>
  <r>
    <x v="185"/>
    <s v="Pesos"/>
    <d v="2026-07-23T00:00:00"/>
    <s v="08/06/2026"/>
    <n v="0.96663136999999999"/>
    <m/>
    <n v="6500000"/>
    <n v="6283103.9000000004"/>
    <n v="6500000"/>
    <n v="6283103.9000000004"/>
    <n v="29175489"/>
    <s v="AMOMPY"/>
    <s v="Momentum Capital Investment S.A."/>
    <s v="04/05/2026"/>
    <s v="04/05/2026"/>
    <n v="28"/>
    <s v="No"/>
    <s v=""/>
    <m/>
    <m/>
    <s v="*CUY210700026"/>
    <s v="*CUY210700026"/>
    <n v="1.4113993219434692E-4"/>
  </r>
  <r>
    <x v="185"/>
    <s v="Pesos"/>
    <d v="2026-08-26T00:00:00"/>
    <s v="08/06/2026"/>
    <n v="0.94286022999999997"/>
    <m/>
    <n v="5000000"/>
    <n v="4714301.1399999997"/>
    <n v="5000000"/>
    <n v="4714301.1399999997"/>
    <n v="29175487"/>
    <s v="AMOMPY"/>
    <s v="Momentum Capital Investment S.A."/>
    <s v="04/05/2026"/>
    <s v="04/05/2026"/>
    <n v="28"/>
    <s v="No"/>
    <s v=""/>
    <m/>
    <m/>
    <s v="*CUY240800027"/>
    <s v="*CUY240800027"/>
    <n v="1.0589927428119282E-4"/>
  </r>
  <r>
    <x v="185"/>
    <s v="Pesos"/>
    <d v="2026-08-27T00:00:00"/>
    <s v="08/06/2026"/>
    <n v="0.94217870999999997"/>
    <m/>
    <n v="5000000"/>
    <n v="4710893.5599999996"/>
    <n v="5000000"/>
    <n v="4710893.5599999996"/>
    <n v="29175496"/>
    <s v="AMOMPY"/>
    <s v="Momentum Capital Investment S.A."/>
    <s v="04/05/2026"/>
    <s v="04/05/2026"/>
    <n v="28"/>
    <s v="No"/>
    <s v=""/>
    <m/>
    <m/>
    <s v="*CUY250800056"/>
    <s v="*CUY250800056"/>
    <n v="1.0582272841822423E-4"/>
  </r>
  <r>
    <x v="185"/>
    <s v="Pesos"/>
    <d v="2026-07-29T00:00:00"/>
    <s v="08/06/2026"/>
    <n v="0.96234978000000004"/>
    <m/>
    <n v="6500000"/>
    <n v="6255273.5800000001"/>
    <n v="6500000"/>
    <n v="6255273.5800000001"/>
    <n v="29175492"/>
    <s v="AMOMPY"/>
    <s v="Momentum Capital Investment S.A."/>
    <s v="04/05/2026"/>
    <s v="04/05/2026"/>
    <n v="28"/>
    <s v="No"/>
    <s v=""/>
    <m/>
    <m/>
    <s v="*CUY270700036"/>
    <s v="*CUY270700036"/>
    <n v="1.4051476833580449E-4"/>
  </r>
  <r>
    <x v="185"/>
    <s v="Pesos"/>
    <d v="2026-07-30T00:00:00"/>
    <s v="08/06/2026"/>
    <n v="0.96163982000000003"/>
    <m/>
    <n v="6500000"/>
    <n v="6250658.8200000003"/>
    <n v="6500000"/>
    <n v="6250658.8200000003"/>
    <n v="29175493"/>
    <s v="AMOMPY"/>
    <s v="Momentum Capital Investment S.A."/>
    <s v="04/05/2026"/>
    <s v="04/05/2026"/>
    <n v="28"/>
    <s v="No"/>
    <s v=""/>
    <m/>
    <m/>
    <s v="*CUY280700024"/>
    <s v="*CUY280700024"/>
    <n v="1.4041110509485551E-4"/>
  </r>
  <r>
    <x v="185"/>
    <s v="Pesos"/>
    <d v="2026-08-20T00:00:00"/>
    <s v="08/06/2026"/>
    <n v="0.94696977000000004"/>
    <m/>
    <n v="5000000"/>
    <n v="4734848.83"/>
    <n v="5000000"/>
    <n v="4734848.83"/>
    <n v="29175484"/>
    <s v="AMOMPY"/>
    <s v="Momentum Capital Investment S.A."/>
    <s v="04/05/2026"/>
    <s v="04/05/2026"/>
    <n v="28"/>
    <s v="No"/>
    <s v=""/>
    <m/>
    <m/>
    <s v="*CUY180800042"/>
    <s v="*CUY180800042"/>
    <n v="1.0636084544403011E-4"/>
  </r>
  <r>
    <x v="186"/>
    <s v="Pesos"/>
    <d v="2026-09-01T00:00:00"/>
    <s v="08/06/2026"/>
    <n v="0.93469917999999996"/>
    <m/>
    <n v="25000000"/>
    <n v="23367479.48"/>
    <n v="25000000"/>
    <n v="23367479.48"/>
    <n v="718978"/>
    <s v="AMOMPY"/>
    <s v="Momentum Capital Investment S.A."/>
    <s v="17/04/2026"/>
    <s v="17/04/2026"/>
    <n v="30"/>
    <s v="No"/>
    <s v=""/>
    <m/>
    <m/>
    <s v="*CVA280800007"/>
    <s v="*CVA280800007"/>
    <n v="5.2491324699564378E-4"/>
  </r>
  <r>
    <x v="186"/>
    <s v="Pesos"/>
    <d v="2026-09-08T00:00:00"/>
    <s v="08/06/2026"/>
    <n v="0.92969953000000005"/>
    <m/>
    <n v="24000000"/>
    <n v="22312788.75"/>
    <n v="24000000"/>
    <n v="22312788.75"/>
    <n v="718980"/>
    <s v="AMOMPY"/>
    <s v="Momentum Capital Investment S.A."/>
    <s v="17/04/2026"/>
    <s v="17/04/2026"/>
    <n v="30"/>
    <s v="No"/>
    <s v=""/>
    <m/>
    <m/>
    <s v="*CVA040900007"/>
    <s v="*CVA040900007"/>
    <n v="5.0122129784321834E-4"/>
  </r>
  <r>
    <x v="186"/>
    <s v="Pesos"/>
    <d v="2026-09-02T00:00:00"/>
    <s v="08/06/2026"/>
    <n v="0.93398161000000002"/>
    <m/>
    <n v="25000000"/>
    <n v="23349540.18"/>
    <n v="25000000"/>
    <n v="23349540.18"/>
    <n v="718979"/>
    <s v="AMOMPY"/>
    <s v="Momentum Capital Investment S.A."/>
    <s v="17/04/2026"/>
    <s v="17/04/2026"/>
    <n v="30"/>
    <s v="No"/>
    <s v=""/>
    <m/>
    <m/>
    <s v="*CVA310800024"/>
    <s v="*CVA310800024"/>
    <n v="5.2451026916400007E-4"/>
  </r>
  <r>
    <x v="187"/>
    <s v="Pesos"/>
    <d v="2026-06-29T00:00:00"/>
    <s v="08/06/2026"/>
    <n v="0.98470336999999997"/>
    <m/>
    <n v="3000000"/>
    <n v="2954110.12"/>
    <n v="3000000"/>
    <n v="2954110.12"/>
    <n v="13314552"/>
    <s v="AMOMPY"/>
    <s v="Momentum Capital Investment S.A."/>
    <s v="17/04/2026"/>
    <s v="17/04/2026"/>
    <n v="27"/>
    <s v="No"/>
    <s v=""/>
    <m/>
    <m/>
    <s v="*MOV250600056"/>
    <s v="*MOV250600056"/>
    <n v="6.6359383621116637E-5"/>
  </r>
  <r>
    <x v="187"/>
    <s v="Pesos"/>
    <d v="2026-07-15T00:00:00"/>
    <s v="08/06/2026"/>
    <n v="0.97144233000000002"/>
    <m/>
    <n v="2500000"/>
    <n v="2428605.8199999998"/>
    <n v="2500000"/>
    <n v="2428605.8199999998"/>
    <n v="364"/>
    <s v="AMOMPY"/>
    <s v="Momentum Capital Investment S.A."/>
    <s v="17/04/2026"/>
    <s v="17/04/2026"/>
    <n v="29"/>
    <s v="No"/>
    <s v=""/>
    <m/>
    <m/>
    <s v="*MOV100700068"/>
    <s v="*MOV100700068"/>
    <n v="5.4554765640847712E-5"/>
  </r>
  <r>
    <x v="187"/>
    <s v="Pesos"/>
    <d v="2026-08-19T00:00:00"/>
    <s v="08/06/2026"/>
    <n v="0.94588992999999999"/>
    <m/>
    <n v="2500000"/>
    <n v="2364724.8199999998"/>
    <n v="2500000"/>
    <n v="2364724.8199999998"/>
    <n v="366"/>
    <s v="AMOMPY"/>
    <s v="Momentum Capital Investment S.A."/>
    <s v="17/04/2026"/>
    <s v="17/04/2026"/>
    <n v="29"/>
    <s v="No"/>
    <s v=""/>
    <m/>
    <m/>
    <s v="*MOV140800051"/>
    <s v="*MOV140800051"/>
    <n v="5.3119780615610893E-5"/>
  </r>
  <r>
    <x v="187"/>
    <s v="Pesos"/>
    <d v="2026-09-01T00:00:00"/>
    <s v="08/06/2026"/>
    <n v="0.93673817000000004"/>
    <m/>
    <n v="2500000"/>
    <n v="2341845.42"/>
    <n v="2500000"/>
    <n v="2341845.42"/>
    <n v="367"/>
    <s v="AMOMPY"/>
    <s v="Momentum Capital Investment S.A."/>
    <s v="17/04/2026"/>
    <s v="17/04/2026"/>
    <n v="29"/>
    <s v="No"/>
    <s v=""/>
    <m/>
    <m/>
    <s v="*MOV280800055"/>
    <s v="*MOV280800055"/>
    <n v="5.2605831297560094E-5"/>
  </r>
  <r>
    <x v="187"/>
    <s v="Pesos"/>
    <d v="2026-08-03T00:00:00"/>
    <s v="08/06/2026"/>
    <n v="0.95740221999999997"/>
    <m/>
    <n v="2500000"/>
    <n v="2393505.5499999998"/>
    <n v="2500000"/>
    <n v="2393505.5499999998"/>
    <n v="365"/>
    <s v="AMOMPY"/>
    <s v="Momentum Capital Investment S.A."/>
    <s v="17/04/2026"/>
    <s v="17/04/2026"/>
    <n v="29"/>
    <s v="No"/>
    <s v=""/>
    <m/>
    <m/>
    <s v="*MOV300700055"/>
    <s v="*MOV300700055"/>
    <n v="5.3766293922625252E-5"/>
  </r>
  <r>
    <x v="187"/>
    <s v="Pesos"/>
    <d v="2026-07-15T00:00:00"/>
    <s v="08/06/2026"/>
    <n v="0.97239989999999998"/>
    <m/>
    <n v="40000000"/>
    <n v="38895995.899999999"/>
    <n v="40000000"/>
    <n v="38895995.899999999"/>
    <n v="29086863"/>
    <s v="AMOMPY"/>
    <s v="Momentum Capital Investment S.A."/>
    <s v="17/04/2026"/>
    <s v="17/04/2026"/>
    <n v="28"/>
    <s v="No"/>
    <s v=""/>
    <m/>
    <m/>
    <s v="*MOV100700072"/>
    <s v="*MOV100700072"/>
    <n v="8.7373666126348718E-4"/>
  </r>
  <r>
    <x v="187"/>
    <s v="Pesos"/>
    <d v="2026-06-11T00:00:00"/>
    <s v="08/06/2026"/>
    <n v="0.99794943000000003"/>
    <m/>
    <n v="321666.46000000002"/>
    <n v="321006.86"/>
    <n v="321666.46000000002"/>
    <n v="321006.86"/>
    <n v="762"/>
    <s v="AMOMPY"/>
    <s v="Momentum Capital Investment S.A."/>
    <s v="17/04/2026"/>
    <s v="17/04/2026"/>
    <n v="25"/>
    <s v="No"/>
    <s v=""/>
    <m/>
    <m/>
    <s v="*MOV090600056"/>
    <s v="*MOV090600056"/>
    <n v="7.2109083623971605E-6"/>
  </r>
  <r>
    <x v="187"/>
    <s v="Pesos"/>
    <d v="2026-06-11T00:00:00"/>
    <s v="08/06/2026"/>
    <n v="0.99794943999999997"/>
    <m/>
    <n v="250000"/>
    <n v="249487.35999999999"/>
    <n v="250000"/>
    <n v="249487.35999999999"/>
    <n v="90000276"/>
    <s v="AMOMPY"/>
    <s v="Momentum Capital Investment S.A."/>
    <s v="17/04/2026"/>
    <s v="17/04/2026"/>
    <n v="25"/>
    <s v="No"/>
    <s v=""/>
    <m/>
    <m/>
    <s v="*MOV090600055"/>
    <s v="*MOV090600055"/>
    <n v="5.60433658812273E-6"/>
  </r>
  <r>
    <x v="187"/>
    <s v="Pesos"/>
    <d v="2026-06-10T00:00:00"/>
    <s v="08/06/2026"/>
    <n v="0.99863201000000001"/>
    <m/>
    <n v="996595"/>
    <n v="995231.67"/>
    <n v="996595"/>
    <n v="995231.67"/>
    <n v="14303478"/>
    <s v="AMOMPY"/>
    <s v="Momentum Capital Investment S.A."/>
    <s v="17/04/2026"/>
    <s v="17/04/2026"/>
    <n v="25"/>
    <s v="No"/>
    <s v=""/>
    <m/>
    <m/>
    <s v="*MOV080600040"/>
    <s v="*MOV080600040"/>
    <n v="2.2356295973629635E-5"/>
  </r>
  <r>
    <x v="187"/>
    <s v="Pesos"/>
    <d v="2026-06-10T00:00:00"/>
    <s v="08/06/2026"/>
    <n v="0.99863201000000001"/>
    <m/>
    <n v="696310"/>
    <n v="695357.46"/>
    <n v="696310"/>
    <n v="695357.46"/>
    <n v="16303475"/>
    <s v="AMOMPY"/>
    <s v="Momentum Capital Investment S.A."/>
    <s v="17/04/2026"/>
    <s v="17/04/2026"/>
    <n v="25"/>
    <s v="No"/>
    <s v=""/>
    <m/>
    <m/>
    <s v="*MOV070600042"/>
    <s v="*MOV070600042"/>
    <n v="1.5620098969751766E-5"/>
  </r>
  <r>
    <x v="187"/>
    <s v="Pesos"/>
    <d v="2026-06-10T00:00:00"/>
    <s v="08/06/2026"/>
    <n v="0.99863201000000001"/>
    <m/>
    <n v="643398.03"/>
    <n v="642517.87"/>
    <n v="643398.03"/>
    <n v="642517.87"/>
    <n v="383"/>
    <s v="AMOMPY"/>
    <s v="Momentum Capital Investment S.A."/>
    <s v="17/04/2026"/>
    <s v="17/04/2026"/>
    <n v="25"/>
    <s v="No"/>
    <s v=""/>
    <m/>
    <m/>
    <s v="*MOV070600041"/>
    <s v="*MOV070600041"/>
    <n v="1.4433141652401484E-5"/>
  </r>
  <r>
    <x v="187"/>
    <s v="Pesos"/>
    <d v="2026-06-10T00:00:00"/>
    <s v="08/06/2026"/>
    <n v="0.99863203"/>
    <m/>
    <n v="186067"/>
    <n v="185812.47"/>
    <n v="186067"/>
    <n v="185812.47"/>
    <n v="135"/>
    <s v="AMOMPY"/>
    <s v="Momentum Capital Investment S.A."/>
    <s v="17/04/2026"/>
    <s v="17/04/2026"/>
    <n v="25"/>
    <s v="No"/>
    <s v=""/>
    <m/>
    <m/>
    <s v="*MOV060600069"/>
    <s v="*MOV060600069"/>
    <n v="4.1739814960984684E-6"/>
  </r>
  <r>
    <x v="187"/>
    <s v="Pesos"/>
    <d v="2026-06-10T00:00:00"/>
    <s v="08/06/2026"/>
    <n v="0.99863201999999995"/>
    <m/>
    <n v="137605.5"/>
    <n v="137417.26"/>
    <n v="137605.5"/>
    <n v="137417.26"/>
    <n v="45"/>
    <s v="AMOMPY"/>
    <s v="Momentum Capital Investment S.A."/>
    <s v="17/04/2026"/>
    <s v="17/04/2026"/>
    <n v="25"/>
    <s v="No"/>
    <s v=""/>
    <m/>
    <m/>
    <s v="*MOV060600068"/>
    <s v="*MOV060600068"/>
    <n v="3.0868601040853298E-6"/>
  </r>
  <r>
    <x v="187"/>
    <s v="Pesos"/>
    <d v="2026-06-10T00:00:00"/>
    <s v="08/06/2026"/>
    <n v="0.99863201999999995"/>
    <m/>
    <n v="577850.63"/>
    <n v="577060.14"/>
    <n v="577850.63"/>
    <n v="577060.14"/>
    <n v="4446"/>
    <s v="AMOMPY"/>
    <s v="Momentum Capital Investment S.A."/>
    <s v="17/04/2026"/>
    <s v="17/04/2026"/>
    <n v="25"/>
    <s v="No"/>
    <s v=""/>
    <m/>
    <m/>
    <s v="*MOV060600067"/>
    <s v="*MOV060600067"/>
    <n v="1.2962737896417778E-5"/>
  </r>
  <r>
    <x v="187"/>
    <s v="Pesos"/>
    <d v="2026-06-10T00:00:00"/>
    <s v="08/06/2026"/>
    <n v="0.99863201000000001"/>
    <m/>
    <n v="325760.8"/>
    <n v="325315.15999999997"/>
    <n v="325760.8"/>
    <n v="325315.15999999997"/>
    <n v="46"/>
    <s v="AMOMPY"/>
    <s v="Momentum Capital Investment S.A."/>
    <s v="17/04/2026"/>
    <s v="17/04/2026"/>
    <n v="25"/>
    <s v="No"/>
    <s v=""/>
    <m/>
    <m/>
    <s v="*MOV060600066"/>
    <s v="*MOV060600066"/>
    <n v="7.3076874670484307E-6"/>
  </r>
  <r>
    <x v="187"/>
    <s v="Pesos"/>
    <d v="2026-06-10T00:00:00"/>
    <s v="08/06/2026"/>
    <n v="0.99863201000000001"/>
    <m/>
    <n v="113740"/>
    <n v="113584.41"/>
    <n v="113740"/>
    <n v="113584.41"/>
    <n v="14903483"/>
    <s v="AMOMPY"/>
    <s v="Momentum Capital Investment S.A."/>
    <s v="17/04/2026"/>
    <s v="17/04/2026"/>
    <n v="25"/>
    <s v="No"/>
    <s v=""/>
    <m/>
    <m/>
    <s v="*MOV060600065"/>
    <s v="*MOV060600065"/>
    <n v="2.5514930487994795E-6"/>
  </r>
  <r>
    <x v="187"/>
    <s v="Pesos"/>
    <d v="2026-06-12T00:00:00"/>
    <s v="08/06/2026"/>
    <n v="0.99715878999999996"/>
    <m/>
    <n v="1215596.28"/>
    <n v="1212142.52"/>
    <n v="1215596.28"/>
    <n v="1212142.52"/>
    <n v="6800087"/>
    <s v="AMOMPY"/>
    <s v="Momentum Capital Investment S.A."/>
    <s v="17/04/2026"/>
    <s v="17/04/2026"/>
    <n v="26"/>
    <s v="No"/>
    <s v=""/>
    <m/>
    <m/>
    <s v="*MOV100600082"/>
    <s v="*MOV100600082"/>
    <n v="2.722885309642656E-5"/>
  </r>
  <r>
    <x v="187"/>
    <s v="Pesos"/>
    <d v="2026-10-06T00:00:00"/>
    <s v="08/06/2026"/>
    <n v="0.91570501000000004"/>
    <m/>
    <n v="2500000"/>
    <n v="2289262.52"/>
    <n v="2500000"/>
    <n v="2289262.52"/>
    <n v="90031811"/>
    <s v="AMOMPY"/>
    <s v="Momentum Capital Investment S.A."/>
    <s v="22/04/2026"/>
    <s v="22/04/2026"/>
    <n v="28"/>
    <s v="No"/>
    <s v=""/>
    <m/>
    <m/>
    <s v="*MOV021000044"/>
    <s v="*MOV021000044"/>
    <n v="5.1424640112645561E-5"/>
  </r>
  <r>
    <x v="187"/>
    <s v="Pesos"/>
    <d v="2026-10-07T00:00:00"/>
    <s v="08/06/2026"/>
    <n v="0.91506233999999997"/>
    <m/>
    <n v="2500000"/>
    <n v="2287655.85"/>
    <n v="2500000"/>
    <n v="2287655.85"/>
    <n v="90031812"/>
    <s v="AMOMPY"/>
    <s v="Momentum Capital Investment S.A."/>
    <s v="22/04/2026"/>
    <s v="22/04/2026"/>
    <n v="28"/>
    <s v="No"/>
    <s v=""/>
    <m/>
    <m/>
    <s v="*MOV051000047"/>
    <s v="*MOV051000047"/>
    <n v="5.1388548827435602E-5"/>
  </r>
  <r>
    <x v="187"/>
    <s v="Pesos"/>
    <d v="2026-10-09T00:00:00"/>
    <s v="08/06/2026"/>
    <n v="0.91377936000000004"/>
    <m/>
    <n v="2500000"/>
    <n v="2284448.41"/>
    <n v="2500000"/>
    <n v="2284448.41"/>
    <n v="90031813"/>
    <s v="AMOMPY"/>
    <s v="Momentum Capital Investment S.A."/>
    <s v="22/04/2026"/>
    <s v="22/04/2026"/>
    <n v="28"/>
    <s v="No"/>
    <s v=""/>
    <m/>
    <m/>
    <s v="*MOV071000055"/>
    <s v="*MOV071000055"/>
    <n v="5.1316498791128322E-5"/>
  </r>
  <r>
    <x v="187"/>
    <s v="Pesos"/>
    <d v="2026-10-14T00:00:00"/>
    <s v="08/06/2026"/>
    <n v="0.91058777000000002"/>
    <m/>
    <n v="2500000"/>
    <n v="2276469.42"/>
    <n v="2500000"/>
    <n v="2276469.42"/>
    <n v="90031814"/>
    <s v="AMOMPY"/>
    <s v="Momentum Capital Investment S.A."/>
    <s v="22/04/2026"/>
    <s v="22/04/2026"/>
    <n v="28"/>
    <s v="No"/>
    <s v=""/>
    <m/>
    <m/>
    <s v="*MOV091000055"/>
    <s v="*MOV091000055"/>
    <n v="5.1137263475987442E-5"/>
  </r>
  <r>
    <x v="187"/>
    <s v="Pesos"/>
    <d v="2026-10-15T00:00:00"/>
    <s v="08/06/2026"/>
    <n v="0.90995225999999996"/>
    <m/>
    <n v="2500000"/>
    <n v="2274880.66"/>
    <n v="2500000"/>
    <n v="2274880.66"/>
    <n v="90031815"/>
    <s v="AMOMPY"/>
    <s v="Momentum Capital Investment S.A."/>
    <s v="22/04/2026"/>
    <s v="22/04/2026"/>
    <n v="28"/>
    <s v="No"/>
    <s v=""/>
    <m/>
    <m/>
    <s v="*MOV131000083"/>
    <s v="*MOV131000083"/>
    <n v="5.110157451043125E-5"/>
  </r>
  <r>
    <x v="187"/>
    <s v="Pesos"/>
    <d v="2026-10-22T00:00:00"/>
    <s v="08/06/2026"/>
    <n v="0.90552756999999995"/>
    <m/>
    <n v="2500000"/>
    <n v="2263818.9300000002"/>
    <n v="2500000"/>
    <n v="2263818.9300000002"/>
    <n v="90031818"/>
    <s v="AMOMPY"/>
    <s v="Momentum Capital Investment S.A."/>
    <s v="22/04/2026"/>
    <s v="22/04/2026"/>
    <n v="28"/>
    <s v="No"/>
    <s v=""/>
    <m/>
    <m/>
    <s v="*MOV201000066"/>
    <s v="*MOV201000066"/>
    <n v="5.0853090346075452E-5"/>
  </r>
  <r>
    <x v="187"/>
    <s v="Pesos"/>
    <d v="2026-10-23T00:00:00"/>
    <s v="08/06/2026"/>
    <n v="0.90489894000000004"/>
    <m/>
    <n v="2500000"/>
    <n v="2262247.35"/>
    <n v="2500000"/>
    <n v="2262247.35"/>
    <n v="90031819"/>
    <s v="AMOMPY"/>
    <s v="Momentum Capital Investment S.A."/>
    <s v="22/04/2026"/>
    <s v="22/04/2026"/>
    <n v="28"/>
    <s v="No"/>
    <s v=""/>
    <m/>
    <m/>
    <s v="*MOV211000064"/>
    <s v="*MOV211000064"/>
    <n v="5.0817787301884505E-5"/>
  </r>
  <r>
    <x v="187"/>
    <s v="Pesos"/>
    <d v="2026-10-26T00:00:00"/>
    <s v="08/06/2026"/>
    <n v="0.90301843999999998"/>
    <m/>
    <n v="2500000"/>
    <n v="2257546.09"/>
    <n v="2500000"/>
    <n v="2257546.09"/>
    <n v="90031820"/>
    <s v="AMOMPY"/>
    <s v="Momentum Capital Investment S.A."/>
    <s v="22/04/2026"/>
    <s v="22/04/2026"/>
    <n v="28"/>
    <s v="No"/>
    <s v=""/>
    <m/>
    <m/>
    <s v="*MOV221000057"/>
    <s v="*MOV221000057"/>
    <n v="5.0712180976063913E-5"/>
  </r>
  <r>
    <x v="187"/>
    <s v="Pesos"/>
    <d v="2026-10-28T00:00:00"/>
    <s v="08/06/2026"/>
    <n v="0.90176898999999999"/>
    <m/>
    <n v="2500000"/>
    <n v="2254422.4700000002"/>
    <n v="2500000"/>
    <n v="2254422.4700000002"/>
    <n v="90031822"/>
    <s v="AMOMPY"/>
    <s v="Momentum Capital Investment S.A."/>
    <s v="22/04/2026"/>
    <s v="22/04/2026"/>
    <n v="28"/>
    <s v="No"/>
    <s v=""/>
    <m/>
    <m/>
    <s v="*MOV261000050"/>
    <s v="*MOV261000050"/>
    <n v="5.0642013822692334E-5"/>
  </r>
  <r>
    <x v="187"/>
    <s v="Pesos"/>
    <d v="2026-10-29T00:00:00"/>
    <s v="08/06/2026"/>
    <n v="0.90114572999999998"/>
    <m/>
    <n v="2500000"/>
    <n v="2252864.34"/>
    <n v="2500000"/>
    <n v="2252864.34"/>
    <n v="90031823"/>
    <s v="AMOMPY"/>
    <s v="Momentum Capital Investment S.A."/>
    <s v="22/04/2026"/>
    <s v="22/04/2026"/>
    <n v="28"/>
    <s v="No"/>
    <s v=""/>
    <m/>
    <m/>
    <s v="*MOV271000069"/>
    <s v="*MOV271000069"/>
    <n v="5.0607012911351362E-5"/>
  </r>
  <r>
    <x v="187"/>
    <s v="Pesos"/>
    <d v="2026-11-02T00:00:00"/>
    <s v="08/06/2026"/>
    <n v="0.89866075999999995"/>
    <m/>
    <n v="2500000"/>
    <n v="2246651.91"/>
    <n v="2500000"/>
    <n v="2246651.91"/>
    <n v="90031824"/>
    <s v="AMOMPY"/>
    <s v="Momentum Capital Investment S.A."/>
    <s v="22/04/2026"/>
    <s v="22/04/2026"/>
    <n v="28"/>
    <s v="No"/>
    <s v=""/>
    <m/>
    <m/>
    <s v="*MOV291000063"/>
    <s v="*MOV291000063"/>
    <n v="5.0467460555872712E-5"/>
  </r>
  <r>
    <x v="187"/>
    <s v="Pesos"/>
    <d v="2026-10-20T00:00:00"/>
    <s v="08/06/2026"/>
    <n v="0.90678731999999995"/>
    <m/>
    <n v="2500000"/>
    <n v="2266968.29"/>
    <n v="2500000"/>
    <n v="2266968.29"/>
    <n v="90031817"/>
    <s v="AMOMPY"/>
    <s v="Momentum Capital Investment S.A."/>
    <s v="22/04/2026"/>
    <s v="22/04/2026"/>
    <n v="28"/>
    <s v="No"/>
    <s v=""/>
    <m/>
    <m/>
    <s v="*MOV161000058"/>
    <s v="*MOV161000058"/>
    <n v="5.092383570759264E-5"/>
  </r>
  <r>
    <x v="187"/>
    <s v="Pesos"/>
    <d v="2026-10-27T00:00:00"/>
    <s v="08/06/2026"/>
    <n v="0.90239329000000001"/>
    <m/>
    <n v="2500000"/>
    <n v="2255983.23"/>
    <n v="2500000"/>
    <n v="2255983.23"/>
    <n v="90031821"/>
    <s v="AMOMPY"/>
    <s v="Momentum Capital Investment S.A."/>
    <s v="22/04/2026"/>
    <s v="22/04/2026"/>
    <n v="28"/>
    <s v="No"/>
    <s v=""/>
    <m/>
    <m/>
    <s v="*MOV231000049"/>
    <s v="*MOV231000049"/>
    <n v="5.0677073812798758E-5"/>
  </r>
  <r>
    <x v="187"/>
    <s v="Pesos"/>
    <d v="2026-10-19T00:00:00"/>
    <s v="08/06/2026"/>
    <n v="0.90741857999999997"/>
    <m/>
    <n v="2500000"/>
    <n v="2268546.4500000002"/>
    <n v="2500000"/>
    <n v="2268546.4500000002"/>
    <n v="90031816"/>
    <s v="AMOMPY"/>
    <s v="Momentum Capital Investment S.A."/>
    <s v="22/04/2026"/>
    <s v="22/04/2026"/>
    <n v="28"/>
    <s v="No"/>
    <s v=""/>
    <m/>
    <m/>
    <s v="*MOV151000067"/>
    <s v="*MOV151000067"/>
    <n v="5.0959286561014282E-5"/>
  </r>
  <r>
    <x v="187"/>
    <s v="Pesos"/>
    <d v="2026-07-28T00:00:00"/>
    <s v="08/06/2026"/>
    <n v="0.96179186000000005"/>
    <m/>
    <n v="5000000"/>
    <n v="4808959.28"/>
    <n v="5000000"/>
    <n v="4808959.28"/>
    <n v="43314"/>
    <s v="AMOMPY"/>
    <s v="Momentum Capital Investment S.A."/>
    <s v="21/04/2026"/>
    <s v="21/04/2026"/>
    <n v="29"/>
    <s v="No"/>
    <s v=""/>
    <m/>
    <m/>
    <s v="*MOV240700053"/>
    <s v="*MOV240700053"/>
    <n v="1.0802561878764657E-4"/>
  </r>
  <r>
    <x v="187"/>
    <s v="Pesos"/>
    <d v="2026-07-29T00:00:00"/>
    <s v="08/06/2026"/>
    <n v="0.96105755000000004"/>
    <m/>
    <n v="5000000"/>
    <n v="4805287.74"/>
    <n v="5000000"/>
    <n v="4805287.74"/>
    <n v="43315"/>
    <s v="AMOMPY"/>
    <s v="Momentum Capital Investment S.A."/>
    <s v="21/04/2026"/>
    <s v="21/04/2026"/>
    <n v="29"/>
    <s v="No"/>
    <s v=""/>
    <m/>
    <m/>
    <s v="*MOV270700045"/>
    <s v="*MOV270700045"/>
    <n v="1.0794314348325938E-4"/>
  </r>
  <r>
    <x v="187"/>
    <s v="Pesos"/>
    <d v="2026-07-30T00:00:00"/>
    <s v="08/06/2026"/>
    <n v="0.96032423"/>
    <m/>
    <n v="5000000"/>
    <n v="4801621.13"/>
    <n v="5000000"/>
    <n v="4801621.13"/>
    <n v="43316"/>
    <s v="AMOMPY"/>
    <s v="Momentum Capital Investment S.A."/>
    <s v="21/04/2026"/>
    <s v="21/04/2026"/>
    <n v="29"/>
    <s v="No"/>
    <s v=""/>
    <m/>
    <m/>
    <s v="*MOV280700075"/>
    <s v="*MOV280700075"/>
    <n v="1.0786077892347815E-4"/>
  </r>
  <r>
    <x v="187"/>
    <s v="Pesos"/>
    <d v="2026-07-31T00:00:00"/>
    <s v="08/06/2026"/>
    <n v="0.95959201999999999"/>
    <m/>
    <n v="5000000"/>
    <n v="4797960.12"/>
    <n v="5000000"/>
    <n v="4797960.12"/>
    <n v="43317"/>
    <s v="AMOMPY"/>
    <s v="Momentum Capital Investment S.A."/>
    <s v="21/04/2026"/>
    <s v="21/04/2026"/>
    <n v="29"/>
    <s v="No"/>
    <s v=""/>
    <m/>
    <m/>
    <s v="*MOV290700053"/>
    <s v="*MOV290700053"/>
    <n v="1.077785401587869E-4"/>
  </r>
  <r>
    <x v="187"/>
    <s v="Pesos"/>
    <d v="2026-08-03T00:00:00"/>
    <s v="08/06/2026"/>
    <n v="0.95740223999999996"/>
    <m/>
    <n v="5000000"/>
    <n v="4787011.18"/>
    <n v="5000000"/>
    <n v="4787011.18"/>
    <n v="43318"/>
    <s v="AMOMPY"/>
    <s v="Momentum Capital Investment S.A."/>
    <s v="21/04/2026"/>
    <s v="21/04/2026"/>
    <n v="29"/>
    <s v="No"/>
    <s v=""/>
    <m/>
    <m/>
    <s v="*MOV300700056"/>
    <s v="*MOV300700056"/>
    <n v="1.0753258964232321E-4"/>
  </r>
  <r>
    <x v="187"/>
    <s v="Pesos"/>
    <d v="2026-08-04T00:00:00"/>
    <s v="08/06/2026"/>
    <n v="0.95667447999999999"/>
    <m/>
    <n v="5000000"/>
    <n v="4783372.38"/>
    <n v="5000000"/>
    <n v="4783372.38"/>
    <n v="43319"/>
    <s v="AMOMPY"/>
    <s v="Momentum Capital Investment S.A."/>
    <s v="21/04/2026"/>
    <s v="21/04/2026"/>
    <n v="29"/>
    <s v="No"/>
    <s v=""/>
    <m/>
    <m/>
    <s v="*MOV310700075"/>
    <s v="*MOV310700075"/>
    <n v="1.0745084978994408E-4"/>
  </r>
  <r>
    <x v="187"/>
    <s v="Pesos"/>
    <d v="2026-10-06T00:00:00"/>
    <s v="08/06/2026"/>
    <n v="0.91570512999999998"/>
    <m/>
    <n v="25000000"/>
    <n v="22892628.25"/>
    <n v="25000000"/>
    <n v="22892628.25"/>
    <n v="360569"/>
    <s v="AMOMPY"/>
    <s v="Momentum Capital Investment S.A."/>
    <s v="21/04/2026"/>
    <s v="21/04/2026"/>
    <n v="28"/>
    <s v="No"/>
    <s v=""/>
    <m/>
    <m/>
    <s v="*MOV021000043"/>
    <s v="*MOV021000043"/>
    <n v="5.1424646963985283E-4"/>
  </r>
  <r>
    <x v="187"/>
    <s v="Pesos"/>
    <d v="2026-09-08T00:00:00"/>
    <s v="08/06/2026"/>
    <n v="0.93407728999999995"/>
    <m/>
    <n v="10000000"/>
    <n v="9340772.8599999994"/>
    <n v="10000000"/>
    <n v="9340772.8599999994"/>
    <n v="360562"/>
    <s v="AMOMPY"/>
    <s v="Momentum Capital Investment S.A."/>
    <s v="21/04/2026"/>
    <s v="21/04/2026"/>
    <n v="28"/>
    <s v="No"/>
    <s v=""/>
    <m/>
    <m/>
    <s v="*MOV040900048"/>
    <s v="*MOV040900048"/>
    <n v="2.0982560038569406E-4"/>
  </r>
  <r>
    <x v="187"/>
    <s v="Pesos"/>
    <d v="2026-10-14T00:00:00"/>
    <s v="08/06/2026"/>
    <n v="0.91058790000000001"/>
    <m/>
    <n v="25000000"/>
    <n v="22764697.41"/>
    <n v="25000000"/>
    <n v="22764697.41"/>
    <n v="360570"/>
    <s v="AMOMPY"/>
    <s v="Momentum Capital Investment S.A."/>
    <s v="21/04/2026"/>
    <s v="21/04/2026"/>
    <n v="28"/>
    <s v="No"/>
    <s v=""/>
    <m/>
    <m/>
    <s v="*MOV091000054"/>
    <s v="*MOV091000054"/>
    <n v="5.1137270686741709E-4"/>
  </r>
  <r>
    <x v="187"/>
    <s v="Pesos"/>
    <d v="2026-09-14T00:00:00"/>
    <s v="08/06/2026"/>
    <n v="0.93007848000000004"/>
    <m/>
    <n v="10000000"/>
    <n v="9300784.8300000001"/>
    <n v="10000000"/>
    <n v="9300784.8300000001"/>
    <n v="360563"/>
    <s v="AMOMPY"/>
    <s v="Momentum Capital Investment S.A."/>
    <s v="21/04/2026"/>
    <s v="21/04/2026"/>
    <n v="28"/>
    <s v="No"/>
    <s v=""/>
    <m/>
    <m/>
    <s v="*MOV100900072"/>
    <s v="*MOV100900072"/>
    <n v="2.089273329158874E-4"/>
  </r>
  <r>
    <x v="187"/>
    <s v="Pesos"/>
    <d v="2026-09-16T00:00:00"/>
    <s v="08/06/2026"/>
    <n v="0.92875324999999997"/>
    <m/>
    <n v="10000000"/>
    <n v="9287532.5399999991"/>
    <n v="10000000"/>
    <n v="9287532.5399999991"/>
    <n v="360564"/>
    <s v="AMOMPY"/>
    <s v="Momentum Capital Investment S.A."/>
    <s v="21/04/2026"/>
    <s v="21/04/2026"/>
    <n v="28"/>
    <s v="No"/>
    <s v=""/>
    <m/>
    <m/>
    <s v="*MOV130900059"/>
    <s v="*MOV130900059"/>
    <n v="2.0862964130648713E-4"/>
  </r>
  <r>
    <x v="187"/>
    <s v="Pesos"/>
    <d v="2026-10-15T00:00:00"/>
    <s v="08/06/2026"/>
    <n v="0.90995221999999998"/>
    <m/>
    <n v="25000000"/>
    <n v="22748805.469999999"/>
    <n v="25000000"/>
    <n v="22748805.469999999"/>
    <n v="360571"/>
    <s v="AMOMPY"/>
    <s v="Momentum Capital Investment S.A."/>
    <s v="21/04/2026"/>
    <s v="21/04/2026"/>
    <n v="28"/>
    <s v="No"/>
    <s v=""/>
    <m/>
    <m/>
    <s v="*MOV131000082"/>
    <s v="*MOV131000082"/>
    <n v="5.1101571972066032E-4"/>
  </r>
  <r>
    <x v="187"/>
    <s v="Pesos"/>
    <d v="2026-09-18T00:00:00"/>
    <s v="08/06/2026"/>
    <n v="0.92743180000000003"/>
    <m/>
    <n v="10000000"/>
    <n v="9274317.9600000009"/>
    <n v="10000000"/>
    <n v="9274317.9600000009"/>
    <n v="360565"/>
    <s v="AMOMPY"/>
    <s v="Momentum Capital Investment S.A."/>
    <s v="21/04/2026"/>
    <s v="21/04/2026"/>
    <n v="28"/>
    <s v="No"/>
    <s v=""/>
    <m/>
    <m/>
    <s v="*MOV160900067"/>
    <s v="*MOV160900067"/>
    <n v="2.0833279679223734E-4"/>
  </r>
  <r>
    <x v="187"/>
    <s v="Pesos"/>
    <d v="2026-10-20T00:00:00"/>
    <s v="08/06/2026"/>
    <n v="0.90678725999999998"/>
    <m/>
    <n v="25000000"/>
    <n v="22669681.609999999"/>
    <n v="25000000"/>
    <n v="22669681.609999999"/>
    <n v="360572"/>
    <s v="AMOMPY"/>
    <s v="Momentum Capital Investment S.A."/>
    <s v="21/04/2026"/>
    <s v="21/04/2026"/>
    <n v="28"/>
    <s v="No"/>
    <s v=""/>
    <m/>
    <m/>
    <s v="*MOV161000057"/>
    <s v="*MOV161000057"/>
    <n v="5.0923832809812893E-4"/>
  </r>
  <r>
    <x v="187"/>
    <s v="Pesos"/>
    <d v="2026-10-21T00:00:00"/>
    <s v="08/06/2026"/>
    <n v="0.90615705000000002"/>
    <m/>
    <n v="25000000"/>
    <n v="22653926.190000001"/>
    <n v="25000000"/>
    <n v="22653926.190000001"/>
    <n v="360573"/>
    <s v="AMOMPY"/>
    <s v="Momentum Capital Investment S.A."/>
    <s v="21/04/2026"/>
    <s v="21/04/2026"/>
    <n v="28"/>
    <s v="No"/>
    <s v=""/>
    <m/>
    <m/>
    <s v="*MOV181000045"/>
    <s v="*MOV181000045"/>
    <n v="5.0888440765595806E-4"/>
  </r>
  <r>
    <x v="187"/>
    <s v="Pesos"/>
    <d v="2026-08-25T00:00:00"/>
    <s v="08/06/2026"/>
    <n v="0.94354262"/>
    <m/>
    <n v="10000000"/>
    <n v="9435426.2400000002"/>
    <n v="10000000"/>
    <n v="9435426.2400000002"/>
    <n v="360532"/>
    <s v="AMOMPY"/>
    <s v="Momentum Capital Investment S.A."/>
    <s v="21/04/2026"/>
    <s v="21/04/2026"/>
    <n v="28"/>
    <s v="No"/>
    <s v=""/>
    <m/>
    <m/>
    <s v="*MOV210800042"/>
    <s v="*MOV210800042"/>
    <n v="2.1195183796632135E-4"/>
  </r>
  <r>
    <x v="187"/>
    <s v="Pesos"/>
    <d v="2026-09-23T00:00:00"/>
    <s v="08/06/2026"/>
    <n v="0.92414430000000003"/>
    <m/>
    <n v="10000000"/>
    <n v="9241443.0500000007"/>
    <n v="10000000"/>
    <n v="9241443.0500000007"/>
    <n v="360566"/>
    <s v="AMOMPY"/>
    <s v="Momentum Capital Investment S.A."/>
    <s v="21/04/2026"/>
    <s v="21/04/2026"/>
    <n v="28"/>
    <s v="No"/>
    <s v=""/>
    <m/>
    <m/>
    <s v="*MOV210900051"/>
    <s v="*MOV210900051"/>
    <n v="2.0759431424568974E-4"/>
  </r>
  <r>
    <x v="187"/>
    <s v="Pesos"/>
    <d v="2026-08-26T00:00:00"/>
    <s v="08/06/2026"/>
    <n v="0.94286013000000002"/>
    <m/>
    <n v="10000000"/>
    <n v="9428601.2799999993"/>
    <n v="10000000"/>
    <n v="9428601.2799999993"/>
    <n v="360558"/>
    <s v="AMOMPY"/>
    <s v="Momentum Capital Investment S.A."/>
    <s v="21/04/2026"/>
    <s v="21/04/2026"/>
    <n v="28"/>
    <s v="No"/>
    <s v=""/>
    <m/>
    <m/>
    <s v="*MOV230800052"/>
    <s v="*MOV230800052"/>
    <n v="2.1179852609897674E-4"/>
  </r>
  <r>
    <x v="187"/>
    <s v="Pesos"/>
    <d v="2026-09-29T00:00:00"/>
    <s v="08/06/2026"/>
    <n v="0.92023007999999995"/>
    <m/>
    <n v="10000000"/>
    <n v="9202300.8100000005"/>
    <n v="10000000"/>
    <n v="9202300.8100000005"/>
    <n v="360567"/>
    <s v="AMOMPY"/>
    <s v="Momentum Capital Investment S.A."/>
    <s v="21/04/2026"/>
    <s v="21/04/2026"/>
    <n v="28"/>
    <s v="No"/>
    <s v=""/>
    <m/>
    <m/>
    <s v="*MOV250900071"/>
    <s v="*MOV250900071"/>
    <n v="2.0671504610251374E-4"/>
  </r>
  <r>
    <x v="187"/>
    <s v="Pesos"/>
    <d v="2026-08-28T00:00:00"/>
    <s v="08/06/2026"/>
    <n v="0.94149824999999998"/>
    <m/>
    <n v="10000000"/>
    <n v="9414982.4499999993"/>
    <n v="10000000"/>
    <n v="9414982.4499999993"/>
    <n v="360559"/>
    <s v="AMOMPY"/>
    <s v="Momentum Capital Investment S.A."/>
    <s v="21/04/2026"/>
    <s v="21/04/2026"/>
    <n v="28"/>
    <s v="No"/>
    <s v=""/>
    <m/>
    <m/>
    <s v="*MOV260800071"/>
    <s v="*MOV260800071"/>
    <n v="2.1149260075167085E-4"/>
  </r>
  <r>
    <x v="187"/>
    <s v="Pesos"/>
    <d v="2026-10-02T00:00:00"/>
    <s v="08/06/2026"/>
    <n v="0.91828520999999996"/>
    <m/>
    <n v="15000000"/>
    <n v="13774278.109999999"/>
    <n v="15000000"/>
    <n v="13774278.109999999"/>
    <n v="360568"/>
    <s v="AMOMPY"/>
    <s v="Momentum Capital Investment S.A."/>
    <s v="21/04/2026"/>
    <s v="21/04/2026"/>
    <n v="28"/>
    <s v="No"/>
    <s v=""/>
    <m/>
    <m/>
    <s v="*MOV300900114"/>
    <s v="*MOV300900114"/>
    <n v="3.0941724176668109E-4"/>
  </r>
  <r>
    <x v="187"/>
    <s v="Pesos"/>
    <d v="2026-09-02T00:00:00"/>
    <s v="08/06/2026"/>
    <n v="0.93811045999999998"/>
    <m/>
    <n v="10000000"/>
    <n v="9381104.5999999996"/>
    <n v="10000000"/>
    <n v="9381104.5999999996"/>
    <n v="360561"/>
    <s v="AMOMPY"/>
    <s v="Momentum Capital Investment S.A."/>
    <s v="21/04/2026"/>
    <s v="21/04/2026"/>
    <n v="28"/>
    <s v="No"/>
    <s v=""/>
    <m/>
    <m/>
    <s v="*MOV310800090"/>
    <s v="*MOV310800090"/>
    <n v="2.1073158875378075E-4"/>
  </r>
  <r>
    <x v="187"/>
    <s v="Pesos"/>
    <d v="2026-09-01T00:00:00"/>
    <s v="08/06/2026"/>
    <n v="0.93878609999999996"/>
    <m/>
    <n v="10000000"/>
    <n v="9387860.9700000007"/>
    <n v="10000000"/>
    <n v="9387860.9700000007"/>
    <n v="360560"/>
    <s v="AMOMPY"/>
    <s v="Momentum Capital Investment S.A."/>
    <s v="21/04/2026"/>
    <s v="21/04/2026"/>
    <n v="28"/>
    <s v="No"/>
    <s v=""/>
    <m/>
    <m/>
    <s v="*MOV280800056"/>
    <s v="*MOV280800056"/>
    <n v="2.1088335985590753E-4"/>
  </r>
  <r>
    <x v="152"/>
    <s v="Pesos"/>
    <d v="2026-07-07T00:00:00"/>
    <s v="08/06/2026"/>
    <n v="0.97671936000000004"/>
    <m/>
    <n v="20000000"/>
    <n v="19534387.210000001"/>
    <n v="20000000"/>
    <n v="19534387.210000001"/>
    <n v="107"/>
    <s v="AMOMPY"/>
    <s v="Momentum Capital Investment S.A."/>
    <s v="20/04/2026"/>
    <s v="20/04/2026"/>
    <n v="30"/>
    <s v="No"/>
    <s v=""/>
    <m/>
    <m/>
    <s v="*INP030700051"/>
    <s v="*INP030700051"/>
    <n v="4.388089279054446E-4"/>
  </r>
  <r>
    <x v="152"/>
    <s v="Pesos"/>
    <d v="2026-07-21T00:00:00"/>
    <s v="08/06/2026"/>
    <n v="0.96696435999999997"/>
    <m/>
    <n v="5000000"/>
    <n v="4834821.79"/>
    <n v="5000000"/>
    <n v="4834821.79"/>
    <n v="16771074"/>
    <s v="AMOMPY"/>
    <s v="Momentum Capital Investment S.A."/>
    <s v="20/04/2026"/>
    <s v="20/04/2026"/>
    <n v="29"/>
    <s v="No"/>
    <s v=""/>
    <m/>
    <m/>
    <s v="*INP170700067"/>
    <s v="*INP170700067"/>
    <n v="1.0860657892548157E-4"/>
  </r>
  <r>
    <x v="152"/>
    <s v="Pesos"/>
    <d v="2026-07-15T00:00:00"/>
    <s v="08/06/2026"/>
    <n v="0.97144231000000003"/>
    <m/>
    <n v="5000000"/>
    <n v="4857211.54"/>
    <n v="5000000"/>
    <n v="4857211.54"/>
    <n v="16771073"/>
    <s v="AMOMPY"/>
    <s v="Momentum Capital Investment S.A."/>
    <s v="20/04/2026"/>
    <s v="20/04/2026"/>
    <n v="29"/>
    <s v="No"/>
    <s v=""/>
    <m/>
    <m/>
    <s v="*INP130700050"/>
    <s v="*INP130700050"/>
    <n v="1.0910952903535455E-4"/>
  </r>
  <r>
    <x v="152"/>
    <s v="Pesos"/>
    <d v="2026-07-22T00:00:00"/>
    <s v="08/06/2026"/>
    <n v="0.96622200999999996"/>
    <m/>
    <n v="5000000"/>
    <n v="4831110.03"/>
    <n v="5000000"/>
    <n v="4831110.03"/>
    <n v="16771075"/>
    <s v="AMOMPY"/>
    <s v="Momentum Capital Investment S.A."/>
    <s v="20/04/2026"/>
    <s v="20/04/2026"/>
    <n v="29"/>
    <s v="No"/>
    <s v=""/>
    <m/>
    <m/>
    <s v="*INP200700070"/>
    <s v="*INP200700070"/>
    <n v="1.085232001427876E-4"/>
  </r>
  <r>
    <x v="152"/>
    <s v="Pesos"/>
    <d v="2026-07-27T00:00:00"/>
    <s v="08/06/2026"/>
    <n v="0.96252738000000004"/>
    <m/>
    <n v="5000000"/>
    <n v="4812636.9000000004"/>
    <n v="5000000"/>
    <n v="4812636.9000000004"/>
    <n v="16779576"/>
    <s v="AMOMPY"/>
    <s v="Momentum Capital Investment S.A."/>
    <s v="20/04/2026"/>
    <s v="20/04/2026"/>
    <n v="29"/>
    <s v="No"/>
    <s v=""/>
    <m/>
    <m/>
    <s v="*INP230700044"/>
    <s v="*INP230700044"/>
    <n v="1.0810823066955999E-4"/>
  </r>
  <r>
    <x v="152"/>
    <s v="Pesos"/>
    <d v="2026-07-28T00:00:00"/>
    <s v="08/06/2026"/>
    <n v="0.96179194999999995"/>
    <m/>
    <n v="5000000"/>
    <n v="4808959.75"/>
    <n v="5000000"/>
    <n v="4808959.75"/>
    <n v="16779577"/>
    <s v="AMOMPY"/>
    <s v="Momentum Capital Investment S.A."/>
    <s v="20/04/2026"/>
    <s v="20/04/2026"/>
    <n v="29"/>
    <s v="No"/>
    <s v=""/>
    <m/>
    <m/>
    <s v="*INP240700062"/>
    <s v="*INP240700062"/>
    <n v="1.0802562934544876E-4"/>
  </r>
  <r>
    <x v="152"/>
    <s v="Pesos"/>
    <d v="2026-07-29T00:00:00"/>
    <s v="08/06/2026"/>
    <n v="0.96105750999999995"/>
    <m/>
    <n v="5000000"/>
    <n v="4805287.54"/>
    <n v="5000000"/>
    <n v="4805287.54"/>
    <n v="16779578"/>
    <s v="AMOMPY"/>
    <s v="Momentum Capital Investment S.A."/>
    <s v="20/04/2026"/>
    <s v="20/04/2026"/>
    <n v="29"/>
    <s v="No"/>
    <s v=""/>
    <m/>
    <m/>
    <s v="*INP270700048"/>
    <s v="*INP270700048"/>
    <n v="1.0794313899057759E-4"/>
  </r>
  <r>
    <x v="152"/>
    <s v="Pesos"/>
    <d v="2026-07-30T00:00:00"/>
    <s v="08/06/2026"/>
    <n v="0.96032419000000002"/>
    <m/>
    <n v="5000000"/>
    <n v="4801620.9400000004"/>
    <n v="5000000"/>
    <n v="4801620.9400000004"/>
    <n v="16779579"/>
    <s v="AMOMPY"/>
    <s v="Momentum Capital Investment S.A."/>
    <s v="20/04/2026"/>
    <s v="20/04/2026"/>
    <n v="29"/>
    <s v="No"/>
    <s v=""/>
    <m/>
    <m/>
    <s v="*INP280700068"/>
    <s v="*INP280700068"/>
    <n v="1.0786077465543047E-4"/>
  </r>
  <r>
    <x v="152"/>
    <s v="Pesos"/>
    <d v="2026-07-31T00:00:00"/>
    <s v="08/06/2026"/>
    <n v="0.95959198000000001"/>
    <m/>
    <n v="5000000"/>
    <n v="4797959.91"/>
    <n v="5000000"/>
    <n v="4797959.91"/>
    <n v="16779580"/>
    <s v="AMOMPY"/>
    <s v="Momentum Capital Investment S.A."/>
    <s v="20/04/2026"/>
    <s v="20/04/2026"/>
    <n v="29"/>
    <s v="No"/>
    <s v=""/>
    <m/>
    <m/>
    <s v="*INP290700068"/>
    <s v="*INP290700068"/>
    <n v="1.0777853544147104E-4"/>
  </r>
  <r>
    <x v="152"/>
    <s v="Pesos"/>
    <d v="2026-08-03T00:00:00"/>
    <s v="08/06/2026"/>
    <n v="0.95740219999999998"/>
    <m/>
    <n v="5000000"/>
    <n v="4787010.9800000004"/>
    <n v="5000000"/>
    <n v="4787010.9800000004"/>
    <n v="16779581"/>
    <s v="AMOMPY"/>
    <s v="Momentum Capital Investment S.A."/>
    <s v="20/04/2026"/>
    <s v="20/04/2026"/>
    <n v="29"/>
    <s v="No"/>
    <s v=""/>
    <m/>
    <m/>
    <s v="*INP300700064"/>
    <s v="*INP300700064"/>
    <n v="1.0753258514964144E-4"/>
  </r>
  <r>
    <x v="152"/>
    <s v="Pesos"/>
    <d v="2026-08-04T00:00:00"/>
    <s v="08/06/2026"/>
    <n v="0.95667458000000005"/>
    <m/>
    <n v="5000000"/>
    <n v="4783372.91"/>
    <n v="5000000"/>
    <n v="4783372.91"/>
    <n v="16779582"/>
    <s v="AMOMPY"/>
    <s v="Momentum Capital Investment S.A."/>
    <s v="20/04/2026"/>
    <s v="20/04/2026"/>
    <n v="29"/>
    <s v="No"/>
    <s v=""/>
    <m/>
    <m/>
    <s v="*INP310700079"/>
    <s v="*INP310700079"/>
    <n v="1.0745086169555081E-4"/>
  </r>
  <r>
    <x v="152"/>
    <s v="Pesos"/>
    <d v="2026-06-12T00:00:00"/>
    <s v="08/06/2026"/>
    <n v="0.99694090000000002"/>
    <m/>
    <n v="10000000"/>
    <n v="9969409.0399999991"/>
    <n v="10000000"/>
    <n v="9969409.0399999991"/>
    <n v="66290706"/>
    <s v="AMOMPY"/>
    <s v="Momentum Capital Investment S.A."/>
    <s v="20/04/2026"/>
    <s v="20/04/2026"/>
    <n v="28"/>
    <s v="No"/>
    <s v=""/>
    <m/>
    <m/>
    <s v="*INP100600105"/>
    <s v="*INP100600105"/>
    <n v="2.2394691195912089E-4"/>
  </r>
  <r>
    <x v="152"/>
    <s v="Pesos"/>
    <d v="2026-06-11T00:00:00"/>
    <s v="08/06/2026"/>
    <n v="0.99770393000000002"/>
    <m/>
    <n v="10000000"/>
    <n v="9977039.2599999998"/>
    <n v="10000000"/>
    <n v="9977039.2599999998"/>
    <n v="66290675"/>
    <s v="AMOMPY"/>
    <s v="Momentum Capital Investment S.A."/>
    <s v="20/04/2026"/>
    <s v="20/04/2026"/>
    <n v="28"/>
    <s v="No"/>
    <s v=""/>
    <m/>
    <m/>
    <s v="*INP090600066"/>
    <s v="*INP090600066"/>
    <n v="2.2411831271113266E-4"/>
  </r>
  <r>
    <x v="152"/>
    <s v="Pesos"/>
    <d v="2026-06-16T00:00:00"/>
    <s v="08/06/2026"/>
    <n v="0.99390045999999999"/>
    <m/>
    <n v="5000000"/>
    <n v="4969502.3099999996"/>
    <n v="5000000"/>
    <n v="4969502.3099999996"/>
    <n v="66290724"/>
    <s v="AMOMPY"/>
    <s v="Momentum Capital Investment S.A."/>
    <s v="20/04/2026"/>
    <s v="20/04/2026"/>
    <n v="28"/>
    <s v="No"/>
    <s v=""/>
    <m/>
    <m/>
    <s v="*INP110600061"/>
    <s v="*INP110600061"/>
    <n v="1.1163196251983837E-4"/>
  </r>
  <r>
    <x v="152"/>
    <s v="Pesos"/>
    <d v="2026-07-29T00:00:00"/>
    <s v="08/06/2026"/>
    <n v="0.96364554000000002"/>
    <m/>
    <n v="20000000"/>
    <n v="19272910.800000001"/>
    <n v="20000000"/>
    <n v="19272910.800000001"/>
    <n v="66450549"/>
    <s v="AMOMPY"/>
    <s v="Momentum Capital Investment S.A."/>
    <s v="23/04/2026"/>
    <s v="23/04/2026"/>
    <n v="27"/>
    <s v="No"/>
    <s v=""/>
    <m/>
    <m/>
    <s v="*INP250700071"/>
    <s v="*INP250700071"/>
    <n v="4.3293527638460608E-4"/>
  </r>
  <r>
    <x v="152"/>
    <s v="Pesos"/>
    <d v="2026-08-04T00:00:00"/>
    <s v="08/06/2026"/>
    <n v="0.95524743999999995"/>
    <m/>
    <n v="40000000"/>
    <n v="38209897.43"/>
    <n v="40000000"/>
    <n v="38209897.43"/>
    <n v="9631288"/>
    <s v="AMOMPY"/>
    <s v="Momentum Capital Investment S.A."/>
    <s v="23/04/2026"/>
    <s v="23/04/2026"/>
    <n v="30"/>
    <s v="No"/>
    <s v=""/>
    <m/>
    <m/>
    <s v="*INP310700080"/>
    <s v="*INP310700080"/>
    <n v="8.5832455077229435E-4"/>
  </r>
  <r>
    <x v="152"/>
    <s v="Pesos"/>
    <d v="2026-09-25T00:00:00"/>
    <s v="08/06/2026"/>
    <n v="0.91526872999999997"/>
    <m/>
    <n v="3000000"/>
    <n v="2745806.2"/>
    <n v="3000000"/>
    <n v="2745806.2"/>
    <n v="90003469"/>
    <s v="AMOMPY"/>
    <s v="Momentum Capital Investment S.A."/>
    <s v="22/04/2026"/>
    <s v="22/04/2026"/>
    <n v="31"/>
    <s v="No"/>
    <s v=""/>
    <m/>
    <m/>
    <s v="*INP230900060"/>
    <s v="*INP230900060"/>
    <n v="6.168016748645799E-5"/>
  </r>
  <r>
    <x v="152"/>
    <s v="Pesos"/>
    <d v="2026-09-18T00:00:00"/>
    <s v="08/06/2026"/>
    <n v="0.92027636999999995"/>
    <m/>
    <n v="3000000"/>
    <n v="2760829.1"/>
    <n v="3000000"/>
    <n v="2760829.1"/>
    <n v="90003467"/>
    <s v="AMOMPY"/>
    <s v="Momentum Capital Investment S.A."/>
    <s v="22/04/2026"/>
    <s v="22/04/2026"/>
    <n v="31"/>
    <s v="No"/>
    <s v=""/>
    <m/>
    <m/>
    <s v="*INP160900050"/>
    <s v="*INP160900050"/>
    <n v="6.2017633032326563E-5"/>
  </r>
  <r>
    <x v="152"/>
    <s v="Pesos"/>
    <d v="2026-09-23T00:00:00"/>
    <s v="08/06/2026"/>
    <n v="0.91669403000000005"/>
    <m/>
    <n v="3000000"/>
    <n v="2750082.09"/>
    <n v="3000000"/>
    <n v="2750082.09"/>
    <n v="90003468"/>
    <s v="AMOMPY"/>
    <s v="Momentum Capital Investment S.A."/>
    <s v="22/04/2026"/>
    <s v="22/04/2026"/>
    <n v="31"/>
    <s v="No"/>
    <s v=""/>
    <m/>
    <m/>
    <s v="*INP210900041"/>
    <s v="*INP210900041"/>
    <n v="6.1776218552026153E-5"/>
  </r>
  <r>
    <x v="152"/>
    <s v="Pesos"/>
    <d v="2026-07-20T00:00:00"/>
    <s v="08/06/2026"/>
    <n v="0.96986775000000003"/>
    <m/>
    <n v="20000000"/>
    <n v="19397354.93"/>
    <n v="20000000"/>
    <n v="19397354.93"/>
    <n v="30169"/>
    <s v="AMOMPY"/>
    <s v="Momentum Capital Investment S.A."/>
    <s v="22/04/2026"/>
    <s v="22/04/2026"/>
    <n v="27"/>
    <s v="No"/>
    <s v=""/>
    <m/>
    <m/>
    <s v="*INP160700041"/>
    <s v="*INP160700041"/>
    <n v="4.357307157645254E-4"/>
  </r>
  <r>
    <x v="152"/>
    <s v="Pesos"/>
    <d v="2026-06-18T00:00:00"/>
    <s v="08/06/2026"/>
    <n v="0.99238718000000004"/>
    <m/>
    <n v="10000000"/>
    <n v="9923871.8499999996"/>
    <n v="10000000"/>
    <n v="9923871.8499999996"/>
    <n v="66404989"/>
    <s v="AMOMPY"/>
    <s v="Momentum Capital Investment S.A."/>
    <s v="22/04/2026"/>
    <s v="22/04/2026"/>
    <n v="28"/>
    <s v="No"/>
    <s v=""/>
    <m/>
    <m/>
    <s v="*INP130600062"/>
    <s v="*INP130600062"/>
    <n v="2.2292399143907012E-4"/>
  </r>
  <r>
    <x v="188"/>
    <m/>
    <m/>
    <m/>
    <m/>
    <m/>
    <m/>
    <m/>
    <m/>
    <m/>
    <m/>
    <m/>
    <m/>
    <m/>
    <m/>
    <m/>
    <m/>
    <m/>
    <m/>
    <m/>
    <m/>
    <m/>
    <m/>
  </r>
  <r>
    <x v="188"/>
    <m/>
    <m/>
    <m/>
    <m/>
    <m/>
    <m/>
    <m/>
    <m/>
    <m/>
    <m/>
    <m/>
    <m/>
    <m/>
    <m/>
    <m/>
    <m/>
    <m/>
    <m/>
    <m/>
    <m/>
    <m/>
    <m/>
  </r>
  <r>
    <x v="188"/>
    <m/>
    <m/>
    <m/>
    <m/>
    <m/>
    <m/>
    <m/>
    <m/>
    <m/>
    <m/>
    <m/>
    <m/>
    <m/>
    <m/>
    <m/>
    <m/>
    <m/>
    <m/>
    <m/>
    <m/>
    <m/>
    <m/>
  </r>
  <r>
    <x v="188"/>
    <m/>
    <m/>
    <m/>
    <m/>
    <m/>
    <m/>
    <m/>
    <m/>
    <m/>
    <m/>
    <m/>
    <m/>
    <m/>
    <m/>
    <m/>
    <m/>
    <m/>
    <m/>
    <m/>
    <m/>
    <m/>
    <m/>
  </r>
  <r>
    <x v="188"/>
    <m/>
    <m/>
    <m/>
    <m/>
    <m/>
    <m/>
    <m/>
    <m/>
    <m/>
    <m/>
    <m/>
    <m/>
    <m/>
    <m/>
    <m/>
    <m/>
    <m/>
    <m/>
    <m/>
    <m/>
    <m/>
    <m/>
  </r>
  <r>
    <x v="188"/>
    <m/>
    <m/>
    <m/>
    <m/>
    <m/>
    <m/>
    <m/>
    <m/>
    <m/>
    <m/>
    <m/>
    <m/>
    <m/>
    <m/>
    <m/>
    <m/>
    <m/>
    <m/>
    <m/>
    <m/>
    <m/>
    <m/>
  </r>
  <r>
    <x v="188"/>
    <m/>
    <m/>
    <m/>
    <m/>
    <m/>
    <m/>
    <m/>
    <m/>
    <m/>
    <m/>
    <m/>
    <m/>
    <m/>
    <m/>
    <m/>
    <m/>
    <m/>
    <m/>
    <m/>
    <m/>
    <m/>
    <m/>
  </r>
  <r>
    <x v="188"/>
    <m/>
    <m/>
    <m/>
    <m/>
    <m/>
    <m/>
    <m/>
    <m/>
    <m/>
    <m/>
    <m/>
    <m/>
    <m/>
    <m/>
    <m/>
    <m/>
    <m/>
    <m/>
    <m/>
    <m/>
    <m/>
    <m/>
  </r>
  <r>
    <x v="188"/>
    <m/>
    <m/>
    <m/>
    <m/>
    <m/>
    <m/>
    <m/>
    <m/>
    <m/>
    <m/>
    <m/>
    <m/>
    <m/>
    <m/>
    <m/>
    <m/>
    <m/>
    <m/>
    <m/>
    <m/>
    <m/>
    <m/>
  </r>
  <r>
    <x v="188"/>
    <m/>
    <m/>
    <m/>
    <m/>
    <m/>
    <m/>
    <m/>
    <m/>
    <m/>
    <m/>
    <m/>
    <m/>
    <m/>
    <m/>
    <m/>
    <m/>
    <m/>
    <m/>
    <m/>
    <m/>
    <m/>
    <m/>
  </r>
  <r>
    <x v="188"/>
    <m/>
    <m/>
    <m/>
    <m/>
    <m/>
    <m/>
    <m/>
    <m/>
    <m/>
    <m/>
    <m/>
    <m/>
    <m/>
    <m/>
    <m/>
    <m/>
    <m/>
    <m/>
    <m/>
    <m/>
    <m/>
    <m/>
  </r>
  <r>
    <x v="188"/>
    <m/>
    <m/>
    <m/>
    <m/>
    <m/>
    <m/>
    <m/>
    <m/>
    <m/>
    <m/>
    <m/>
    <m/>
    <m/>
    <m/>
    <m/>
    <m/>
    <m/>
    <m/>
    <m/>
    <m/>
    <m/>
    <m/>
  </r>
  <r>
    <x v="188"/>
    <m/>
    <m/>
    <m/>
    <m/>
    <m/>
    <m/>
    <m/>
    <m/>
    <m/>
    <m/>
    <m/>
    <m/>
    <m/>
    <m/>
    <m/>
    <m/>
    <m/>
    <m/>
    <m/>
    <m/>
    <m/>
    <m/>
  </r>
  <r>
    <x v="188"/>
    <m/>
    <m/>
    <m/>
    <m/>
    <m/>
    <m/>
    <m/>
    <m/>
    <m/>
    <m/>
    <m/>
    <m/>
    <m/>
    <m/>
    <m/>
    <m/>
    <m/>
    <m/>
    <m/>
    <m/>
    <m/>
    <m/>
  </r>
  <r>
    <x v="188"/>
    <m/>
    <m/>
    <m/>
    <m/>
    <m/>
    <m/>
    <m/>
    <m/>
    <m/>
    <m/>
    <m/>
    <m/>
    <m/>
    <m/>
    <m/>
    <m/>
    <m/>
    <m/>
    <m/>
    <m/>
    <m/>
    <m/>
  </r>
  <r>
    <x v="188"/>
    <m/>
    <m/>
    <m/>
    <m/>
    <m/>
    <m/>
    <m/>
    <m/>
    <m/>
    <m/>
    <m/>
    <m/>
    <m/>
    <m/>
    <m/>
    <m/>
    <m/>
    <m/>
    <m/>
    <m/>
    <m/>
    <m/>
  </r>
  <r>
    <x v="188"/>
    <m/>
    <m/>
    <m/>
    <m/>
    <m/>
    <m/>
    <m/>
    <m/>
    <m/>
    <m/>
    <m/>
    <m/>
    <m/>
    <m/>
    <m/>
    <m/>
    <m/>
    <m/>
    <m/>
    <m/>
    <m/>
    <m/>
  </r>
  <r>
    <x v="188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FD1C5-24B8-4560-9D8E-6A444071FD1B}" name="TablaDinámica1" cacheId="4" dataOnRows="1" applyNumberFormats="0" applyBorderFormats="0" applyFontFormats="0" applyPatternFormats="0" applyAlignmentFormats="0" applyWidthHeightFormats="1" dataCaption="Datos" updatedVersion="8" minRefreshableVersion="3" showMemberPropertyTips="0" useAutoFormatting="1" itemPrintTitles="1" createdVersion="8" indent="0" compact="0" compactData="0" gridDropZones="1">
  <location ref="A4:B194" firstHeaderRow="2" firstDataRow="2" firstDataCol="1"/>
  <pivotFields count="23">
    <pivotField axis="axisRow" compact="0" outline="0" showAll="0" includeNewItemsInFilter="1" sortType="descending">
      <items count="511">
        <item x="24"/>
        <item m="1" x="476"/>
        <item m="1" x="364"/>
        <item m="1" x="494"/>
        <item x="9"/>
        <item x="167"/>
        <item m="1" x="509"/>
        <item m="1" x="502"/>
        <item m="1" x="503"/>
        <item x="8"/>
        <item x="27"/>
        <item m="1" x="498"/>
        <item m="1" x="484"/>
        <item m="1" x="464"/>
        <item m="1" x="449"/>
        <item x="26"/>
        <item m="1" x="371"/>
        <item m="1" x="496"/>
        <item h="1" x="188"/>
        <item m="1" x="414"/>
        <item m="1" x="471"/>
        <item x="10"/>
        <item x="172"/>
        <item m="1" x="508"/>
        <item m="1" x="458"/>
        <item m="1" x="397"/>
        <item x="17"/>
        <item m="1" x="504"/>
        <item m="1" x="468"/>
        <item m="1" x="377"/>
        <item m="1" x="497"/>
        <item m="1" x="479"/>
        <item m="1" x="467"/>
        <item m="1" x="499"/>
        <item m="1" x="260"/>
        <item x="127"/>
        <item m="1" x="365"/>
        <item m="1" x="500"/>
        <item m="1" x="389"/>
        <item m="1" x="388"/>
        <item m="1" x="505"/>
        <item m="1" x="298"/>
        <item x="182"/>
        <item x="13"/>
        <item x="180"/>
        <item x="181"/>
        <item m="1" x="506"/>
        <item m="1" x="507"/>
        <item m="1" x="372"/>
        <item x="183"/>
        <item m="1" x="400"/>
        <item m="1" x="421"/>
        <item x="11"/>
        <item m="1" x="492"/>
        <item m="1" x="490"/>
        <item m="1" x="486"/>
        <item m="1" x="408"/>
        <item m="1" x="404"/>
        <item m="1" x="501"/>
        <item m="1" x="482"/>
        <item m="1" x="448"/>
        <item m="1" x="489"/>
        <item x="128"/>
        <item x="18"/>
        <item m="1" x="444"/>
        <item m="1" x="416"/>
        <item m="1" x="396"/>
        <item m="1" x="478"/>
        <item m="1" x="469"/>
        <item m="1" x="481"/>
        <item m="1" x="477"/>
        <item m="1" x="438"/>
        <item x="126"/>
        <item m="1" x="487"/>
        <item m="1" x="375"/>
        <item m="1" x="256"/>
        <item x="125"/>
        <item x="129"/>
        <item m="1" x="407"/>
        <item m="1" x="463"/>
        <item m="1" x="493"/>
        <item m="1" x="495"/>
        <item m="1" x="485"/>
        <item m="1" x="488"/>
        <item m="1" x="473"/>
        <item x="175"/>
        <item m="1" x="386"/>
        <item m="1" x="398"/>
        <item m="1" x="491"/>
        <item m="1" x="483"/>
        <item m="1" x="418"/>
        <item m="1" x="383"/>
        <item x="131"/>
        <item m="1" x="376"/>
        <item m="1" x="445"/>
        <item m="1" x="480"/>
        <item m="1" x="326"/>
        <item m="1" x="417"/>
        <item m="1" x="387"/>
        <item x="158"/>
        <item x="171"/>
        <item m="1" x="441"/>
        <item x="124"/>
        <item m="1" x="399"/>
        <item m="1" x="465"/>
        <item m="1" x="355"/>
        <item m="1" x="453"/>
        <item m="1" x="271"/>
        <item m="1" x="315"/>
        <item m="1" x="380"/>
        <item m="1" x="374"/>
        <item m="1" x="435"/>
        <item m="1" x="436"/>
        <item m="1" x="384"/>
        <item m="1" x="457"/>
        <item m="1" x="378"/>
        <item m="1" x="405"/>
        <item x="159"/>
        <item m="1" x="385"/>
        <item m="1" x="392"/>
        <item m="1" x="423"/>
        <item m="1" x="461"/>
        <item m="1" x="297"/>
        <item m="1" x="413"/>
        <item m="1" x="472"/>
        <item m="1" x="460"/>
        <item m="1" x="432"/>
        <item m="1" x="474"/>
        <item m="1" x="358"/>
        <item m="1" x="363"/>
        <item m="1" x="406"/>
        <item m="1" x="475"/>
        <item m="1" x="427"/>
        <item x="14"/>
        <item m="1" x="362"/>
        <item m="1" x="470"/>
        <item x="165"/>
        <item x="179"/>
        <item m="1" x="431"/>
        <item m="1" x="328"/>
        <item m="1" x="466"/>
        <item x="178"/>
        <item m="1" x="368"/>
        <item m="1" x="402"/>
        <item m="1" x="424"/>
        <item m="1" x="428"/>
        <item m="1" x="349"/>
        <item m="1" x="393"/>
        <item m="1" x="429"/>
        <item m="1" x="422"/>
        <item m="1" x="437"/>
        <item m="1" x="410"/>
        <item m="1" x="433"/>
        <item m="1" x="459"/>
        <item m="1" x="415"/>
        <item m="1" x="454"/>
        <item m="1" x="403"/>
        <item m="1" x="409"/>
        <item m="1" x="390"/>
        <item x="132"/>
        <item m="1" x="325"/>
        <item m="1" x="391"/>
        <item m="1" x="446"/>
        <item m="1" x="442"/>
        <item m="1" x="462"/>
        <item m="1" x="373"/>
        <item x="154"/>
        <item m="1" x="455"/>
        <item m="1" x="361"/>
        <item m="1" x="456"/>
        <item m="1" x="452"/>
        <item m="1" x="451"/>
        <item m="1" x="450"/>
        <item m="1" x="447"/>
        <item m="1" x="440"/>
        <item m="1" x="443"/>
        <item m="1" x="439"/>
        <item m="1" x="419"/>
        <item m="1" x="430"/>
        <item m="1" x="425"/>
        <item m="1" x="426"/>
        <item m="1" x="420"/>
        <item x="156"/>
        <item m="1" x="434"/>
        <item x="133"/>
        <item x="22"/>
        <item m="1" x="299"/>
        <item m="1" x="411"/>
        <item m="1" x="343"/>
        <item x="164"/>
        <item m="1" x="337"/>
        <item m="1" x="412"/>
        <item m="1" x="394"/>
        <item m="1" x="340"/>
        <item m="1" x="189"/>
        <item m="1" x="370"/>
        <item m="1" x="401"/>
        <item m="1" x="366"/>
        <item m="1" x="342"/>
        <item m="1" x="381"/>
        <item m="1" x="352"/>
        <item m="1" x="356"/>
        <item m="1" x="395"/>
        <item m="1" x="369"/>
        <item m="1" x="348"/>
        <item m="1" x="350"/>
        <item m="1" x="347"/>
        <item m="1" x="353"/>
        <item m="1" x="323"/>
        <item x="25"/>
        <item m="1" x="382"/>
        <item m="1" x="379"/>
        <item x="135"/>
        <item m="1" x="367"/>
        <item m="1" x="359"/>
        <item m="1" x="344"/>
        <item m="1" x="351"/>
        <item m="1" x="346"/>
        <item m="1" x="357"/>
        <item m="1" x="354"/>
        <item x="136"/>
        <item m="1" x="345"/>
        <item x="137"/>
        <item m="1" x="360"/>
        <item m="1" x="265"/>
        <item m="1" x="335"/>
        <item x="150"/>
        <item x="138"/>
        <item m="1" x="296"/>
        <item m="1" x="253"/>
        <item x="147"/>
        <item x="139"/>
        <item x="160"/>
        <item m="1" x="290"/>
        <item x="130"/>
        <item m="1" x="280"/>
        <item m="1" x="201"/>
        <item x="140"/>
        <item x="177"/>
        <item x="174"/>
        <item m="1" x="314"/>
        <item x="166"/>
        <item m="1" x="333"/>
        <item m="1" x="334"/>
        <item m="1" x="322"/>
        <item m="1" x="329"/>
        <item m="1" x="330"/>
        <item x="142"/>
        <item x="144"/>
        <item m="1" x="306"/>
        <item m="1" x="310"/>
        <item m="1" x="317"/>
        <item m="1" x="200"/>
        <item m="1" x="324"/>
        <item m="1" x="203"/>
        <item m="1" x="249"/>
        <item m="1" x="318"/>
        <item m="1" x="319"/>
        <item m="1" x="266"/>
        <item m="1" x="320"/>
        <item m="1" x="321"/>
        <item m="1" x="209"/>
        <item m="1" x="303"/>
        <item m="1" x="207"/>
        <item m="1" x="309"/>
        <item m="1" x="311"/>
        <item m="1" x="312"/>
        <item m="1" x="313"/>
        <item m="1" x="305"/>
        <item m="1" x="307"/>
        <item m="1" x="308"/>
        <item m="1" x="302"/>
        <item x="141"/>
        <item m="1" x="300"/>
        <item m="1" x="301"/>
        <item x="143"/>
        <item x="145"/>
        <item m="1" x="295"/>
        <item m="1" x="259"/>
        <item m="1" x="202"/>
        <item m="1" x="332"/>
        <item m="1" x="341"/>
        <item m="1" x="336"/>
        <item m="1" x="338"/>
        <item m="1" x="339"/>
        <item m="1" x="327"/>
        <item m="1" x="331"/>
        <item x="170"/>
        <item m="1" x="316"/>
        <item m="1" x="304"/>
        <item m="1" x="267"/>
        <item x="19"/>
        <item m="1" x="293"/>
        <item m="1" x="291"/>
        <item m="1" x="292"/>
        <item m="1" x="250"/>
        <item m="1" x="294"/>
        <item m="1" x="288"/>
        <item x="146"/>
        <item m="1" x="289"/>
        <item m="1" x="261"/>
        <item m="1" x="283"/>
        <item m="1" x="278"/>
        <item m="1" x="221"/>
        <item m="1" x="272"/>
        <item m="1" x="269"/>
        <item m="1" x="270"/>
        <item x="176"/>
        <item x="110"/>
        <item x="111"/>
        <item m="1" x="195"/>
        <item m="1" x="225"/>
        <item m="1" x="277"/>
        <item m="1" x="273"/>
        <item m="1" x="264"/>
        <item m="1" x="208"/>
        <item m="1" x="274"/>
        <item m="1" x="275"/>
        <item x="163"/>
        <item m="1" x="255"/>
        <item m="1" x="268"/>
        <item m="1" x="212"/>
        <item m="1" x="262"/>
        <item m="1" x="241"/>
        <item m="1" x="242"/>
        <item x="112"/>
        <item x="113"/>
        <item x="157"/>
        <item m="1" x="282"/>
        <item m="1" x="284"/>
        <item m="1" x="285"/>
        <item m="1" x="281"/>
        <item x="12"/>
        <item m="1" x="279"/>
        <item m="1" x="233"/>
        <item m="1" x="205"/>
        <item x="114"/>
        <item x="173"/>
        <item m="1" x="257"/>
        <item m="1" x="239"/>
        <item x="115"/>
        <item x="116"/>
        <item m="1" x="276"/>
        <item m="1" x="232"/>
        <item m="1" x="243"/>
        <item x="117"/>
        <item m="1" x="244"/>
        <item m="1" x="234"/>
        <item m="1" x="235"/>
        <item m="1" x="191"/>
        <item m="1" x="231"/>
        <item m="1" x="226"/>
        <item m="1" x="227"/>
        <item m="1" x="222"/>
        <item m="1" x="224"/>
        <item m="1" x="210"/>
        <item m="1" x="204"/>
        <item m="1" x="286"/>
        <item m="1" x="247"/>
        <item m="1" x="228"/>
        <item x="118"/>
        <item x="119"/>
        <item m="1" x="263"/>
        <item m="1" x="245"/>
        <item m="1" x="246"/>
        <item m="1" x="248"/>
        <item m="1" x="236"/>
        <item x="121"/>
        <item m="1" x="229"/>
        <item m="1" x="223"/>
        <item m="1" x="211"/>
        <item m="1" x="206"/>
        <item m="1" x="197"/>
        <item m="1" x="192"/>
        <item x="120"/>
        <item x="122"/>
        <item m="1" x="287"/>
        <item m="1" x="258"/>
        <item x="149"/>
        <item x="123"/>
        <item x="79"/>
        <item m="1" x="193"/>
        <item x="134"/>
        <item x="151"/>
        <item m="1" x="194"/>
        <item x="80"/>
        <item m="1" x="198"/>
        <item x="81"/>
        <item x="15"/>
        <item x="82"/>
        <item m="1" x="251"/>
        <item m="1" x="240"/>
        <item m="1" x="230"/>
        <item x="187"/>
        <item x="186"/>
        <item x="83"/>
        <item x="85"/>
        <item x="84"/>
        <item m="1" x="254"/>
        <item m="1" x="252"/>
        <item x="89"/>
        <item m="1" x="237"/>
        <item m="1" x="238"/>
        <item x="92"/>
        <item m="1" x="213"/>
        <item m="1" x="214"/>
        <item m="1" x="215"/>
        <item m="1" x="216"/>
        <item m="1" x="217"/>
        <item m="1" x="218"/>
        <item m="1" x="219"/>
        <item m="1" x="220"/>
        <item x="93"/>
        <item m="1" x="199"/>
        <item m="1" x="196"/>
        <item x="94"/>
        <item x="87"/>
        <item x="88"/>
        <item x="91"/>
        <item x="95"/>
        <item x="90"/>
        <item x="86"/>
        <item x="96"/>
        <item x="169"/>
        <item x="152"/>
        <item x="97"/>
        <item x="98"/>
        <item x="153"/>
        <item x="148"/>
        <item x="184"/>
        <item x="99"/>
        <item x="100"/>
        <item x="101"/>
        <item x="102"/>
        <item x="103"/>
        <item x="104"/>
        <item x="155"/>
        <item x="105"/>
        <item x="185"/>
        <item x="106"/>
        <item x="107"/>
        <item x="108"/>
        <item x="109"/>
        <item x="28"/>
        <item x="29"/>
        <item x="31"/>
        <item x="30"/>
        <item m="1" x="190"/>
        <item x="161"/>
        <item x="34"/>
        <item x="33"/>
        <item x="35"/>
        <item x="32"/>
        <item x="20"/>
        <item x="36"/>
        <item x="37"/>
        <item x="38"/>
        <item x="39"/>
        <item x="40"/>
        <item x="16"/>
        <item x="46"/>
        <item x="168"/>
        <item x="45"/>
        <item x="41"/>
        <item x="44"/>
        <item x="43"/>
        <item x="42"/>
        <item x="47"/>
        <item x="55"/>
        <item x="51"/>
        <item x="56"/>
        <item x="59"/>
        <item x="52"/>
        <item x="58"/>
        <item x="60"/>
        <item x="62"/>
        <item x="57"/>
        <item x="63"/>
        <item x="23"/>
        <item x="61"/>
        <item x="49"/>
        <item x="54"/>
        <item x="48"/>
        <item x="50"/>
        <item x="53"/>
        <item x="64"/>
        <item x="69"/>
        <item x="21"/>
        <item x="65"/>
        <item x="66"/>
        <item x="68"/>
        <item x="67"/>
        <item x="70"/>
        <item x="0"/>
        <item x="3"/>
        <item x="6"/>
        <item x="74"/>
        <item x="75"/>
        <item x="77"/>
        <item x="78"/>
        <item x="71"/>
        <item x="162"/>
        <item x="4"/>
        <item x="73"/>
        <item x="5"/>
        <item x="72"/>
        <item x="1"/>
        <item x="2"/>
        <item x="76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</pivotFields>
  <rowFields count="1">
    <field x="0"/>
  </rowFields>
  <rowItems count="189">
    <i>
      <x v="230"/>
    </i>
    <i>
      <x v="239"/>
    </i>
    <i>
      <x v="361"/>
    </i>
    <i>
      <x v="100"/>
    </i>
    <i>
      <x v="185"/>
    </i>
    <i>
      <x v="209"/>
    </i>
    <i>
      <x v="337"/>
    </i>
    <i>
      <x v="456"/>
    </i>
    <i>
      <x v="15"/>
    </i>
    <i>
      <x v="326"/>
    </i>
    <i>
      <x v="459"/>
    </i>
    <i>
      <x v="424"/>
    </i>
    <i>
      <x v="222"/>
    </i>
    <i>
      <x v="52"/>
    </i>
    <i>
      <x v="336"/>
    </i>
    <i>
      <x v="189"/>
    </i>
    <i>
      <x v="429"/>
    </i>
    <i>
      <x v="166"/>
    </i>
    <i>
      <x v="117"/>
    </i>
    <i>
      <x v="232"/>
    </i>
    <i>
      <x v="226"/>
    </i>
    <i>
      <x v="35"/>
    </i>
    <i>
      <x v="341"/>
    </i>
    <i>
      <x v="21"/>
    </i>
    <i>
      <x v="318"/>
    </i>
    <i>
      <x v="182"/>
    </i>
    <i>
      <x v="340"/>
    </i>
    <i>
      <x v="457"/>
    </i>
    <i>
      <x v="137"/>
    </i>
    <i>
      <x v="63"/>
    </i>
    <i>
      <x v="43"/>
    </i>
    <i>
      <x v="9"/>
    </i>
    <i>
      <x v="220"/>
    </i>
    <i>
      <x v="378"/>
    </i>
    <i>
      <x v="360"/>
    </i>
    <i>
      <x v="22"/>
    </i>
    <i>
      <x v="393"/>
    </i>
    <i>
      <x v="238"/>
    </i>
    <i>
      <x v="488"/>
    </i>
    <i>
      <x v="136"/>
    </i>
    <i>
      <x v="482"/>
    </i>
    <i>
      <x v="99"/>
    </i>
    <i>
      <x v="72"/>
    </i>
    <i>
      <x v="417"/>
    </i>
    <i>
      <x v="42"/>
    </i>
    <i>
      <x v="431"/>
    </i>
    <i>
      <x v="159"/>
    </i>
    <i>
      <x v="382"/>
    </i>
    <i>
      <x v="291"/>
    </i>
    <i>
      <x v="436"/>
    </i>
    <i>
      <x v="76"/>
    </i>
    <i>
      <x v="383"/>
    </i>
    <i>
      <x v="49"/>
    </i>
    <i>
      <x v="10"/>
    </i>
    <i>
      <x v="438"/>
    </i>
    <i>
      <x v="426"/>
    </i>
    <i>
      <x v="427"/>
    </i>
    <i>
      <x v="379"/>
    </i>
    <i>
      <x v="234"/>
    </i>
    <i>
      <x v="44"/>
    </i>
    <i>
      <x v="327"/>
    </i>
    <i>
      <x v="400"/>
    </i>
    <i>
      <x v="448"/>
    </i>
    <i>
      <x v="231"/>
    </i>
    <i>
      <x v="439"/>
    </i>
    <i>
      <x v="397"/>
    </i>
    <i>
      <x v="425"/>
    </i>
    <i>
      <x v="428"/>
    </i>
    <i>
      <x v="141"/>
    </i>
    <i>
      <x v="102"/>
    </i>
    <i>
      <x v="394"/>
    </i>
    <i>
      <x v="420"/>
    </i>
    <i>
      <x v="396"/>
    </i>
    <i>
      <x v="4"/>
    </i>
    <i>
      <x v="92"/>
    </i>
    <i>
      <x v="501"/>
    </i>
    <i>
      <x v="62"/>
    </i>
    <i>
      <x v="227"/>
    </i>
    <i>
      <x v="446"/>
    </i>
    <i>
      <x v="308"/>
    </i>
    <i>
      <x/>
    </i>
    <i>
      <x v="497"/>
    </i>
    <i>
      <x v="509"/>
    </i>
    <i>
      <x v="452"/>
    </i>
    <i>
      <x v="77"/>
    </i>
    <i>
      <x v="422"/>
    </i>
    <i>
      <x v="412"/>
    </i>
    <i>
      <x v="184"/>
    </i>
    <i>
      <x v="462"/>
    </i>
    <i>
      <x v="309"/>
    </i>
    <i>
      <x v="423"/>
    </i>
    <i>
      <x v="432"/>
    </i>
    <i>
      <x v="307"/>
    </i>
    <i>
      <x v="85"/>
    </i>
    <i>
      <x v="453"/>
    </i>
    <i>
      <x v="421"/>
    </i>
    <i>
      <x v="212"/>
    </i>
    <i>
      <x v="443"/>
    </i>
    <i>
      <x v="445"/>
    </i>
    <i>
      <x v="416"/>
    </i>
    <i>
      <x v="449"/>
    </i>
    <i>
      <x v="5"/>
    </i>
    <i>
      <x v="498"/>
    </i>
    <i>
      <x v="325"/>
    </i>
    <i>
      <x v="461"/>
    </i>
    <i>
      <x v="430"/>
    </i>
    <i>
      <x v="415"/>
    </i>
    <i>
      <x v="435"/>
    </i>
    <i>
      <x v="241"/>
    </i>
    <i>
      <x v="385"/>
    </i>
    <i>
      <x v="444"/>
    </i>
    <i>
      <x v="287"/>
    </i>
    <i>
      <x v="437"/>
    </i>
    <i>
      <x v="481"/>
    </i>
    <i>
      <x v="467"/>
    </i>
    <i>
      <x v="45"/>
    </i>
    <i>
      <x v="133"/>
    </i>
    <i>
      <x v="463"/>
    </i>
    <i>
      <x v="237"/>
    </i>
    <i>
      <x v="26"/>
    </i>
    <i>
      <x v="490"/>
    </i>
    <i>
      <x v="507"/>
    </i>
    <i>
      <x v="508"/>
    </i>
    <i>
      <x v="380"/>
    </i>
    <i>
      <x v="387"/>
    </i>
    <i>
      <x v="455"/>
    </i>
    <i>
      <x v="403"/>
    </i>
    <i>
      <x v="375"/>
    </i>
    <i>
      <x v="450"/>
    </i>
    <i>
      <x v="470"/>
    </i>
    <i>
      <x v="460"/>
    </i>
    <i>
      <x v="419"/>
    </i>
    <i>
      <x v="489"/>
    </i>
    <i>
      <x v="491"/>
    </i>
    <i>
      <x v="500"/>
    </i>
    <i>
      <x v="374"/>
    </i>
    <i>
      <x v="433"/>
    </i>
    <i>
      <x v="493"/>
    </i>
    <i>
      <x v="464"/>
    </i>
    <i>
      <x v="272"/>
    </i>
    <i>
      <x v="487"/>
    </i>
    <i>
      <x v="492"/>
    </i>
    <i>
      <x v="451"/>
    </i>
    <i>
      <x v="395"/>
    </i>
    <i>
      <x v="418"/>
    </i>
    <i>
      <x v="454"/>
    </i>
    <i>
      <x v="486"/>
    </i>
    <i>
      <x v="434"/>
    </i>
    <i>
      <x v="388"/>
    </i>
    <i>
      <x v="389"/>
    </i>
    <i>
      <x v="476"/>
    </i>
    <i>
      <x v="471"/>
    </i>
    <i>
      <x v="506"/>
    </i>
    <i>
      <x v="275"/>
    </i>
    <i>
      <x v="332"/>
    </i>
    <i>
      <x v="466"/>
    </i>
    <i>
      <x v="494"/>
    </i>
    <i>
      <x v="472"/>
    </i>
    <i>
      <x v="480"/>
    </i>
    <i>
      <x v="479"/>
    </i>
    <i>
      <x v="458"/>
    </i>
    <i>
      <x v="247"/>
    </i>
    <i>
      <x v="475"/>
    </i>
    <i>
      <x v="474"/>
    </i>
    <i>
      <x v="440"/>
    </i>
    <i>
      <x v="504"/>
    </i>
    <i>
      <x v="495"/>
    </i>
    <i>
      <x v="502"/>
    </i>
    <i>
      <x v="441"/>
    </i>
    <i>
      <x v="478"/>
    </i>
    <i>
      <x v="483"/>
    </i>
    <i>
      <x v="469"/>
    </i>
    <i>
      <x v="465"/>
    </i>
    <i>
      <x v="485"/>
    </i>
    <i>
      <x v="503"/>
    </i>
    <i>
      <x v="477"/>
    </i>
    <i>
      <x v="496"/>
    </i>
    <i>
      <x v="276"/>
    </i>
    <i>
      <x v="248"/>
    </i>
    <i>
      <x v="442"/>
    </i>
    <i>
      <x v="345"/>
    </i>
    <i>
      <x v="484"/>
    </i>
    <i>
      <x v="468"/>
    </i>
    <i>
      <x v="499"/>
    </i>
    <i>
      <x v="367"/>
    </i>
    <i>
      <x v="298"/>
    </i>
    <i>
      <x v="473"/>
    </i>
    <i>
      <x v="505"/>
    </i>
    <i t="grand">
      <x/>
    </i>
  </rowItems>
  <colItems count="1">
    <i/>
  </colItems>
  <dataFields count="1">
    <dataField name="Suma de %" fld="22" baseField="0" baseItem="0" numFmtId="9"/>
  </dataFields>
  <formats count="2">
    <format dxfId="14">
      <pivotArea type="topRight" dataOnly="0" labelOnly="1" outline="0" fieldPosition="0"/>
    </format>
    <format dxfId="13">
      <pivotArea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3AFB-F6F2-44B6-86B0-26FBECBC71F4}">
  <sheetPr codeName="Hoja1">
    <outlinePr summaryBelow="0"/>
    <pageSetUpPr fitToPage="1"/>
  </sheetPr>
  <dimension ref="A1:T1506"/>
  <sheetViews>
    <sheetView tabSelected="1" zoomScale="80" zoomScaleNormal="80" workbookViewId="0">
      <selection activeCell="L31" sqref="L31"/>
    </sheetView>
  </sheetViews>
  <sheetFormatPr baseColWidth="10" defaultRowHeight="15"/>
  <cols>
    <col min="1" max="1" width="60" customWidth="1"/>
    <col min="2" max="2" width="23" customWidth="1"/>
    <col min="3" max="3" width="25" customWidth="1"/>
    <col min="4" max="4" width="15" customWidth="1"/>
    <col min="5" max="5" width="18" customWidth="1"/>
    <col min="6" max="6" width="19" customWidth="1"/>
    <col min="7" max="9" width="15" customWidth="1"/>
    <col min="10" max="10" width="14.140625" style="67" bestFit="1" customWidth="1"/>
    <col min="11" max="11" width="33" style="67" customWidth="1"/>
    <col min="12" max="12" width="20.85546875" style="83" bestFit="1" customWidth="1"/>
    <col min="13" max="13" width="20" style="84" bestFit="1" customWidth="1"/>
    <col min="14" max="14" width="18.28515625" style="67" bestFit="1" customWidth="1"/>
    <col min="15" max="15" width="15.140625" style="67" bestFit="1" customWidth="1"/>
    <col min="16" max="16" width="12.28515625" hidden="1" customWidth="1"/>
    <col min="17" max="17" width="14.140625" hidden="1" customWidth="1"/>
    <col min="18" max="18" width="12.7109375" hidden="1" customWidth="1"/>
    <col min="19" max="19" width="19.28515625" hidden="1" customWidth="1"/>
    <col min="20" max="20" width="17.140625" customWidth="1"/>
  </cols>
  <sheetData>
    <row r="1" spans="1:20">
      <c r="A1" s="13" t="s">
        <v>17</v>
      </c>
      <c r="B1" s="13"/>
      <c r="C1" s="13"/>
      <c r="D1" s="13"/>
      <c r="E1" s="13"/>
      <c r="F1" s="13"/>
      <c r="G1" s="13"/>
      <c r="H1" s="13"/>
      <c r="I1" s="13"/>
      <c r="K1" s="72"/>
      <c r="L1" s="73"/>
      <c r="M1" s="74"/>
      <c r="N1" s="75"/>
      <c r="O1" s="76"/>
    </row>
    <row r="2" spans="1:20">
      <c r="A2" s="13" t="s">
        <v>2088</v>
      </c>
      <c r="B2" s="13"/>
      <c r="C2" s="13"/>
      <c r="D2" s="13"/>
      <c r="E2" s="13"/>
      <c r="F2" s="13"/>
      <c r="G2" s="13"/>
      <c r="H2" s="13"/>
      <c r="I2" s="13"/>
      <c r="K2" s="72"/>
      <c r="L2" s="73"/>
      <c r="M2" s="74"/>
      <c r="N2" s="77"/>
      <c r="O2" s="76"/>
      <c r="P2" s="32"/>
    </row>
    <row r="3" spans="1:20">
      <c r="A3" s="13" t="s">
        <v>2089</v>
      </c>
      <c r="B3" s="13"/>
      <c r="C3" s="13"/>
      <c r="D3" s="13"/>
      <c r="E3" s="13"/>
      <c r="F3" s="13"/>
      <c r="G3" s="13"/>
      <c r="H3" s="13"/>
      <c r="I3" s="13"/>
      <c r="K3" s="68"/>
      <c r="L3" s="67"/>
      <c r="M3" s="78"/>
    </row>
    <row r="4" spans="1:20" ht="14.25" customHeight="1">
      <c r="A4" s="13" t="s">
        <v>2090</v>
      </c>
      <c r="B4" s="13"/>
      <c r="C4" s="13"/>
      <c r="D4" s="13"/>
      <c r="E4" s="13"/>
      <c r="F4" s="13"/>
      <c r="G4" s="13"/>
      <c r="H4" s="13"/>
      <c r="I4" s="13"/>
      <c r="K4" s="68"/>
      <c r="L4" s="86"/>
      <c r="M4" s="30"/>
    </row>
    <row r="5" spans="1:20">
      <c r="A5" s="13" t="s">
        <v>90</v>
      </c>
      <c r="B5" s="13"/>
      <c r="C5" s="13"/>
      <c r="D5" s="13"/>
      <c r="E5" s="13"/>
      <c r="F5" s="13"/>
      <c r="G5" s="13"/>
      <c r="H5" s="13"/>
      <c r="I5" s="13"/>
      <c r="K5" s="53" t="s">
        <v>19</v>
      </c>
      <c r="L5" s="79"/>
      <c r="M5" s="78"/>
      <c r="P5" s="20"/>
      <c r="Q5" s="21"/>
    </row>
    <row r="6" spans="1:20">
      <c r="A6" s="13" t="s">
        <v>528</v>
      </c>
      <c r="B6" s="13"/>
      <c r="C6" s="13"/>
      <c r="D6" s="13"/>
      <c r="E6" s="13"/>
      <c r="F6" s="13"/>
      <c r="G6" s="13"/>
      <c r="H6" s="13"/>
      <c r="I6" s="13"/>
      <c r="K6" s="53" t="s">
        <v>78</v>
      </c>
      <c r="L6" s="67"/>
      <c r="M6" s="67"/>
      <c r="P6" s="20"/>
      <c r="Q6" s="21"/>
    </row>
    <row r="7" spans="1:20">
      <c r="A7" s="14" t="s">
        <v>12</v>
      </c>
      <c r="B7" s="14"/>
      <c r="C7" s="14" t="s">
        <v>1</v>
      </c>
      <c r="D7" s="14" t="s">
        <v>6</v>
      </c>
      <c r="E7" s="14"/>
      <c r="F7" s="14"/>
      <c r="G7" s="14"/>
      <c r="H7" s="14"/>
      <c r="I7" s="14"/>
      <c r="K7" s="1"/>
      <c r="L7" s="2">
        <v>46182</v>
      </c>
      <c r="M7" s="2">
        <f>WORKDAY(L7,1,$R:$R)</f>
        <v>46183</v>
      </c>
      <c r="N7" s="2">
        <f>WORKDAY(M7,1,$R:$R)</f>
        <v>46184</v>
      </c>
      <c r="R7" s="52">
        <v>45719</v>
      </c>
      <c r="S7" s="4" t="s">
        <v>110</v>
      </c>
    </row>
    <row r="8" spans="1:20">
      <c r="A8" s="13" t="s">
        <v>27</v>
      </c>
      <c r="B8" s="18">
        <v>45161870255.309998</v>
      </c>
      <c r="C8" s="15">
        <v>100</v>
      </c>
      <c r="D8" s="13" t="s">
        <v>28</v>
      </c>
      <c r="E8" s="13"/>
      <c r="F8" s="13"/>
      <c r="G8" s="13"/>
      <c r="H8" s="13"/>
      <c r="I8" s="13"/>
      <c r="K8" t="s">
        <v>195</v>
      </c>
      <c r="L8" s="42">
        <v>1200607110.1199999</v>
      </c>
      <c r="M8" s="42"/>
      <c r="N8" s="7"/>
      <c r="P8" s="11"/>
      <c r="R8" s="52">
        <v>45720</v>
      </c>
    </row>
    <row r="9" spans="1:20">
      <c r="A9" s="13" t="s">
        <v>91</v>
      </c>
      <c r="B9" s="18">
        <v>43656689404.540001</v>
      </c>
      <c r="C9" s="18">
        <v>96.67</v>
      </c>
      <c r="D9" s="18">
        <v>98.07</v>
      </c>
      <c r="E9" s="13"/>
      <c r="F9" s="13"/>
      <c r="G9" s="13"/>
      <c r="H9" s="13"/>
      <c r="I9" s="13"/>
      <c r="K9" t="s">
        <v>213</v>
      </c>
      <c r="L9" s="40"/>
      <c r="M9" s="42"/>
      <c r="N9" s="7"/>
      <c r="P9" s="3"/>
      <c r="R9" s="52">
        <v>45740</v>
      </c>
    </row>
    <row r="10" spans="1:20">
      <c r="A10" s="13" t="s">
        <v>211</v>
      </c>
      <c r="B10" s="15">
        <v>289996527</v>
      </c>
      <c r="C10" s="18">
        <v>0.64</v>
      </c>
      <c r="D10" s="18">
        <v>0.65</v>
      </c>
      <c r="E10" s="13"/>
      <c r="F10" s="13"/>
      <c r="G10" s="13"/>
      <c r="H10" s="13"/>
      <c r="I10" s="13"/>
      <c r="K10" t="s">
        <v>99</v>
      </c>
      <c r="L10" s="51">
        <f>SUMIFS(F:F,A:A,$K$10,B:B,L7)</f>
        <v>0</v>
      </c>
      <c r="M10" s="51">
        <f>SUMIFS(G:G,B:B,$K$10,C:C,M7)</f>
        <v>0</v>
      </c>
      <c r="N10" s="51">
        <f>SUMIFS(H:H,C:C,$K$10,D:D,N7)</f>
        <v>0</v>
      </c>
      <c r="O10" s="80"/>
      <c r="P10" s="9"/>
      <c r="R10" s="52">
        <v>45749</v>
      </c>
      <c r="T10" s="5"/>
    </row>
    <row r="11" spans="1:20">
      <c r="A11" s="13" t="s">
        <v>196</v>
      </c>
      <c r="B11" s="15">
        <v>-1339352500</v>
      </c>
      <c r="C11" s="18">
        <v>-2.97</v>
      </c>
      <c r="D11" s="18">
        <v>-3.01</v>
      </c>
      <c r="E11" s="13"/>
      <c r="F11" s="13"/>
      <c r="G11" s="13"/>
      <c r="H11" s="13"/>
      <c r="I11" s="13"/>
      <c r="K11" s="10" t="s">
        <v>84</v>
      </c>
      <c r="L11" s="38">
        <f>SUMIF($B$93:$B$1399,L7,$D$93:$D$1399)</f>
        <v>364436233.87</v>
      </c>
      <c r="M11" s="38">
        <f t="shared" ref="L11:N11" si="0">SUMIF($B$91:$B$1403,M7,$D$91:$D$1403)</f>
        <v>1070533536.22</v>
      </c>
      <c r="N11" s="38">
        <f t="shared" si="0"/>
        <v>897277063.07000005</v>
      </c>
      <c r="O11" s="79"/>
      <c r="P11" s="9"/>
      <c r="R11" s="52">
        <v>45765</v>
      </c>
    </row>
    <row r="12" spans="1:20">
      <c r="A12" s="13" t="s">
        <v>14</v>
      </c>
      <c r="B12" s="18">
        <v>1967542.04</v>
      </c>
      <c r="C12" s="15">
        <v>0</v>
      </c>
      <c r="D12" s="15">
        <v>0</v>
      </c>
      <c r="E12" s="13"/>
      <c r="F12" s="13"/>
      <c r="G12" s="13"/>
      <c r="H12" s="13"/>
      <c r="I12" s="13"/>
      <c r="K12" s="10" t="s">
        <v>85</v>
      </c>
      <c r="L12" s="51">
        <f>+SUMIF($B$1404:$B$1431,L7,$F$1404:$F$1431)</f>
        <v>0</v>
      </c>
      <c r="M12" s="51">
        <f t="shared" ref="M12:N12" si="1">+SUMIF($B$1408:$B$1435,M7,$F$1408:$F$1435)</f>
        <v>0</v>
      </c>
      <c r="N12" s="51">
        <f t="shared" si="1"/>
        <v>0</v>
      </c>
      <c r="O12" s="68"/>
      <c r="P12" s="17"/>
      <c r="R12" s="52">
        <v>45778</v>
      </c>
    </row>
    <row r="13" spans="1:20">
      <c r="A13" s="13" t="s">
        <v>26</v>
      </c>
      <c r="B13" s="18">
        <v>1967599.86</v>
      </c>
      <c r="C13" s="15">
        <v>0</v>
      </c>
      <c r="D13" s="15">
        <v>0</v>
      </c>
      <c r="E13" s="13"/>
      <c r="F13" s="13"/>
      <c r="G13" s="13"/>
      <c r="H13" s="13"/>
      <c r="I13" s="13"/>
      <c r="J13" s="100"/>
      <c r="K13" s="13" t="s">
        <v>214</v>
      </c>
      <c r="L13" s="39">
        <f>SUMIF($A1:$A200,K13,$E1:$E200)</f>
        <v>2105000000</v>
      </c>
      <c r="M13" s="39"/>
      <c r="N13" s="33"/>
      <c r="O13" s="68"/>
      <c r="P13" s="9"/>
      <c r="R13" s="52">
        <v>45779</v>
      </c>
      <c r="T13" s="99"/>
    </row>
    <row r="14" spans="1:20">
      <c r="A14" s="13" t="s">
        <v>1555</v>
      </c>
      <c r="B14" s="18">
        <v>-57.82</v>
      </c>
      <c r="C14" s="15">
        <v>0</v>
      </c>
      <c r="D14" s="15">
        <v>0</v>
      </c>
      <c r="E14" s="13"/>
      <c r="F14" s="13"/>
      <c r="G14" s="13"/>
      <c r="H14" s="13"/>
      <c r="I14" s="13"/>
      <c r="K14" t="s">
        <v>19</v>
      </c>
      <c r="L14" s="49">
        <f>+B13</f>
        <v>1967599.86</v>
      </c>
      <c r="M14" s="49"/>
      <c r="N14" s="49"/>
      <c r="O14" s="68"/>
      <c r="P14" s="9"/>
      <c r="Q14" s="5"/>
      <c r="R14" s="52">
        <v>45802</v>
      </c>
      <c r="T14" s="99"/>
    </row>
    <row r="15" spans="1:20">
      <c r="A15" s="13" t="s">
        <v>120</v>
      </c>
      <c r="B15" s="18">
        <v>1503213308.73</v>
      </c>
      <c r="C15" s="18">
        <v>3.33</v>
      </c>
      <c r="D15" s="18">
        <v>3.38</v>
      </c>
      <c r="E15" s="13"/>
      <c r="F15" s="13"/>
      <c r="G15" s="13"/>
      <c r="H15" s="13"/>
      <c r="I15" s="13"/>
      <c r="K15" t="s">
        <v>108</v>
      </c>
      <c r="L15" s="33">
        <v>-3427000</v>
      </c>
      <c r="M15" s="33"/>
      <c r="N15" s="19"/>
      <c r="O15" s="81"/>
      <c r="R15" s="52">
        <v>45824</v>
      </c>
    </row>
    <row r="16" spans="1:20">
      <c r="A16" s="13" t="s">
        <v>18</v>
      </c>
      <c r="B16" s="18">
        <v>-645029398.75999999</v>
      </c>
      <c r="C16" s="13" t="s">
        <v>28</v>
      </c>
      <c r="D16" s="13" t="s">
        <v>28</v>
      </c>
      <c r="E16" s="13"/>
      <c r="F16" s="13"/>
      <c r="G16" s="13"/>
      <c r="H16" s="13"/>
      <c r="I16" s="13"/>
      <c r="K16" t="s">
        <v>87</v>
      </c>
      <c r="L16" s="94"/>
      <c r="M16" s="33"/>
      <c r="N16"/>
      <c r="P16" s="5"/>
      <c r="R16" s="52">
        <v>45828</v>
      </c>
    </row>
    <row r="17" spans="1:20">
      <c r="A17" s="13" t="s">
        <v>11</v>
      </c>
      <c r="B17" s="18">
        <v>-28071669.940000001</v>
      </c>
      <c r="C17" s="13" t="s">
        <v>28</v>
      </c>
      <c r="D17" s="13" t="s">
        <v>28</v>
      </c>
      <c r="E17" s="13"/>
      <c r="F17" s="13"/>
      <c r="G17" s="13"/>
      <c r="H17" s="13"/>
      <c r="I17" s="13"/>
      <c r="K17" s="10" t="s">
        <v>465</v>
      </c>
      <c r="L17" s="94"/>
      <c r="M17" s="33"/>
      <c r="P17" s="3"/>
      <c r="R17" s="52">
        <v>45847</v>
      </c>
      <c r="T17" s="24"/>
    </row>
    <row r="18" spans="1:20">
      <c r="A18" s="13" t="s">
        <v>10</v>
      </c>
      <c r="B18" s="18">
        <v>-1628876.13</v>
      </c>
      <c r="C18" s="13" t="s">
        <v>28</v>
      </c>
      <c r="D18" s="13" t="s">
        <v>28</v>
      </c>
      <c r="E18" s="13"/>
      <c r="F18" s="13"/>
      <c r="G18" s="13"/>
      <c r="H18" s="13"/>
      <c r="I18" s="13"/>
      <c r="K18" s="4" t="s">
        <v>33</v>
      </c>
      <c r="L18" s="40">
        <f>SUM(L8:L17)</f>
        <v>3668583943.8499999</v>
      </c>
      <c r="M18" s="33"/>
      <c r="N18"/>
      <c r="O18" s="80"/>
      <c r="R18" s="52">
        <v>45884</v>
      </c>
    </row>
    <row r="19" spans="1:20">
      <c r="A19" s="13" t="s">
        <v>15</v>
      </c>
      <c r="B19" s="18">
        <v>-24038903.469999999</v>
      </c>
      <c r="C19" s="13" t="s">
        <v>28</v>
      </c>
      <c r="D19" s="13" t="s">
        <v>28</v>
      </c>
      <c r="E19" s="13"/>
      <c r="F19" s="13"/>
      <c r="G19" s="13"/>
      <c r="H19" s="13"/>
      <c r="I19" s="13"/>
      <c r="K19" s="10" t="s">
        <v>86</v>
      </c>
      <c r="L19" s="33"/>
      <c r="M19" s="33"/>
      <c r="N19" s="33"/>
      <c r="R19" s="52">
        <v>45886</v>
      </c>
    </row>
    <row r="20" spans="1:20">
      <c r="A20" s="13" t="s">
        <v>109</v>
      </c>
      <c r="B20" s="18">
        <v>-2403890.34</v>
      </c>
      <c r="C20" s="13" t="s">
        <v>28</v>
      </c>
      <c r="D20" s="13" t="s">
        <v>28</v>
      </c>
      <c r="E20" s="13"/>
      <c r="F20" s="13"/>
      <c r="G20" s="13"/>
      <c r="H20" s="13"/>
      <c r="I20" s="13"/>
      <c r="K20" t="s">
        <v>326</v>
      </c>
      <c r="L20" s="33"/>
      <c r="M20" s="33"/>
      <c r="N20"/>
      <c r="R20" s="52">
        <v>45942</v>
      </c>
    </row>
    <row r="21" spans="1:20">
      <c r="A21" s="13" t="s">
        <v>119</v>
      </c>
      <c r="B21" s="18">
        <v>-599547733.99000001</v>
      </c>
      <c r="C21" s="13" t="s">
        <v>28</v>
      </c>
      <c r="D21" s="13" t="s">
        <v>28</v>
      </c>
      <c r="E21" s="13"/>
      <c r="F21" s="13"/>
      <c r="G21" s="13"/>
      <c r="H21" s="13"/>
      <c r="I21" s="13"/>
      <c r="K21" t="s">
        <v>337</v>
      </c>
      <c r="L21" s="33"/>
      <c r="M21" s="33"/>
      <c r="N21" s="7"/>
      <c r="R21" s="52">
        <v>45982</v>
      </c>
    </row>
    <row r="22" spans="1:20">
      <c r="A22" s="13" t="s">
        <v>2091</v>
      </c>
      <c r="B22" s="18">
        <v>-358352846.91000003</v>
      </c>
      <c r="C22" s="13" t="s">
        <v>28</v>
      </c>
      <c r="D22" s="13" t="s">
        <v>28</v>
      </c>
      <c r="E22" s="13"/>
      <c r="F22" s="13"/>
      <c r="G22" s="13"/>
      <c r="H22" s="13"/>
      <c r="I22" s="13"/>
      <c r="J22" s="66" t="s">
        <v>80</v>
      </c>
      <c r="K22" t="s">
        <v>228</v>
      </c>
      <c r="L22" s="94"/>
      <c r="M22" s="33"/>
      <c r="R22" s="52">
        <v>45985</v>
      </c>
    </row>
    <row r="23" spans="1:20">
      <c r="A23" s="13" t="s">
        <v>133</v>
      </c>
      <c r="B23" s="18">
        <v>-192270632.37</v>
      </c>
      <c r="C23" s="13" t="s">
        <v>28</v>
      </c>
      <c r="D23" s="13" t="s">
        <v>28</v>
      </c>
      <c r="E23" s="13"/>
      <c r="F23" s="13"/>
      <c r="G23" s="13"/>
      <c r="H23" s="13"/>
      <c r="I23" s="13"/>
      <c r="K23" t="s">
        <v>229</v>
      </c>
      <c r="L23" s="142">
        <f>SUMIF(A:A,K23,B:B)</f>
        <v>-358352846.91000003</v>
      </c>
      <c r="M23" s="33"/>
      <c r="N23" s="33"/>
      <c r="Q23" s="7"/>
      <c r="R23" s="52">
        <v>45999</v>
      </c>
    </row>
    <row r="24" spans="1:20">
      <c r="A24" s="13" t="s">
        <v>29</v>
      </c>
      <c r="B24" s="18">
        <v>44516840856.550003</v>
      </c>
      <c r="C24" s="13" t="s">
        <v>28</v>
      </c>
      <c r="D24" s="13" t="s">
        <v>28</v>
      </c>
      <c r="E24" s="13"/>
      <c r="F24" s="13"/>
      <c r="G24" s="13"/>
      <c r="H24" s="13"/>
      <c r="I24" s="13"/>
      <c r="K24" s="10" t="s">
        <v>598</v>
      </c>
      <c r="L24" s="94"/>
      <c r="M24" s="94"/>
      <c r="N24" s="7"/>
      <c r="R24" s="52">
        <v>46016</v>
      </c>
    </row>
    <row r="25" spans="1:20">
      <c r="A25" s="13" t="s">
        <v>3</v>
      </c>
      <c r="B25" s="18">
        <v>888223121.95000005</v>
      </c>
      <c r="C25" s="13" t="s">
        <v>28</v>
      </c>
      <c r="D25" s="15">
        <v>2</v>
      </c>
      <c r="E25" s="13"/>
      <c r="F25" s="13"/>
      <c r="G25" s="13"/>
      <c r="H25" s="13"/>
      <c r="I25" s="13"/>
      <c r="K25" s="10" t="s">
        <v>393</v>
      </c>
      <c r="L25" s="39"/>
      <c r="M25" s="94"/>
      <c r="N25" s="7"/>
      <c r="R25" s="52"/>
    </row>
    <row r="26" spans="1:20">
      <c r="A26" s="13" t="s">
        <v>24</v>
      </c>
      <c r="B26" s="18">
        <v>860151452.00999999</v>
      </c>
      <c r="C26" s="13" t="s">
        <v>28</v>
      </c>
      <c r="D26" s="18">
        <v>1.93</v>
      </c>
      <c r="E26" s="13"/>
      <c r="F26" s="13"/>
      <c r="G26" s="13"/>
      <c r="H26" s="13"/>
      <c r="I26" s="13"/>
      <c r="K26" s="8" t="s">
        <v>1871</v>
      </c>
      <c r="L26" s="41"/>
      <c r="M26" s="41"/>
      <c r="N26" s="43"/>
    </row>
    <row r="27" spans="1:20">
      <c r="A27" s="13" t="s">
        <v>28</v>
      </c>
      <c r="B27" s="13"/>
      <c r="C27" s="13"/>
      <c r="D27" s="13"/>
      <c r="E27" s="13"/>
      <c r="F27" s="13"/>
      <c r="G27" s="13"/>
      <c r="H27" s="13"/>
      <c r="I27" s="13"/>
      <c r="K27" s="4" t="s">
        <v>39</v>
      </c>
      <c r="L27" s="6">
        <f>SUM(L18:L26)</f>
        <v>3310231096.9400001</v>
      </c>
      <c r="M27" s="6">
        <f>SUM(M8:M26)</f>
        <v>1070533536.22</v>
      </c>
      <c r="N27" s="6">
        <f>SUM(N8:N26)</f>
        <v>897277063.07000005</v>
      </c>
    </row>
    <row r="28" spans="1:20">
      <c r="A28" s="13" t="s">
        <v>28</v>
      </c>
      <c r="B28" s="13"/>
      <c r="C28" s="13"/>
      <c r="D28" s="13"/>
      <c r="E28" s="13"/>
      <c r="F28" s="13"/>
      <c r="G28" s="13"/>
      <c r="H28" s="13"/>
      <c r="I28" s="13"/>
      <c r="L28" s="130"/>
      <c r="M28" s="67"/>
    </row>
    <row r="29" spans="1:20">
      <c r="A29" s="13" t="s">
        <v>28</v>
      </c>
      <c r="B29" s="13"/>
      <c r="C29" s="13"/>
      <c r="D29" s="13"/>
      <c r="E29" s="13"/>
      <c r="F29" s="13"/>
      <c r="G29" s="13"/>
      <c r="H29" s="13"/>
      <c r="I29" s="13"/>
      <c r="L29" s="130"/>
      <c r="M29" s="67"/>
    </row>
    <row r="30" spans="1:20">
      <c r="A30" s="13" t="s">
        <v>28</v>
      </c>
      <c r="B30" s="13"/>
      <c r="C30" s="13"/>
      <c r="D30" s="13"/>
      <c r="E30" s="13"/>
      <c r="F30" s="13"/>
      <c r="G30" s="13"/>
      <c r="H30" s="13"/>
      <c r="I30" s="13"/>
      <c r="L30" s="78"/>
      <c r="M30" s="67"/>
    </row>
    <row r="31" spans="1:20">
      <c r="A31" s="13" t="s">
        <v>28</v>
      </c>
      <c r="B31" s="13"/>
      <c r="C31" s="13"/>
      <c r="D31" s="13"/>
      <c r="E31" s="13"/>
      <c r="F31" s="13"/>
      <c r="G31" s="13"/>
      <c r="H31" s="13"/>
      <c r="I31" s="13"/>
      <c r="K31" t="s">
        <v>82</v>
      </c>
      <c r="L31" s="96">
        <v>30849962051.919998</v>
      </c>
      <c r="M31" s="98"/>
    </row>
    <row r="32" spans="1:20">
      <c r="A32" s="13" t="s">
        <v>28</v>
      </c>
      <c r="B32" s="13"/>
      <c r="C32" s="13"/>
      <c r="D32" s="13"/>
      <c r="E32" s="13"/>
      <c r="F32" s="13"/>
      <c r="G32" s="13"/>
      <c r="H32" s="13"/>
      <c r="I32" s="13"/>
      <c r="K32" t="s">
        <v>83</v>
      </c>
      <c r="L32" s="97">
        <f>L31/B24</f>
        <v>0.69299531274759985</v>
      </c>
      <c r="M32" s="67"/>
      <c r="N32" s="85"/>
      <c r="Q32" s="7"/>
      <c r="R32" s="7"/>
    </row>
    <row r="33" spans="1:17">
      <c r="A33" s="13" t="s">
        <v>28</v>
      </c>
      <c r="B33" s="13"/>
      <c r="C33" s="13"/>
      <c r="D33" s="13"/>
      <c r="E33" s="13"/>
      <c r="F33" s="13"/>
      <c r="G33" s="13"/>
      <c r="H33" s="13"/>
      <c r="I33" s="13"/>
      <c r="K33" s="29"/>
      <c r="L33" s="5"/>
      <c r="M33" s="67"/>
      <c r="N33" s="85"/>
    </row>
    <row r="34" spans="1:17">
      <c r="A34" s="13" t="s">
        <v>28</v>
      </c>
      <c r="B34" s="13"/>
      <c r="C34" s="13"/>
      <c r="D34" s="13"/>
      <c r="E34" s="13"/>
      <c r="F34" s="13"/>
      <c r="G34" s="13"/>
      <c r="H34" s="13"/>
      <c r="I34" s="13"/>
      <c r="N34" s="85"/>
    </row>
    <row r="35" spans="1:17">
      <c r="A35" s="13" t="s">
        <v>28</v>
      </c>
      <c r="B35" s="13"/>
      <c r="C35" s="13"/>
      <c r="D35" s="13"/>
      <c r="E35" s="13"/>
      <c r="F35" s="13"/>
      <c r="G35" s="13"/>
      <c r="H35" s="13"/>
      <c r="I35" s="13"/>
    </row>
    <row r="36" spans="1:17">
      <c r="A36" s="13" t="s">
        <v>28</v>
      </c>
      <c r="B36" s="13"/>
      <c r="C36" s="13"/>
      <c r="D36" s="13"/>
      <c r="E36" s="13"/>
      <c r="F36" s="13"/>
      <c r="G36" s="13"/>
      <c r="H36" s="13"/>
      <c r="I36" s="13"/>
      <c r="L36" s="94"/>
      <c r="N36" s="85"/>
    </row>
    <row r="37" spans="1:17">
      <c r="A37" s="13" t="s">
        <v>28</v>
      </c>
      <c r="B37" s="13"/>
      <c r="C37" s="13"/>
      <c r="D37" s="13"/>
      <c r="E37" s="13"/>
      <c r="F37" s="13"/>
      <c r="G37" s="13"/>
      <c r="H37" s="13"/>
      <c r="I37" s="13"/>
      <c r="L37" s="94"/>
      <c r="N37" s="85"/>
    </row>
    <row r="38" spans="1:17">
      <c r="A38" s="13" t="s">
        <v>28</v>
      </c>
      <c r="B38" s="13"/>
      <c r="C38" s="13"/>
      <c r="D38" s="13"/>
      <c r="E38" s="13"/>
      <c r="F38" s="13"/>
      <c r="G38" s="13"/>
      <c r="H38" s="13"/>
      <c r="I38" s="13"/>
      <c r="N38" s="87"/>
    </row>
    <row r="39" spans="1:17">
      <c r="A39" s="13" t="s">
        <v>28</v>
      </c>
      <c r="B39" s="13"/>
      <c r="C39" s="13"/>
      <c r="D39" s="13"/>
      <c r="E39" s="13"/>
      <c r="F39" s="13"/>
      <c r="G39" s="13"/>
      <c r="H39" s="13"/>
      <c r="I39" s="13"/>
      <c r="N39" s="85"/>
      <c r="O39" s="82"/>
    </row>
    <row r="40" spans="1:17">
      <c r="A40" s="13" t="s">
        <v>28</v>
      </c>
      <c r="B40" s="13"/>
      <c r="C40" s="13"/>
      <c r="D40" s="13"/>
      <c r="E40" s="13"/>
      <c r="F40" s="13"/>
      <c r="G40" s="13"/>
      <c r="H40" s="13"/>
      <c r="I40" s="13"/>
      <c r="K40" s="146" t="s">
        <v>823</v>
      </c>
      <c r="L40" s="145">
        <f>VLOOKUP("Valor Patrimonial del Fondo",A:B,2,0)+L22+L23</f>
        <v>44158488009.639999</v>
      </c>
      <c r="N40" s="88"/>
      <c r="O40" s="82"/>
      <c r="Q40" s="11"/>
    </row>
    <row r="41" spans="1:17">
      <c r="A41" s="13" t="s">
        <v>92</v>
      </c>
      <c r="B41" s="13"/>
      <c r="C41" s="13"/>
      <c r="D41" s="13"/>
      <c r="E41" s="13"/>
      <c r="F41" s="13"/>
      <c r="G41" s="13"/>
      <c r="H41" s="13"/>
      <c r="I41" s="13"/>
      <c r="K41" s="144" t="s">
        <v>824</v>
      </c>
      <c r="L41" s="143">
        <f>+L40*0.05</f>
        <v>2207924400.4819999</v>
      </c>
      <c r="N41" s="88"/>
      <c r="O41" s="82"/>
    </row>
    <row r="42" spans="1:17">
      <c r="A42" s="13" t="s">
        <v>529</v>
      </c>
      <c r="B42" s="13"/>
      <c r="C42" s="13"/>
      <c r="D42" s="13"/>
      <c r="E42" s="13"/>
      <c r="F42" s="13"/>
      <c r="G42" s="13"/>
      <c r="H42" s="13"/>
      <c r="I42" s="13"/>
      <c r="K42" s="144" t="s">
        <v>825</v>
      </c>
      <c r="L42" s="143">
        <f>+L40*0.2</f>
        <v>8831697601.9279995</v>
      </c>
      <c r="N42" s="88"/>
      <c r="O42" s="82"/>
    </row>
    <row r="43" spans="1:17">
      <c r="A43" s="14" t="s">
        <v>8</v>
      </c>
      <c r="B43" s="14" t="s">
        <v>93</v>
      </c>
      <c r="C43" s="14" t="s">
        <v>94</v>
      </c>
      <c r="D43" s="14" t="s">
        <v>95</v>
      </c>
      <c r="E43" s="14" t="s">
        <v>2</v>
      </c>
      <c r="F43" s="14" t="s">
        <v>4</v>
      </c>
      <c r="G43" s="14" t="s">
        <v>96</v>
      </c>
      <c r="H43" s="14" t="s">
        <v>97</v>
      </c>
      <c r="I43" s="14" t="s">
        <v>98</v>
      </c>
      <c r="J43" s="95"/>
      <c r="N43" s="88"/>
      <c r="O43" s="82"/>
    </row>
    <row r="44" spans="1:17">
      <c r="A44" s="13" t="s">
        <v>1433</v>
      </c>
      <c r="B44" s="13" t="s">
        <v>1434</v>
      </c>
      <c r="C44" s="15">
        <v>200000000</v>
      </c>
      <c r="D44" s="150">
        <v>1.1702999999999999</v>
      </c>
      <c r="E44" s="15">
        <v>234052744</v>
      </c>
      <c r="F44" s="18">
        <v>0.53</v>
      </c>
      <c r="G44" s="15">
        <v>0</v>
      </c>
      <c r="H44" s="13" t="s">
        <v>28</v>
      </c>
      <c r="I44" s="139" t="s">
        <v>1435</v>
      </c>
      <c r="J44" s="95"/>
      <c r="K44" s="129"/>
      <c r="N44" s="88"/>
      <c r="O44" s="82"/>
    </row>
    <row r="45" spans="1:17">
      <c r="A45" s="13"/>
      <c r="B45" s="13" t="s">
        <v>28</v>
      </c>
      <c r="C45" s="15">
        <v>200000000</v>
      </c>
      <c r="D45" s="13" t="s">
        <v>28</v>
      </c>
      <c r="E45" s="15">
        <v>234052744</v>
      </c>
      <c r="F45" s="18">
        <v>0.53</v>
      </c>
      <c r="G45" s="13" t="s">
        <v>28</v>
      </c>
      <c r="H45" s="13" t="s">
        <v>28</v>
      </c>
      <c r="I45" s="13" t="s">
        <v>28</v>
      </c>
      <c r="N45" s="82"/>
      <c r="O45" s="82"/>
    </row>
    <row r="46" spans="1:17">
      <c r="A46" s="13" t="s">
        <v>28</v>
      </c>
      <c r="B46" s="13"/>
      <c r="C46" s="13"/>
      <c r="D46" s="13"/>
      <c r="E46" s="13"/>
      <c r="F46" s="13"/>
      <c r="G46" s="13"/>
      <c r="H46" s="13"/>
      <c r="I46" s="13"/>
      <c r="N46" s="82"/>
      <c r="O46" s="82"/>
    </row>
    <row r="47" spans="1:17">
      <c r="A47" s="13" t="s">
        <v>530</v>
      </c>
      <c r="B47" s="13"/>
      <c r="C47" s="13"/>
      <c r="D47" s="13"/>
      <c r="E47" s="13"/>
      <c r="F47" s="13"/>
      <c r="G47" s="13"/>
      <c r="H47" s="13"/>
      <c r="I47" s="13"/>
      <c r="J47" s="95"/>
      <c r="N47" s="82"/>
      <c r="O47" s="82"/>
    </row>
    <row r="48" spans="1:17">
      <c r="A48" s="14" t="s">
        <v>8</v>
      </c>
      <c r="B48" s="14" t="s">
        <v>93</v>
      </c>
      <c r="C48" s="14" t="s">
        <v>94</v>
      </c>
      <c r="D48" s="14" t="s">
        <v>95</v>
      </c>
      <c r="E48" s="14" t="s">
        <v>2</v>
      </c>
      <c r="F48" s="14" t="s">
        <v>4</v>
      </c>
      <c r="G48" s="14" t="s">
        <v>96</v>
      </c>
      <c r="H48" s="14" t="s">
        <v>97</v>
      </c>
      <c r="I48" s="14" t="s">
        <v>98</v>
      </c>
      <c r="N48" s="82"/>
      <c r="O48" s="82"/>
    </row>
    <row r="49" spans="1:18">
      <c r="A49" s="13" t="s">
        <v>330</v>
      </c>
      <c r="B49" s="13" t="s">
        <v>331</v>
      </c>
      <c r="C49" s="15">
        <v>300000000</v>
      </c>
      <c r="D49" s="150">
        <v>1.0955999999999999</v>
      </c>
      <c r="E49" s="15">
        <v>328681923</v>
      </c>
      <c r="F49" s="18">
        <v>0.74</v>
      </c>
      <c r="G49" s="15">
        <v>1</v>
      </c>
      <c r="H49" s="18">
        <v>9.56</v>
      </c>
      <c r="I49" s="139" t="s">
        <v>332</v>
      </c>
      <c r="N49" s="82"/>
      <c r="O49" s="82"/>
    </row>
    <row r="50" spans="1:18">
      <c r="A50" s="13" t="s">
        <v>1182</v>
      </c>
      <c r="B50" s="13" t="s">
        <v>1183</v>
      </c>
      <c r="C50" s="15">
        <v>300000000</v>
      </c>
      <c r="D50" s="150">
        <v>1.0304</v>
      </c>
      <c r="E50" s="15">
        <v>309120363</v>
      </c>
      <c r="F50" s="18">
        <v>0.69</v>
      </c>
      <c r="G50" s="15">
        <v>1</v>
      </c>
      <c r="H50" s="18">
        <v>3.04</v>
      </c>
      <c r="I50" s="139" t="s">
        <v>1184</v>
      </c>
      <c r="N50" s="82"/>
    </row>
    <row r="51" spans="1:18">
      <c r="A51" s="13"/>
      <c r="B51" s="13" t="s">
        <v>28</v>
      </c>
      <c r="C51" s="15">
        <v>600000000</v>
      </c>
      <c r="D51" s="13" t="s">
        <v>28</v>
      </c>
      <c r="E51" s="15">
        <v>637802286</v>
      </c>
      <c r="F51" s="18">
        <v>1.43</v>
      </c>
      <c r="G51" s="13" t="s">
        <v>28</v>
      </c>
      <c r="H51" s="13" t="s">
        <v>28</v>
      </c>
      <c r="I51" s="13" t="s">
        <v>28</v>
      </c>
    </row>
    <row r="52" spans="1:18">
      <c r="A52" s="13" t="s">
        <v>28</v>
      </c>
      <c r="B52" s="13"/>
      <c r="C52" s="13"/>
      <c r="D52" s="13"/>
      <c r="E52" s="13"/>
      <c r="F52" s="13"/>
      <c r="G52" s="13"/>
      <c r="H52" s="13"/>
      <c r="I52" s="13"/>
    </row>
    <row r="53" spans="1:18">
      <c r="A53" s="13" t="s">
        <v>531</v>
      </c>
      <c r="B53" s="13"/>
      <c r="C53" s="13"/>
      <c r="D53" s="13"/>
      <c r="E53" s="13"/>
      <c r="F53" s="13"/>
      <c r="G53" s="13"/>
      <c r="H53" s="13"/>
      <c r="I53" s="13"/>
    </row>
    <row r="54" spans="1:18">
      <c r="A54" s="14" t="s">
        <v>8</v>
      </c>
      <c r="B54" s="14" t="s">
        <v>93</v>
      </c>
      <c r="C54" s="14" t="s">
        <v>94</v>
      </c>
      <c r="D54" s="14" t="s">
        <v>95</v>
      </c>
      <c r="E54" s="14" t="s">
        <v>2</v>
      </c>
      <c r="F54" s="14" t="s">
        <v>4</v>
      </c>
      <c r="G54" s="14" t="s">
        <v>96</v>
      </c>
      <c r="H54" s="14" t="s">
        <v>97</v>
      </c>
      <c r="I54" s="14" t="s">
        <v>98</v>
      </c>
    </row>
    <row r="55" spans="1:18">
      <c r="A55" s="13" t="s">
        <v>165</v>
      </c>
      <c r="B55" s="13" t="s">
        <v>166</v>
      </c>
      <c r="C55" s="15">
        <v>100000000</v>
      </c>
      <c r="D55" s="150">
        <v>0.33139999999999997</v>
      </c>
      <c r="E55" s="15">
        <v>33142732</v>
      </c>
      <c r="F55" s="18">
        <v>7.0000000000000007E-2</v>
      </c>
      <c r="G55" s="150">
        <v>0.98460000000000003</v>
      </c>
      <c r="H55" s="18">
        <v>-66.34</v>
      </c>
      <c r="I55" s="139" t="s">
        <v>167</v>
      </c>
    </row>
    <row r="56" spans="1:18">
      <c r="A56" s="13" t="s">
        <v>304</v>
      </c>
      <c r="B56" s="13" t="s">
        <v>305</v>
      </c>
      <c r="C56" s="15">
        <v>101962042</v>
      </c>
      <c r="D56" s="152">
        <v>1.3420000000000001</v>
      </c>
      <c r="E56" s="18">
        <v>136837717.99000001</v>
      </c>
      <c r="F56" s="18">
        <v>0.31</v>
      </c>
      <c r="G56" s="152">
        <v>0.92400000000000004</v>
      </c>
      <c r="H56" s="18">
        <v>45.24</v>
      </c>
      <c r="I56" s="139" t="s">
        <v>306</v>
      </c>
    </row>
    <row r="57" spans="1:18">
      <c r="A57" s="13" t="s">
        <v>307</v>
      </c>
      <c r="B57" s="13" t="s">
        <v>308</v>
      </c>
      <c r="C57" s="15">
        <v>382357659</v>
      </c>
      <c r="D57" s="150">
        <v>1.1131</v>
      </c>
      <c r="E57" s="18">
        <v>425587107.69</v>
      </c>
      <c r="F57" s="18">
        <v>0.96</v>
      </c>
      <c r="G57" s="18">
        <v>0.85</v>
      </c>
      <c r="H57" s="18">
        <v>30.95</v>
      </c>
      <c r="I57" s="139" t="s">
        <v>309</v>
      </c>
    </row>
    <row r="58" spans="1:18">
      <c r="A58" s="13" t="s">
        <v>479</v>
      </c>
      <c r="B58" s="13" t="s">
        <v>480</v>
      </c>
      <c r="C58" s="15">
        <v>75584213</v>
      </c>
      <c r="D58" s="150">
        <v>1.0457000000000001</v>
      </c>
      <c r="E58" s="151">
        <v>79038886.200000003</v>
      </c>
      <c r="F58" s="18">
        <v>0.18</v>
      </c>
      <c r="G58" s="150">
        <v>0.87180000000000002</v>
      </c>
      <c r="H58" s="18">
        <v>19.95</v>
      </c>
      <c r="I58" s="139" t="s">
        <v>481</v>
      </c>
    </row>
    <row r="59" spans="1:18">
      <c r="A59" s="13" t="s">
        <v>482</v>
      </c>
      <c r="B59" s="13" t="s">
        <v>483</v>
      </c>
      <c r="C59" s="15">
        <v>176363163</v>
      </c>
      <c r="D59" s="150">
        <v>0.98280000000000001</v>
      </c>
      <c r="E59" s="18">
        <v>173328617.84999999</v>
      </c>
      <c r="F59" s="18">
        <v>0.39</v>
      </c>
      <c r="G59" s="150">
        <v>0.84460000000000002</v>
      </c>
      <c r="H59" s="18">
        <v>16.36</v>
      </c>
      <c r="I59" s="139" t="s">
        <v>484</v>
      </c>
    </row>
    <row r="60" spans="1:18">
      <c r="A60" s="13" t="s">
        <v>1920</v>
      </c>
      <c r="B60" s="13" t="s">
        <v>1921</v>
      </c>
      <c r="C60" s="15">
        <v>63635566</v>
      </c>
      <c r="D60" s="152">
        <v>0.91900000000000004</v>
      </c>
      <c r="E60" s="151">
        <v>58482153.600000001</v>
      </c>
      <c r="F60" s="18">
        <v>0.13</v>
      </c>
      <c r="G60" s="150">
        <v>0.90539999999999998</v>
      </c>
      <c r="H60" s="151">
        <v>1.5</v>
      </c>
      <c r="I60" s="139" t="s">
        <v>1922</v>
      </c>
      <c r="R60" s="9"/>
    </row>
    <row r="61" spans="1:18">
      <c r="A61" s="13" t="s">
        <v>1923</v>
      </c>
      <c r="B61" s="13" t="s">
        <v>1924</v>
      </c>
      <c r="C61" s="15">
        <v>148482986</v>
      </c>
      <c r="D61" s="150">
        <v>0.7964</v>
      </c>
      <c r="E61" s="18">
        <v>118255499.76000001</v>
      </c>
      <c r="F61" s="18">
        <v>0.27</v>
      </c>
      <c r="G61" s="150">
        <v>0.7853</v>
      </c>
      <c r="H61" s="18">
        <v>1.42</v>
      </c>
      <c r="I61" s="139" t="s">
        <v>1925</v>
      </c>
    </row>
    <row r="62" spans="1:18">
      <c r="A62" s="13" t="s">
        <v>466</v>
      </c>
      <c r="B62" s="13" t="s">
        <v>467</v>
      </c>
      <c r="C62" s="15">
        <v>306275000</v>
      </c>
      <c r="D62" s="150">
        <v>0.24640000000000001</v>
      </c>
      <c r="E62" s="18">
        <v>75462395.879999995</v>
      </c>
      <c r="F62" s="18">
        <v>0.17</v>
      </c>
      <c r="G62" s="150">
        <v>1.0324</v>
      </c>
      <c r="H62" s="18">
        <v>-76.13</v>
      </c>
      <c r="I62" s="139" t="s">
        <v>468</v>
      </c>
    </row>
    <row r="63" spans="1:18">
      <c r="A63" s="13"/>
      <c r="B63" s="13" t="s">
        <v>28</v>
      </c>
      <c r="C63" s="15">
        <v>1354660629</v>
      </c>
      <c r="D63" s="13" t="s">
        <v>28</v>
      </c>
      <c r="E63" s="18">
        <v>1100135110.98</v>
      </c>
      <c r="F63" s="18">
        <v>2.4700000000000002</v>
      </c>
      <c r="G63" s="13" t="s">
        <v>28</v>
      </c>
      <c r="H63" s="13" t="s">
        <v>28</v>
      </c>
      <c r="I63" s="13" t="s">
        <v>28</v>
      </c>
    </row>
    <row r="64" spans="1:18" s="9" customFormat="1">
      <c r="A64" s="13" t="s">
        <v>28</v>
      </c>
      <c r="B64" s="13"/>
      <c r="C64" s="13"/>
      <c r="D64" s="13"/>
      <c r="E64" s="13"/>
      <c r="F64" s="13"/>
      <c r="G64" s="13"/>
      <c r="H64" s="13"/>
      <c r="I64" s="13"/>
      <c r="J64" s="67"/>
      <c r="K64" s="67"/>
      <c r="L64" s="83"/>
      <c r="M64" s="84"/>
      <c r="N64" s="67"/>
      <c r="O64" s="67"/>
      <c r="P64"/>
      <c r="Q64"/>
      <c r="R64"/>
    </row>
    <row r="65" spans="1:18">
      <c r="A65" s="13" t="s">
        <v>532</v>
      </c>
      <c r="B65" s="13"/>
      <c r="C65" s="13"/>
      <c r="D65" s="13"/>
      <c r="E65" s="13"/>
      <c r="F65" s="13"/>
      <c r="G65" s="13"/>
      <c r="H65" s="13"/>
      <c r="I65" s="13"/>
    </row>
    <row r="66" spans="1:18">
      <c r="A66" s="14" t="s">
        <v>8</v>
      </c>
      <c r="B66" s="14" t="s">
        <v>93</v>
      </c>
      <c r="C66" s="14" t="s">
        <v>94</v>
      </c>
      <c r="D66" s="14" t="s">
        <v>95</v>
      </c>
      <c r="E66" s="14" t="s">
        <v>2</v>
      </c>
      <c r="F66" s="14" t="s">
        <v>4</v>
      </c>
      <c r="G66" s="14" t="s">
        <v>96</v>
      </c>
      <c r="H66" s="14" t="s">
        <v>97</v>
      </c>
      <c r="I66" s="14" t="s">
        <v>98</v>
      </c>
    </row>
    <row r="67" spans="1:18">
      <c r="A67" s="13" t="s">
        <v>475</v>
      </c>
      <c r="B67" s="13" t="s">
        <v>28</v>
      </c>
      <c r="C67" s="15">
        <v>-439000</v>
      </c>
      <c r="D67" s="151">
        <v>1460.5</v>
      </c>
      <c r="E67" s="15">
        <v>-641159500</v>
      </c>
      <c r="F67" s="18">
        <v>-1.44</v>
      </c>
      <c r="G67" s="15">
        <v>0</v>
      </c>
      <c r="H67" s="13" t="s">
        <v>28</v>
      </c>
      <c r="I67" s="139" t="s">
        <v>173</v>
      </c>
    </row>
    <row r="68" spans="1:18" s="9" customFormat="1">
      <c r="A68" s="13" t="s">
        <v>345</v>
      </c>
      <c r="B68" s="13" t="s">
        <v>28</v>
      </c>
      <c r="C68" s="15">
        <v>-301000</v>
      </c>
      <c r="D68" s="15">
        <v>1488</v>
      </c>
      <c r="E68" s="15">
        <v>-447888000</v>
      </c>
      <c r="F68" s="18">
        <v>-1.01</v>
      </c>
      <c r="G68" s="150">
        <v>-116.5316</v>
      </c>
      <c r="H68" s="18">
        <v>-1376.91</v>
      </c>
      <c r="I68" s="139" t="s">
        <v>410</v>
      </c>
      <c r="J68" s="67"/>
      <c r="K68" s="67"/>
      <c r="L68" s="83"/>
      <c r="M68" s="84"/>
      <c r="N68" s="67"/>
      <c r="O68" s="67"/>
      <c r="P68"/>
      <c r="Q68"/>
      <c r="R68"/>
    </row>
    <row r="69" spans="1:18">
      <c r="A69" s="13" t="s">
        <v>1166</v>
      </c>
      <c r="B69" s="13" t="s">
        <v>28</v>
      </c>
      <c r="C69" s="15">
        <v>-165000</v>
      </c>
      <c r="D69" s="15">
        <v>1517</v>
      </c>
      <c r="E69" s="15">
        <v>-250305000</v>
      </c>
      <c r="F69" s="18">
        <v>-0.56000000000000005</v>
      </c>
      <c r="G69" s="15">
        <v>0</v>
      </c>
      <c r="H69" s="13" t="s">
        <v>28</v>
      </c>
      <c r="I69" s="139" t="s">
        <v>886</v>
      </c>
      <c r="J69" s="69"/>
    </row>
    <row r="70" spans="1:18">
      <c r="A70" s="13" t="s">
        <v>1543</v>
      </c>
      <c r="B70" s="13" t="s">
        <v>28</v>
      </c>
      <c r="C70" s="15">
        <v>-575000</v>
      </c>
      <c r="D70" s="15">
        <v>1545</v>
      </c>
      <c r="E70" s="15">
        <v>-888375000</v>
      </c>
      <c r="F70" s="15">
        <v>-2</v>
      </c>
      <c r="G70" s="15">
        <v>0</v>
      </c>
      <c r="H70" s="13" t="s">
        <v>28</v>
      </c>
      <c r="I70" s="139" t="s">
        <v>1072</v>
      </c>
    </row>
    <row r="71" spans="1:18">
      <c r="A71" s="13"/>
      <c r="B71" s="13" t="s">
        <v>28</v>
      </c>
      <c r="C71" s="15">
        <v>-1480000</v>
      </c>
      <c r="D71" s="13" t="s">
        <v>28</v>
      </c>
      <c r="E71" s="15">
        <v>-2227727500</v>
      </c>
      <c r="F71" s="15">
        <v>-5</v>
      </c>
      <c r="G71" s="13" t="s">
        <v>28</v>
      </c>
      <c r="H71" s="13" t="s">
        <v>28</v>
      </c>
      <c r="I71" s="13" t="s">
        <v>28</v>
      </c>
      <c r="J71" s="69"/>
    </row>
    <row r="72" spans="1:18">
      <c r="A72" s="13" t="s">
        <v>28</v>
      </c>
      <c r="B72" s="13"/>
      <c r="C72" s="13"/>
      <c r="D72" s="13"/>
      <c r="E72" s="13"/>
      <c r="F72" s="13"/>
      <c r="G72" s="13"/>
      <c r="H72" s="13"/>
      <c r="I72" s="13"/>
    </row>
    <row r="73" spans="1:18">
      <c r="A73" s="13" t="s">
        <v>1237</v>
      </c>
      <c r="B73" s="13"/>
      <c r="C73" s="13"/>
      <c r="D73" s="13"/>
      <c r="E73" s="13"/>
      <c r="F73" s="13"/>
      <c r="G73" s="13"/>
      <c r="H73" s="13"/>
      <c r="I73" s="13"/>
    </row>
    <row r="74" spans="1:18">
      <c r="A74" s="14" t="s">
        <v>8</v>
      </c>
      <c r="B74" s="14" t="s">
        <v>93</v>
      </c>
      <c r="C74" s="14" t="s">
        <v>94</v>
      </c>
      <c r="D74" s="14" t="s">
        <v>95</v>
      </c>
      <c r="E74" s="14" t="s">
        <v>2</v>
      </c>
      <c r="F74" s="14" t="s">
        <v>4</v>
      </c>
      <c r="G74" s="14" t="s">
        <v>96</v>
      </c>
      <c r="H74" s="14" t="s">
        <v>97</v>
      </c>
      <c r="I74" s="14" t="s">
        <v>98</v>
      </c>
    </row>
    <row r="75" spans="1:18">
      <c r="A75" s="13" t="s">
        <v>214</v>
      </c>
      <c r="B75" s="13" t="s">
        <v>28</v>
      </c>
      <c r="C75" s="153">
        <v>171047208.70457271</v>
      </c>
      <c r="D75" s="150">
        <v>12.3065</v>
      </c>
      <c r="E75" s="15">
        <v>2105000000</v>
      </c>
      <c r="F75" s="18">
        <v>4.7300000000000004</v>
      </c>
      <c r="G75" s="150">
        <v>12.3065</v>
      </c>
      <c r="H75" s="15">
        <v>0</v>
      </c>
      <c r="I75" s="13" t="s">
        <v>28</v>
      </c>
    </row>
    <row r="76" spans="1:18">
      <c r="A76" s="13"/>
      <c r="B76" s="13" t="s">
        <v>28</v>
      </c>
      <c r="C76" s="153">
        <v>171047208.70457271</v>
      </c>
      <c r="D76" s="13" t="s">
        <v>28</v>
      </c>
      <c r="E76" s="15">
        <v>2105000000</v>
      </c>
      <c r="F76" s="18">
        <v>4.7300000000000004</v>
      </c>
      <c r="G76" s="13" t="s">
        <v>28</v>
      </c>
      <c r="H76" s="13" t="s">
        <v>28</v>
      </c>
      <c r="I76" s="13" t="s">
        <v>28</v>
      </c>
    </row>
    <row r="77" spans="1:18">
      <c r="A77" s="13" t="s">
        <v>28</v>
      </c>
      <c r="B77" s="13"/>
      <c r="C77" s="13"/>
      <c r="D77" s="13"/>
      <c r="E77" s="13"/>
      <c r="F77" s="13"/>
      <c r="G77" s="13"/>
      <c r="H77" s="13"/>
      <c r="I77" s="13"/>
    </row>
    <row r="78" spans="1:18">
      <c r="A78" s="13" t="s">
        <v>533</v>
      </c>
      <c r="B78" s="13"/>
      <c r="C78" s="13"/>
      <c r="D78" s="13"/>
      <c r="E78" s="13"/>
      <c r="F78" s="13"/>
      <c r="G78" s="13"/>
      <c r="H78" s="13"/>
      <c r="I78" s="13"/>
    </row>
    <row r="79" spans="1:18">
      <c r="A79" s="14" t="s">
        <v>8</v>
      </c>
      <c r="B79" s="14" t="s">
        <v>93</v>
      </c>
      <c r="C79" s="14" t="s">
        <v>94</v>
      </c>
      <c r="D79" s="14" t="s">
        <v>95</v>
      </c>
      <c r="E79" s="14" t="s">
        <v>2</v>
      </c>
      <c r="F79" s="14" t="s">
        <v>4</v>
      </c>
      <c r="G79" s="14" t="s">
        <v>96</v>
      </c>
      <c r="H79" s="14" t="s">
        <v>97</v>
      </c>
      <c r="I79" s="14" t="s">
        <v>98</v>
      </c>
    </row>
    <row r="80" spans="1:18">
      <c r="A80" s="13" t="s">
        <v>327</v>
      </c>
      <c r="B80" s="13" t="s">
        <v>328</v>
      </c>
      <c r="C80" s="15">
        <v>300000000</v>
      </c>
      <c r="D80" s="150">
        <v>0.9667</v>
      </c>
      <c r="E80" s="15">
        <v>289996527</v>
      </c>
      <c r="F80" s="18">
        <v>0.65</v>
      </c>
      <c r="G80" s="15">
        <v>0</v>
      </c>
      <c r="H80" s="13" t="s">
        <v>28</v>
      </c>
      <c r="I80" s="139" t="s">
        <v>329</v>
      </c>
    </row>
    <row r="81" spans="1:9">
      <c r="A81" s="13"/>
      <c r="B81" s="13" t="s">
        <v>28</v>
      </c>
      <c r="C81" s="15">
        <v>300000000</v>
      </c>
      <c r="D81" s="13" t="s">
        <v>28</v>
      </c>
      <c r="E81" s="15">
        <v>289996527</v>
      </c>
      <c r="F81" s="18">
        <v>0.65</v>
      </c>
      <c r="G81" s="13" t="s">
        <v>28</v>
      </c>
      <c r="H81" s="13" t="s">
        <v>28</v>
      </c>
      <c r="I81" s="13" t="s">
        <v>28</v>
      </c>
    </row>
    <row r="82" spans="1:9">
      <c r="A82" s="13" t="s">
        <v>28</v>
      </c>
      <c r="B82" s="13"/>
      <c r="C82" s="13"/>
      <c r="D82" s="13"/>
      <c r="E82" s="13"/>
      <c r="F82" s="13"/>
      <c r="G82" s="13"/>
      <c r="H82" s="13"/>
      <c r="I82" s="13"/>
    </row>
    <row r="83" spans="1:9">
      <c r="A83" s="13" t="s">
        <v>28</v>
      </c>
      <c r="B83" s="13"/>
      <c r="C83" s="13"/>
      <c r="D83" s="13"/>
      <c r="E83" s="13"/>
      <c r="F83" s="13"/>
      <c r="G83" s="13"/>
      <c r="H83" s="13"/>
      <c r="I83" s="13"/>
    </row>
    <row r="84" spans="1:9">
      <c r="A84" s="13" t="s">
        <v>534</v>
      </c>
      <c r="B84" s="13"/>
      <c r="C84" s="13"/>
      <c r="D84" s="13"/>
      <c r="E84" s="13"/>
      <c r="F84" s="13"/>
      <c r="G84" s="13"/>
      <c r="H84" s="13"/>
      <c r="I84" s="13"/>
    </row>
    <row r="85" spans="1:9">
      <c r="A85" s="14" t="s">
        <v>183</v>
      </c>
      <c r="B85" s="14" t="s">
        <v>98</v>
      </c>
      <c r="C85" s="14" t="s">
        <v>184</v>
      </c>
      <c r="D85" s="14" t="s">
        <v>185</v>
      </c>
      <c r="E85" s="14" t="s">
        <v>47</v>
      </c>
      <c r="F85" s="14" t="s">
        <v>2</v>
      </c>
      <c r="G85" s="14" t="s">
        <v>4</v>
      </c>
      <c r="H85" s="14"/>
      <c r="I85" s="14"/>
    </row>
    <row r="86" spans="1:9">
      <c r="A86" s="13" t="s">
        <v>1721</v>
      </c>
      <c r="B86" s="139" t="s">
        <v>589</v>
      </c>
      <c r="C86" s="139" t="s">
        <v>516</v>
      </c>
      <c r="D86" s="15">
        <v>1</v>
      </c>
      <c r="E86" s="28">
        <v>18.171684989999999</v>
      </c>
      <c r="F86" s="15">
        <v>1200000000</v>
      </c>
      <c r="G86" s="151">
        <v>2.7</v>
      </c>
      <c r="H86" s="13"/>
      <c r="I86" s="13"/>
    </row>
    <row r="87" spans="1:9">
      <c r="A87" s="13" t="s">
        <v>186</v>
      </c>
      <c r="B87" s="139" t="s">
        <v>477</v>
      </c>
      <c r="C87" s="139" t="s">
        <v>369</v>
      </c>
      <c r="D87" s="15">
        <v>30</v>
      </c>
      <c r="E87" s="153">
        <v>38.500457300000001</v>
      </c>
      <c r="F87" s="151">
        <v>640922513.89999998</v>
      </c>
      <c r="G87" s="18">
        <v>1.44</v>
      </c>
      <c r="H87" s="13"/>
      <c r="I87" s="13"/>
    </row>
    <row r="88" spans="1:9">
      <c r="A88" s="13"/>
      <c r="B88" s="13"/>
      <c r="C88" s="13" t="s">
        <v>28</v>
      </c>
      <c r="D88" s="18">
        <v>9.36</v>
      </c>
      <c r="E88" s="28">
        <v>37.08407004</v>
      </c>
      <c r="F88" s="151">
        <v>1840922513.9000001</v>
      </c>
      <c r="G88" s="18">
        <v>4.1399999999999997</v>
      </c>
      <c r="H88" s="13"/>
      <c r="I88" s="13"/>
    </row>
    <row r="89" spans="1:9">
      <c r="A89" s="13" t="s">
        <v>28</v>
      </c>
      <c r="B89" s="13"/>
      <c r="C89" s="13"/>
      <c r="D89" s="13"/>
      <c r="E89" s="13"/>
      <c r="F89" s="13"/>
      <c r="G89" s="13"/>
      <c r="H89" s="13"/>
      <c r="I89" s="13"/>
    </row>
    <row r="90" spans="1:9">
      <c r="A90" s="13" t="s">
        <v>28</v>
      </c>
      <c r="B90" s="13"/>
      <c r="C90" s="13"/>
      <c r="D90" s="13"/>
      <c r="E90" s="13"/>
      <c r="F90" s="13"/>
      <c r="G90" s="13"/>
      <c r="H90" s="13"/>
      <c r="I90" s="13"/>
    </row>
    <row r="91" spans="1:9">
      <c r="A91" s="13" t="s">
        <v>535</v>
      </c>
      <c r="B91" s="13"/>
      <c r="C91" s="13"/>
      <c r="D91" s="13"/>
      <c r="E91" s="13"/>
      <c r="F91" s="13"/>
      <c r="G91" s="13"/>
      <c r="H91" s="13"/>
      <c r="I91" s="13"/>
    </row>
    <row r="92" spans="1:9">
      <c r="A92" s="14" t="s">
        <v>9</v>
      </c>
      <c r="B92" s="14" t="s">
        <v>98</v>
      </c>
      <c r="C92" s="14" t="s">
        <v>16</v>
      </c>
      <c r="D92" s="14" t="s">
        <v>100</v>
      </c>
      <c r="E92" s="14" t="s">
        <v>32</v>
      </c>
      <c r="F92" s="14" t="s">
        <v>101</v>
      </c>
      <c r="G92" s="14" t="s">
        <v>4</v>
      </c>
      <c r="H92" s="14"/>
      <c r="I92" s="14"/>
    </row>
    <row r="93" spans="1:9">
      <c r="A93" s="13" t="s">
        <v>168</v>
      </c>
      <c r="B93" s="139" t="s">
        <v>169</v>
      </c>
      <c r="C93" s="139" t="s">
        <v>121</v>
      </c>
      <c r="D93" s="15">
        <v>10000000</v>
      </c>
      <c r="E93" s="154">
        <v>0.948594041</v>
      </c>
      <c r="F93" s="18">
        <v>9485940.4100000001</v>
      </c>
      <c r="G93" s="18">
        <v>0.02</v>
      </c>
      <c r="H93" s="13"/>
      <c r="I93" s="13"/>
    </row>
    <row r="94" spans="1:9">
      <c r="A94" s="13" t="s">
        <v>170</v>
      </c>
      <c r="B94" s="139" t="s">
        <v>171</v>
      </c>
      <c r="C94" s="139" t="s">
        <v>121</v>
      </c>
      <c r="D94" s="15">
        <v>10000000</v>
      </c>
      <c r="E94" s="93">
        <v>0.98878474459999999</v>
      </c>
      <c r="F94" s="18">
        <v>9887847.4499999993</v>
      </c>
      <c r="G94" s="18">
        <v>0.02</v>
      </c>
      <c r="H94" s="13"/>
      <c r="I94" s="13"/>
    </row>
    <row r="95" spans="1:9">
      <c r="A95" s="13" t="s">
        <v>172</v>
      </c>
      <c r="B95" s="139" t="s">
        <v>173</v>
      </c>
      <c r="C95" s="139" t="s">
        <v>121</v>
      </c>
      <c r="D95" s="15">
        <v>10000000</v>
      </c>
      <c r="E95" s="93">
        <v>0.97302198110000004</v>
      </c>
      <c r="F95" s="18">
        <v>9730219.8100000005</v>
      </c>
      <c r="G95" s="18">
        <v>0.02</v>
      </c>
      <c r="H95" s="13"/>
      <c r="I95" s="13"/>
    </row>
    <row r="96" spans="1:9">
      <c r="A96" s="13" t="s">
        <v>188</v>
      </c>
      <c r="B96" s="139" t="s">
        <v>189</v>
      </c>
      <c r="C96" s="139" t="s">
        <v>135</v>
      </c>
      <c r="D96" s="15">
        <v>10000000</v>
      </c>
      <c r="E96" s="93">
        <v>0.86665401659999997</v>
      </c>
      <c r="F96" s="18">
        <v>8666540.1699999999</v>
      </c>
      <c r="G96" s="18">
        <v>0.02</v>
      </c>
      <c r="H96" s="13"/>
      <c r="I96" s="13"/>
    </row>
    <row r="97" spans="1:9">
      <c r="A97" s="13" t="s">
        <v>190</v>
      </c>
      <c r="B97" s="139" t="s">
        <v>191</v>
      </c>
      <c r="C97" s="139" t="s">
        <v>135</v>
      </c>
      <c r="D97" s="15">
        <v>10000000</v>
      </c>
      <c r="E97" s="154">
        <v>0.84627876400000002</v>
      </c>
      <c r="F97" s="18">
        <v>8462787.6400000006</v>
      </c>
      <c r="G97" s="18">
        <v>0.02</v>
      </c>
      <c r="H97" s="13"/>
      <c r="I97" s="13"/>
    </row>
    <row r="98" spans="1:9">
      <c r="A98" s="13" t="s">
        <v>192</v>
      </c>
      <c r="B98" s="139" t="s">
        <v>193</v>
      </c>
      <c r="C98" s="139" t="s">
        <v>135</v>
      </c>
      <c r="D98" s="15">
        <v>10000000</v>
      </c>
      <c r="E98" s="93">
        <v>0.89141798750000001</v>
      </c>
      <c r="F98" s="18">
        <v>8914179.8800000008</v>
      </c>
      <c r="G98" s="18">
        <v>0.02</v>
      </c>
      <c r="H98" s="13"/>
      <c r="I98" s="13"/>
    </row>
    <row r="99" spans="1:9">
      <c r="A99" s="13" t="s">
        <v>372</v>
      </c>
      <c r="B99" s="139" t="s">
        <v>373</v>
      </c>
      <c r="C99" s="139" t="s">
        <v>212</v>
      </c>
      <c r="D99" s="15">
        <v>14350000</v>
      </c>
      <c r="E99" s="154">
        <v>0.98303259099999996</v>
      </c>
      <c r="F99" s="18">
        <v>14106517.68</v>
      </c>
      <c r="G99" s="18">
        <v>0.03</v>
      </c>
      <c r="H99" s="13"/>
      <c r="I99" s="13"/>
    </row>
    <row r="100" spans="1:9">
      <c r="A100" s="13" t="s">
        <v>386</v>
      </c>
      <c r="B100" s="139" t="s">
        <v>346</v>
      </c>
      <c r="C100" s="139" t="s">
        <v>257</v>
      </c>
      <c r="D100" s="15">
        <v>6530318</v>
      </c>
      <c r="E100" s="93">
        <v>0.96032415280000005</v>
      </c>
      <c r="F100" s="151">
        <v>6271222.0999999996</v>
      </c>
      <c r="G100" s="18">
        <v>0.01</v>
      </c>
      <c r="H100" s="13"/>
      <c r="I100" s="13"/>
    </row>
    <row r="101" spans="1:9">
      <c r="A101" s="13" t="s">
        <v>387</v>
      </c>
      <c r="B101" s="139" t="s">
        <v>388</v>
      </c>
      <c r="C101" s="139" t="s">
        <v>257</v>
      </c>
      <c r="D101" s="15">
        <v>6530318</v>
      </c>
      <c r="E101" s="93">
        <v>0.98205397439999997</v>
      </c>
      <c r="F101" s="18">
        <v>6413124.75</v>
      </c>
      <c r="G101" s="18">
        <v>0.01</v>
      </c>
      <c r="H101" s="13"/>
      <c r="I101" s="13"/>
    </row>
    <row r="102" spans="1:9">
      <c r="A102" s="13" t="s">
        <v>403</v>
      </c>
      <c r="B102" s="139" t="s">
        <v>402</v>
      </c>
      <c r="C102" s="139" t="s">
        <v>269</v>
      </c>
      <c r="D102" s="15">
        <v>25000000</v>
      </c>
      <c r="E102" s="93">
        <v>0.99563557179999995</v>
      </c>
      <c r="F102" s="151">
        <v>24890889.300000001</v>
      </c>
      <c r="G102" s="18">
        <v>0.06</v>
      </c>
      <c r="H102" s="13"/>
      <c r="I102" s="13"/>
    </row>
    <row r="103" spans="1:9">
      <c r="A103" s="13" t="s">
        <v>404</v>
      </c>
      <c r="B103" s="139" t="s">
        <v>405</v>
      </c>
      <c r="C103" s="139" t="s">
        <v>230</v>
      </c>
      <c r="D103" s="15">
        <v>45000000</v>
      </c>
      <c r="E103" s="154">
        <v>0.95803047200000002</v>
      </c>
      <c r="F103" s="18">
        <v>43111371.240000002</v>
      </c>
      <c r="G103" s="151">
        <v>0.1</v>
      </c>
      <c r="H103" s="13"/>
      <c r="I103" s="13"/>
    </row>
    <row r="104" spans="1:9">
      <c r="A104" s="13" t="s">
        <v>406</v>
      </c>
      <c r="B104" s="139" t="s">
        <v>171</v>
      </c>
      <c r="C104" s="139" t="s">
        <v>230</v>
      </c>
      <c r="D104" s="15">
        <v>45000000</v>
      </c>
      <c r="E104" s="93">
        <v>0.98999159260000003</v>
      </c>
      <c r="F104" s="18">
        <v>44549621.670000002</v>
      </c>
      <c r="G104" s="151">
        <v>0.1</v>
      </c>
      <c r="H104" s="13"/>
      <c r="I104" s="13"/>
    </row>
    <row r="105" spans="1:9">
      <c r="A105" s="13" t="s">
        <v>407</v>
      </c>
      <c r="B105" s="139" t="s">
        <v>408</v>
      </c>
      <c r="C105" s="139" t="s">
        <v>230</v>
      </c>
      <c r="D105" s="15">
        <v>45000000</v>
      </c>
      <c r="E105" s="93">
        <v>0.98451747980000004</v>
      </c>
      <c r="F105" s="18">
        <v>44303286.590000004</v>
      </c>
      <c r="G105" s="151">
        <v>0.1</v>
      </c>
      <c r="H105" s="13"/>
      <c r="I105" s="13"/>
    </row>
    <row r="106" spans="1:9">
      <c r="A106" s="13" t="s">
        <v>409</v>
      </c>
      <c r="B106" s="139" t="s">
        <v>410</v>
      </c>
      <c r="C106" s="139" t="s">
        <v>230</v>
      </c>
      <c r="D106" s="15">
        <v>40000000</v>
      </c>
      <c r="E106" s="93">
        <v>0.94381104010000005</v>
      </c>
      <c r="F106" s="151">
        <v>37752441.600000001</v>
      </c>
      <c r="G106" s="18">
        <v>0.08</v>
      </c>
      <c r="H106" s="13"/>
      <c r="I106" s="13"/>
    </row>
    <row r="107" spans="1:9">
      <c r="A107" s="13" t="s">
        <v>411</v>
      </c>
      <c r="B107" s="139" t="s">
        <v>412</v>
      </c>
      <c r="C107" s="139" t="s">
        <v>230</v>
      </c>
      <c r="D107" s="15">
        <v>3000000</v>
      </c>
      <c r="E107" s="93">
        <v>0.92684291740000002</v>
      </c>
      <c r="F107" s="18">
        <v>2780528.75</v>
      </c>
      <c r="G107" s="18">
        <v>0.01</v>
      </c>
      <c r="H107" s="13"/>
      <c r="I107" s="13"/>
    </row>
    <row r="108" spans="1:9">
      <c r="A108" s="13" t="s">
        <v>413</v>
      </c>
      <c r="B108" s="139" t="s">
        <v>414</v>
      </c>
      <c r="C108" s="139" t="s">
        <v>230</v>
      </c>
      <c r="D108" s="15">
        <v>3000000</v>
      </c>
      <c r="E108" s="93">
        <v>0.95823164329999999</v>
      </c>
      <c r="F108" s="18">
        <v>2874694.93</v>
      </c>
      <c r="G108" s="18">
        <v>0.01</v>
      </c>
      <c r="H108" s="13"/>
      <c r="I108" s="13"/>
    </row>
    <row r="109" spans="1:9">
      <c r="A109" s="13" t="s">
        <v>415</v>
      </c>
      <c r="B109" s="139" t="s">
        <v>416</v>
      </c>
      <c r="C109" s="139" t="s">
        <v>230</v>
      </c>
      <c r="D109" s="15">
        <v>3000000</v>
      </c>
      <c r="E109" s="93">
        <v>0.99066334659999999</v>
      </c>
      <c r="F109" s="18">
        <v>2971990.04</v>
      </c>
      <c r="G109" s="18">
        <v>0.01</v>
      </c>
      <c r="H109" s="13"/>
      <c r="I109" s="13"/>
    </row>
    <row r="110" spans="1:9">
      <c r="A110" s="13" t="s">
        <v>417</v>
      </c>
      <c r="B110" s="139" t="s">
        <v>171</v>
      </c>
      <c r="C110" s="139" t="s">
        <v>230</v>
      </c>
      <c r="D110" s="15">
        <v>3500000</v>
      </c>
      <c r="E110" s="93">
        <v>0.98950849939999996</v>
      </c>
      <c r="F110" s="18">
        <v>3463279.75</v>
      </c>
      <c r="G110" s="18">
        <v>0.01</v>
      </c>
      <c r="H110" s="13"/>
      <c r="I110" s="13"/>
    </row>
    <row r="111" spans="1:9">
      <c r="A111" s="13" t="s">
        <v>418</v>
      </c>
      <c r="B111" s="139" t="s">
        <v>419</v>
      </c>
      <c r="C111" s="139" t="s">
        <v>230</v>
      </c>
      <c r="D111" s="15">
        <v>3500000</v>
      </c>
      <c r="E111" s="93">
        <v>0.92281243390000001</v>
      </c>
      <c r="F111" s="18">
        <v>3229843.52</v>
      </c>
      <c r="G111" s="18">
        <v>0.01</v>
      </c>
      <c r="H111" s="13"/>
      <c r="I111" s="13"/>
    </row>
    <row r="112" spans="1:9">
      <c r="A112" s="13" t="s">
        <v>420</v>
      </c>
      <c r="B112" s="139" t="s">
        <v>421</v>
      </c>
      <c r="C112" s="139" t="s">
        <v>230</v>
      </c>
      <c r="D112" s="15">
        <v>3500000</v>
      </c>
      <c r="E112" s="93">
        <v>0.95715110729999997</v>
      </c>
      <c r="F112" s="18">
        <v>3350028.88</v>
      </c>
      <c r="G112" s="18">
        <v>0.01</v>
      </c>
      <c r="H112" s="13"/>
      <c r="I112" s="13"/>
    </row>
    <row r="113" spans="1:9">
      <c r="A113" s="13" t="s">
        <v>422</v>
      </c>
      <c r="B113" s="139" t="s">
        <v>189</v>
      </c>
      <c r="C113" s="139" t="s">
        <v>230</v>
      </c>
      <c r="D113" s="15">
        <v>3500000</v>
      </c>
      <c r="E113" s="93">
        <v>0.92181039949999999</v>
      </c>
      <c r="F113" s="151">
        <v>3226336.4</v>
      </c>
      <c r="G113" s="18">
        <v>0.01</v>
      </c>
      <c r="H113" s="13"/>
      <c r="I113" s="13"/>
    </row>
    <row r="114" spans="1:9">
      <c r="A114" s="13" t="s">
        <v>423</v>
      </c>
      <c r="B114" s="139" t="s">
        <v>405</v>
      </c>
      <c r="C114" s="139" t="s">
        <v>230</v>
      </c>
      <c r="D114" s="15">
        <v>3500000</v>
      </c>
      <c r="E114" s="93">
        <v>0.9560731093</v>
      </c>
      <c r="F114" s="18">
        <v>3346255.88</v>
      </c>
      <c r="G114" s="18">
        <v>0.01</v>
      </c>
      <c r="H114" s="13"/>
      <c r="I114" s="13"/>
    </row>
    <row r="115" spans="1:9">
      <c r="A115" s="13" t="s">
        <v>424</v>
      </c>
      <c r="B115" s="139" t="s">
        <v>425</v>
      </c>
      <c r="C115" s="139" t="s">
        <v>230</v>
      </c>
      <c r="D115" s="15">
        <v>3500000</v>
      </c>
      <c r="E115" s="93">
        <v>0.98835637710000002</v>
      </c>
      <c r="F115" s="18">
        <v>3459247.32</v>
      </c>
      <c r="G115" s="18">
        <v>0.01</v>
      </c>
      <c r="H115" s="13"/>
      <c r="I115" s="13"/>
    </row>
    <row r="116" spans="1:9">
      <c r="A116" s="13" t="s">
        <v>432</v>
      </c>
      <c r="B116" s="139" t="s">
        <v>433</v>
      </c>
      <c r="C116" s="139" t="s">
        <v>245</v>
      </c>
      <c r="D116" s="15">
        <v>18208333</v>
      </c>
      <c r="E116" s="93">
        <v>0.99664145920000002</v>
      </c>
      <c r="F116" s="18">
        <v>18147179.57</v>
      </c>
      <c r="G116" s="18">
        <v>0.04</v>
      </c>
      <c r="H116" s="13"/>
      <c r="I116" s="13"/>
    </row>
    <row r="117" spans="1:9">
      <c r="A117" s="13" t="s">
        <v>434</v>
      </c>
      <c r="B117" s="139" t="s">
        <v>416</v>
      </c>
      <c r="C117" s="139" t="s">
        <v>245</v>
      </c>
      <c r="D117" s="15">
        <v>18208333</v>
      </c>
      <c r="E117" s="93">
        <v>0.99109373430000003</v>
      </c>
      <c r="F117" s="18">
        <v>18046164.75</v>
      </c>
      <c r="G117" s="18">
        <v>0.04</v>
      </c>
      <c r="H117" s="13"/>
      <c r="I117" s="13"/>
    </row>
    <row r="118" spans="1:9">
      <c r="A118" s="13" t="s">
        <v>436</v>
      </c>
      <c r="B118" s="139" t="s">
        <v>373</v>
      </c>
      <c r="C118" s="139" t="s">
        <v>302</v>
      </c>
      <c r="D118" s="15">
        <v>10000000</v>
      </c>
      <c r="E118" s="93">
        <v>0.98382751390000001</v>
      </c>
      <c r="F118" s="18">
        <v>9838275.1400000006</v>
      </c>
      <c r="G118" s="18">
        <v>0.02</v>
      </c>
      <c r="H118" s="13"/>
      <c r="I118" s="13"/>
    </row>
    <row r="119" spans="1:9">
      <c r="A119" s="13" t="s">
        <v>437</v>
      </c>
      <c r="B119" s="139" t="s">
        <v>173</v>
      </c>
      <c r="C119" s="139" t="s">
        <v>302</v>
      </c>
      <c r="D119" s="15">
        <v>10000000</v>
      </c>
      <c r="E119" s="93">
        <v>0.97645803109999996</v>
      </c>
      <c r="F119" s="18">
        <v>9764580.3100000005</v>
      </c>
      <c r="G119" s="18">
        <v>0.02</v>
      </c>
      <c r="H119" s="13"/>
      <c r="I119" s="13"/>
    </row>
    <row r="120" spans="1:9">
      <c r="A120" s="13" t="s">
        <v>438</v>
      </c>
      <c r="B120" s="139" t="s">
        <v>439</v>
      </c>
      <c r="C120" s="139" t="s">
        <v>302</v>
      </c>
      <c r="D120" s="15">
        <v>10000000</v>
      </c>
      <c r="E120" s="93">
        <v>0.99781301990000004</v>
      </c>
      <c r="F120" s="151">
        <v>9978130.1999999993</v>
      </c>
      <c r="G120" s="18">
        <v>0.02</v>
      </c>
      <c r="H120" s="13"/>
      <c r="I120" s="13"/>
    </row>
    <row r="121" spans="1:9">
      <c r="A121" s="13" t="s">
        <v>440</v>
      </c>
      <c r="B121" s="139" t="s">
        <v>171</v>
      </c>
      <c r="C121" s="139" t="s">
        <v>302</v>
      </c>
      <c r="D121" s="15">
        <v>10000000</v>
      </c>
      <c r="E121" s="93">
        <v>0.99023331619999999</v>
      </c>
      <c r="F121" s="18">
        <v>9902333.1600000001</v>
      </c>
      <c r="G121" s="18">
        <v>0.02</v>
      </c>
      <c r="H121" s="13"/>
      <c r="I121" s="13"/>
    </row>
    <row r="122" spans="1:9">
      <c r="A122" s="13" t="s">
        <v>442</v>
      </c>
      <c r="B122" s="139" t="s">
        <v>443</v>
      </c>
      <c r="C122" s="139" t="s">
        <v>302</v>
      </c>
      <c r="D122" s="15">
        <v>10000000</v>
      </c>
      <c r="E122" s="93">
        <v>0.97437273030000005</v>
      </c>
      <c r="F122" s="151">
        <v>9743727.3000000007</v>
      </c>
      <c r="G122" s="18">
        <v>0.02</v>
      </c>
      <c r="H122" s="13"/>
      <c r="I122" s="13"/>
    </row>
    <row r="123" spans="1:9">
      <c r="A123" s="13" t="s">
        <v>446</v>
      </c>
      <c r="B123" s="139" t="s">
        <v>171</v>
      </c>
      <c r="C123" s="139" t="s">
        <v>262</v>
      </c>
      <c r="D123" s="15">
        <v>300000000</v>
      </c>
      <c r="E123" s="93">
        <v>0.98950850960000003</v>
      </c>
      <c r="F123" s="18">
        <v>296852552.88</v>
      </c>
      <c r="G123" s="18">
        <v>0.67</v>
      </c>
      <c r="H123" s="13"/>
      <c r="I123" s="13"/>
    </row>
    <row r="124" spans="1:9">
      <c r="A124" s="13" t="s">
        <v>461</v>
      </c>
      <c r="B124" s="139" t="s">
        <v>425</v>
      </c>
      <c r="C124" s="139" t="s">
        <v>260</v>
      </c>
      <c r="D124" s="15">
        <v>300000000</v>
      </c>
      <c r="E124" s="93">
        <v>0.98835636159999996</v>
      </c>
      <c r="F124" s="18">
        <v>296506908.48000002</v>
      </c>
      <c r="G124" s="18">
        <v>0.67</v>
      </c>
      <c r="H124" s="13"/>
      <c r="I124" s="13"/>
    </row>
    <row r="125" spans="1:9">
      <c r="A125" s="13" t="s">
        <v>462</v>
      </c>
      <c r="B125" s="139" t="s">
        <v>425</v>
      </c>
      <c r="C125" s="139" t="s">
        <v>260</v>
      </c>
      <c r="D125" s="15">
        <v>300000000</v>
      </c>
      <c r="E125" s="93">
        <v>0.98835636159999996</v>
      </c>
      <c r="F125" s="18">
        <v>296506908.48000002</v>
      </c>
      <c r="G125" s="18">
        <v>0.67</v>
      </c>
      <c r="H125" s="13"/>
      <c r="I125" s="13"/>
    </row>
    <row r="126" spans="1:9">
      <c r="A126" s="13" t="s">
        <v>469</v>
      </c>
      <c r="B126" s="139" t="s">
        <v>470</v>
      </c>
      <c r="C126" s="139" t="s">
        <v>154</v>
      </c>
      <c r="D126" s="15">
        <v>50000000</v>
      </c>
      <c r="E126" s="93">
        <v>0.93685845180000005</v>
      </c>
      <c r="F126" s="18">
        <v>46842922.590000004</v>
      </c>
      <c r="G126" s="18">
        <v>0.11</v>
      </c>
      <c r="H126" s="13"/>
      <c r="I126" s="13"/>
    </row>
    <row r="127" spans="1:9">
      <c r="A127" s="13" t="s">
        <v>485</v>
      </c>
      <c r="B127" s="139" t="s">
        <v>171</v>
      </c>
      <c r="C127" s="139" t="s">
        <v>243</v>
      </c>
      <c r="D127" s="15">
        <v>3000000</v>
      </c>
      <c r="E127" s="93">
        <v>0.99023334470000002</v>
      </c>
      <c r="F127" s="18">
        <v>2970700.03</v>
      </c>
      <c r="G127" s="18">
        <v>0.01</v>
      </c>
      <c r="H127" s="13"/>
      <c r="I127" s="13"/>
    </row>
    <row r="128" spans="1:9">
      <c r="A128" s="13" t="s">
        <v>486</v>
      </c>
      <c r="B128" s="139" t="s">
        <v>487</v>
      </c>
      <c r="C128" s="139" t="s">
        <v>243</v>
      </c>
      <c r="D128" s="15">
        <v>3500000</v>
      </c>
      <c r="E128" s="93">
        <v>0.98065557859999997</v>
      </c>
      <c r="F128" s="18">
        <v>3432294.53</v>
      </c>
      <c r="G128" s="18">
        <v>0.01</v>
      </c>
      <c r="H128" s="13"/>
      <c r="I128" s="13"/>
    </row>
    <row r="129" spans="1:16">
      <c r="A129" s="13" t="s">
        <v>488</v>
      </c>
      <c r="B129" s="139" t="s">
        <v>489</v>
      </c>
      <c r="C129" s="139" t="s">
        <v>243</v>
      </c>
      <c r="D129" s="15">
        <v>3500000</v>
      </c>
      <c r="E129" s="93">
        <v>0.95599798560000004</v>
      </c>
      <c r="F129" s="18">
        <v>3345992.95</v>
      </c>
      <c r="G129" s="18">
        <v>0.01</v>
      </c>
      <c r="H129" s="13"/>
      <c r="I129" s="13"/>
    </row>
    <row r="130" spans="1:16">
      <c r="A130" s="13" t="s">
        <v>490</v>
      </c>
      <c r="B130" s="139" t="s">
        <v>491</v>
      </c>
      <c r="C130" s="139" t="s">
        <v>243</v>
      </c>
      <c r="D130" s="15">
        <v>3500000</v>
      </c>
      <c r="E130" s="93">
        <v>0.95200841830000005</v>
      </c>
      <c r="F130" s="18">
        <v>3332029.46</v>
      </c>
      <c r="G130" s="18">
        <v>0.01</v>
      </c>
      <c r="H130" s="13"/>
      <c r="I130" s="13"/>
    </row>
    <row r="131" spans="1:16">
      <c r="A131" s="13" t="s">
        <v>492</v>
      </c>
      <c r="B131" s="139" t="s">
        <v>493</v>
      </c>
      <c r="C131" s="139" t="s">
        <v>243</v>
      </c>
      <c r="D131" s="15">
        <v>3500000</v>
      </c>
      <c r="E131" s="93">
        <v>0.94706801890000003</v>
      </c>
      <c r="F131" s="18">
        <v>3314738.07</v>
      </c>
      <c r="G131" s="18">
        <v>0.01</v>
      </c>
      <c r="H131" s="13"/>
      <c r="I131" s="13"/>
    </row>
    <row r="132" spans="1:16">
      <c r="A132" s="13" t="s">
        <v>494</v>
      </c>
      <c r="B132" s="139" t="s">
        <v>421</v>
      </c>
      <c r="C132" s="139" t="s">
        <v>266</v>
      </c>
      <c r="D132" s="15">
        <v>4100000</v>
      </c>
      <c r="E132" s="93">
        <v>0.96002111450000005</v>
      </c>
      <c r="F132" s="18">
        <v>3936086.57</v>
      </c>
      <c r="G132" s="18">
        <v>0.01</v>
      </c>
      <c r="H132" s="13"/>
      <c r="I132" s="13"/>
    </row>
    <row r="133" spans="1:16">
      <c r="A133" s="13" t="s">
        <v>495</v>
      </c>
      <c r="B133" s="139" t="s">
        <v>405</v>
      </c>
      <c r="C133" s="139" t="s">
        <v>266</v>
      </c>
      <c r="D133" s="15">
        <v>4100000</v>
      </c>
      <c r="E133" s="93">
        <v>0.95901213240000005</v>
      </c>
      <c r="F133" s="18">
        <v>3931949.74</v>
      </c>
      <c r="G133" s="18">
        <v>0.01</v>
      </c>
      <c r="H133" s="13"/>
      <c r="I133" s="13"/>
    </row>
    <row r="134" spans="1:16">
      <c r="A134" s="13" t="s">
        <v>496</v>
      </c>
      <c r="B134" s="139" t="s">
        <v>489</v>
      </c>
      <c r="C134" s="139" t="s">
        <v>266</v>
      </c>
      <c r="D134" s="15">
        <v>4100000</v>
      </c>
      <c r="E134" s="154">
        <v>0.95599797200000003</v>
      </c>
      <c r="F134" s="18">
        <v>3919591.69</v>
      </c>
      <c r="G134" s="18">
        <v>0.01</v>
      </c>
      <c r="H134" s="13"/>
      <c r="I134" s="13"/>
    </row>
    <row r="135" spans="1:16">
      <c r="A135" s="13" t="s">
        <v>497</v>
      </c>
      <c r="B135" s="139" t="s">
        <v>169</v>
      </c>
      <c r="C135" s="139" t="s">
        <v>266</v>
      </c>
      <c r="D135" s="15">
        <v>4100000</v>
      </c>
      <c r="E135" s="93">
        <v>0.95499741370000002</v>
      </c>
      <c r="F135" s="151">
        <v>3915489.4</v>
      </c>
      <c r="G135" s="18">
        <v>0.01</v>
      </c>
      <c r="H135" s="13"/>
      <c r="I135" s="13"/>
    </row>
    <row r="136" spans="1:16">
      <c r="A136" s="13" t="s">
        <v>498</v>
      </c>
      <c r="B136" s="139" t="s">
        <v>499</v>
      </c>
      <c r="C136" s="139" t="s">
        <v>266</v>
      </c>
      <c r="D136" s="15">
        <v>4100000</v>
      </c>
      <c r="E136" s="93">
        <v>0.94903804619999999</v>
      </c>
      <c r="F136" s="18">
        <v>3891055.99</v>
      </c>
      <c r="G136" s="18">
        <v>0.01</v>
      </c>
      <c r="H136" s="13"/>
      <c r="I136" s="13"/>
    </row>
    <row r="137" spans="1:16">
      <c r="A137" s="13" t="s">
        <v>500</v>
      </c>
      <c r="B137" s="139" t="s">
        <v>410</v>
      </c>
      <c r="C137" s="139" t="s">
        <v>266</v>
      </c>
      <c r="D137" s="15">
        <v>4600000</v>
      </c>
      <c r="E137" s="93">
        <v>0.94510623650000003</v>
      </c>
      <c r="F137" s="18">
        <v>4347488.6900000004</v>
      </c>
      <c r="G137" s="18">
        <v>0.01</v>
      </c>
      <c r="H137" s="13"/>
      <c r="I137" s="13"/>
    </row>
    <row r="138" spans="1:16">
      <c r="A138" s="13" t="s">
        <v>501</v>
      </c>
      <c r="B138" s="139" t="s">
        <v>425</v>
      </c>
      <c r="C138" s="139" t="s">
        <v>266</v>
      </c>
      <c r="D138" s="15">
        <v>3800000</v>
      </c>
      <c r="E138" s="93">
        <v>0.98915990450000002</v>
      </c>
      <c r="F138" s="18">
        <v>3758807.64</v>
      </c>
      <c r="G138" s="18">
        <v>0.01</v>
      </c>
      <c r="H138" s="13"/>
      <c r="I138" s="13"/>
    </row>
    <row r="139" spans="1:16">
      <c r="A139" s="13" t="s">
        <v>502</v>
      </c>
      <c r="B139" s="139" t="s">
        <v>503</v>
      </c>
      <c r="C139" s="139" t="s">
        <v>266</v>
      </c>
      <c r="D139" s="15">
        <v>4100000</v>
      </c>
      <c r="E139" s="154">
        <v>0.95399894900000004</v>
      </c>
      <c r="F139" s="18">
        <v>3911395.69</v>
      </c>
      <c r="G139" s="18">
        <v>0.01</v>
      </c>
      <c r="H139" s="13"/>
      <c r="I139" s="13"/>
    </row>
    <row r="140" spans="1:16">
      <c r="A140" s="13" t="s">
        <v>504</v>
      </c>
      <c r="B140" s="139" t="s">
        <v>505</v>
      </c>
      <c r="C140" s="139" t="s">
        <v>266</v>
      </c>
      <c r="D140" s="15">
        <v>4100000</v>
      </c>
      <c r="E140" s="93">
        <v>0.94805198619999997</v>
      </c>
      <c r="F140" s="18">
        <v>3887013.14</v>
      </c>
      <c r="G140" s="18">
        <v>0.01</v>
      </c>
      <c r="H140" s="13"/>
      <c r="I140" s="13"/>
    </row>
    <row r="141" spans="1:16">
      <c r="A141" s="13" t="s">
        <v>506</v>
      </c>
      <c r="B141" s="139" t="s">
        <v>493</v>
      </c>
      <c r="C141" s="139" t="s">
        <v>266</v>
      </c>
      <c r="D141" s="15">
        <v>4100000</v>
      </c>
      <c r="E141" s="93">
        <v>0.94706799509999995</v>
      </c>
      <c r="F141" s="18">
        <v>3882978.78</v>
      </c>
      <c r="G141" s="18">
        <v>0.01</v>
      </c>
      <c r="H141" s="13"/>
      <c r="I141" s="13"/>
    </row>
    <row r="142" spans="1:16">
      <c r="A142" s="13" t="s">
        <v>507</v>
      </c>
      <c r="B142" s="139" t="s">
        <v>443</v>
      </c>
      <c r="C142" s="139" t="s">
        <v>266</v>
      </c>
      <c r="D142" s="15">
        <v>3800000</v>
      </c>
      <c r="E142" s="93">
        <v>0.9743727029</v>
      </c>
      <c r="F142" s="18">
        <v>3702616.27</v>
      </c>
      <c r="G142" s="18">
        <v>0.01</v>
      </c>
      <c r="H142" s="13"/>
      <c r="I142" s="13"/>
    </row>
    <row r="143" spans="1:16">
      <c r="A143" s="13" t="s">
        <v>509</v>
      </c>
      <c r="B143" s="139" t="s">
        <v>433</v>
      </c>
      <c r="C143" s="139" t="s">
        <v>242</v>
      </c>
      <c r="D143" s="15">
        <v>20000000</v>
      </c>
      <c r="E143" s="93">
        <v>0.99623342670000004</v>
      </c>
      <c r="F143" s="18">
        <v>19924668.530000001</v>
      </c>
      <c r="G143" s="18">
        <v>0.04</v>
      </c>
      <c r="H143" s="13"/>
      <c r="I143" s="13"/>
    </row>
    <row r="144" spans="1:16">
      <c r="A144" s="13" t="s">
        <v>510</v>
      </c>
      <c r="B144" s="139" t="s">
        <v>171</v>
      </c>
      <c r="C144" s="139" t="s">
        <v>242</v>
      </c>
      <c r="D144" s="15">
        <v>20000000</v>
      </c>
      <c r="E144" s="93">
        <v>0.98878477909999996</v>
      </c>
      <c r="F144" s="18">
        <v>19775695.579999998</v>
      </c>
      <c r="G144" s="18">
        <v>0.04</v>
      </c>
      <c r="H144" s="13"/>
      <c r="I144" s="13"/>
      <c r="O144" s="68"/>
      <c r="P144" s="9"/>
    </row>
    <row r="145" spans="1:14">
      <c r="A145" s="13" t="s">
        <v>511</v>
      </c>
      <c r="B145" s="139" t="s">
        <v>425</v>
      </c>
      <c r="C145" s="139" t="s">
        <v>242</v>
      </c>
      <c r="D145" s="15">
        <v>20000000</v>
      </c>
      <c r="E145" s="154">
        <v>0.987554139</v>
      </c>
      <c r="F145" s="18">
        <v>19751082.780000001</v>
      </c>
      <c r="G145" s="18">
        <v>0.04</v>
      </c>
      <c r="H145" s="13"/>
      <c r="I145" s="13"/>
      <c r="N145" s="68"/>
    </row>
    <row r="146" spans="1:14">
      <c r="A146" s="13" t="s">
        <v>512</v>
      </c>
      <c r="B146" s="139" t="s">
        <v>513</v>
      </c>
      <c r="C146" s="139" t="s">
        <v>242</v>
      </c>
      <c r="D146" s="15">
        <v>20000000</v>
      </c>
      <c r="E146" s="93">
        <v>0.97902477860000003</v>
      </c>
      <c r="F146" s="18">
        <v>19580495.57</v>
      </c>
      <c r="G146" s="18">
        <v>0.04</v>
      </c>
      <c r="H146" s="13"/>
      <c r="I146" s="13"/>
    </row>
    <row r="147" spans="1:14">
      <c r="A147" s="13" t="s">
        <v>517</v>
      </c>
      <c r="B147" s="139" t="s">
        <v>433</v>
      </c>
      <c r="C147" s="139" t="s">
        <v>244</v>
      </c>
      <c r="D147" s="15">
        <v>5000000</v>
      </c>
      <c r="E147" s="93">
        <v>0.99713154749999999</v>
      </c>
      <c r="F147" s="18">
        <v>4985657.74</v>
      </c>
      <c r="G147" s="18">
        <v>0.01</v>
      </c>
      <c r="H147" s="13"/>
      <c r="I147" s="13"/>
    </row>
    <row r="148" spans="1:14">
      <c r="A148" s="13" t="s">
        <v>518</v>
      </c>
      <c r="B148" s="139" t="s">
        <v>416</v>
      </c>
      <c r="C148" s="139" t="s">
        <v>244</v>
      </c>
      <c r="D148" s="15">
        <v>5000000</v>
      </c>
      <c r="E148" s="93">
        <v>0.99238717970000001</v>
      </c>
      <c r="F148" s="151">
        <v>4961935.9000000004</v>
      </c>
      <c r="G148" s="18">
        <v>0.01</v>
      </c>
      <c r="H148" s="13"/>
      <c r="I148" s="13"/>
    </row>
    <row r="149" spans="1:14">
      <c r="A149" s="13" t="s">
        <v>519</v>
      </c>
      <c r="B149" s="139" t="s">
        <v>425</v>
      </c>
      <c r="C149" s="139" t="s">
        <v>244</v>
      </c>
      <c r="D149" s="15">
        <v>5000000</v>
      </c>
      <c r="E149" s="93">
        <v>0.99050206590000001</v>
      </c>
      <c r="F149" s="18">
        <v>4952510.33</v>
      </c>
      <c r="G149" s="18">
        <v>0.01</v>
      </c>
      <c r="H149" s="13"/>
      <c r="I149" s="13"/>
    </row>
    <row r="150" spans="1:14">
      <c r="A150" s="13" t="s">
        <v>520</v>
      </c>
      <c r="B150" s="139" t="s">
        <v>408</v>
      </c>
      <c r="C150" s="139" t="s">
        <v>244</v>
      </c>
      <c r="D150" s="15">
        <v>5000000</v>
      </c>
      <c r="E150" s="93">
        <v>0.98675321429999996</v>
      </c>
      <c r="F150" s="18">
        <v>4933766.07</v>
      </c>
      <c r="G150" s="18">
        <v>0.01</v>
      </c>
      <c r="H150" s="13"/>
      <c r="I150" s="13"/>
    </row>
    <row r="151" spans="1:14">
      <c r="A151" s="13" t="s">
        <v>521</v>
      </c>
      <c r="B151" s="139" t="s">
        <v>513</v>
      </c>
      <c r="C151" s="139" t="s">
        <v>244</v>
      </c>
      <c r="D151" s="15">
        <v>5000000</v>
      </c>
      <c r="E151" s="93">
        <v>0.98396015380000001</v>
      </c>
      <c r="F151" s="18">
        <v>4919800.7699999996</v>
      </c>
      <c r="G151" s="18">
        <v>0.01</v>
      </c>
      <c r="H151" s="13"/>
      <c r="I151" s="13"/>
    </row>
    <row r="152" spans="1:14">
      <c r="A152" s="13" t="s">
        <v>522</v>
      </c>
      <c r="B152" s="139" t="s">
        <v>523</v>
      </c>
      <c r="C152" s="139" t="s">
        <v>244</v>
      </c>
      <c r="D152" s="15">
        <v>5000000</v>
      </c>
      <c r="E152" s="93">
        <v>0.98026056620000002</v>
      </c>
      <c r="F152" s="18">
        <v>4901302.83</v>
      </c>
      <c r="G152" s="18">
        <v>0.01</v>
      </c>
      <c r="H152" s="13"/>
      <c r="I152" s="13"/>
    </row>
    <row r="153" spans="1:14">
      <c r="A153" s="13" t="s">
        <v>524</v>
      </c>
      <c r="B153" s="139" t="s">
        <v>173</v>
      </c>
      <c r="C153" s="139" t="s">
        <v>244</v>
      </c>
      <c r="D153" s="15">
        <v>5000000</v>
      </c>
      <c r="E153" s="93">
        <v>0.97933998990000004</v>
      </c>
      <c r="F153" s="18">
        <v>4896699.95</v>
      </c>
      <c r="G153" s="18">
        <v>0.01</v>
      </c>
      <c r="H153" s="13"/>
      <c r="I153" s="13"/>
    </row>
    <row r="154" spans="1:14">
      <c r="A154" s="13" t="s">
        <v>525</v>
      </c>
      <c r="B154" s="139" t="s">
        <v>443</v>
      </c>
      <c r="C154" s="139" t="s">
        <v>244</v>
      </c>
      <c r="D154" s="15">
        <v>5000000</v>
      </c>
      <c r="E154" s="93">
        <v>0.97750402280000004</v>
      </c>
      <c r="F154" s="18">
        <v>4887520.1100000003</v>
      </c>
      <c r="G154" s="18">
        <v>0.01</v>
      </c>
      <c r="H154" s="13"/>
      <c r="I154" s="13"/>
    </row>
    <row r="155" spans="1:14">
      <c r="A155" s="13" t="s">
        <v>526</v>
      </c>
      <c r="B155" s="139" t="s">
        <v>433</v>
      </c>
      <c r="C155" s="139" t="s">
        <v>244</v>
      </c>
      <c r="D155" s="15">
        <v>438000000</v>
      </c>
      <c r="E155" s="93">
        <v>0.99688644670000004</v>
      </c>
      <c r="F155" s="18">
        <v>436636263.64999998</v>
      </c>
      <c r="G155" s="18">
        <v>0.98</v>
      </c>
      <c r="H155" s="13"/>
      <c r="I155" s="13"/>
    </row>
    <row r="156" spans="1:14">
      <c r="A156" s="13" t="s">
        <v>541</v>
      </c>
      <c r="B156" s="139" t="s">
        <v>402</v>
      </c>
      <c r="C156" s="139" t="s">
        <v>301</v>
      </c>
      <c r="D156" s="15">
        <v>115000000</v>
      </c>
      <c r="E156" s="154">
        <v>0.99574423199999995</v>
      </c>
      <c r="F156" s="18">
        <v>114510586.68000001</v>
      </c>
      <c r="G156" s="18">
        <v>0.26</v>
      </c>
      <c r="H156" s="13"/>
      <c r="I156" s="13"/>
    </row>
    <row r="157" spans="1:14">
      <c r="A157" s="13" t="s">
        <v>542</v>
      </c>
      <c r="B157" s="139" t="s">
        <v>416</v>
      </c>
      <c r="C157" s="139" t="s">
        <v>301</v>
      </c>
      <c r="D157" s="15">
        <v>115000000</v>
      </c>
      <c r="E157" s="93">
        <v>0.99152452940000002</v>
      </c>
      <c r="F157" s="18">
        <v>114025320.88</v>
      </c>
      <c r="G157" s="18">
        <v>0.26</v>
      </c>
      <c r="H157" s="13"/>
      <c r="I157" s="13"/>
    </row>
    <row r="158" spans="1:14">
      <c r="A158" s="13" t="s">
        <v>543</v>
      </c>
      <c r="B158" s="139" t="s">
        <v>193</v>
      </c>
      <c r="C158" s="139" t="s">
        <v>153</v>
      </c>
      <c r="D158" s="15">
        <v>50000000</v>
      </c>
      <c r="E158" s="93">
        <v>0.94120690029999998</v>
      </c>
      <c r="F158" s="18">
        <v>47060345.020000003</v>
      </c>
      <c r="G158" s="18">
        <v>0.11</v>
      </c>
      <c r="H158" s="13"/>
      <c r="I158" s="13"/>
    </row>
    <row r="159" spans="1:14">
      <c r="A159" s="13" t="s">
        <v>546</v>
      </c>
      <c r="B159" s="139" t="s">
        <v>443</v>
      </c>
      <c r="C159" s="139" t="s">
        <v>336</v>
      </c>
      <c r="D159" s="15">
        <v>50000000</v>
      </c>
      <c r="E159" s="93">
        <v>0.97437274659999995</v>
      </c>
      <c r="F159" s="18">
        <v>48718637.329999998</v>
      </c>
      <c r="G159" s="18">
        <v>0.11</v>
      </c>
      <c r="H159" s="13"/>
      <c r="I159" s="13"/>
    </row>
    <row r="160" spans="1:14">
      <c r="A160" s="13" t="s">
        <v>547</v>
      </c>
      <c r="B160" s="139" t="s">
        <v>169</v>
      </c>
      <c r="C160" s="139" t="s">
        <v>336</v>
      </c>
      <c r="D160" s="15">
        <v>100000000</v>
      </c>
      <c r="E160" s="93">
        <v>0.95499747810000002</v>
      </c>
      <c r="F160" s="18">
        <v>95499747.810000002</v>
      </c>
      <c r="G160" s="18">
        <v>0.21</v>
      </c>
      <c r="H160" s="13"/>
      <c r="I160" s="13"/>
    </row>
    <row r="161" spans="1:9">
      <c r="A161" s="13" t="s">
        <v>549</v>
      </c>
      <c r="B161" s="139" t="s">
        <v>548</v>
      </c>
      <c r="C161" s="139" t="s">
        <v>336</v>
      </c>
      <c r="D161" s="15">
        <v>100000000</v>
      </c>
      <c r="E161" s="93">
        <v>0.98808881680000005</v>
      </c>
      <c r="F161" s="18">
        <v>98808881.680000007</v>
      </c>
      <c r="G161" s="18">
        <v>0.22</v>
      </c>
      <c r="H161" s="13"/>
      <c r="I161" s="13"/>
    </row>
    <row r="162" spans="1:9">
      <c r="A162" s="13" t="s">
        <v>551</v>
      </c>
      <c r="B162" s="139" t="s">
        <v>425</v>
      </c>
      <c r="C162" s="139" t="s">
        <v>336</v>
      </c>
      <c r="D162" s="15">
        <v>40000000</v>
      </c>
      <c r="E162" s="93">
        <v>0.98915992539999997</v>
      </c>
      <c r="F162" s="18">
        <v>39566397.020000003</v>
      </c>
      <c r="G162" s="18">
        <v>0.09</v>
      </c>
      <c r="H162" s="13"/>
      <c r="I162" s="13"/>
    </row>
    <row r="163" spans="1:9">
      <c r="A163" s="13" t="s">
        <v>552</v>
      </c>
      <c r="B163" s="139" t="s">
        <v>405</v>
      </c>
      <c r="C163" s="139" t="s">
        <v>336</v>
      </c>
      <c r="D163" s="15">
        <v>40000000</v>
      </c>
      <c r="E163" s="93">
        <v>0.95901218740000005</v>
      </c>
      <c r="F163" s="151">
        <v>38360487.5</v>
      </c>
      <c r="G163" s="18">
        <v>0.09</v>
      </c>
      <c r="H163" s="13"/>
      <c r="I163" s="13"/>
    </row>
    <row r="164" spans="1:9">
      <c r="A164" s="13" t="s">
        <v>553</v>
      </c>
      <c r="B164" s="139" t="s">
        <v>189</v>
      </c>
      <c r="C164" s="139" t="s">
        <v>336</v>
      </c>
      <c r="D164" s="15">
        <v>40000000</v>
      </c>
      <c r="E164" s="93">
        <v>0.92686656010000001</v>
      </c>
      <c r="F164" s="151">
        <v>37074662.399999999</v>
      </c>
      <c r="G164" s="18">
        <v>0.08</v>
      </c>
      <c r="H164" s="13"/>
      <c r="I164" s="13"/>
    </row>
    <row r="165" spans="1:9">
      <c r="A165" s="13" t="s">
        <v>554</v>
      </c>
      <c r="B165" s="139" t="s">
        <v>489</v>
      </c>
      <c r="C165" s="139" t="s">
        <v>312</v>
      </c>
      <c r="D165" s="15">
        <v>8000000</v>
      </c>
      <c r="E165" s="93">
        <v>0.95810587380000001</v>
      </c>
      <c r="F165" s="18">
        <v>7664846.9900000002</v>
      </c>
      <c r="G165" s="18">
        <v>0.02</v>
      </c>
      <c r="H165" s="13"/>
      <c r="I165" s="13"/>
    </row>
    <row r="166" spans="1:9">
      <c r="A166" s="13" t="s">
        <v>555</v>
      </c>
      <c r="B166" s="139" t="s">
        <v>548</v>
      </c>
      <c r="C166" s="139" t="s">
        <v>312</v>
      </c>
      <c r="D166" s="15">
        <v>7000000</v>
      </c>
      <c r="E166" s="93">
        <v>0.98867764430000005</v>
      </c>
      <c r="F166" s="18">
        <v>6920743.5099999998</v>
      </c>
      <c r="G166" s="18">
        <v>0.02</v>
      </c>
      <c r="H166" s="13"/>
      <c r="I166" s="13"/>
    </row>
    <row r="167" spans="1:9">
      <c r="A167" s="13" t="s">
        <v>557</v>
      </c>
      <c r="B167" s="139" t="s">
        <v>439</v>
      </c>
      <c r="C167" s="139" t="s">
        <v>322</v>
      </c>
      <c r="D167" s="15">
        <v>100000000</v>
      </c>
      <c r="E167" s="93">
        <v>0.99792214359999998</v>
      </c>
      <c r="F167" s="18">
        <v>99792214.359999999</v>
      </c>
      <c r="G167" s="18">
        <v>0.22</v>
      </c>
      <c r="H167" s="13"/>
      <c r="I167" s="13"/>
    </row>
    <row r="168" spans="1:9">
      <c r="A168" s="13" t="s">
        <v>559</v>
      </c>
      <c r="B168" s="139" t="s">
        <v>173</v>
      </c>
      <c r="C168" s="139" t="s">
        <v>246</v>
      </c>
      <c r="D168" s="15">
        <v>10000000</v>
      </c>
      <c r="E168" s="154">
        <v>0.975310024</v>
      </c>
      <c r="F168" s="18">
        <v>9753100.2400000002</v>
      </c>
      <c r="G168" s="18">
        <v>0.02</v>
      </c>
      <c r="H168" s="13"/>
      <c r="I168" s="13"/>
    </row>
    <row r="169" spans="1:9">
      <c r="A169" s="13" t="s">
        <v>560</v>
      </c>
      <c r="B169" s="139" t="s">
        <v>169</v>
      </c>
      <c r="C169" s="139" t="s">
        <v>246</v>
      </c>
      <c r="D169" s="15">
        <v>20000000</v>
      </c>
      <c r="E169" s="93">
        <v>0.95285347149999999</v>
      </c>
      <c r="F169" s="18">
        <v>19057069.43</v>
      </c>
      <c r="G169" s="18">
        <v>0.04</v>
      </c>
      <c r="H169" s="13"/>
      <c r="I169" s="13"/>
    </row>
    <row r="170" spans="1:9">
      <c r="A170" s="13" t="s">
        <v>561</v>
      </c>
      <c r="B170" s="139" t="s">
        <v>414</v>
      </c>
      <c r="C170" s="139" t="s">
        <v>246</v>
      </c>
      <c r="D170" s="15">
        <v>20000000</v>
      </c>
      <c r="E170" s="93">
        <v>0.95916336980000005</v>
      </c>
      <c r="F170" s="151">
        <v>19183267.399999999</v>
      </c>
      <c r="G170" s="18">
        <v>0.04</v>
      </c>
      <c r="H170" s="13"/>
      <c r="I170" s="13"/>
    </row>
    <row r="171" spans="1:9">
      <c r="A171" s="13" t="s">
        <v>562</v>
      </c>
      <c r="B171" s="139" t="s">
        <v>421</v>
      </c>
      <c r="C171" s="139" t="s">
        <v>246</v>
      </c>
      <c r="D171" s="15">
        <v>20000000</v>
      </c>
      <c r="E171" s="154">
        <v>0.95810587899999999</v>
      </c>
      <c r="F171" s="18">
        <v>19162117.579999998</v>
      </c>
      <c r="G171" s="18">
        <v>0.04</v>
      </c>
      <c r="H171" s="13"/>
      <c r="I171" s="13"/>
    </row>
    <row r="172" spans="1:9">
      <c r="A172" s="13" t="s">
        <v>563</v>
      </c>
      <c r="B172" s="139" t="s">
        <v>477</v>
      </c>
      <c r="C172" s="139" t="s">
        <v>246</v>
      </c>
      <c r="D172" s="15">
        <v>22500000</v>
      </c>
      <c r="E172" s="93">
        <v>0.9746329238</v>
      </c>
      <c r="F172" s="18">
        <v>21929240.789999999</v>
      </c>
      <c r="G172" s="18">
        <v>0.05</v>
      </c>
      <c r="H172" s="13"/>
      <c r="I172" s="13"/>
    </row>
    <row r="173" spans="1:9">
      <c r="A173" s="13" t="s">
        <v>564</v>
      </c>
      <c r="B173" s="139" t="s">
        <v>505</v>
      </c>
      <c r="C173" s="139" t="s">
        <v>246</v>
      </c>
      <c r="D173" s="15">
        <v>20000000</v>
      </c>
      <c r="E173" s="154">
        <v>0.95052083700000001</v>
      </c>
      <c r="F173" s="18">
        <v>19010416.739999998</v>
      </c>
      <c r="G173" s="18">
        <v>0.04</v>
      </c>
      <c r="H173" s="13"/>
      <c r="I173" s="13"/>
    </row>
    <row r="174" spans="1:9">
      <c r="A174" s="13" t="s">
        <v>565</v>
      </c>
      <c r="B174" s="139" t="s">
        <v>405</v>
      </c>
      <c r="C174" s="139" t="s">
        <v>246</v>
      </c>
      <c r="D174" s="15">
        <v>20000000</v>
      </c>
      <c r="E174" s="93">
        <v>0.96098152250000002</v>
      </c>
      <c r="F174" s="18">
        <v>19219630.449999999</v>
      </c>
      <c r="G174" s="18">
        <v>0.04</v>
      </c>
      <c r="H174" s="13"/>
      <c r="I174" s="13"/>
    </row>
    <row r="175" spans="1:9">
      <c r="A175" s="13" t="s">
        <v>566</v>
      </c>
      <c r="B175" s="139" t="s">
        <v>523</v>
      </c>
      <c r="C175" s="139" t="s">
        <v>321</v>
      </c>
      <c r="D175" s="15">
        <v>20000000</v>
      </c>
      <c r="E175" s="93">
        <v>0.97695459969999998</v>
      </c>
      <c r="F175" s="18">
        <v>19539091.989999998</v>
      </c>
      <c r="G175" s="18">
        <v>0.04</v>
      </c>
      <c r="H175" s="13"/>
      <c r="I175" s="13"/>
    </row>
    <row r="176" spans="1:9">
      <c r="A176" s="13" t="s">
        <v>567</v>
      </c>
      <c r="B176" s="139" t="s">
        <v>373</v>
      </c>
      <c r="C176" s="139" t="s">
        <v>321</v>
      </c>
      <c r="D176" s="15">
        <v>20000000</v>
      </c>
      <c r="E176" s="93">
        <v>0.9834299393</v>
      </c>
      <c r="F176" s="18">
        <v>19668598.789999999</v>
      </c>
      <c r="G176" s="18">
        <v>0.04</v>
      </c>
      <c r="H176" s="13"/>
      <c r="I176" s="13"/>
    </row>
    <row r="177" spans="1:14">
      <c r="A177" s="13" t="s">
        <v>568</v>
      </c>
      <c r="B177" s="139" t="s">
        <v>569</v>
      </c>
      <c r="C177" s="139" t="s">
        <v>321</v>
      </c>
      <c r="D177" s="15">
        <v>20000000</v>
      </c>
      <c r="E177" s="93">
        <v>0.9823447528</v>
      </c>
      <c r="F177" s="18">
        <v>19646895.059999999</v>
      </c>
      <c r="G177" s="18">
        <v>0.04</v>
      </c>
      <c r="H177" s="13"/>
      <c r="I177" s="13"/>
    </row>
    <row r="178" spans="1:14">
      <c r="A178" s="13" t="s">
        <v>570</v>
      </c>
      <c r="B178" s="139" t="s">
        <v>513</v>
      </c>
      <c r="C178" s="139" t="s">
        <v>321</v>
      </c>
      <c r="D178" s="15">
        <v>20000000</v>
      </c>
      <c r="E178" s="93">
        <v>0.98126195530000004</v>
      </c>
      <c r="F178" s="18">
        <v>19625239.109999999</v>
      </c>
      <c r="G178" s="18">
        <v>0.04</v>
      </c>
      <c r="H178" s="13"/>
      <c r="I178" s="13"/>
    </row>
    <row r="179" spans="1:14">
      <c r="A179" s="13" t="s">
        <v>571</v>
      </c>
      <c r="B179" s="139" t="s">
        <v>388</v>
      </c>
      <c r="C179" s="139" t="s">
        <v>321</v>
      </c>
      <c r="D179" s="15">
        <v>20000000</v>
      </c>
      <c r="E179" s="93">
        <v>0.97481511750000005</v>
      </c>
      <c r="F179" s="18">
        <v>19496302.350000001</v>
      </c>
      <c r="G179" s="18">
        <v>0.04</v>
      </c>
      <c r="H179" s="13"/>
      <c r="I179" s="13"/>
    </row>
    <row r="180" spans="1:14">
      <c r="A180" s="13" t="s">
        <v>572</v>
      </c>
      <c r="B180" s="139" t="s">
        <v>487</v>
      </c>
      <c r="C180" s="139" t="s">
        <v>321</v>
      </c>
      <c r="D180" s="15">
        <v>20000000</v>
      </c>
      <c r="E180" s="93">
        <v>0.98018154020000003</v>
      </c>
      <c r="F180" s="151">
        <v>19603630.800000001</v>
      </c>
      <c r="G180" s="18">
        <v>0.04</v>
      </c>
      <c r="H180" s="13"/>
      <c r="I180" s="13"/>
    </row>
    <row r="181" spans="1:14">
      <c r="A181" s="13" t="s">
        <v>573</v>
      </c>
      <c r="B181" s="139" t="s">
        <v>173</v>
      </c>
      <c r="C181" s="139" t="s">
        <v>321</v>
      </c>
      <c r="D181" s="15">
        <v>20000000</v>
      </c>
      <c r="E181" s="93">
        <v>0.97588373039999998</v>
      </c>
      <c r="F181" s="18">
        <v>19517674.609999999</v>
      </c>
      <c r="G181" s="18">
        <v>0.04</v>
      </c>
      <c r="H181" s="13"/>
      <c r="I181" s="13"/>
      <c r="N181" s="68"/>
    </row>
    <row r="182" spans="1:14">
      <c r="A182" s="13" t="s">
        <v>574</v>
      </c>
      <c r="B182" s="139" t="s">
        <v>443</v>
      </c>
      <c r="C182" s="139" t="s">
        <v>321</v>
      </c>
      <c r="D182" s="15">
        <v>20000000</v>
      </c>
      <c r="E182" s="93">
        <v>0.9737488406</v>
      </c>
      <c r="F182" s="18">
        <v>19474976.809999999</v>
      </c>
      <c r="G182" s="18">
        <v>0.04</v>
      </c>
      <c r="H182" s="13"/>
      <c r="I182" s="13"/>
    </row>
    <row r="183" spans="1:14">
      <c r="A183" s="13" t="s">
        <v>575</v>
      </c>
      <c r="B183" s="139" t="s">
        <v>523</v>
      </c>
      <c r="C183" s="139" t="s">
        <v>321</v>
      </c>
      <c r="D183" s="18">
        <v>15909586.57</v>
      </c>
      <c r="E183" s="93">
        <v>0.97695459969999998</v>
      </c>
      <c r="F183" s="18">
        <v>15542943.779999999</v>
      </c>
      <c r="G183" s="18">
        <v>0.03</v>
      </c>
      <c r="H183" s="13"/>
      <c r="I183" s="13"/>
    </row>
    <row r="184" spans="1:14">
      <c r="A184" s="13" t="s">
        <v>576</v>
      </c>
      <c r="B184" s="139" t="s">
        <v>173</v>
      </c>
      <c r="C184" s="139" t="s">
        <v>321</v>
      </c>
      <c r="D184" s="18">
        <v>15909586.57</v>
      </c>
      <c r="E184" s="93">
        <v>0.97588373039999998</v>
      </c>
      <c r="F184" s="18">
        <v>15525906.689999999</v>
      </c>
      <c r="G184" s="18">
        <v>0.03</v>
      </c>
      <c r="H184" s="13"/>
      <c r="I184" s="13"/>
    </row>
    <row r="185" spans="1:14">
      <c r="A185" s="13" t="s">
        <v>577</v>
      </c>
      <c r="B185" s="139" t="s">
        <v>388</v>
      </c>
      <c r="C185" s="139" t="s">
        <v>321</v>
      </c>
      <c r="D185" s="18">
        <v>15389210.15</v>
      </c>
      <c r="E185" s="93">
        <v>0.97481511809999999</v>
      </c>
      <c r="F185" s="18">
        <v>15001634.710000001</v>
      </c>
      <c r="G185" s="18">
        <v>0.03</v>
      </c>
      <c r="H185" s="13"/>
      <c r="I185" s="13"/>
    </row>
    <row r="186" spans="1:14">
      <c r="A186" s="13" t="s">
        <v>578</v>
      </c>
      <c r="B186" s="139" t="s">
        <v>388</v>
      </c>
      <c r="C186" s="139" t="s">
        <v>321</v>
      </c>
      <c r="D186" s="18">
        <v>14664256.84</v>
      </c>
      <c r="E186" s="93">
        <v>0.97481511750000005</v>
      </c>
      <c r="F186" s="18">
        <v>14294939.25</v>
      </c>
      <c r="G186" s="18">
        <v>0.03</v>
      </c>
      <c r="H186" s="13"/>
      <c r="I186" s="13"/>
    </row>
    <row r="187" spans="1:14">
      <c r="A187" s="13" t="s">
        <v>579</v>
      </c>
      <c r="B187" s="139" t="s">
        <v>443</v>
      </c>
      <c r="C187" s="139" t="s">
        <v>321</v>
      </c>
      <c r="D187" s="18">
        <v>15909586.57</v>
      </c>
      <c r="E187" s="93">
        <v>0.9737488406</v>
      </c>
      <c r="F187" s="18">
        <v>15491941.48</v>
      </c>
      <c r="G187" s="18">
        <v>0.03</v>
      </c>
      <c r="H187" s="13"/>
      <c r="I187" s="13"/>
    </row>
    <row r="188" spans="1:14">
      <c r="A188" s="13" t="s">
        <v>580</v>
      </c>
      <c r="B188" s="139" t="s">
        <v>523</v>
      </c>
      <c r="C188" s="139" t="s">
        <v>321</v>
      </c>
      <c r="D188" s="18">
        <v>15389210.15</v>
      </c>
      <c r="E188" s="93">
        <v>0.97695459969999998</v>
      </c>
      <c r="F188" s="18">
        <v>15034559.640000001</v>
      </c>
      <c r="G188" s="18">
        <v>0.03</v>
      </c>
      <c r="H188" s="13"/>
      <c r="I188" s="13"/>
    </row>
    <row r="189" spans="1:14">
      <c r="A189" s="13" t="s">
        <v>581</v>
      </c>
      <c r="B189" s="139" t="s">
        <v>173</v>
      </c>
      <c r="C189" s="139" t="s">
        <v>321</v>
      </c>
      <c r="D189" s="18">
        <v>14664256.84</v>
      </c>
      <c r="E189" s="154">
        <v>0.97588373100000003</v>
      </c>
      <c r="F189" s="18">
        <v>14310609.68</v>
      </c>
      <c r="G189" s="18">
        <v>0.03</v>
      </c>
      <c r="H189" s="13"/>
      <c r="I189" s="13"/>
    </row>
    <row r="190" spans="1:14">
      <c r="A190" s="13" t="s">
        <v>582</v>
      </c>
      <c r="B190" s="139" t="s">
        <v>388</v>
      </c>
      <c r="C190" s="139" t="s">
        <v>321</v>
      </c>
      <c r="D190" s="18">
        <v>15909586.57</v>
      </c>
      <c r="E190" s="93">
        <v>0.97481511750000005</v>
      </c>
      <c r="F190" s="151">
        <v>15508905.5</v>
      </c>
      <c r="G190" s="18">
        <v>0.03</v>
      </c>
      <c r="H190" s="13"/>
      <c r="I190" s="13"/>
    </row>
    <row r="191" spans="1:14">
      <c r="A191" s="13" t="s">
        <v>583</v>
      </c>
      <c r="B191" s="139" t="s">
        <v>443</v>
      </c>
      <c r="C191" s="139" t="s">
        <v>321</v>
      </c>
      <c r="D191" s="18">
        <v>14664256.859999999</v>
      </c>
      <c r="E191" s="28">
        <v>0.97374883999999995</v>
      </c>
      <c r="F191" s="18">
        <v>14279303.109999999</v>
      </c>
      <c r="G191" s="18">
        <v>0.03</v>
      </c>
      <c r="H191" s="13"/>
      <c r="I191" s="13"/>
    </row>
    <row r="192" spans="1:14">
      <c r="A192" s="13" t="s">
        <v>584</v>
      </c>
      <c r="B192" s="139" t="s">
        <v>416</v>
      </c>
      <c r="C192" s="139" t="s">
        <v>321</v>
      </c>
      <c r="D192" s="15">
        <v>2000000</v>
      </c>
      <c r="E192" s="93">
        <v>0.9910937608</v>
      </c>
      <c r="F192" s="18">
        <v>1982187.52</v>
      </c>
      <c r="G192" s="15">
        <v>0</v>
      </c>
      <c r="H192" s="13"/>
      <c r="I192" s="13"/>
    </row>
    <row r="193" spans="1:17">
      <c r="A193" s="13" t="s">
        <v>585</v>
      </c>
      <c r="B193" s="139" t="s">
        <v>443</v>
      </c>
      <c r="C193" s="139" t="s">
        <v>321</v>
      </c>
      <c r="D193" s="15">
        <v>2000000</v>
      </c>
      <c r="E193" s="93">
        <v>0.97374883440000004</v>
      </c>
      <c r="F193" s="18">
        <v>1947497.67</v>
      </c>
      <c r="G193" s="15">
        <v>0</v>
      </c>
      <c r="H193" s="13"/>
      <c r="I193" s="13"/>
    </row>
    <row r="194" spans="1:17">
      <c r="A194" s="13" t="s">
        <v>586</v>
      </c>
      <c r="B194" s="139" t="s">
        <v>408</v>
      </c>
      <c r="C194" s="139" t="s">
        <v>321</v>
      </c>
      <c r="D194" s="15">
        <v>2000000</v>
      </c>
      <c r="E194" s="93">
        <v>0.98451746419999997</v>
      </c>
      <c r="F194" s="18">
        <v>1969034.93</v>
      </c>
      <c r="G194" s="15">
        <v>0</v>
      </c>
      <c r="H194" s="13"/>
      <c r="I194" s="13"/>
    </row>
    <row r="195" spans="1:17">
      <c r="A195" s="13" t="s">
        <v>587</v>
      </c>
      <c r="B195" s="139" t="s">
        <v>523</v>
      </c>
      <c r="C195" s="139" t="s">
        <v>321</v>
      </c>
      <c r="D195" s="15">
        <v>2000000</v>
      </c>
      <c r="E195" s="93">
        <v>0.97695460079999996</v>
      </c>
      <c r="F195" s="151">
        <v>1953909.2</v>
      </c>
      <c r="G195" s="15">
        <v>0</v>
      </c>
      <c r="H195" s="13"/>
      <c r="I195" s="13"/>
    </row>
    <row r="196" spans="1:17">
      <c r="A196" s="13" t="s">
        <v>588</v>
      </c>
      <c r="B196" s="139" t="s">
        <v>589</v>
      </c>
      <c r="C196" s="139" t="s">
        <v>321</v>
      </c>
      <c r="D196" s="18">
        <v>2164521.13</v>
      </c>
      <c r="E196" s="154">
        <v>0.99887797700000003</v>
      </c>
      <c r="F196" s="18">
        <v>2162092.4900000002</v>
      </c>
      <c r="G196" s="15">
        <v>0</v>
      </c>
      <c r="H196" s="13"/>
      <c r="I196" s="13"/>
      <c r="N196" s="68"/>
    </row>
    <row r="197" spans="1:17">
      <c r="A197" s="13" t="s">
        <v>592</v>
      </c>
      <c r="B197" s="139" t="s">
        <v>443</v>
      </c>
      <c r="C197" s="139" t="s">
        <v>368</v>
      </c>
      <c r="D197" s="15">
        <v>2000000</v>
      </c>
      <c r="E197" s="93">
        <v>0.97437268730000004</v>
      </c>
      <c r="F197" s="18">
        <v>1948745.37</v>
      </c>
      <c r="G197" s="15">
        <v>0</v>
      </c>
      <c r="H197" s="13"/>
      <c r="I197" s="13"/>
    </row>
    <row r="198" spans="1:17">
      <c r="A198" s="13" t="s">
        <v>593</v>
      </c>
      <c r="B198" s="139" t="s">
        <v>594</v>
      </c>
      <c r="C198" s="139" t="s">
        <v>368</v>
      </c>
      <c r="D198" s="15">
        <v>2000000</v>
      </c>
      <c r="E198" s="93">
        <v>0.91387085540000002</v>
      </c>
      <c r="F198" s="18">
        <v>1827741.71</v>
      </c>
      <c r="G198" s="15">
        <v>0</v>
      </c>
      <c r="H198" s="13"/>
      <c r="I198" s="13"/>
    </row>
    <row r="199" spans="1:17">
      <c r="A199" s="13" t="s">
        <v>599</v>
      </c>
      <c r="B199" s="139" t="s">
        <v>477</v>
      </c>
      <c r="C199" s="139" t="s">
        <v>155</v>
      </c>
      <c r="D199" s="15">
        <v>100000000</v>
      </c>
      <c r="E199" s="93">
        <v>0.97528392389999996</v>
      </c>
      <c r="F199" s="18">
        <v>97528392.390000001</v>
      </c>
      <c r="G199" s="18">
        <v>0.22</v>
      </c>
      <c r="H199" s="13"/>
      <c r="I199" s="13"/>
    </row>
    <row r="200" spans="1:17">
      <c r="A200" s="13" t="s">
        <v>600</v>
      </c>
      <c r="B200" s="139" t="s">
        <v>477</v>
      </c>
      <c r="C200" s="139" t="s">
        <v>155</v>
      </c>
      <c r="D200" s="15">
        <v>15000000</v>
      </c>
      <c r="E200" s="93">
        <v>0.98052385990000002</v>
      </c>
      <c r="F200" s="151">
        <v>14707857.9</v>
      </c>
      <c r="G200" s="18">
        <v>0.03</v>
      </c>
      <c r="H200" s="13"/>
      <c r="I200" s="13"/>
    </row>
    <row r="201" spans="1:17">
      <c r="A201" s="13" t="s">
        <v>601</v>
      </c>
      <c r="B201" s="139" t="s">
        <v>602</v>
      </c>
      <c r="C201" s="139" t="s">
        <v>155</v>
      </c>
      <c r="D201" s="15">
        <v>15000000</v>
      </c>
      <c r="E201" s="93">
        <v>0.97823759809999999</v>
      </c>
      <c r="F201" s="18">
        <v>14673563.970000001</v>
      </c>
      <c r="G201" s="18">
        <v>0.03</v>
      </c>
      <c r="H201" s="13"/>
      <c r="I201" s="13"/>
    </row>
    <row r="202" spans="1:17">
      <c r="A202" s="13" t="s">
        <v>603</v>
      </c>
      <c r="B202" s="139" t="s">
        <v>487</v>
      </c>
      <c r="C202" s="139" t="s">
        <v>155</v>
      </c>
      <c r="D202" s="15">
        <v>15000000</v>
      </c>
      <c r="E202" s="93">
        <v>0.98590028510000005</v>
      </c>
      <c r="F202" s="18">
        <v>14788504.279999999</v>
      </c>
      <c r="G202" s="18">
        <v>0.03</v>
      </c>
      <c r="H202" s="13"/>
      <c r="I202" s="13"/>
    </row>
    <row r="203" spans="1:17">
      <c r="A203" s="13" t="s">
        <v>604</v>
      </c>
      <c r="B203" s="139" t="s">
        <v>443</v>
      </c>
      <c r="C203" s="139" t="s">
        <v>155</v>
      </c>
      <c r="D203" s="15">
        <v>15000000</v>
      </c>
      <c r="E203" s="93">
        <v>0.98128834789999997</v>
      </c>
      <c r="F203" s="18">
        <v>14719325.220000001</v>
      </c>
      <c r="G203" s="18">
        <v>0.03</v>
      </c>
      <c r="H203" s="13"/>
      <c r="I203" s="13"/>
    </row>
    <row r="204" spans="1:17">
      <c r="A204" s="13" t="s">
        <v>605</v>
      </c>
      <c r="B204" s="139" t="s">
        <v>477</v>
      </c>
      <c r="C204" s="139" t="s">
        <v>155</v>
      </c>
      <c r="D204" s="15">
        <v>12500000</v>
      </c>
      <c r="E204" s="93">
        <v>0.98052385990000002</v>
      </c>
      <c r="F204" s="18">
        <v>12256548.25</v>
      </c>
      <c r="G204" s="18">
        <v>0.03</v>
      </c>
      <c r="H204" s="13"/>
      <c r="I204" s="13"/>
    </row>
    <row r="205" spans="1:17">
      <c r="A205" s="13" t="s">
        <v>606</v>
      </c>
      <c r="B205" s="139" t="s">
        <v>607</v>
      </c>
      <c r="C205" s="139" t="s">
        <v>155</v>
      </c>
      <c r="D205" s="15">
        <v>12500000</v>
      </c>
      <c r="E205" s="93">
        <v>0.97747785149999999</v>
      </c>
      <c r="F205" s="18">
        <v>12218473.140000001</v>
      </c>
      <c r="G205" s="18">
        <v>0.03</v>
      </c>
      <c r="H205" s="13"/>
      <c r="I205" s="13"/>
    </row>
    <row r="206" spans="1:17">
      <c r="A206" s="13" t="s">
        <v>608</v>
      </c>
      <c r="B206" s="139" t="s">
        <v>589</v>
      </c>
      <c r="C206" s="139" t="s">
        <v>155</v>
      </c>
      <c r="D206" s="15">
        <v>12500000</v>
      </c>
      <c r="E206" s="93">
        <v>0.99920611370000001</v>
      </c>
      <c r="F206" s="18">
        <v>12490076.42</v>
      </c>
      <c r="G206" s="18">
        <v>0.03</v>
      </c>
      <c r="H206" s="13"/>
      <c r="I206" s="13"/>
    </row>
    <row r="207" spans="1:17">
      <c r="A207" s="13" t="s">
        <v>609</v>
      </c>
      <c r="B207" s="139" t="s">
        <v>610</v>
      </c>
      <c r="C207" s="139" t="s">
        <v>155</v>
      </c>
      <c r="D207" s="15">
        <v>12500000</v>
      </c>
      <c r="E207" s="93">
        <v>0.97219264969999997</v>
      </c>
      <c r="F207" s="18">
        <v>12152408.119999999</v>
      </c>
      <c r="G207" s="18">
        <v>0.03</v>
      </c>
      <c r="H207" s="13"/>
      <c r="I207" s="13"/>
    </row>
    <row r="208" spans="1:17">
      <c r="A208" s="13" t="s">
        <v>611</v>
      </c>
      <c r="B208" s="139" t="s">
        <v>414</v>
      </c>
      <c r="C208" s="139" t="s">
        <v>155</v>
      </c>
      <c r="D208" s="15">
        <v>12500000</v>
      </c>
      <c r="E208" s="93">
        <v>0.97144235089999997</v>
      </c>
      <c r="F208" s="18">
        <v>12143029.390000001</v>
      </c>
      <c r="G208" s="18">
        <v>0.03</v>
      </c>
      <c r="H208" s="13"/>
      <c r="I208" s="13"/>
      <c r="Q208" s="9"/>
    </row>
    <row r="209" spans="1:9">
      <c r="A209" s="13" t="s">
        <v>612</v>
      </c>
      <c r="B209" s="139" t="s">
        <v>171</v>
      </c>
      <c r="C209" s="139" t="s">
        <v>155</v>
      </c>
      <c r="D209" s="15">
        <v>12500000</v>
      </c>
      <c r="E209" s="93">
        <v>0.99290010470000001</v>
      </c>
      <c r="F209" s="18">
        <v>12411251.310000001</v>
      </c>
      <c r="G209" s="18">
        <v>0.03</v>
      </c>
      <c r="H209" s="13"/>
      <c r="I209" s="13"/>
    </row>
    <row r="210" spans="1:9">
      <c r="A210" s="13" t="s">
        <v>613</v>
      </c>
      <c r="B210" s="139" t="s">
        <v>405</v>
      </c>
      <c r="C210" s="139" t="s">
        <v>155</v>
      </c>
      <c r="D210" s="15">
        <v>12500000</v>
      </c>
      <c r="E210" s="93">
        <v>0.96994503239999996</v>
      </c>
      <c r="F210" s="18">
        <v>12124312.91</v>
      </c>
      <c r="G210" s="18">
        <v>0.03</v>
      </c>
      <c r="H210" s="13"/>
      <c r="I210" s="13"/>
    </row>
    <row r="211" spans="1:9">
      <c r="A211" s="13" t="s">
        <v>614</v>
      </c>
      <c r="B211" s="139" t="s">
        <v>548</v>
      </c>
      <c r="C211" s="139" t="s">
        <v>155</v>
      </c>
      <c r="D211" s="15">
        <v>12500000</v>
      </c>
      <c r="E211" s="93">
        <v>0.99133599910000003</v>
      </c>
      <c r="F211" s="18">
        <v>12391699.99</v>
      </c>
      <c r="G211" s="18">
        <v>0.03</v>
      </c>
      <c r="H211" s="13"/>
      <c r="I211" s="13"/>
    </row>
    <row r="212" spans="1:9">
      <c r="A212" s="13" t="s">
        <v>615</v>
      </c>
      <c r="B212" s="139" t="s">
        <v>169</v>
      </c>
      <c r="C212" s="139" t="s">
        <v>155</v>
      </c>
      <c r="D212" s="15">
        <v>12500000</v>
      </c>
      <c r="E212" s="93">
        <v>0.96696429510000004</v>
      </c>
      <c r="F212" s="18">
        <v>12087053.689999999</v>
      </c>
      <c r="G212" s="18">
        <v>0.03</v>
      </c>
      <c r="H212" s="13"/>
      <c r="I212" s="13"/>
    </row>
    <row r="213" spans="1:9">
      <c r="A213" s="13" t="s">
        <v>616</v>
      </c>
      <c r="B213" s="139" t="s">
        <v>373</v>
      </c>
      <c r="C213" s="139" t="s">
        <v>155</v>
      </c>
      <c r="D213" s="15">
        <v>12500000</v>
      </c>
      <c r="E213" s="93">
        <v>0.98822260289999997</v>
      </c>
      <c r="F213" s="18">
        <v>12352782.539999999</v>
      </c>
      <c r="G213" s="18">
        <v>0.03</v>
      </c>
      <c r="H213" s="13"/>
      <c r="I213" s="13"/>
    </row>
    <row r="214" spans="1:9">
      <c r="A214" s="13" t="s">
        <v>617</v>
      </c>
      <c r="B214" s="139" t="s">
        <v>491</v>
      </c>
      <c r="C214" s="139" t="s">
        <v>155</v>
      </c>
      <c r="D214" s="15">
        <v>12500000</v>
      </c>
      <c r="E214" s="93">
        <v>0.96474076220000005</v>
      </c>
      <c r="F214" s="18">
        <v>12059259.529999999</v>
      </c>
      <c r="G214" s="18">
        <v>0.03</v>
      </c>
      <c r="H214" s="13"/>
      <c r="I214" s="13"/>
    </row>
    <row r="215" spans="1:9">
      <c r="A215" s="13" t="s">
        <v>618</v>
      </c>
      <c r="B215" s="139" t="s">
        <v>487</v>
      </c>
      <c r="C215" s="139" t="s">
        <v>155</v>
      </c>
      <c r="D215" s="15">
        <v>12500000</v>
      </c>
      <c r="E215" s="93">
        <v>0.98590028559999998</v>
      </c>
      <c r="F215" s="18">
        <v>12323753.57</v>
      </c>
      <c r="G215" s="18">
        <v>0.03</v>
      </c>
      <c r="H215" s="13"/>
      <c r="I215" s="13"/>
    </row>
    <row r="216" spans="1:9">
      <c r="A216" s="13" t="s">
        <v>619</v>
      </c>
      <c r="B216" s="139" t="s">
        <v>505</v>
      </c>
      <c r="C216" s="139" t="s">
        <v>155</v>
      </c>
      <c r="D216" s="15">
        <v>12500000</v>
      </c>
      <c r="E216" s="93">
        <v>0.96179187570000002</v>
      </c>
      <c r="F216" s="18">
        <v>12022398.449999999</v>
      </c>
      <c r="G216" s="18">
        <v>0.03</v>
      </c>
      <c r="H216" s="13"/>
      <c r="I216" s="13"/>
    </row>
    <row r="217" spans="1:9">
      <c r="A217" s="13" t="s">
        <v>620</v>
      </c>
      <c r="B217" s="139" t="s">
        <v>173</v>
      </c>
      <c r="C217" s="139" t="s">
        <v>155</v>
      </c>
      <c r="D217" s="15">
        <v>12500000</v>
      </c>
      <c r="E217" s="93">
        <v>0.98282083570000001</v>
      </c>
      <c r="F217" s="18">
        <v>12285260.449999999</v>
      </c>
      <c r="G217" s="18">
        <v>0.03</v>
      </c>
      <c r="H217" s="13"/>
      <c r="I217" s="13"/>
    </row>
    <row r="218" spans="1:9">
      <c r="A218" s="13" t="s">
        <v>621</v>
      </c>
      <c r="B218" s="139" t="s">
        <v>346</v>
      </c>
      <c r="C218" s="139" t="s">
        <v>155</v>
      </c>
      <c r="D218" s="15">
        <v>12500000</v>
      </c>
      <c r="E218" s="93">
        <v>0.96032423950000001</v>
      </c>
      <c r="F218" s="18">
        <v>12004052.99</v>
      </c>
      <c r="G218" s="18">
        <v>0.03</v>
      </c>
      <c r="H218" s="13"/>
      <c r="I218" s="13"/>
    </row>
    <row r="219" spans="1:9">
      <c r="A219" s="13" t="s">
        <v>624</v>
      </c>
      <c r="B219" s="139" t="s">
        <v>408</v>
      </c>
      <c r="C219" s="139" t="s">
        <v>155</v>
      </c>
      <c r="D219" s="18">
        <v>38020423.149999999</v>
      </c>
      <c r="E219" s="93">
        <v>0.98974999809999997</v>
      </c>
      <c r="F219" s="18">
        <v>37630713.740000002</v>
      </c>
      <c r="G219" s="18">
        <v>0.08</v>
      </c>
      <c r="H219" s="13"/>
      <c r="I219" s="13"/>
    </row>
    <row r="220" spans="1:9">
      <c r="A220" s="13" t="s">
        <v>625</v>
      </c>
      <c r="B220" s="139" t="s">
        <v>402</v>
      </c>
      <c r="C220" s="139" t="s">
        <v>155</v>
      </c>
      <c r="D220" s="15">
        <v>50000000</v>
      </c>
      <c r="E220" s="93">
        <v>0.99585288679999995</v>
      </c>
      <c r="F220" s="18">
        <v>49792644.340000004</v>
      </c>
      <c r="G220" s="18">
        <v>0.11</v>
      </c>
      <c r="H220" s="13"/>
      <c r="I220" s="13"/>
    </row>
    <row r="221" spans="1:9">
      <c r="A221" s="13" t="s">
        <v>626</v>
      </c>
      <c r="B221" s="139" t="s">
        <v>548</v>
      </c>
      <c r="C221" s="139" t="s">
        <v>155</v>
      </c>
      <c r="D221" s="15">
        <v>50000000</v>
      </c>
      <c r="E221" s="154">
        <v>0.98867761399999998</v>
      </c>
      <c r="F221" s="151">
        <v>49433880.700000003</v>
      </c>
      <c r="G221" s="18">
        <v>0.11</v>
      </c>
      <c r="H221" s="13"/>
      <c r="I221" s="13"/>
    </row>
    <row r="222" spans="1:9">
      <c r="A222" s="13" t="s">
        <v>627</v>
      </c>
      <c r="B222" s="139" t="s">
        <v>628</v>
      </c>
      <c r="C222" s="139" t="s">
        <v>155</v>
      </c>
      <c r="D222" s="15">
        <v>50000000</v>
      </c>
      <c r="E222" s="93">
        <v>0.94530205860000005</v>
      </c>
      <c r="F222" s="18">
        <v>47265102.93</v>
      </c>
      <c r="G222" s="18">
        <v>0.11</v>
      </c>
      <c r="H222" s="13"/>
      <c r="I222" s="13"/>
    </row>
    <row r="223" spans="1:9">
      <c r="A223" s="13" t="s">
        <v>629</v>
      </c>
      <c r="B223" s="139" t="s">
        <v>189</v>
      </c>
      <c r="C223" s="139" t="s">
        <v>155</v>
      </c>
      <c r="D223" s="15">
        <v>50000000</v>
      </c>
      <c r="E223" s="93">
        <v>0.93888265670000004</v>
      </c>
      <c r="F223" s="18">
        <v>46944132.840000004</v>
      </c>
      <c r="G223" s="18">
        <v>0.11</v>
      </c>
      <c r="H223" s="13"/>
      <c r="I223" s="13"/>
    </row>
    <row r="224" spans="1:9">
      <c r="A224" s="13" t="s">
        <v>630</v>
      </c>
      <c r="B224" s="139" t="s">
        <v>169</v>
      </c>
      <c r="C224" s="139" t="s">
        <v>155</v>
      </c>
      <c r="D224" s="15">
        <v>50000000</v>
      </c>
      <c r="E224" s="93">
        <v>0.96257816419999997</v>
      </c>
      <c r="F224" s="18">
        <v>48128908.210000001</v>
      </c>
      <c r="G224" s="18">
        <v>0.11</v>
      </c>
      <c r="H224" s="13"/>
      <c r="I224" s="13"/>
    </row>
    <row r="225" spans="1:9">
      <c r="A225" s="13" t="s">
        <v>631</v>
      </c>
      <c r="B225" s="139" t="s">
        <v>632</v>
      </c>
      <c r="C225" s="139" t="s">
        <v>155</v>
      </c>
      <c r="D225" s="15">
        <v>50000000</v>
      </c>
      <c r="E225" s="93">
        <v>0.93412510360000001</v>
      </c>
      <c r="F225" s="18">
        <v>46706255.18</v>
      </c>
      <c r="G225" s="151">
        <v>0.1</v>
      </c>
      <c r="H225" s="13"/>
      <c r="I225" s="13"/>
    </row>
    <row r="226" spans="1:9">
      <c r="A226" s="13" t="s">
        <v>633</v>
      </c>
      <c r="B226" s="139" t="s">
        <v>505</v>
      </c>
      <c r="C226" s="139" t="s">
        <v>155</v>
      </c>
      <c r="D226" s="15">
        <v>50000000</v>
      </c>
      <c r="E226" s="93">
        <v>0.95674972250000001</v>
      </c>
      <c r="F226" s="18">
        <v>47837486.130000003</v>
      </c>
      <c r="G226" s="18">
        <v>0.11</v>
      </c>
      <c r="H226" s="13"/>
      <c r="I226" s="13"/>
    </row>
    <row r="227" spans="1:9">
      <c r="A227" s="13" t="s">
        <v>634</v>
      </c>
      <c r="B227" s="139" t="s">
        <v>193</v>
      </c>
      <c r="C227" s="139" t="s">
        <v>155</v>
      </c>
      <c r="D227" s="15">
        <v>50000000</v>
      </c>
      <c r="E227" s="93">
        <v>0.95099144089999998</v>
      </c>
      <c r="F227" s="18">
        <v>47549572.049999997</v>
      </c>
      <c r="G227" s="18">
        <v>0.11</v>
      </c>
      <c r="H227" s="13"/>
      <c r="I227" s="13"/>
    </row>
    <row r="228" spans="1:9">
      <c r="A228" s="13" t="s">
        <v>635</v>
      </c>
      <c r="B228" s="139" t="s">
        <v>470</v>
      </c>
      <c r="C228" s="139" t="s">
        <v>155</v>
      </c>
      <c r="D228" s="15">
        <v>10000000</v>
      </c>
      <c r="E228" s="154">
        <v>0.94120691099999998</v>
      </c>
      <c r="F228" s="18">
        <v>9412069.1099999994</v>
      </c>
      <c r="G228" s="18">
        <v>0.02</v>
      </c>
      <c r="H228" s="13"/>
      <c r="I228" s="13"/>
    </row>
    <row r="229" spans="1:9">
      <c r="A229" s="13" t="s">
        <v>636</v>
      </c>
      <c r="B229" s="139" t="s">
        <v>589</v>
      </c>
      <c r="C229" s="139" t="s">
        <v>155</v>
      </c>
      <c r="D229" s="15">
        <v>5000000</v>
      </c>
      <c r="E229" s="93">
        <v>0.99895999120000001</v>
      </c>
      <c r="F229" s="18">
        <v>4994799.96</v>
      </c>
      <c r="G229" s="18">
        <v>0.01</v>
      </c>
      <c r="H229" s="13"/>
      <c r="I229" s="13"/>
    </row>
    <row r="230" spans="1:9">
      <c r="A230" s="13" t="s">
        <v>637</v>
      </c>
      <c r="B230" s="139" t="s">
        <v>638</v>
      </c>
      <c r="C230" s="139" t="s">
        <v>155</v>
      </c>
      <c r="D230" s="15">
        <v>5000000</v>
      </c>
      <c r="E230" s="93">
        <v>0.96971316389999995</v>
      </c>
      <c r="F230" s="18">
        <v>4848565.82</v>
      </c>
      <c r="G230" s="18">
        <v>0.01</v>
      </c>
      <c r="H230" s="13"/>
      <c r="I230" s="13"/>
    </row>
    <row r="231" spans="1:9">
      <c r="A231" s="13" t="s">
        <v>643</v>
      </c>
      <c r="B231" s="139" t="s">
        <v>589</v>
      </c>
      <c r="C231" s="139" t="s">
        <v>231</v>
      </c>
      <c r="D231" s="15">
        <v>20000000</v>
      </c>
      <c r="E231" s="93">
        <v>0.99887797320000005</v>
      </c>
      <c r="F231" s="18">
        <v>19977559.460000001</v>
      </c>
      <c r="G231" s="18">
        <v>0.04</v>
      </c>
      <c r="H231" s="13"/>
      <c r="I231" s="13"/>
    </row>
    <row r="232" spans="1:9">
      <c r="A232" s="13" t="s">
        <v>644</v>
      </c>
      <c r="B232" s="139" t="s">
        <v>439</v>
      </c>
      <c r="C232" s="139" t="s">
        <v>231</v>
      </c>
      <c r="D232" s="15">
        <v>20000000</v>
      </c>
      <c r="E232" s="28">
        <v>0.99775846999999995</v>
      </c>
      <c r="F232" s="151">
        <v>19955169.399999999</v>
      </c>
      <c r="G232" s="18">
        <v>0.04</v>
      </c>
      <c r="H232" s="13"/>
      <c r="I232" s="13"/>
    </row>
    <row r="233" spans="1:9">
      <c r="A233" s="13" t="s">
        <v>645</v>
      </c>
      <c r="B233" s="139" t="s">
        <v>433</v>
      </c>
      <c r="C233" s="139" t="s">
        <v>231</v>
      </c>
      <c r="D233" s="15">
        <v>20000000</v>
      </c>
      <c r="E233" s="93">
        <v>0.99664146419999999</v>
      </c>
      <c r="F233" s="18">
        <v>19932829.280000001</v>
      </c>
      <c r="G233" s="18">
        <v>0.04</v>
      </c>
      <c r="H233" s="13"/>
      <c r="I233" s="13"/>
    </row>
    <row r="234" spans="1:9">
      <c r="A234" s="13" t="s">
        <v>646</v>
      </c>
      <c r="B234" s="139" t="s">
        <v>402</v>
      </c>
      <c r="C234" s="139" t="s">
        <v>231</v>
      </c>
      <c r="D234" s="15">
        <v>20000000</v>
      </c>
      <c r="E234" s="93">
        <v>0.99552695369999999</v>
      </c>
      <c r="F234" s="18">
        <v>19910539.07</v>
      </c>
      <c r="G234" s="18">
        <v>0.04</v>
      </c>
      <c r="H234" s="13"/>
      <c r="I234" s="13"/>
    </row>
    <row r="235" spans="1:9">
      <c r="A235" s="13" t="s">
        <v>647</v>
      </c>
      <c r="B235" s="139" t="s">
        <v>416</v>
      </c>
      <c r="C235" s="139" t="s">
        <v>231</v>
      </c>
      <c r="D235" s="15">
        <v>20000000</v>
      </c>
      <c r="E235" s="93">
        <v>0.99109374080000001</v>
      </c>
      <c r="F235" s="18">
        <v>19821874.82</v>
      </c>
      <c r="G235" s="18">
        <v>0.04</v>
      </c>
      <c r="H235" s="13"/>
      <c r="I235" s="13"/>
    </row>
    <row r="236" spans="1:9">
      <c r="A236" s="13" t="s">
        <v>648</v>
      </c>
      <c r="B236" s="139" t="s">
        <v>171</v>
      </c>
      <c r="C236" s="139" t="s">
        <v>231</v>
      </c>
      <c r="D236" s="18">
        <v>10918371.689999999</v>
      </c>
      <c r="E236" s="93">
        <v>0.98999163290000003</v>
      </c>
      <c r="F236" s="18">
        <v>10809096.619999999</v>
      </c>
      <c r="G236" s="18">
        <v>0.02</v>
      </c>
      <c r="H236" s="13"/>
      <c r="I236" s="13"/>
    </row>
    <row r="237" spans="1:9">
      <c r="A237" s="13" t="s">
        <v>649</v>
      </c>
      <c r="B237" s="139" t="s">
        <v>425</v>
      </c>
      <c r="C237" s="139" t="s">
        <v>231</v>
      </c>
      <c r="D237" s="18">
        <v>10918371.689999999</v>
      </c>
      <c r="E237" s="93">
        <v>0.98889193080000004</v>
      </c>
      <c r="F237" s="18">
        <v>10797089.66</v>
      </c>
      <c r="G237" s="18">
        <v>0.02</v>
      </c>
      <c r="H237" s="13"/>
      <c r="I237" s="13"/>
    </row>
    <row r="238" spans="1:9">
      <c r="A238" s="13" t="s">
        <v>650</v>
      </c>
      <c r="B238" s="139" t="s">
        <v>548</v>
      </c>
      <c r="C238" s="139" t="s">
        <v>231</v>
      </c>
      <c r="D238" s="18">
        <v>10918371.689999999</v>
      </c>
      <c r="E238" s="93">
        <v>0.98779466839999996</v>
      </c>
      <c r="F238" s="18">
        <v>10785109.34</v>
      </c>
      <c r="G238" s="18">
        <v>0.02</v>
      </c>
      <c r="H238" s="13"/>
      <c r="I238" s="13"/>
    </row>
    <row r="239" spans="1:9">
      <c r="A239" s="13" t="s">
        <v>651</v>
      </c>
      <c r="B239" s="139" t="s">
        <v>408</v>
      </c>
      <c r="C239" s="139" t="s">
        <v>231</v>
      </c>
      <c r="D239" s="18">
        <v>10918371.689999999</v>
      </c>
      <c r="E239" s="93">
        <v>0.98451748760000002</v>
      </c>
      <c r="F239" s="18">
        <v>10749327.859999999</v>
      </c>
      <c r="G239" s="18">
        <v>0.02</v>
      </c>
      <c r="H239" s="13"/>
      <c r="I239" s="13"/>
    </row>
    <row r="240" spans="1:9">
      <c r="A240" s="13" t="s">
        <v>652</v>
      </c>
      <c r="B240" s="139" t="s">
        <v>373</v>
      </c>
      <c r="C240" s="139" t="s">
        <v>231</v>
      </c>
      <c r="D240" s="18">
        <v>10918371.689999999</v>
      </c>
      <c r="E240" s="93">
        <v>0.98342989759999999</v>
      </c>
      <c r="F240" s="18">
        <v>10737453.15</v>
      </c>
      <c r="G240" s="18">
        <v>0.02</v>
      </c>
      <c r="H240" s="13"/>
      <c r="I240" s="13"/>
    </row>
    <row r="241" spans="1:18">
      <c r="A241" s="13" t="s">
        <v>653</v>
      </c>
      <c r="B241" s="139" t="s">
        <v>569</v>
      </c>
      <c r="C241" s="139" t="s">
        <v>231</v>
      </c>
      <c r="D241" s="18">
        <v>10918371.689999999</v>
      </c>
      <c r="E241" s="154">
        <v>0.98234478199999997</v>
      </c>
      <c r="F241" s="18">
        <v>10725605.460000001</v>
      </c>
      <c r="G241" s="18">
        <v>0.02</v>
      </c>
      <c r="H241" s="13"/>
      <c r="I241" s="13"/>
    </row>
    <row r="242" spans="1:18">
      <c r="A242" s="13" t="s">
        <v>655</v>
      </c>
      <c r="B242" s="139" t="s">
        <v>589</v>
      </c>
      <c r="C242" s="139" t="s">
        <v>231</v>
      </c>
      <c r="D242" s="18">
        <v>10918371.689999999</v>
      </c>
      <c r="E242" s="93">
        <v>0.99887797320000005</v>
      </c>
      <c r="F242" s="18">
        <v>10906120.98</v>
      </c>
      <c r="G242" s="18">
        <v>0.02</v>
      </c>
      <c r="H242" s="13"/>
      <c r="I242" s="13"/>
    </row>
    <row r="243" spans="1:18">
      <c r="A243" s="13" t="s">
        <v>656</v>
      </c>
      <c r="B243" s="139" t="s">
        <v>439</v>
      </c>
      <c r="C243" s="139" t="s">
        <v>231</v>
      </c>
      <c r="D243" s="18">
        <v>10918371.689999999</v>
      </c>
      <c r="E243" s="93">
        <v>0.99775846970000004</v>
      </c>
      <c r="F243" s="18">
        <v>10893897.83</v>
      </c>
      <c r="G243" s="18">
        <v>0.02</v>
      </c>
      <c r="H243" s="13"/>
      <c r="I243" s="13"/>
    </row>
    <row r="244" spans="1:18">
      <c r="A244" s="13" t="s">
        <v>657</v>
      </c>
      <c r="B244" s="139" t="s">
        <v>433</v>
      </c>
      <c r="C244" s="139" t="s">
        <v>231</v>
      </c>
      <c r="D244" s="18">
        <v>10918371.689999999</v>
      </c>
      <c r="E244" s="93">
        <v>0.99664146450000002</v>
      </c>
      <c r="F244" s="18">
        <v>10881701.949999999</v>
      </c>
      <c r="G244" s="18">
        <v>0.02</v>
      </c>
      <c r="H244" s="13"/>
      <c r="I244" s="13"/>
    </row>
    <row r="245" spans="1:18">
      <c r="A245" s="13" t="s">
        <v>658</v>
      </c>
      <c r="B245" s="139" t="s">
        <v>402</v>
      </c>
      <c r="C245" s="139" t="s">
        <v>231</v>
      </c>
      <c r="D245" s="18">
        <v>10918371.689999999</v>
      </c>
      <c r="E245" s="93">
        <v>0.99552695339999997</v>
      </c>
      <c r="F245" s="151">
        <v>10869533.300000001</v>
      </c>
      <c r="G245" s="18">
        <v>0.02</v>
      </c>
      <c r="H245" s="13"/>
      <c r="I245" s="13"/>
    </row>
    <row r="246" spans="1:18">
      <c r="A246" s="13" t="s">
        <v>659</v>
      </c>
      <c r="B246" s="139" t="s">
        <v>416</v>
      </c>
      <c r="C246" s="139" t="s">
        <v>231</v>
      </c>
      <c r="D246" s="18">
        <v>10918371.689999999</v>
      </c>
      <c r="E246" s="93">
        <v>0.99109373970000003</v>
      </c>
      <c r="F246" s="18">
        <v>10821129.83</v>
      </c>
      <c r="G246" s="18">
        <v>0.02</v>
      </c>
      <c r="H246" s="13"/>
      <c r="I246" s="13"/>
    </row>
    <row r="247" spans="1:18">
      <c r="A247" s="13" t="s">
        <v>660</v>
      </c>
      <c r="B247" s="139" t="s">
        <v>513</v>
      </c>
      <c r="C247" s="139" t="s">
        <v>231</v>
      </c>
      <c r="D247" s="18">
        <v>10918371.720000001</v>
      </c>
      <c r="E247" s="93">
        <v>0.98126198580000001</v>
      </c>
      <c r="F247" s="18">
        <v>10713783.119999999</v>
      </c>
      <c r="G247" s="18">
        <v>0.02</v>
      </c>
      <c r="H247" s="13"/>
      <c r="I247" s="13"/>
    </row>
    <row r="248" spans="1:18">
      <c r="A248" s="13" t="s">
        <v>661</v>
      </c>
      <c r="B248" s="139" t="s">
        <v>487</v>
      </c>
      <c r="C248" s="139" t="s">
        <v>231</v>
      </c>
      <c r="D248" s="18">
        <v>11785044.42</v>
      </c>
      <c r="E248" s="93">
        <v>0.98018157009999995</v>
      </c>
      <c r="F248" s="18">
        <v>11551483.34</v>
      </c>
      <c r="G248" s="18">
        <v>0.03</v>
      </c>
      <c r="H248" s="13"/>
      <c r="I248" s="13"/>
    </row>
    <row r="249" spans="1:18">
      <c r="A249" s="13" t="s">
        <v>662</v>
      </c>
      <c r="B249" s="139" t="s">
        <v>173</v>
      </c>
      <c r="C249" s="139" t="s">
        <v>231</v>
      </c>
      <c r="D249" s="18">
        <v>11785044.42</v>
      </c>
      <c r="E249" s="93">
        <v>0.97588367470000004</v>
      </c>
      <c r="F249" s="18">
        <v>11500832.460000001</v>
      </c>
      <c r="G249" s="18">
        <v>0.03</v>
      </c>
      <c r="H249" s="13"/>
      <c r="I249" s="13"/>
    </row>
    <row r="250" spans="1:18">
      <c r="A250" s="13" t="s">
        <v>663</v>
      </c>
      <c r="B250" s="139" t="s">
        <v>443</v>
      </c>
      <c r="C250" s="139" t="s">
        <v>231</v>
      </c>
      <c r="D250" s="18">
        <v>11785044.42</v>
      </c>
      <c r="E250" s="93">
        <v>0.97374887990000003</v>
      </c>
      <c r="F250" s="151">
        <v>11475673.800000001</v>
      </c>
      <c r="G250" s="18">
        <v>0.03</v>
      </c>
      <c r="H250" s="13"/>
      <c r="I250" s="13"/>
    </row>
    <row r="251" spans="1:18">
      <c r="A251" s="13" t="s">
        <v>665</v>
      </c>
      <c r="B251" s="139" t="s">
        <v>589</v>
      </c>
      <c r="C251" s="139" t="s">
        <v>231</v>
      </c>
      <c r="D251" s="151">
        <v>13296076.9</v>
      </c>
      <c r="E251" s="93">
        <v>0.99887797330000005</v>
      </c>
      <c r="F251" s="18">
        <v>13281158.35</v>
      </c>
      <c r="G251" s="18">
        <v>0.03</v>
      </c>
      <c r="H251" s="13"/>
      <c r="I251" s="13"/>
    </row>
    <row r="252" spans="1:18">
      <c r="A252" s="13" t="s">
        <v>666</v>
      </c>
      <c r="B252" s="139" t="s">
        <v>439</v>
      </c>
      <c r="C252" s="139" t="s">
        <v>231</v>
      </c>
      <c r="D252" s="18">
        <v>13296076.83</v>
      </c>
      <c r="E252" s="93">
        <v>0.99775846989999994</v>
      </c>
      <c r="F252" s="18">
        <v>13266273.27</v>
      </c>
      <c r="G252" s="18">
        <v>0.03</v>
      </c>
      <c r="H252" s="13"/>
      <c r="I252" s="13"/>
    </row>
    <row r="253" spans="1:18">
      <c r="A253" s="13" t="s">
        <v>667</v>
      </c>
      <c r="B253" s="139" t="s">
        <v>569</v>
      </c>
      <c r="C253" s="139" t="s">
        <v>231</v>
      </c>
      <c r="D253" s="15">
        <v>2000000</v>
      </c>
      <c r="E253" s="93">
        <v>0.9823447837</v>
      </c>
      <c r="F253" s="18">
        <v>1964689.57</v>
      </c>
      <c r="G253" s="15">
        <v>0</v>
      </c>
      <c r="H253" s="13"/>
      <c r="I253" s="13"/>
      <c r="R253" s="9"/>
    </row>
    <row r="254" spans="1:18">
      <c r="A254" s="13" t="s">
        <v>668</v>
      </c>
      <c r="B254" s="139" t="s">
        <v>487</v>
      </c>
      <c r="C254" s="139" t="s">
        <v>231</v>
      </c>
      <c r="D254" s="15">
        <v>2000000</v>
      </c>
      <c r="E254" s="93">
        <v>0.98018156670000001</v>
      </c>
      <c r="F254" s="18">
        <v>1960363.13</v>
      </c>
      <c r="G254" s="15">
        <v>0</v>
      </c>
      <c r="H254" s="13"/>
      <c r="I254" s="13"/>
    </row>
    <row r="255" spans="1:18">
      <c r="A255" s="13" t="s">
        <v>669</v>
      </c>
      <c r="B255" s="139" t="s">
        <v>439</v>
      </c>
      <c r="C255" s="139" t="s">
        <v>231</v>
      </c>
      <c r="D255" s="15">
        <v>2000000</v>
      </c>
      <c r="E255" s="93">
        <v>0.99775846850000005</v>
      </c>
      <c r="F255" s="18">
        <v>1995516.94</v>
      </c>
      <c r="G255" s="15">
        <v>0</v>
      </c>
      <c r="H255" s="13"/>
      <c r="I255" s="13"/>
    </row>
    <row r="256" spans="1:18">
      <c r="A256" s="13" t="s">
        <v>670</v>
      </c>
      <c r="B256" s="139" t="s">
        <v>402</v>
      </c>
      <c r="C256" s="139" t="s">
        <v>231</v>
      </c>
      <c r="D256" s="15">
        <v>2000000</v>
      </c>
      <c r="E256" s="93">
        <v>0.99552695260000001</v>
      </c>
      <c r="F256" s="18">
        <v>1991053.91</v>
      </c>
      <c r="G256" s="15">
        <v>0</v>
      </c>
      <c r="H256" s="13"/>
      <c r="I256" s="13"/>
    </row>
    <row r="257" spans="1:9">
      <c r="A257" s="13" t="s">
        <v>671</v>
      </c>
      <c r="B257" s="139" t="s">
        <v>425</v>
      </c>
      <c r="C257" s="139" t="s">
        <v>231</v>
      </c>
      <c r="D257" s="15">
        <v>2000000</v>
      </c>
      <c r="E257" s="154">
        <v>0.988891937</v>
      </c>
      <c r="F257" s="18">
        <v>1977783.87</v>
      </c>
      <c r="G257" s="15">
        <v>0</v>
      </c>
      <c r="H257" s="13"/>
      <c r="I257" s="13"/>
    </row>
    <row r="258" spans="1:9">
      <c r="A258" s="13" t="s">
        <v>672</v>
      </c>
      <c r="B258" s="139" t="s">
        <v>548</v>
      </c>
      <c r="C258" s="139" t="s">
        <v>231</v>
      </c>
      <c r="D258" s="15">
        <v>2000000</v>
      </c>
      <c r="E258" s="93">
        <v>0.98779466930000004</v>
      </c>
      <c r="F258" s="18">
        <v>1975589.34</v>
      </c>
      <c r="G258" s="15">
        <v>0</v>
      </c>
      <c r="H258" s="13"/>
      <c r="I258" s="13"/>
    </row>
    <row r="259" spans="1:9">
      <c r="A259" s="13" t="s">
        <v>674</v>
      </c>
      <c r="B259" s="139" t="s">
        <v>425</v>
      </c>
      <c r="C259" s="139" t="s">
        <v>231</v>
      </c>
      <c r="D259" s="15">
        <v>1149527</v>
      </c>
      <c r="E259" s="93">
        <v>0.98889193730000002</v>
      </c>
      <c r="F259" s="18">
        <v>1136757.98</v>
      </c>
      <c r="G259" s="15">
        <v>0</v>
      </c>
      <c r="H259" s="13"/>
      <c r="I259" s="13"/>
    </row>
    <row r="260" spans="1:9">
      <c r="A260" s="13" t="s">
        <v>675</v>
      </c>
      <c r="B260" s="139" t="s">
        <v>433</v>
      </c>
      <c r="C260" s="139" t="s">
        <v>231</v>
      </c>
      <c r="D260" s="18">
        <v>20146795.890000001</v>
      </c>
      <c r="E260" s="93">
        <v>0.99778574170000001</v>
      </c>
      <c r="F260" s="18">
        <v>20102185.68</v>
      </c>
      <c r="G260" s="18">
        <v>0.05</v>
      </c>
      <c r="H260" s="13"/>
      <c r="I260" s="13"/>
    </row>
    <row r="261" spans="1:9">
      <c r="A261" s="13" t="s">
        <v>676</v>
      </c>
      <c r="B261" s="139" t="s">
        <v>433</v>
      </c>
      <c r="C261" s="139" t="s">
        <v>231</v>
      </c>
      <c r="D261" s="18">
        <v>7921214.3099999996</v>
      </c>
      <c r="E261" s="93">
        <v>0.99778574210000004</v>
      </c>
      <c r="F261" s="151">
        <v>7903674.7000000002</v>
      </c>
      <c r="G261" s="18">
        <v>0.02</v>
      </c>
      <c r="H261" s="13"/>
      <c r="I261" s="13"/>
    </row>
    <row r="262" spans="1:9">
      <c r="A262" s="13" t="s">
        <v>677</v>
      </c>
      <c r="B262" s="139" t="s">
        <v>433</v>
      </c>
      <c r="C262" s="139" t="s">
        <v>231</v>
      </c>
      <c r="D262" s="18">
        <v>8670779.9700000007</v>
      </c>
      <c r="E262" s="93">
        <v>0.99778574090000005</v>
      </c>
      <c r="F262" s="18">
        <v>8651580.6199999992</v>
      </c>
      <c r="G262" s="18">
        <v>0.02</v>
      </c>
      <c r="H262" s="13"/>
      <c r="I262" s="13"/>
    </row>
    <row r="263" spans="1:9">
      <c r="A263" s="13" t="s">
        <v>678</v>
      </c>
      <c r="B263" s="139" t="s">
        <v>433</v>
      </c>
      <c r="C263" s="139" t="s">
        <v>231</v>
      </c>
      <c r="D263" s="18">
        <v>4374979.37</v>
      </c>
      <c r="E263" s="93">
        <v>0.99778574210000004</v>
      </c>
      <c r="F263" s="18">
        <v>4365292.04</v>
      </c>
      <c r="G263" s="18">
        <v>0.01</v>
      </c>
      <c r="H263" s="13"/>
      <c r="I263" s="13"/>
    </row>
    <row r="264" spans="1:9">
      <c r="A264" s="13" t="s">
        <v>679</v>
      </c>
      <c r="B264" s="139" t="s">
        <v>171</v>
      </c>
      <c r="C264" s="139" t="s">
        <v>231</v>
      </c>
      <c r="D264" s="18">
        <v>8150793.21</v>
      </c>
      <c r="E264" s="93">
        <v>0.99338652390000004</v>
      </c>
      <c r="F264" s="18">
        <v>8096888.1299999999</v>
      </c>
      <c r="G264" s="18">
        <v>0.02</v>
      </c>
      <c r="H264" s="13"/>
      <c r="I264" s="13"/>
    </row>
    <row r="265" spans="1:9">
      <c r="A265" s="13" t="s">
        <v>680</v>
      </c>
      <c r="B265" s="139" t="s">
        <v>171</v>
      </c>
      <c r="C265" s="139" t="s">
        <v>231</v>
      </c>
      <c r="D265" s="151">
        <v>9628546.5999999996</v>
      </c>
      <c r="E265" s="93">
        <v>0.99338652390000004</v>
      </c>
      <c r="F265" s="18">
        <v>9564868.4399999995</v>
      </c>
      <c r="G265" s="18">
        <v>0.02</v>
      </c>
      <c r="H265" s="13"/>
      <c r="I265" s="13"/>
    </row>
    <row r="266" spans="1:9">
      <c r="A266" s="13" t="s">
        <v>681</v>
      </c>
      <c r="B266" s="139" t="s">
        <v>171</v>
      </c>
      <c r="C266" s="139" t="s">
        <v>231</v>
      </c>
      <c r="D266" s="18">
        <v>12499446.35</v>
      </c>
      <c r="E266" s="93">
        <v>0.99338652360000002</v>
      </c>
      <c r="F266" s="18">
        <v>12416781.560000001</v>
      </c>
      <c r="G266" s="18">
        <v>0.03</v>
      </c>
      <c r="H266" s="13"/>
      <c r="I266" s="13"/>
    </row>
    <row r="267" spans="1:9">
      <c r="A267" s="13" t="s">
        <v>682</v>
      </c>
      <c r="B267" s="139" t="s">
        <v>171</v>
      </c>
      <c r="C267" s="139" t="s">
        <v>231</v>
      </c>
      <c r="D267" s="18">
        <v>11821171.93</v>
      </c>
      <c r="E267" s="93">
        <v>0.99338652309999997</v>
      </c>
      <c r="F267" s="18">
        <v>11742992.880000001</v>
      </c>
      <c r="G267" s="18">
        <v>0.03</v>
      </c>
      <c r="H267" s="13"/>
      <c r="I267" s="13"/>
    </row>
    <row r="268" spans="1:9">
      <c r="A268" s="13" t="s">
        <v>683</v>
      </c>
      <c r="B268" s="139" t="s">
        <v>425</v>
      </c>
      <c r="C268" s="139" t="s">
        <v>231</v>
      </c>
      <c r="D268" s="18">
        <v>10622333.02</v>
      </c>
      <c r="E268" s="93">
        <v>0.99265707820000004</v>
      </c>
      <c r="F268" s="18">
        <v>10544334.060000001</v>
      </c>
      <c r="G268" s="18">
        <v>0.02</v>
      </c>
      <c r="H268" s="13"/>
      <c r="I268" s="13"/>
    </row>
    <row r="269" spans="1:9">
      <c r="A269" s="13" t="s">
        <v>684</v>
      </c>
      <c r="B269" s="139" t="s">
        <v>491</v>
      </c>
      <c r="C269" s="139" t="s">
        <v>231</v>
      </c>
      <c r="D269" s="15">
        <v>10000000</v>
      </c>
      <c r="E269" s="93">
        <v>0.96356925240000002</v>
      </c>
      <c r="F269" s="18">
        <v>9635692.5199999996</v>
      </c>
      <c r="G269" s="18">
        <v>0.02</v>
      </c>
      <c r="H269" s="13"/>
      <c r="I269" s="13"/>
    </row>
    <row r="270" spans="1:9">
      <c r="A270" s="13" t="s">
        <v>685</v>
      </c>
      <c r="B270" s="139" t="s">
        <v>493</v>
      </c>
      <c r="C270" s="139" t="s">
        <v>231</v>
      </c>
      <c r="D270" s="15">
        <v>10000000</v>
      </c>
      <c r="E270" s="93">
        <v>0.95976865140000001</v>
      </c>
      <c r="F270" s="18">
        <v>9597686.5099999998</v>
      </c>
      <c r="G270" s="18">
        <v>0.02</v>
      </c>
      <c r="H270" s="13"/>
      <c r="I270" s="13"/>
    </row>
    <row r="271" spans="1:9">
      <c r="A271" s="13" t="s">
        <v>686</v>
      </c>
      <c r="B271" s="139" t="s">
        <v>193</v>
      </c>
      <c r="C271" s="139" t="s">
        <v>231</v>
      </c>
      <c r="D271" s="15">
        <v>10000000</v>
      </c>
      <c r="E271" s="93">
        <v>0.95524741150000003</v>
      </c>
      <c r="F271" s="18">
        <v>9552474.1199999992</v>
      </c>
      <c r="G271" s="18">
        <v>0.02</v>
      </c>
      <c r="H271" s="13"/>
      <c r="I271" s="13"/>
    </row>
    <row r="272" spans="1:9">
      <c r="A272" s="13" t="s">
        <v>687</v>
      </c>
      <c r="B272" s="139" t="s">
        <v>173</v>
      </c>
      <c r="C272" s="139" t="s">
        <v>231</v>
      </c>
      <c r="D272" s="15">
        <v>15000000</v>
      </c>
      <c r="E272" s="93">
        <v>0.98282085370000005</v>
      </c>
      <c r="F272" s="18">
        <v>14742312.810000001</v>
      </c>
      <c r="G272" s="18">
        <v>0.03</v>
      </c>
      <c r="H272" s="13"/>
      <c r="I272" s="13"/>
    </row>
    <row r="273" spans="1:18">
      <c r="A273" s="13" t="s">
        <v>688</v>
      </c>
      <c r="B273" s="139" t="s">
        <v>173</v>
      </c>
      <c r="C273" s="139" t="s">
        <v>231</v>
      </c>
      <c r="D273" s="15">
        <v>26000000</v>
      </c>
      <c r="E273" s="93">
        <v>0.98282085370000005</v>
      </c>
      <c r="F273" s="151">
        <v>25553342.199999999</v>
      </c>
      <c r="G273" s="18">
        <v>0.06</v>
      </c>
      <c r="H273" s="13"/>
      <c r="I273" s="13"/>
      <c r="O273" s="68"/>
      <c r="P273" s="9"/>
      <c r="Q273" s="9"/>
      <c r="R273" s="9"/>
    </row>
    <row r="274" spans="1:18">
      <c r="A274" s="13" t="s">
        <v>689</v>
      </c>
      <c r="B274" s="139" t="s">
        <v>443</v>
      </c>
      <c r="C274" s="139" t="s">
        <v>231</v>
      </c>
      <c r="D274" s="15">
        <v>30000000</v>
      </c>
      <c r="E274" s="93">
        <v>0.98128836819999998</v>
      </c>
      <c r="F274" s="18">
        <v>29438651.050000001</v>
      </c>
      <c r="G274" s="18">
        <v>7.0000000000000007E-2</v>
      </c>
      <c r="H274" s="13"/>
      <c r="I274" s="13"/>
      <c r="N274" s="68"/>
    </row>
    <row r="275" spans="1:18">
      <c r="A275" s="13" t="s">
        <v>690</v>
      </c>
      <c r="B275" s="139" t="s">
        <v>443</v>
      </c>
      <c r="C275" s="139" t="s">
        <v>231</v>
      </c>
      <c r="D275" s="15">
        <v>33000000</v>
      </c>
      <c r="E275" s="93">
        <v>0.98128836819999998</v>
      </c>
      <c r="F275" s="18">
        <v>32382516.149999999</v>
      </c>
      <c r="G275" s="18">
        <v>7.0000000000000007E-2</v>
      </c>
      <c r="H275" s="13"/>
      <c r="I275" s="13"/>
    </row>
    <row r="276" spans="1:18">
      <c r="A276" s="13" t="s">
        <v>695</v>
      </c>
      <c r="B276" s="139" t="s">
        <v>696</v>
      </c>
      <c r="C276" s="139" t="s">
        <v>324</v>
      </c>
      <c r="D276" s="15">
        <v>25000000</v>
      </c>
      <c r="E276" s="93">
        <v>0.94765817669999997</v>
      </c>
      <c r="F276" s="18">
        <v>23691454.420000002</v>
      </c>
      <c r="G276" s="18">
        <v>0.05</v>
      </c>
      <c r="H276" s="13"/>
      <c r="I276" s="13"/>
    </row>
    <row r="277" spans="1:18">
      <c r="A277" s="13" t="s">
        <v>697</v>
      </c>
      <c r="B277" s="139" t="s">
        <v>443</v>
      </c>
      <c r="C277" s="139" t="s">
        <v>324</v>
      </c>
      <c r="D277" s="15">
        <v>35000000</v>
      </c>
      <c r="E277" s="93">
        <v>0.98065557479999999</v>
      </c>
      <c r="F277" s="18">
        <v>34322945.119999997</v>
      </c>
      <c r="G277" s="18">
        <v>0.08</v>
      </c>
      <c r="H277" s="13"/>
      <c r="I277" s="13"/>
    </row>
    <row r="278" spans="1:18">
      <c r="A278" s="13" t="s">
        <v>698</v>
      </c>
      <c r="B278" s="139" t="s">
        <v>414</v>
      </c>
      <c r="C278" s="139" t="s">
        <v>324</v>
      </c>
      <c r="D278" s="15">
        <v>35000000</v>
      </c>
      <c r="E278" s="93">
        <v>0.97048663570000004</v>
      </c>
      <c r="F278" s="18">
        <v>33967032.25</v>
      </c>
      <c r="G278" s="18">
        <v>0.08</v>
      </c>
      <c r="H278" s="13"/>
      <c r="I278" s="13"/>
    </row>
    <row r="279" spans="1:18">
      <c r="A279" s="13" t="s">
        <v>699</v>
      </c>
      <c r="B279" s="139" t="s">
        <v>433</v>
      </c>
      <c r="C279" s="139" t="s">
        <v>324</v>
      </c>
      <c r="D279" s="151">
        <v>213099761.59999999</v>
      </c>
      <c r="E279" s="154">
        <v>0.99754032400000003</v>
      </c>
      <c r="F279" s="18">
        <v>212575605.22999999</v>
      </c>
      <c r="G279" s="18">
        <v>0.48</v>
      </c>
      <c r="H279" s="13"/>
      <c r="I279" s="13"/>
    </row>
    <row r="280" spans="1:18">
      <c r="A280" s="13" t="s">
        <v>700</v>
      </c>
      <c r="B280" s="139" t="s">
        <v>433</v>
      </c>
      <c r="C280" s="139" t="s">
        <v>324</v>
      </c>
      <c r="D280" s="18">
        <v>8834999.9700000007</v>
      </c>
      <c r="E280" s="93">
        <v>0.9975403236</v>
      </c>
      <c r="F280" s="18">
        <v>8813268.7300000004</v>
      </c>
      <c r="G280" s="18">
        <v>0.02</v>
      </c>
      <c r="H280" s="13"/>
      <c r="I280" s="13"/>
    </row>
    <row r="281" spans="1:18">
      <c r="A281" s="13" t="s">
        <v>701</v>
      </c>
      <c r="B281" s="139" t="s">
        <v>191</v>
      </c>
      <c r="C281" s="139" t="s">
        <v>324</v>
      </c>
      <c r="D281" s="15">
        <v>50000000</v>
      </c>
      <c r="E281" s="154">
        <v>0.92863510800000004</v>
      </c>
      <c r="F281" s="151">
        <v>46431755.399999999</v>
      </c>
      <c r="G281" s="151">
        <v>0.1</v>
      </c>
      <c r="H281" s="13"/>
      <c r="I281" s="13"/>
      <c r="N281" s="68"/>
    </row>
    <row r="282" spans="1:18">
      <c r="A282" s="13" t="s">
        <v>702</v>
      </c>
      <c r="B282" s="139" t="s">
        <v>193</v>
      </c>
      <c r="C282" s="139" t="s">
        <v>324</v>
      </c>
      <c r="D282" s="15">
        <v>50000000</v>
      </c>
      <c r="E282" s="93">
        <v>0.95099139290000001</v>
      </c>
      <c r="F282" s="18">
        <v>47549569.649999999</v>
      </c>
      <c r="G282" s="18">
        <v>0.11</v>
      </c>
      <c r="H282" s="13"/>
      <c r="I282" s="13"/>
      <c r="J282" s="71"/>
      <c r="O282" s="68"/>
      <c r="P282" s="9"/>
      <c r="Q282" s="9"/>
      <c r="R282" s="9"/>
    </row>
    <row r="283" spans="1:18">
      <c r="A283" s="13" t="s">
        <v>704</v>
      </c>
      <c r="B283" s="139" t="s">
        <v>443</v>
      </c>
      <c r="C283" s="139" t="s">
        <v>323</v>
      </c>
      <c r="D283" s="15">
        <v>50000000</v>
      </c>
      <c r="E283" s="93">
        <v>0.97939254620000005</v>
      </c>
      <c r="F283" s="18">
        <v>48969627.310000002</v>
      </c>
      <c r="G283" s="18">
        <v>0.11</v>
      </c>
      <c r="H283" s="13"/>
      <c r="I283" s="13"/>
      <c r="N283" s="68"/>
    </row>
    <row r="284" spans="1:18">
      <c r="A284" s="13" t="s">
        <v>705</v>
      </c>
      <c r="B284" s="139" t="s">
        <v>193</v>
      </c>
      <c r="C284" s="139" t="s">
        <v>323</v>
      </c>
      <c r="D284" s="15">
        <v>50000000</v>
      </c>
      <c r="E284" s="93">
        <v>0.95240585840000003</v>
      </c>
      <c r="F284" s="18">
        <v>47620292.920000002</v>
      </c>
      <c r="G284" s="18">
        <v>0.11</v>
      </c>
      <c r="H284" s="13"/>
      <c r="I284" s="13"/>
    </row>
    <row r="285" spans="1:18">
      <c r="A285" s="13" t="s">
        <v>708</v>
      </c>
      <c r="B285" s="139" t="s">
        <v>402</v>
      </c>
      <c r="C285" s="139" t="s">
        <v>319</v>
      </c>
      <c r="D285" s="15">
        <v>3500000</v>
      </c>
      <c r="E285" s="93">
        <v>0.99672310580000001</v>
      </c>
      <c r="F285" s="18">
        <v>3488530.87</v>
      </c>
      <c r="G285" s="18">
        <v>0.01</v>
      </c>
      <c r="H285" s="13"/>
      <c r="I285" s="13"/>
    </row>
    <row r="286" spans="1:18">
      <c r="A286" s="13" t="s">
        <v>709</v>
      </c>
      <c r="B286" s="139" t="s">
        <v>569</v>
      </c>
      <c r="C286" s="139" t="s">
        <v>319</v>
      </c>
      <c r="D286" s="15">
        <v>3500000</v>
      </c>
      <c r="E286" s="93">
        <v>0.98702006460000002</v>
      </c>
      <c r="F286" s="18">
        <v>3454570.23</v>
      </c>
      <c r="G286" s="18">
        <v>0.01</v>
      </c>
      <c r="H286" s="13"/>
      <c r="I286" s="13"/>
    </row>
    <row r="287" spans="1:18">
      <c r="A287" s="13" t="s">
        <v>710</v>
      </c>
      <c r="B287" s="139" t="s">
        <v>638</v>
      </c>
      <c r="C287" s="139" t="s">
        <v>319</v>
      </c>
      <c r="D287" s="15">
        <v>35000000</v>
      </c>
      <c r="E287" s="93">
        <v>0.97593583510000004</v>
      </c>
      <c r="F287" s="18">
        <v>34157754.229999997</v>
      </c>
      <c r="G287" s="18">
        <v>0.08</v>
      </c>
      <c r="H287" s="13"/>
      <c r="I287" s="13"/>
    </row>
    <row r="288" spans="1:18">
      <c r="A288" s="13" t="s">
        <v>711</v>
      </c>
      <c r="B288" s="139" t="s">
        <v>589</v>
      </c>
      <c r="C288" s="139" t="s">
        <v>319</v>
      </c>
      <c r="D288" s="15">
        <v>18000000</v>
      </c>
      <c r="E288" s="93">
        <v>0.99917875720000005</v>
      </c>
      <c r="F288" s="18">
        <v>17985217.629999999</v>
      </c>
      <c r="G288" s="18">
        <v>0.04</v>
      </c>
      <c r="H288" s="13"/>
      <c r="I288" s="13"/>
    </row>
    <row r="289" spans="1:9">
      <c r="A289" s="13" t="s">
        <v>712</v>
      </c>
      <c r="B289" s="139" t="s">
        <v>425</v>
      </c>
      <c r="C289" s="139" t="s">
        <v>319</v>
      </c>
      <c r="D289" s="15">
        <v>5450000</v>
      </c>
      <c r="E289" s="93">
        <v>0.98969634159999997</v>
      </c>
      <c r="F289" s="18">
        <v>5393845.0599999996</v>
      </c>
      <c r="G289" s="18">
        <v>0.01</v>
      </c>
      <c r="H289" s="13"/>
      <c r="I289" s="13"/>
    </row>
    <row r="290" spans="1:9">
      <c r="A290" s="13" t="s">
        <v>713</v>
      </c>
      <c r="B290" s="139" t="s">
        <v>421</v>
      </c>
      <c r="C290" s="139" t="s">
        <v>319</v>
      </c>
      <c r="D290" s="15">
        <v>5450000</v>
      </c>
      <c r="E290" s="93">
        <v>0.96194403490000002</v>
      </c>
      <c r="F290" s="18">
        <v>5242594.99</v>
      </c>
      <c r="G290" s="18">
        <v>0.01</v>
      </c>
      <c r="H290" s="13"/>
      <c r="I290" s="13"/>
    </row>
    <row r="291" spans="1:9">
      <c r="A291" s="13" t="s">
        <v>715</v>
      </c>
      <c r="B291" s="139" t="s">
        <v>191</v>
      </c>
      <c r="C291" s="139" t="s">
        <v>319</v>
      </c>
      <c r="D291" s="15">
        <v>5450000</v>
      </c>
      <c r="E291" s="93">
        <v>0.91870123329999998</v>
      </c>
      <c r="F291" s="18">
        <v>5006921.72</v>
      </c>
      <c r="G291" s="18">
        <v>0.01</v>
      </c>
      <c r="H291" s="13"/>
      <c r="I291" s="13"/>
    </row>
    <row r="292" spans="1:9">
      <c r="A292" s="13" t="s">
        <v>716</v>
      </c>
      <c r="B292" s="139" t="s">
        <v>419</v>
      </c>
      <c r="C292" s="139" t="s">
        <v>319</v>
      </c>
      <c r="D292" s="15">
        <v>5450000</v>
      </c>
      <c r="E292" s="93">
        <v>0.93117010609999995</v>
      </c>
      <c r="F292" s="18">
        <v>5074877.08</v>
      </c>
      <c r="G292" s="18">
        <v>0.01</v>
      </c>
      <c r="H292" s="13"/>
      <c r="I292" s="13"/>
    </row>
    <row r="293" spans="1:9">
      <c r="A293" s="13" t="s">
        <v>717</v>
      </c>
      <c r="B293" s="139" t="s">
        <v>388</v>
      </c>
      <c r="C293" s="139" t="s">
        <v>319</v>
      </c>
      <c r="D293" s="15">
        <v>5450000</v>
      </c>
      <c r="E293" s="93">
        <v>0.97661485989999997</v>
      </c>
      <c r="F293" s="18">
        <v>5322550.99</v>
      </c>
      <c r="G293" s="18">
        <v>0.01</v>
      </c>
      <c r="H293" s="13"/>
      <c r="I293" s="13"/>
    </row>
    <row r="294" spans="1:9">
      <c r="A294" s="13" t="s">
        <v>718</v>
      </c>
      <c r="B294" s="139" t="s">
        <v>410</v>
      </c>
      <c r="C294" s="139" t="s">
        <v>319</v>
      </c>
      <c r="D294" s="15">
        <v>5450000</v>
      </c>
      <c r="E294" s="93">
        <v>0.94770744979999999</v>
      </c>
      <c r="F294" s="151">
        <v>5165005.5999999996</v>
      </c>
      <c r="G294" s="18">
        <v>0.01</v>
      </c>
      <c r="H294" s="13"/>
      <c r="I294" s="13"/>
    </row>
    <row r="295" spans="1:9">
      <c r="A295" s="13" t="s">
        <v>723</v>
      </c>
      <c r="B295" s="139" t="s">
        <v>439</v>
      </c>
      <c r="C295" s="139" t="s">
        <v>358</v>
      </c>
      <c r="D295" s="15">
        <v>20000000</v>
      </c>
      <c r="E295" s="93">
        <v>0.9974857895</v>
      </c>
      <c r="F295" s="18">
        <v>19949715.789999999</v>
      </c>
      <c r="G295" s="18">
        <v>0.04</v>
      </c>
      <c r="H295" s="13"/>
      <c r="I295" s="13"/>
    </row>
    <row r="296" spans="1:9">
      <c r="A296" s="13" t="s">
        <v>724</v>
      </c>
      <c r="B296" s="139" t="s">
        <v>439</v>
      </c>
      <c r="C296" s="139" t="s">
        <v>358</v>
      </c>
      <c r="D296" s="15">
        <v>20000000</v>
      </c>
      <c r="E296" s="93">
        <v>0.9974857895</v>
      </c>
      <c r="F296" s="18">
        <v>19949715.789999999</v>
      </c>
      <c r="G296" s="18">
        <v>0.04</v>
      </c>
      <c r="H296" s="13"/>
      <c r="I296" s="13"/>
    </row>
    <row r="297" spans="1:9">
      <c r="A297" s="13" t="s">
        <v>725</v>
      </c>
      <c r="B297" s="139" t="s">
        <v>589</v>
      </c>
      <c r="C297" s="139" t="s">
        <v>358</v>
      </c>
      <c r="D297" s="15">
        <v>20000000</v>
      </c>
      <c r="E297" s="93">
        <v>0.99874131440000002</v>
      </c>
      <c r="F297" s="18">
        <v>19974826.289999999</v>
      </c>
      <c r="G297" s="18">
        <v>0.04</v>
      </c>
      <c r="H297" s="13"/>
      <c r="I297" s="13"/>
    </row>
    <row r="298" spans="1:9">
      <c r="A298" s="13" t="s">
        <v>726</v>
      </c>
      <c r="B298" s="139" t="s">
        <v>408</v>
      </c>
      <c r="C298" s="139" t="s">
        <v>363</v>
      </c>
      <c r="D298" s="15">
        <v>85000000</v>
      </c>
      <c r="E298" s="93">
        <v>0.98600680750000003</v>
      </c>
      <c r="F298" s="18">
        <v>83810578.640000001</v>
      </c>
      <c r="G298" s="18">
        <v>0.19</v>
      </c>
      <c r="H298" s="13"/>
      <c r="I298" s="13"/>
    </row>
    <row r="299" spans="1:9">
      <c r="A299" s="13" t="s">
        <v>729</v>
      </c>
      <c r="B299" s="139" t="s">
        <v>439</v>
      </c>
      <c r="C299" s="139" t="s">
        <v>363</v>
      </c>
      <c r="D299" s="15">
        <v>5000000</v>
      </c>
      <c r="E299" s="93">
        <v>0.99803128330000002</v>
      </c>
      <c r="F299" s="18">
        <v>4990156.42</v>
      </c>
      <c r="G299" s="18">
        <v>0.01</v>
      </c>
      <c r="H299" s="13"/>
      <c r="I299" s="13"/>
    </row>
    <row r="300" spans="1:9">
      <c r="A300" s="13" t="s">
        <v>730</v>
      </c>
      <c r="B300" s="139" t="s">
        <v>425</v>
      </c>
      <c r="C300" s="139" t="s">
        <v>363</v>
      </c>
      <c r="D300" s="15">
        <v>5000000</v>
      </c>
      <c r="E300" s="93">
        <v>0.99023332249999996</v>
      </c>
      <c r="F300" s="18">
        <v>4951166.6100000003</v>
      </c>
      <c r="G300" s="18">
        <v>0.01</v>
      </c>
      <c r="H300" s="13"/>
      <c r="I300" s="13"/>
    </row>
    <row r="301" spans="1:9">
      <c r="A301" s="13" t="s">
        <v>731</v>
      </c>
      <c r="B301" s="139" t="s">
        <v>569</v>
      </c>
      <c r="C301" s="139" t="s">
        <v>363</v>
      </c>
      <c r="D301" s="15">
        <v>5000000</v>
      </c>
      <c r="E301" s="154">
        <v>0.98446438300000005</v>
      </c>
      <c r="F301" s="18">
        <v>4922321.92</v>
      </c>
      <c r="G301" s="18">
        <v>0.01</v>
      </c>
      <c r="H301" s="13"/>
      <c r="I301" s="13"/>
    </row>
    <row r="302" spans="1:9">
      <c r="A302" s="13" t="s">
        <v>734</v>
      </c>
      <c r="B302" s="139" t="s">
        <v>402</v>
      </c>
      <c r="C302" s="139" t="s">
        <v>363</v>
      </c>
      <c r="D302" s="15">
        <v>280000000</v>
      </c>
      <c r="E302" s="93">
        <v>0.99552696650000005</v>
      </c>
      <c r="F302" s="18">
        <v>278747550.62</v>
      </c>
      <c r="G302" s="18">
        <v>0.63</v>
      </c>
      <c r="H302" s="13"/>
      <c r="I302" s="13"/>
    </row>
    <row r="303" spans="1:9">
      <c r="A303" s="13" t="s">
        <v>735</v>
      </c>
      <c r="B303" s="139" t="s">
        <v>736</v>
      </c>
      <c r="C303" s="139" t="s">
        <v>363</v>
      </c>
      <c r="D303" s="15">
        <v>65000000</v>
      </c>
      <c r="E303" s="93">
        <v>0.9397528369</v>
      </c>
      <c r="F303" s="151">
        <v>61083934.399999999</v>
      </c>
      <c r="G303" s="18">
        <v>0.14000000000000001</v>
      </c>
      <c r="H303" s="13"/>
      <c r="I303" s="13"/>
    </row>
    <row r="304" spans="1:9">
      <c r="A304" s="13" t="s">
        <v>737</v>
      </c>
      <c r="B304" s="139" t="s">
        <v>503</v>
      </c>
      <c r="C304" s="139" t="s">
        <v>363</v>
      </c>
      <c r="D304" s="15">
        <v>65000000</v>
      </c>
      <c r="E304" s="154">
        <v>0.95840784099999998</v>
      </c>
      <c r="F304" s="18">
        <v>62296509.670000002</v>
      </c>
      <c r="G304" s="18">
        <v>0.14000000000000001</v>
      </c>
      <c r="H304" s="13"/>
      <c r="I304" s="13"/>
    </row>
    <row r="305" spans="1:9">
      <c r="A305" s="13" t="s">
        <v>738</v>
      </c>
      <c r="B305" s="139" t="s">
        <v>443</v>
      </c>
      <c r="C305" s="139" t="s">
        <v>363</v>
      </c>
      <c r="D305" s="15">
        <v>25000000</v>
      </c>
      <c r="E305" s="93">
        <v>0.97687616320000004</v>
      </c>
      <c r="F305" s="18">
        <v>24421904.079999998</v>
      </c>
      <c r="G305" s="18">
        <v>0.05</v>
      </c>
      <c r="H305" s="13"/>
      <c r="I305" s="13"/>
    </row>
    <row r="306" spans="1:9">
      <c r="A306" s="13" t="s">
        <v>740</v>
      </c>
      <c r="B306" s="139" t="s">
        <v>638</v>
      </c>
      <c r="C306" s="139" t="s">
        <v>320</v>
      </c>
      <c r="D306" s="15">
        <v>1977599</v>
      </c>
      <c r="E306" s="93">
        <v>0.98223899910000001</v>
      </c>
      <c r="F306" s="18">
        <v>1942474.86</v>
      </c>
      <c r="G306" s="15">
        <v>0</v>
      </c>
      <c r="H306" s="13"/>
      <c r="I306" s="13"/>
    </row>
    <row r="307" spans="1:9">
      <c r="A307" s="13" t="s">
        <v>741</v>
      </c>
      <c r="B307" s="139" t="s">
        <v>414</v>
      </c>
      <c r="C307" s="139" t="s">
        <v>320</v>
      </c>
      <c r="D307" s="15">
        <v>1977599</v>
      </c>
      <c r="E307" s="93">
        <v>0.97818517719999998</v>
      </c>
      <c r="F307" s="18">
        <v>1934458.03</v>
      </c>
      <c r="G307" s="15">
        <v>0</v>
      </c>
      <c r="H307" s="13"/>
      <c r="I307" s="13"/>
    </row>
    <row r="308" spans="1:9">
      <c r="A308" s="13" t="s">
        <v>742</v>
      </c>
      <c r="B308" s="139" t="s">
        <v>569</v>
      </c>
      <c r="C308" s="139" t="s">
        <v>320</v>
      </c>
      <c r="D308" s="15">
        <v>4341150</v>
      </c>
      <c r="E308" s="93">
        <v>0.99044829209999996</v>
      </c>
      <c r="F308" s="151">
        <v>4299684.5999999996</v>
      </c>
      <c r="G308" s="18">
        <v>0.01</v>
      </c>
      <c r="H308" s="13"/>
      <c r="I308" s="13"/>
    </row>
    <row r="309" spans="1:9">
      <c r="A309" s="13" t="s">
        <v>743</v>
      </c>
      <c r="B309" s="139" t="s">
        <v>388</v>
      </c>
      <c r="C309" s="139" t="s">
        <v>320</v>
      </c>
      <c r="D309" s="15">
        <v>4341150</v>
      </c>
      <c r="E309" s="93">
        <v>0.98632656190000001</v>
      </c>
      <c r="F309" s="18">
        <v>4281791.55</v>
      </c>
      <c r="G309" s="18">
        <v>0.01</v>
      </c>
      <c r="H309" s="13"/>
      <c r="I309" s="13"/>
    </row>
    <row r="310" spans="1:9">
      <c r="A310" s="13" t="s">
        <v>744</v>
      </c>
      <c r="B310" s="139" t="s">
        <v>373</v>
      </c>
      <c r="C310" s="139" t="s">
        <v>320</v>
      </c>
      <c r="D310" s="15">
        <v>4000000</v>
      </c>
      <c r="E310" s="93">
        <v>0.9910399365</v>
      </c>
      <c r="F310" s="18">
        <v>3964159.75</v>
      </c>
      <c r="G310" s="18">
        <v>0.01</v>
      </c>
      <c r="H310" s="13"/>
      <c r="I310" s="13"/>
    </row>
    <row r="311" spans="1:9">
      <c r="A311" s="13" t="s">
        <v>745</v>
      </c>
      <c r="B311" s="139" t="s">
        <v>487</v>
      </c>
      <c r="C311" s="139" t="s">
        <v>320</v>
      </c>
      <c r="D311" s="15">
        <v>4000000</v>
      </c>
      <c r="E311" s="93">
        <v>0.98926716879999999</v>
      </c>
      <c r="F311" s="18">
        <v>3957068.68</v>
      </c>
      <c r="G311" s="18">
        <v>0.01</v>
      </c>
      <c r="H311" s="13"/>
      <c r="I311" s="13"/>
    </row>
    <row r="312" spans="1:9">
      <c r="A312" s="13" t="s">
        <v>746</v>
      </c>
      <c r="B312" s="139" t="s">
        <v>443</v>
      </c>
      <c r="C312" s="139" t="s">
        <v>320</v>
      </c>
      <c r="D312" s="15">
        <v>4000000</v>
      </c>
      <c r="E312" s="93">
        <v>0.98574052450000005</v>
      </c>
      <c r="F312" s="151">
        <v>3942962.1</v>
      </c>
      <c r="G312" s="18">
        <v>0.01</v>
      </c>
      <c r="H312" s="13"/>
      <c r="I312" s="13"/>
    </row>
    <row r="313" spans="1:9">
      <c r="A313" s="13" t="s">
        <v>747</v>
      </c>
      <c r="B313" s="139" t="s">
        <v>402</v>
      </c>
      <c r="C313" s="139" t="s">
        <v>320</v>
      </c>
      <c r="D313" s="15">
        <v>42000000</v>
      </c>
      <c r="E313" s="93">
        <v>0.99498420620000005</v>
      </c>
      <c r="F313" s="18">
        <v>41789336.659999996</v>
      </c>
      <c r="G313" s="18">
        <v>0.09</v>
      </c>
      <c r="H313" s="13"/>
      <c r="I313" s="13"/>
    </row>
    <row r="314" spans="1:9">
      <c r="A314" s="13" t="s">
        <v>748</v>
      </c>
      <c r="B314" s="139" t="s">
        <v>433</v>
      </c>
      <c r="C314" s="139" t="s">
        <v>320</v>
      </c>
      <c r="D314" s="15">
        <v>42000000</v>
      </c>
      <c r="E314" s="93">
        <v>0.9962334383</v>
      </c>
      <c r="F314" s="18">
        <v>41841804.409999996</v>
      </c>
      <c r="G314" s="18">
        <v>0.09</v>
      </c>
      <c r="H314" s="13"/>
      <c r="I314" s="13"/>
    </row>
    <row r="315" spans="1:9">
      <c r="A315" s="13" t="s">
        <v>749</v>
      </c>
      <c r="B315" s="139" t="s">
        <v>470</v>
      </c>
      <c r="C315" s="139" t="s">
        <v>320</v>
      </c>
      <c r="D315" s="15">
        <v>100000000</v>
      </c>
      <c r="E315" s="93">
        <v>0.9412068455</v>
      </c>
      <c r="F315" s="18">
        <v>94120684.549999997</v>
      </c>
      <c r="G315" s="18">
        <v>0.21</v>
      </c>
      <c r="H315" s="13"/>
      <c r="I315" s="13"/>
    </row>
    <row r="316" spans="1:9">
      <c r="A316" s="13" t="s">
        <v>750</v>
      </c>
      <c r="B316" s="139" t="s">
        <v>414</v>
      </c>
      <c r="C316" s="139" t="s">
        <v>320</v>
      </c>
      <c r="D316" s="15">
        <v>100000000</v>
      </c>
      <c r="E316" s="28">
        <v>0.96290832000000004</v>
      </c>
      <c r="F316" s="15">
        <v>96290832</v>
      </c>
      <c r="G316" s="18">
        <v>0.22</v>
      </c>
      <c r="H316" s="13"/>
      <c r="I316" s="13"/>
    </row>
    <row r="317" spans="1:9">
      <c r="A317" s="13" t="s">
        <v>753</v>
      </c>
      <c r="B317" s="139" t="s">
        <v>173</v>
      </c>
      <c r="C317" s="139" t="s">
        <v>152</v>
      </c>
      <c r="D317" s="18">
        <v>10530592.43</v>
      </c>
      <c r="E317" s="93">
        <v>0.98398669569999997</v>
      </c>
      <c r="F317" s="18">
        <v>10361962.85</v>
      </c>
      <c r="G317" s="18">
        <v>0.02</v>
      </c>
      <c r="H317" s="13"/>
      <c r="I317" s="13"/>
    </row>
    <row r="318" spans="1:9">
      <c r="A318" s="13" t="s">
        <v>754</v>
      </c>
      <c r="B318" s="139" t="s">
        <v>173</v>
      </c>
      <c r="C318" s="139" t="s">
        <v>152</v>
      </c>
      <c r="D318" s="18">
        <v>6111109.9900000002</v>
      </c>
      <c r="E318" s="93">
        <v>0.9839866974</v>
      </c>
      <c r="F318" s="18">
        <v>6013250.9400000004</v>
      </c>
      <c r="G318" s="18">
        <v>0.01</v>
      </c>
      <c r="H318" s="13"/>
      <c r="I318" s="13"/>
    </row>
    <row r="319" spans="1:9">
      <c r="A319" s="13" t="s">
        <v>755</v>
      </c>
      <c r="B319" s="139" t="s">
        <v>173</v>
      </c>
      <c r="C319" s="139" t="s">
        <v>152</v>
      </c>
      <c r="D319" s="18">
        <v>10039730.84</v>
      </c>
      <c r="E319" s="93">
        <v>0.98398669569999997</v>
      </c>
      <c r="F319" s="18">
        <v>9878961.5700000003</v>
      </c>
      <c r="G319" s="18">
        <v>0.02</v>
      </c>
      <c r="H319" s="13"/>
      <c r="I319" s="13"/>
    </row>
    <row r="320" spans="1:9">
      <c r="A320" s="13" t="s">
        <v>756</v>
      </c>
      <c r="B320" s="139" t="s">
        <v>589</v>
      </c>
      <c r="C320" s="139" t="s">
        <v>152</v>
      </c>
      <c r="D320" s="18">
        <v>4419130.95</v>
      </c>
      <c r="E320" s="93">
        <v>0.99926082409999994</v>
      </c>
      <c r="F320" s="18">
        <v>4415864.43</v>
      </c>
      <c r="G320" s="18">
        <v>0.01</v>
      </c>
      <c r="H320" s="13"/>
      <c r="I320" s="13"/>
    </row>
    <row r="321" spans="1:9">
      <c r="A321" s="13" t="s">
        <v>757</v>
      </c>
      <c r="B321" s="139" t="s">
        <v>589</v>
      </c>
      <c r="C321" s="139" t="s">
        <v>152</v>
      </c>
      <c r="D321" s="151">
        <v>10938133.199999999</v>
      </c>
      <c r="E321" s="93">
        <v>0.99926082390000004</v>
      </c>
      <c r="F321" s="18">
        <v>10930047.99</v>
      </c>
      <c r="G321" s="18">
        <v>0.02</v>
      </c>
      <c r="H321" s="13"/>
      <c r="I321" s="13"/>
    </row>
    <row r="322" spans="1:9">
      <c r="A322" s="13" t="s">
        <v>758</v>
      </c>
      <c r="B322" s="139" t="s">
        <v>373</v>
      </c>
      <c r="C322" s="139" t="s">
        <v>152</v>
      </c>
      <c r="D322" s="18">
        <v>8695148.9399999995</v>
      </c>
      <c r="E322" s="93">
        <v>0.98902592349999996</v>
      </c>
      <c r="F322" s="18">
        <v>8599727.7100000009</v>
      </c>
      <c r="G322" s="18">
        <v>0.02</v>
      </c>
      <c r="H322" s="13"/>
      <c r="I322" s="13"/>
    </row>
    <row r="323" spans="1:9">
      <c r="A323" s="13" t="s">
        <v>759</v>
      </c>
      <c r="B323" s="139" t="s">
        <v>373</v>
      </c>
      <c r="C323" s="139" t="s">
        <v>152</v>
      </c>
      <c r="D323" s="18">
        <v>9052127.2200000007</v>
      </c>
      <c r="E323" s="93">
        <v>0.98902592190000005</v>
      </c>
      <c r="F323" s="18">
        <v>8952788.4700000007</v>
      </c>
      <c r="G323" s="18">
        <v>0.02</v>
      </c>
      <c r="H323" s="13"/>
      <c r="I323" s="13"/>
    </row>
    <row r="324" spans="1:9">
      <c r="A324" s="13" t="s">
        <v>760</v>
      </c>
      <c r="B324" s="139" t="s">
        <v>569</v>
      </c>
      <c r="C324" s="139" t="s">
        <v>152</v>
      </c>
      <c r="D324" s="18">
        <v>14148617.74</v>
      </c>
      <c r="E324" s="93">
        <v>0.98830285849999999</v>
      </c>
      <c r="F324" s="18">
        <v>13983119.359999999</v>
      </c>
      <c r="G324" s="18">
        <v>0.03</v>
      </c>
      <c r="H324" s="13"/>
      <c r="I324" s="13"/>
    </row>
    <row r="325" spans="1:9">
      <c r="A325" s="13" t="s">
        <v>761</v>
      </c>
      <c r="B325" s="139" t="s">
        <v>412</v>
      </c>
      <c r="C325" s="139" t="s">
        <v>152</v>
      </c>
      <c r="D325" s="15">
        <v>25000000</v>
      </c>
      <c r="E325" s="93">
        <v>0.93801408040000001</v>
      </c>
      <c r="F325" s="18">
        <v>23450352.010000002</v>
      </c>
      <c r="G325" s="18">
        <v>0.05</v>
      </c>
      <c r="H325" s="13"/>
      <c r="I325" s="13"/>
    </row>
    <row r="326" spans="1:9">
      <c r="A326" s="13" t="s">
        <v>762</v>
      </c>
      <c r="B326" s="139" t="s">
        <v>414</v>
      </c>
      <c r="C326" s="139" t="s">
        <v>152</v>
      </c>
      <c r="D326" s="15">
        <v>15000000</v>
      </c>
      <c r="E326" s="93">
        <v>0.97239991380000002</v>
      </c>
      <c r="F326" s="18">
        <v>14585998.710000001</v>
      </c>
      <c r="G326" s="18">
        <v>0.03</v>
      </c>
      <c r="H326" s="13"/>
      <c r="I326" s="13"/>
    </row>
    <row r="327" spans="1:9">
      <c r="A327" s="13" t="s">
        <v>763</v>
      </c>
      <c r="B327" s="139" t="s">
        <v>414</v>
      </c>
      <c r="C327" s="139" t="s">
        <v>152</v>
      </c>
      <c r="D327" s="15">
        <v>15000000</v>
      </c>
      <c r="E327" s="93">
        <v>0.97239991380000002</v>
      </c>
      <c r="F327" s="18">
        <v>14585998.710000001</v>
      </c>
      <c r="G327" s="18">
        <v>0.03</v>
      </c>
      <c r="H327" s="13"/>
      <c r="I327" s="13"/>
    </row>
    <row r="328" spans="1:9">
      <c r="A328" s="13" t="s">
        <v>764</v>
      </c>
      <c r="B328" s="139" t="s">
        <v>414</v>
      </c>
      <c r="C328" s="139" t="s">
        <v>152</v>
      </c>
      <c r="D328" s="15">
        <v>15000000</v>
      </c>
      <c r="E328" s="93">
        <v>0.97239991380000002</v>
      </c>
      <c r="F328" s="18">
        <v>14585998.710000001</v>
      </c>
      <c r="G328" s="18">
        <v>0.03</v>
      </c>
      <c r="H328" s="13"/>
      <c r="I328" s="13"/>
    </row>
    <row r="329" spans="1:9">
      <c r="A329" s="13" t="s">
        <v>765</v>
      </c>
      <c r="B329" s="139" t="s">
        <v>414</v>
      </c>
      <c r="C329" s="139" t="s">
        <v>152</v>
      </c>
      <c r="D329" s="15">
        <v>15000000</v>
      </c>
      <c r="E329" s="93">
        <v>0.97239991380000002</v>
      </c>
      <c r="F329" s="18">
        <v>14585998.710000001</v>
      </c>
      <c r="G329" s="18">
        <v>0.03</v>
      </c>
      <c r="H329" s="13"/>
      <c r="I329" s="13"/>
    </row>
    <row r="330" spans="1:9">
      <c r="A330" s="13" t="s">
        <v>766</v>
      </c>
      <c r="B330" s="139" t="s">
        <v>414</v>
      </c>
      <c r="C330" s="139" t="s">
        <v>152</v>
      </c>
      <c r="D330" s="15">
        <v>15000000</v>
      </c>
      <c r="E330" s="93">
        <v>0.97239991380000002</v>
      </c>
      <c r="F330" s="18">
        <v>14585998.710000001</v>
      </c>
      <c r="G330" s="18">
        <v>0.03</v>
      </c>
      <c r="H330" s="13"/>
      <c r="I330" s="13"/>
    </row>
    <row r="331" spans="1:9">
      <c r="A331" s="13" t="s">
        <v>767</v>
      </c>
      <c r="B331" s="139" t="s">
        <v>414</v>
      </c>
      <c r="C331" s="139" t="s">
        <v>152</v>
      </c>
      <c r="D331" s="15">
        <v>7000000</v>
      </c>
      <c r="E331" s="28">
        <v>0.97239991000000003</v>
      </c>
      <c r="F331" s="18">
        <v>6806799.3700000001</v>
      </c>
      <c r="G331" s="18">
        <v>0.02</v>
      </c>
      <c r="H331" s="13"/>
      <c r="I331" s="13"/>
    </row>
    <row r="332" spans="1:9">
      <c r="A332" s="13" t="s">
        <v>768</v>
      </c>
      <c r="B332" s="139" t="s">
        <v>503</v>
      </c>
      <c r="C332" s="139" t="s">
        <v>152</v>
      </c>
      <c r="D332" s="15">
        <v>11000000</v>
      </c>
      <c r="E332" s="93">
        <v>0.96622204560000002</v>
      </c>
      <c r="F332" s="151">
        <v>10628442.5</v>
      </c>
      <c r="G332" s="18">
        <v>0.02</v>
      </c>
      <c r="H332" s="13"/>
      <c r="I332" s="13"/>
    </row>
    <row r="333" spans="1:9">
      <c r="A333" s="13" t="s">
        <v>769</v>
      </c>
      <c r="B333" s="139" t="s">
        <v>493</v>
      </c>
      <c r="C333" s="139" t="s">
        <v>152</v>
      </c>
      <c r="D333" s="15">
        <v>11000000</v>
      </c>
      <c r="E333" s="93">
        <v>0.96105755039999996</v>
      </c>
      <c r="F333" s="18">
        <v>10571633.050000001</v>
      </c>
      <c r="G333" s="18">
        <v>0.02</v>
      </c>
      <c r="H333" s="13"/>
      <c r="I333" s="13"/>
    </row>
    <row r="334" spans="1:9">
      <c r="A334" s="13" t="s">
        <v>770</v>
      </c>
      <c r="B334" s="139" t="s">
        <v>569</v>
      </c>
      <c r="C334" s="139" t="s">
        <v>152</v>
      </c>
      <c r="D334" s="15">
        <v>9000000</v>
      </c>
      <c r="E334" s="93">
        <v>0.98787488540000001</v>
      </c>
      <c r="F334" s="18">
        <v>8890873.9700000007</v>
      </c>
      <c r="G334" s="18">
        <v>0.02</v>
      </c>
      <c r="H334" s="13"/>
      <c r="I334" s="13"/>
    </row>
    <row r="335" spans="1:9">
      <c r="A335" s="13" t="s">
        <v>771</v>
      </c>
      <c r="B335" s="139" t="s">
        <v>491</v>
      </c>
      <c r="C335" s="139" t="s">
        <v>152</v>
      </c>
      <c r="D335" s="15">
        <v>20000000</v>
      </c>
      <c r="E335" s="93">
        <v>0.96474075049999997</v>
      </c>
      <c r="F335" s="18">
        <v>19294815.010000002</v>
      </c>
      <c r="G335" s="18">
        <v>0.04</v>
      </c>
      <c r="H335" s="13"/>
      <c r="I335" s="13"/>
    </row>
    <row r="336" spans="1:9">
      <c r="A336" s="13" t="s">
        <v>772</v>
      </c>
      <c r="B336" s="139" t="s">
        <v>491</v>
      </c>
      <c r="C336" s="139" t="s">
        <v>152</v>
      </c>
      <c r="D336" s="15">
        <v>10000000</v>
      </c>
      <c r="E336" s="93">
        <v>0.96474074929999998</v>
      </c>
      <c r="F336" s="18">
        <v>9647407.4900000002</v>
      </c>
      <c r="G336" s="18">
        <v>0.02</v>
      </c>
      <c r="H336" s="13"/>
      <c r="I336" s="13"/>
    </row>
    <row r="337" spans="1:9">
      <c r="A337" s="13" t="s">
        <v>773</v>
      </c>
      <c r="B337" s="139" t="s">
        <v>410</v>
      </c>
      <c r="C337" s="139" t="s">
        <v>152</v>
      </c>
      <c r="D337" s="15">
        <v>20000000</v>
      </c>
      <c r="E337" s="93">
        <v>0.95959202970000002</v>
      </c>
      <c r="F337" s="18">
        <v>19191840.59</v>
      </c>
      <c r="G337" s="18">
        <v>0.04</v>
      </c>
      <c r="H337" s="13"/>
      <c r="I337" s="13"/>
    </row>
    <row r="338" spans="1:9">
      <c r="A338" s="13" t="s">
        <v>774</v>
      </c>
      <c r="B338" s="139" t="s">
        <v>410</v>
      </c>
      <c r="C338" s="139" t="s">
        <v>152</v>
      </c>
      <c r="D338" s="15">
        <v>10000000</v>
      </c>
      <c r="E338" s="93">
        <v>0.95959202970000002</v>
      </c>
      <c r="F338" s="151">
        <v>9595920.3000000007</v>
      </c>
      <c r="G338" s="18">
        <v>0.02</v>
      </c>
      <c r="H338" s="13"/>
      <c r="I338" s="13"/>
    </row>
    <row r="339" spans="1:9">
      <c r="A339" s="13" t="s">
        <v>775</v>
      </c>
      <c r="B339" s="139" t="s">
        <v>414</v>
      </c>
      <c r="C339" s="139" t="s">
        <v>152</v>
      </c>
      <c r="D339" s="15">
        <v>85000000</v>
      </c>
      <c r="E339" s="93">
        <v>0.96290835949999998</v>
      </c>
      <c r="F339" s="18">
        <v>81847210.560000002</v>
      </c>
      <c r="G339" s="18">
        <v>0.18</v>
      </c>
      <c r="H339" s="13"/>
      <c r="I339" s="13"/>
    </row>
    <row r="340" spans="1:9">
      <c r="A340" s="13" t="s">
        <v>776</v>
      </c>
      <c r="B340" s="139" t="s">
        <v>777</v>
      </c>
      <c r="C340" s="139" t="s">
        <v>152</v>
      </c>
      <c r="D340" s="15">
        <v>16600000</v>
      </c>
      <c r="E340" s="93">
        <v>0.92218307030000002</v>
      </c>
      <c r="F340" s="18">
        <v>15308238.970000001</v>
      </c>
      <c r="G340" s="18">
        <v>0.03</v>
      </c>
      <c r="H340" s="13"/>
      <c r="I340" s="13"/>
    </row>
    <row r="341" spans="1:9">
      <c r="A341" s="13" t="s">
        <v>778</v>
      </c>
      <c r="B341" s="139" t="s">
        <v>470</v>
      </c>
      <c r="C341" s="139" t="s">
        <v>152</v>
      </c>
      <c r="D341" s="15">
        <v>17000000</v>
      </c>
      <c r="E341" s="93">
        <v>0.94559593580000001</v>
      </c>
      <c r="F341" s="18">
        <v>16075130.91</v>
      </c>
      <c r="G341" s="18">
        <v>0.04</v>
      </c>
      <c r="H341" s="13"/>
      <c r="I341" s="13"/>
    </row>
    <row r="342" spans="1:9">
      <c r="A342" s="13" t="s">
        <v>779</v>
      </c>
      <c r="B342" s="139" t="s">
        <v>780</v>
      </c>
      <c r="C342" s="139" t="s">
        <v>152</v>
      </c>
      <c r="D342" s="15">
        <v>16600000</v>
      </c>
      <c r="E342" s="93">
        <v>0.93374276010000001</v>
      </c>
      <c r="F342" s="18">
        <v>15500129.82</v>
      </c>
      <c r="G342" s="18">
        <v>0.03</v>
      </c>
      <c r="H342" s="13"/>
      <c r="I342" s="13"/>
    </row>
    <row r="343" spans="1:9">
      <c r="A343" s="13" t="s">
        <v>781</v>
      </c>
      <c r="B343" s="139" t="s">
        <v>468</v>
      </c>
      <c r="C343" s="139" t="s">
        <v>152</v>
      </c>
      <c r="D343" s="15">
        <v>16600000</v>
      </c>
      <c r="E343" s="93">
        <v>0.92792691459999999</v>
      </c>
      <c r="F343" s="18">
        <v>15403586.779999999</v>
      </c>
      <c r="G343" s="18">
        <v>0.03</v>
      </c>
      <c r="H343" s="13"/>
      <c r="I343" s="13"/>
    </row>
    <row r="344" spans="1:9">
      <c r="A344" s="13" t="s">
        <v>782</v>
      </c>
      <c r="B344" s="139" t="s">
        <v>491</v>
      </c>
      <c r="C344" s="139" t="s">
        <v>152</v>
      </c>
      <c r="D344" s="15">
        <v>16600000</v>
      </c>
      <c r="E344" s="93">
        <v>0.95775391889999995</v>
      </c>
      <c r="F344" s="18">
        <v>15898715.050000001</v>
      </c>
      <c r="G344" s="18">
        <v>0.04</v>
      </c>
      <c r="H344" s="13"/>
      <c r="I344" s="13"/>
    </row>
    <row r="345" spans="1:9">
      <c r="A345" s="13" t="s">
        <v>783</v>
      </c>
      <c r="B345" s="139" t="s">
        <v>410</v>
      </c>
      <c r="C345" s="139" t="s">
        <v>152</v>
      </c>
      <c r="D345" s="15">
        <v>16600000</v>
      </c>
      <c r="E345" s="93">
        <v>0.9516360962</v>
      </c>
      <c r="F345" s="151">
        <v>15797159.199999999</v>
      </c>
      <c r="G345" s="18">
        <v>0.04</v>
      </c>
      <c r="H345" s="13"/>
      <c r="I345" s="13"/>
    </row>
    <row r="346" spans="1:9">
      <c r="A346" s="13" t="s">
        <v>784</v>
      </c>
      <c r="B346" s="139" t="s">
        <v>412</v>
      </c>
      <c r="C346" s="139" t="s">
        <v>152</v>
      </c>
      <c r="D346" s="15">
        <v>50000000</v>
      </c>
      <c r="E346" s="93">
        <v>0.93801408040000001</v>
      </c>
      <c r="F346" s="18">
        <v>46900704.020000003</v>
      </c>
      <c r="G346" s="18">
        <v>0.11</v>
      </c>
      <c r="H346" s="13"/>
      <c r="I346" s="13"/>
    </row>
    <row r="347" spans="1:9">
      <c r="A347" s="13" t="s">
        <v>785</v>
      </c>
      <c r="B347" s="139" t="s">
        <v>638</v>
      </c>
      <c r="C347" s="139" t="s">
        <v>152</v>
      </c>
      <c r="D347" s="15">
        <v>5000000</v>
      </c>
      <c r="E347" s="93">
        <v>0.97126139680000001</v>
      </c>
      <c r="F347" s="18">
        <v>4856306.9800000004</v>
      </c>
      <c r="G347" s="18">
        <v>0.01</v>
      </c>
      <c r="H347" s="13"/>
      <c r="I347" s="13"/>
    </row>
    <row r="348" spans="1:9">
      <c r="A348" s="13" t="s">
        <v>786</v>
      </c>
      <c r="B348" s="139" t="s">
        <v>610</v>
      </c>
      <c r="C348" s="139" t="s">
        <v>152</v>
      </c>
      <c r="D348" s="18">
        <v>4771794.93</v>
      </c>
      <c r="E348" s="93">
        <v>0.96571066459999999</v>
      </c>
      <c r="F348" s="18">
        <v>4608173.25</v>
      </c>
      <c r="G348" s="18">
        <v>0.01</v>
      </c>
      <c r="H348" s="13"/>
      <c r="I348" s="13"/>
    </row>
    <row r="349" spans="1:9">
      <c r="A349" s="13" t="s">
        <v>787</v>
      </c>
      <c r="B349" s="139" t="s">
        <v>171</v>
      </c>
      <c r="C349" s="139" t="s">
        <v>152</v>
      </c>
      <c r="D349" s="15">
        <v>16400000</v>
      </c>
      <c r="E349" s="93">
        <v>0.99120141340000001</v>
      </c>
      <c r="F349" s="18">
        <v>16255703.18</v>
      </c>
      <c r="G349" s="18">
        <v>0.04</v>
      </c>
      <c r="H349" s="13"/>
      <c r="I349" s="13"/>
    </row>
    <row r="350" spans="1:9">
      <c r="A350" s="13" t="s">
        <v>790</v>
      </c>
      <c r="B350" s="139" t="s">
        <v>416</v>
      </c>
      <c r="C350" s="139" t="s">
        <v>341</v>
      </c>
      <c r="D350" s="15">
        <v>43000000</v>
      </c>
      <c r="E350" s="154">
        <v>0.99001844500000002</v>
      </c>
      <c r="F350" s="18">
        <v>42570793.140000001</v>
      </c>
      <c r="G350" s="151">
        <v>0.1</v>
      </c>
      <c r="H350" s="13"/>
      <c r="I350" s="13"/>
    </row>
    <row r="351" spans="1:9">
      <c r="A351" s="13" t="s">
        <v>791</v>
      </c>
      <c r="B351" s="139" t="s">
        <v>416</v>
      </c>
      <c r="C351" s="139" t="s">
        <v>341</v>
      </c>
      <c r="D351" s="15">
        <v>42000000</v>
      </c>
      <c r="E351" s="154">
        <v>0.99001844500000002</v>
      </c>
      <c r="F351" s="18">
        <v>41580774.689999998</v>
      </c>
      <c r="G351" s="18">
        <v>0.09</v>
      </c>
      <c r="H351" s="13"/>
      <c r="I351" s="13"/>
    </row>
    <row r="352" spans="1:9">
      <c r="A352" s="13" t="s">
        <v>792</v>
      </c>
      <c r="B352" s="139" t="s">
        <v>425</v>
      </c>
      <c r="C352" s="139" t="s">
        <v>364</v>
      </c>
      <c r="D352" s="15">
        <v>16400000</v>
      </c>
      <c r="E352" s="93">
        <v>0.99023335580000005</v>
      </c>
      <c r="F352" s="18">
        <v>16239827.039999999</v>
      </c>
      <c r="G352" s="18">
        <v>0.04</v>
      </c>
      <c r="H352" s="13"/>
      <c r="I352" s="13"/>
    </row>
    <row r="353" spans="1:9">
      <c r="A353" s="13" t="s">
        <v>793</v>
      </c>
      <c r="B353" s="139" t="s">
        <v>477</v>
      </c>
      <c r="C353" s="139" t="s">
        <v>364</v>
      </c>
      <c r="D353" s="151">
        <v>6238663.2000000002</v>
      </c>
      <c r="E353" s="93">
        <v>0.97658869410000004</v>
      </c>
      <c r="F353" s="18">
        <v>6092607.9500000002</v>
      </c>
      <c r="G353" s="18">
        <v>0.01</v>
      </c>
      <c r="H353" s="13"/>
      <c r="I353" s="13"/>
    </row>
    <row r="354" spans="1:9">
      <c r="A354" s="13" t="s">
        <v>794</v>
      </c>
      <c r="B354" s="139" t="s">
        <v>795</v>
      </c>
      <c r="C354" s="139" t="s">
        <v>364</v>
      </c>
      <c r="D354" s="15">
        <v>9974100</v>
      </c>
      <c r="E354" s="93">
        <v>0.90123458570000003</v>
      </c>
      <c r="F354" s="18">
        <v>8989003.8800000008</v>
      </c>
      <c r="G354" s="18">
        <v>0.02</v>
      </c>
      <c r="H354" s="13"/>
      <c r="I354" s="13"/>
    </row>
    <row r="355" spans="1:9">
      <c r="A355" s="13" t="s">
        <v>796</v>
      </c>
      <c r="B355" s="139" t="s">
        <v>797</v>
      </c>
      <c r="C355" s="139" t="s">
        <v>364</v>
      </c>
      <c r="D355" s="18">
        <v>9972890.5500000007</v>
      </c>
      <c r="E355" s="93">
        <v>0.91295661130000005</v>
      </c>
      <c r="F355" s="18">
        <v>9104816.3599999994</v>
      </c>
      <c r="G355" s="18">
        <v>0.02</v>
      </c>
      <c r="H355" s="13"/>
      <c r="I355" s="13"/>
    </row>
    <row r="356" spans="1:9">
      <c r="A356" s="13" t="s">
        <v>798</v>
      </c>
      <c r="B356" s="139" t="s">
        <v>799</v>
      </c>
      <c r="C356" s="139" t="s">
        <v>364</v>
      </c>
      <c r="D356" s="18">
        <v>9972899.9900000002</v>
      </c>
      <c r="E356" s="93">
        <v>0.90034550840000005</v>
      </c>
      <c r="F356" s="18">
        <v>8979055.7100000009</v>
      </c>
      <c r="G356" s="18">
        <v>0.02</v>
      </c>
      <c r="H356" s="13"/>
      <c r="I356" s="13"/>
    </row>
    <row r="357" spans="1:9">
      <c r="A357" s="13" t="s">
        <v>800</v>
      </c>
      <c r="B357" s="139" t="s">
        <v>801</v>
      </c>
      <c r="C357" s="139" t="s">
        <v>364</v>
      </c>
      <c r="D357" s="151">
        <v>9975100.8000000007</v>
      </c>
      <c r="E357" s="93">
        <v>0.9021256312</v>
      </c>
      <c r="F357" s="18">
        <v>8998794.1099999994</v>
      </c>
      <c r="G357" s="18">
        <v>0.02</v>
      </c>
      <c r="H357" s="13"/>
      <c r="I357" s="13"/>
    </row>
    <row r="358" spans="1:9">
      <c r="A358" s="13" t="s">
        <v>802</v>
      </c>
      <c r="B358" s="139" t="s">
        <v>795</v>
      </c>
      <c r="C358" s="139" t="s">
        <v>364</v>
      </c>
      <c r="D358" s="15">
        <v>9973400</v>
      </c>
      <c r="E358" s="93">
        <v>0.90123458570000003</v>
      </c>
      <c r="F358" s="18">
        <v>8988373.0199999996</v>
      </c>
      <c r="G358" s="18">
        <v>0.02</v>
      </c>
      <c r="H358" s="13"/>
      <c r="I358" s="13"/>
    </row>
    <row r="359" spans="1:9">
      <c r="A359" s="13" t="s">
        <v>803</v>
      </c>
      <c r="B359" s="139" t="s">
        <v>594</v>
      </c>
      <c r="C359" s="139" t="s">
        <v>364</v>
      </c>
      <c r="D359" s="18">
        <v>9972570.8200000003</v>
      </c>
      <c r="E359" s="93">
        <v>0.91387099510000003</v>
      </c>
      <c r="F359" s="18">
        <v>9113643.2200000007</v>
      </c>
      <c r="G359" s="18">
        <v>0.02</v>
      </c>
      <c r="H359" s="13"/>
      <c r="I359" s="13"/>
    </row>
    <row r="360" spans="1:9">
      <c r="A360" s="13" t="s">
        <v>804</v>
      </c>
      <c r="B360" s="139" t="s">
        <v>594</v>
      </c>
      <c r="C360" s="139" t="s">
        <v>364</v>
      </c>
      <c r="D360" s="18">
        <v>9972350.7799999993</v>
      </c>
      <c r="E360" s="93">
        <v>0.91387099510000003</v>
      </c>
      <c r="F360" s="18">
        <v>9113442.1300000008</v>
      </c>
      <c r="G360" s="18">
        <v>0.02</v>
      </c>
      <c r="H360" s="13"/>
      <c r="I360" s="13"/>
    </row>
    <row r="361" spans="1:9">
      <c r="A361" s="13" t="s">
        <v>805</v>
      </c>
      <c r="B361" s="139" t="s">
        <v>594</v>
      </c>
      <c r="C361" s="139" t="s">
        <v>364</v>
      </c>
      <c r="D361" s="15">
        <v>9973200</v>
      </c>
      <c r="E361" s="93">
        <v>0.91387099510000003</v>
      </c>
      <c r="F361" s="18">
        <v>9114218.2100000009</v>
      </c>
      <c r="G361" s="18">
        <v>0.02</v>
      </c>
      <c r="H361" s="13"/>
      <c r="I361" s="13"/>
    </row>
    <row r="362" spans="1:9">
      <c r="A362" s="13" t="s">
        <v>806</v>
      </c>
      <c r="B362" s="139" t="s">
        <v>191</v>
      </c>
      <c r="C362" s="139" t="s">
        <v>364</v>
      </c>
      <c r="D362" s="18">
        <v>9972860.4499999993</v>
      </c>
      <c r="E362" s="93">
        <v>0.91478700639999999</v>
      </c>
      <c r="F362" s="18">
        <v>9123043.1600000001</v>
      </c>
      <c r="G362" s="18">
        <v>0.02</v>
      </c>
      <c r="H362" s="13"/>
      <c r="I362" s="13"/>
    </row>
    <row r="363" spans="1:9">
      <c r="A363" s="13" t="s">
        <v>807</v>
      </c>
      <c r="B363" s="139" t="s">
        <v>795</v>
      </c>
      <c r="C363" s="139" t="s">
        <v>364</v>
      </c>
      <c r="D363" s="18">
        <v>9973360.4700000007</v>
      </c>
      <c r="E363" s="93">
        <v>0.90123458570000003</v>
      </c>
      <c r="F363" s="18">
        <v>8988337.3900000006</v>
      </c>
      <c r="G363" s="18">
        <v>0.02</v>
      </c>
      <c r="H363" s="13"/>
      <c r="I363" s="13"/>
    </row>
    <row r="364" spans="1:9">
      <c r="A364" s="13" t="s">
        <v>808</v>
      </c>
      <c r="B364" s="139" t="s">
        <v>809</v>
      </c>
      <c r="C364" s="139" t="s">
        <v>364</v>
      </c>
      <c r="D364" s="15">
        <v>7551944</v>
      </c>
      <c r="E364" s="93">
        <v>0.92592602189999995</v>
      </c>
      <c r="F364" s="18">
        <v>6992541.4699999997</v>
      </c>
      <c r="G364" s="18">
        <v>0.02</v>
      </c>
      <c r="H364" s="13"/>
      <c r="I364" s="13"/>
    </row>
    <row r="365" spans="1:9">
      <c r="A365" s="13" t="s">
        <v>810</v>
      </c>
      <c r="B365" s="139" t="s">
        <v>419</v>
      </c>
      <c r="C365" s="139" t="s">
        <v>364</v>
      </c>
      <c r="D365" s="151">
        <v>9943984.5</v>
      </c>
      <c r="E365" s="154">
        <v>0.92780885099999999</v>
      </c>
      <c r="F365" s="18">
        <v>9226116.8300000001</v>
      </c>
      <c r="G365" s="18">
        <v>0.02</v>
      </c>
      <c r="H365" s="13"/>
      <c r="I365" s="13"/>
    </row>
    <row r="366" spans="1:9">
      <c r="A366" s="13" t="s">
        <v>811</v>
      </c>
      <c r="B366" s="139" t="s">
        <v>189</v>
      </c>
      <c r="C366" s="139" t="s">
        <v>364</v>
      </c>
      <c r="D366" s="151">
        <v>9943984.5</v>
      </c>
      <c r="E366" s="93">
        <v>0.92686657880000001</v>
      </c>
      <c r="F366" s="18">
        <v>9216746.8900000006</v>
      </c>
      <c r="G366" s="18">
        <v>0.02</v>
      </c>
      <c r="H366" s="13"/>
      <c r="I366" s="13"/>
    </row>
    <row r="367" spans="1:9">
      <c r="A367" s="13" t="s">
        <v>812</v>
      </c>
      <c r="B367" s="139" t="s">
        <v>813</v>
      </c>
      <c r="C367" s="139" t="s">
        <v>364</v>
      </c>
      <c r="D367" s="15">
        <v>7551944</v>
      </c>
      <c r="E367" s="93">
        <v>0.92218299780000001</v>
      </c>
      <c r="F367" s="18">
        <v>6964274.3600000003</v>
      </c>
      <c r="G367" s="18">
        <v>0.02</v>
      </c>
      <c r="H367" s="13"/>
      <c r="I367" s="13"/>
    </row>
    <row r="368" spans="1:9">
      <c r="A368" s="13" t="s">
        <v>814</v>
      </c>
      <c r="B368" s="139" t="s">
        <v>813</v>
      </c>
      <c r="C368" s="139" t="s">
        <v>364</v>
      </c>
      <c r="D368" s="15">
        <v>7551944</v>
      </c>
      <c r="E368" s="93">
        <v>0.92218299780000001</v>
      </c>
      <c r="F368" s="18">
        <v>6964274.3600000003</v>
      </c>
      <c r="G368" s="18">
        <v>0.02</v>
      </c>
      <c r="H368" s="13"/>
      <c r="I368" s="13"/>
    </row>
    <row r="369" spans="1:9">
      <c r="A369" s="13" t="s">
        <v>815</v>
      </c>
      <c r="B369" s="139" t="s">
        <v>419</v>
      </c>
      <c r="C369" s="139" t="s">
        <v>364</v>
      </c>
      <c r="D369" s="151">
        <v>9943984.5</v>
      </c>
      <c r="E369" s="154">
        <v>0.92780885099999999</v>
      </c>
      <c r="F369" s="18">
        <v>9226116.8300000001</v>
      </c>
      <c r="G369" s="18">
        <v>0.02</v>
      </c>
      <c r="H369" s="13"/>
      <c r="I369" s="13"/>
    </row>
    <row r="370" spans="1:9">
      <c r="A370" s="13" t="s">
        <v>816</v>
      </c>
      <c r="B370" s="139" t="s">
        <v>189</v>
      </c>
      <c r="C370" s="139" t="s">
        <v>364</v>
      </c>
      <c r="D370" s="151">
        <v>9943984.5</v>
      </c>
      <c r="E370" s="93">
        <v>0.92686657880000001</v>
      </c>
      <c r="F370" s="18">
        <v>9216746.8900000006</v>
      </c>
      <c r="G370" s="18">
        <v>0.02</v>
      </c>
      <c r="H370" s="13"/>
      <c r="I370" s="13"/>
    </row>
    <row r="371" spans="1:9">
      <c r="A371" s="13" t="s">
        <v>817</v>
      </c>
      <c r="B371" s="139" t="s">
        <v>809</v>
      </c>
      <c r="C371" s="139" t="s">
        <v>364</v>
      </c>
      <c r="D371" s="15">
        <v>7551944</v>
      </c>
      <c r="E371" s="93">
        <v>0.92592602189999995</v>
      </c>
      <c r="F371" s="18">
        <v>6992541.4699999997</v>
      </c>
      <c r="G371" s="18">
        <v>0.02</v>
      </c>
      <c r="H371" s="13"/>
      <c r="I371" s="13"/>
    </row>
    <row r="372" spans="1:9">
      <c r="A372" s="13" t="s">
        <v>826</v>
      </c>
      <c r="B372" s="139" t="s">
        <v>523</v>
      </c>
      <c r="C372" s="139" t="s">
        <v>378</v>
      </c>
      <c r="D372" s="15">
        <v>3000000</v>
      </c>
      <c r="E372" s="93">
        <v>0.98470337389999996</v>
      </c>
      <c r="F372" s="18">
        <v>2954110.12</v>
      </c>
      <c r="G372" s="18">
        <v>0.01</v>
      </c>
      <c r="H372" s="13"/>
      <c r="I372" s="13"/>
    </row>
    <row r="373" spans="1:9">
      <c r="A373" s="13" t="s">
        <v>827</v>
      </c>
      <c r="B373" s="139" t="s">
        <v>189</v>
      </c>
      <c r="C373" s="139" t="s">
        <v>378</v>
      </c>
      <c r="D373" s="18">
        <v>3243208.42</v>
      </c>
      <c r="E373" s="93">
        <v>0.94062469360000001</v>
      </c>
      <c r="F373" s="18">
        <v>3050641.93</v>
      </c>
      <c r="G373" s="18">
        <v>0.01</v>
      </c>
      <c r="H373" s="13"/>
      <c r="I373" s="13"/>
    </row>
    <row r="374" spans="1:9">
      <c r="A374" s="13" t="s">
        <v>828</v>
      </c>
      <c r="B374" s="139" t="s">
        <v>799</v>
      </c>
      <c r="C374" s="139" t="s">
        <v>378</v>
      </c>
      <c r="D374" s="18">
        <v>3243208.42</v>
      </c>
      <c r="E374" s="93">
        <v>0.91865500010000001</v>
      </c>
      <c r="F374" s="18">
        <v>2979389.63</v>
      </c>
      <c r="G374" s="18">
        <v>0.01</v>
      </c>
      <c r="H374" s="13"/>
      <c r="I374" s="13"/>
    </row>
    <row r="375" spans="1:9">
      <c r="A375" s="13" t="s">
        <v>829</v>
      </c>
      <c r="B375" s="139" t="s">
        <v>414</v>
      </c>
      <c r="C375" s="139" t="s">
        <v>378</v>
      </c>
      <c r="D375" s="15">
        <v>2500000</v>
      </c>
      <c r="E375" s="93">
        <v>0.97144232990000001</v>
      </c>
      <c r="F375" s="18">
        <v>2428605.8199999998</v>
      </c>
      <c r="G375" s="18">
        <v>0.01</v>
      </c>
      <c r="H375" s="13"/>
      <c r="I375" s="13"/>
    </row>
    <row r="376" spans="1:9">
      <c r="A376" s="13" t="s">
        <v>830</v>
      </c>
      <c r="B376" s="139" t="s">
        <v>189</v>
      </c>
      <c r="C376" s="139" t="s">
        <v>378</v>
      </c>
      <c r="D376" s="15">
        <v>2500000</v>
      </c>
      <c r="E376" s="93">
        <v>0.94588992979999997</v>
      </c>
      <c r="F376" s="18">
        <v>2364724.8199999998</v>
      </c>
      <c r="G376" s="18">
        <v>0.01</v>
      </c>
      <c r="H376" s="13"/>
      <c r="I376" s="13"/>
    </row>
    <row r="377" spans="1:9">
      <c r="A377" s="13" t="s">
        <v>831</v>
      </c>
      <c r="B377" s="139" t="s">
        <v>191</v>
      </c>
      <c r="C377" s="139" t="s">
        <v>378</v>
      </c>
      <c r="D377" s="15">
        <v>2500000</v>
      </c>
      <c r="E377" s="93">
        <v>0.93673816980000002</v>
      </c>
      <c r="F377" s="18">
        <v>2341845.42</v>
      </c>
      <c r="G377" s="18">
        <v>0.01</v>
      </c>
      <c r="H377" s="13"/>
      <c r="I377" s="13"/>
    </row>
    <row r="378" spans="1:9">
      <c r="A378" s="13" t="s">
        <v>832</v>
      </c>
      <c r="B378" s="139" t="s">
        <v>696</v>
      </c>
      <c r="C378" s="139" t="s">
        <v>378</v>
      </c>
      <c r="D378" s="15">
        <v>2500000</v>
      </c>
      <c r="E378" s="93">
        <v>0.9574022204</v>
      </c>
      <c r="F378" s="18">
        <v>2393505.5499999998</v>
      </c>
      <c r="G378" s="18">
        <v>0.01</v>
      </c>
      <c r="H378" s="13"/>
      <c r="I378" s="13"/>
    </row>
    <row r="379" spans="1:9">
      <c r="A379" s="13" t="s">
        <v>833</v>
      </c>
      <c r="B379" s="139" t="s">
        <v>191</v>
      </c>
      <c r="C379" s="139" t="s">
        <v>378</v>
      </c>
      <c r="D379" s="15">
        <v>25000000</v>
      </c>
      <c r="E379" s="154">
        <v>0.93469917899999999</v>
      </c>
      <c r="F379" s="18">
        <v>23367479.48</v>
      </c>
      <c r="G379" s="18">
        <v>0.05</v>
      </c>
      <c r="H379" s="13"/>
      <c r="I379" s="13"/>
    </row>
    <row r="380" spans="1:9">
      <c r="A380" s="13" t="s">
        <v>834</v>
      </c>
      <c r="B380" s="139" t="s">
        <v>835</v>
      </c>
      <c r="C380" s="139" t="s">
        <v>378</v>
      </c>
      <c r="D380" s="15">
        <v>24000000</v>
      </c>
      <c r="E380" s="93">
        <v>0.92969953110000003</v>
      </c>
      <c r="F380" s="18">
        <v>22312788.75</v>
      </c>
      <c r="G380" s="18">
        <v>0.05</v>
      </c>
      <c r="H380" s="13"/>
      <c r="I380" s="13"/>
    </row>
    <row r="381" spans="1:9">
      <c r="A381" s="13" t="s">
        <v>836</v>
      </c>
      <c r="B381" s="139" t="s">
        <v>594</v>
      </c>
      <c r="C381" s="139" t="s">
        <v>378</v>
      </c>
      <c r="D381" s="15">
        <v>25000000</v>
      </c>
      <c r="E381" s="93">
        <v>0.9339816071</v>
      </c>
      <c r="F381" s="18">
        <v>23349540.18</v>
      </c>
      <c r="G381" s="18">
        <v>0.05</v>
      </c>
      <c r="H381" s="13"/>
      <c r="I381" s="13"/>
    </row>
    <row r="382" spans="1:9">
      <c r="A382" s="13" t="s">
        <v>837</v>
      </c>
      <c r="B382" s="139" t="s">
        <v>589</v>
      </c>
      <c r="C382" s="139" t="s">
        <v>378</v>
      </c>
      <c r="D382" s="15">
        <v>4000000</v>
      </c>
      <c r="E382" s="93">
        <v>0.99920611309999996</v>
      </c>
      <c r="F382" s="18">
        <v>3996824.45</v>
      </c>
      <c r="G382" s="18">
        <v>0.01</v>
      </c>
      <c r="H382" s="13"/>
      <c r="I382" s="13"/>
    </row>
    <row r="383" spans="1:9">
      <c r="A383" s="13" t="s">
        <v>838</v>
      </c>
      <c r="B383" s="139" t="s">
        <v>414</v>
      </c>
      <c r="C383" s="139" t="s">
        <v>378</v>
      </c>
      <c r="D383" s="15">
        <v>40000000</v>
      </c>
      <c r="E383" s="93">
        <v>0.97239989760000001</v>
      </c>
      <c r="F383" s="151">
        <v>38895995.899999999</v>
      </c>
      <c r="G383" s="18">
        <v>0.09</v>
      </c>
      <c r="H383" s="13"/>
      <c r="I383" s="13"/>
    </row>
    <row r="384" spans="1:9">
      <c r="A384" s="13" t="s">
        <v>839</v>
      </c>
      <c r="B384" s="139" t="s">
        <v>433</v>
      </c>
      <c r="C384" s="139" t="s">
        <v>378</v>
      </c>
      <c r="D384" s="18">
        <v>321666.46000000002</v>
      </c>
      <c r="E384" s="93">
        <v>0.99794942939999998</v>
      </c>
      <c r="F384" s="18">
        <v>321006.86</v>
      </c>
      <c r="G384" s="15">
        <v>0</v>
      </c>
      <c r="H384" s="13"/>
      <c r="I384" s="13"/>
    </row>
    <row r="385" spans="1:9">
      <c r="A385" s="13" t="s">
        <v>840</v>
      </c>
      <c r="B385" s="139" t="s">
        <v>433</v>
      </c>
      <c r="C385" s="139" t="s">
        <v>378</v>
      </c>
      <c r="D385" s="15">
        <v>250000</v>
      </c>
      <c r="E385" s="93">
        <v>0.99794944379999995</v>
      </c>
      <c r="F385" s="18">
        <v>249487.35999999999</v>
      </c>
      <c r="G385" s="15">
        <v>0</v>
      </c>
      <c r="H385" s="13"/>
      <c r="I385" s="13"/>
    </row>
    <row r="386" spans="1:9">
      <c r="A386" s="13" t="s">
        <v>841</v>
      </c>
      <c r="B386" s="139" t="s">
        <v>439</v>
      </c>
      <c r="C386" s="139" t="s">
        <v>378</v>
      </c>
      <c r="D386" s="15">
        <v>996595</v>
      </c>
      <c r="E386" s="93">
        <v>0.99863201420000003</v>
      </c>
      <c r="F386" s="18">
        <v>995231.67</v>
      </c>
      <c r="G386" s="15">
        <v>0</v>
      </c>
      <c r="H386" s="13"/>
      <c r="I386" s="13"/>
    </row>
    <row r="387" spans="1:9">
      <c r="A387" s="13" t="s">
        <v>842</v>
      </c>
      <c r="B387" s="139" t="s">
        <v>439</v>
      </c>
      <c r="C387" s="139" t="s">
        <v>378</v>
      </c>
      <c r="D387" s="15">
        <v>696310</v>
      </c>
      <c r="E387" s="93">
        <v>0.99863201359999998</v>
      </c>
      <c r="F387" s="18">
        <v>695357.46</v>
      </c>
      <c r="G387" s="15">
        <v>0</v>
      </c>
      <c r="H387" s="13"/>
      <c r="I387" s="13"/>
    </row>
    <row r="388" spans="1:9">
      <c r="A388" s="13" t="s">
        <v>843</v>
      </c>
      <c r="B388" s="139" t="s">
        <v>439</v>
      </c>
      <c r="C388" s="139" t="s">
        <v>378</v>
      </c>
      <c r="D388" s="18">
        <v>643398.03</v>
      </c>
      <c r="E388" s="93">
        <v>0.99863200949999997</v>
      </c>
      <c r="F388" s="18">
        <v>642517.87</v>
      </c>
      <c r="G388" s="15">
        <v>0</v>
      </c>
      <c r="H388" s="13"/>
      <c r="I388" s="13"/>
    </row>
    <row r="389" spans="1:9">
      <c r="A389" s="13" t="s">
        <v>844</v>
      </c>
      <c r="B389" s="139" t="s">
        <v>439</v>
      </c>
      <c r="C389" s="139" t="s">
        <v>378</v>
      </c>
      <c r="D389" s="15">
        <v>186067</v>
      </c>
      <c r="E389" s="93">
        <v>0.99863203460000005</v>
      </c>
      <c r="F389" s="18">
        <v>185812.47</v>
      </c>
      <c r="G389" s="15">
        <v>0</v>
      </c>
      <c r="H389" s="13"/>
      <c r="I389" s="13"/>
    </row>
    <row r="390" spans="1:9">
      <c r="A390" s="13" t="s">
        <v>845</v>
      </c>
      <c r="B390" s="139" t="s">
        <v>439</v>
      </c>
      <c r="C390" s="139" t="s">
        <v>378</v>
      </c>
      <c r="D390" s="151">
        <v>137605.5</v>
      </c>
      <c r="E390" s="93">
        <v>0.99863202070000001</v>
      </c>
      <c r="F390" s="18">
        <v>137417.26</v>
      </c>
      <c r="G390" s="15">
        <v>0</v>
      </c>
      <c r="H390" s="13"/>
      <c r="I390" s="13"/>
    </row>
    <row r="391" spans="1:9">
      <c r="A391" s="13" t="s">
        <v>846</v>
      </c>
      <c r="B391" s="139" t="s">
        <v>439</v>
      </c>
      <c r="C391" s="139" t="s">
        <v>378</v>
      </c>
      <c r="D391" s="18">
        <v>577850.63</v>
      </c>
      <c r="E391" s="93">
        <v>0.99863201540000002</v>
      </c>
      <c r="F391" s="18">
        <v>577060.14</v>
      </c>
      <c r="G391" s="15">
        <v>0</v>
      </c>
      <c r="H391" s="13"/>
      <c r="I391" s="13"/>
    </row>
    <row r="392" spans="1:9">
      <c r="A392" s="13" t="s">
        <v>847</v>
      </c>
      <c r="B392" s="139" t="s">
        <v>439</v>
      </c>
      <c r="C392" s="139" t="s">
        <v>378</v>
      </c>
      <c r="D392" s="151">
        <v>325760.8</v>
      </c>
      <c r="E392" s="93">
        <v>0.99863201290000003</v>
      </c>
      <c r="F392" s="18">
        <v>325315.15999999997</v>
      </c>
      <c r="G392" s="15">
        <v>0</v>
      </c>
      <c r="H392" s="13"/>
      <c r="I392" s="13"/>
    </row>
    <row r="393" spans="1:9">
      <c r="A393" s="13" t="s">
        <v>848</v>
      </c>
      <c r="B393" s="139" t="s">
        <v>439</v>
      </c>
      <c r="C393" s="139" t="s">
        <v>378</v>
      </c>
      <c r="D393" s="15">
        <v>113740</v>
      </c>
      <c r="E393" s="93">
        <v>0.99863201489999998</v>
      </c>
      <c r="F393" s="18">
        <v>113584.41</v>
      </c>
      <c r="G393" s="15">
        <v>0</v>
      </c>
      <c r="H393" s="13"/>
      <c r="I393" s="13"/>
    </row>
    <row r="394" spans="1:9">
      <c r="A394" s="13" t="s">
        <v>849</v>
      </c>
      <c r="B394" s="139" t="s">
        <v>402</v>
      </c>
      <c r="C394" s="139" t="s">
        <v>378</v>
      </c>
      <c r="D394" s="18">
        <v>1215596.28</v>
      </c>
      <c r="E394" s="93">
        <v>0.99715879259999995</v>
      </c>
      <c r="F394" s="18">
        <v>1212142.52</v>
      </c>
      <c r="G394" s="15">
        <v>0</v>
      </c>
      <c r="H394" s="13"/>
      <c r="I394" s="13"/>
    </row>
    <row r="395" spans="1:9">
      <c r="A395" s="13" t="s">
        <v>850</v>
      </c>
      <c r="B395" s="139" t="s">
        <v>421</v>
      </c>
      <c r="C395" s="139" t="s">
        <v>378</v>
      </c>
      <c r="D395" s="15">
        <v>130000000</v>
      </c>
      <c r="E395" s="93">
        <v>0.97265899290000002</v>
      </c>
      <c r="F395" s="18">
        <v>126445669.08</v>
      </c>
      <c r="G395" s="18">
        <v>0.28000000000000003</v>
      </c>
      <c r="H395" s="13"/>
      <c r="I395" s="13"/>
    </row>
    <row r="396" spans="1:9">
      <c r="A396" s="13" t="s">
        <v>851</v>
      </c>
      <c r="B396" s="139" t="s">
        <v>421</v>
      </c>
      <c r="C396" s="139" t="s">
        <v>378</v>
      </c>
      <c r="D396" s="15">
        <v>150000000</v>
      </c>
      <c r="E396" s="93">
        <v>0.97265899290000002</v>
      </c>
      <c r="F396" s="18">
        <v>145898848.94</v>
      </c>
      <c r="G396" s="18">
        <v>0.33</v>
      </c>
      <c r="H396" s="13"/>
      <c r="I396" s="13"/>
    </row>
    <row r="397" spans="1:9">
      <c r="A397" s="13" t="s">
        <v>852</v>
      </c>
      <c r="B397" s="139" t="s">
        <v>419</v>
      </c>
      <c r="C397" s="139" t="s">
        <v>378</v>
      </c>
      <c r="D397" s="15">
        <v>15000000</v>
      </c>
      <c r="E397" s="154">
        <v>0.94140106099999998</v>
      </c>
      <c r="F397" s="18">
        <v>14121015.92</v>
      </c>
      <c r="G397" s="18">
        <v>0.03</v>
      </c>
      <c r="H397" s="13"/>
      <c r="I397" s="13"/>
    </row>
    <row r="398" spans="1:9">
      <c r="A398" s="13" t="s">
        <v>853</v>
      </c>
      <c r="B398" s="139" t="s">
        <v>489</v>
      </c>
      <c r="C398" s="139" t="s">
        <v>378</v>
      </c>
      <c r="D398" s="15">
        <v>15000000</v>
      </c>
      <c r="E398" s="93">
        <v>0.96448581690000001</v>
      </c>
      <c r="F398" s="18">
        <v>14467287.25</v>
      </c>
      <c r="G398" s="18">
        <v>0.03</v>
      </c>
      <c r="H398" s="13"/>
      <c r="I398" s="13"/>
    </row>
    <row r="399" spans="1:9">
      <c r="A399" s="13" t="s">
        <v>854</v>
      </c>
      <c r="B399" s="139" t="s">
        <v>696</v>
      </c>
      <c r="C399" s="139" t="s">
        <v>378</v>
      </c>
      <c r="D399" s="15">
        <v>15000000</v>
      </c>
      <c r="E399" s="93">
        <v>0.95320177589999999</v>
      </c>
      <c r="F399" s="18">
        <v>14298026.640000001</v>
      </c>
      <c r="G399" s="18">
        <v>0.03</v>
      </c>
      <c r="H399" s="13"/>
      <c r="I399" s="13"/>
    </row>
    <row r="400" spans="1:9">
      <c r="A400" s="13" t="s">
        <v>855</v>
      </c>
      <c r="B400" s="139" t="s">
        <v>594</v>
      </c>
      <c r="C400" s="139" t="s">
        <v>378</v>
      </c>
      <c r="D400" s="15">
        <v>15000000</v>
      </c>
      <c r="E400" s="93">
        <v>0.92988895549999995</v>
      </c>
      <c r="F400" s="18">
        <v>13948334.33</v>
      </c>
      <c r="G400" s="18">
        <v>0.03</v>
      </c>
      <c r="H400" s="13"/>
      <c r="I400" s="13"/>
    </row>
    <row r="401" spans="1:10">
      <c r="A401" s="13" t="s">
        <v>856</v>
      </c>
      <c r="B401" s="139" t="s">
        <v>346</v>
      </c>
      <c r="C401" s="139" t="s">
        <v>378</v>
      </c>
      <c r="D401" s="15">
        <v>15000000</v>
      </c>
      <c r="E401" s="93">
        <v>0.9563987746</v>
      </c>
      <c r="F401" s="18">
        <v>14345981.619999999</v>
      </c>
      <c r="G401" s="18">
        <v>0.03</v>
      </c>
      <c r="H401" s="13"/>
      <c r="I401" s="13"/>
    </row>
    <row r="402" spans="1:10">
      <c r="A402" s="13" t="s">
        <v>857</v>
      </c>
      <c r="B402" s="139" t="s">
        <v>468</v>
      </c>
      <c r="C402" s="139" t="s">
        <v>378</v>
      </c>
      <c r="D402" s="15">
        <v>15000000</v>
      </c>
      <c r="E402" s="93">
        <v>0.93369496839999999</v>
      </c>
      <c r="F402" s="18">
        <v>14005424.529999999</v>
      </c>
      <c r="G402" s="18">
        <v>0.03</v>
      </c>
      <c r="H402" s="13"/>
      <c r="I402" s="13"/>
    </row>
    <row r="403" spans="1:10">
      <c r="A403" s="13" t="s">
        <v>858</v>
      </c>
      <c r="B403" s="139" t="s">
        <v>499</v>
      </c>
      <c r="C403" s="139" t="s">
        <v>378</v>
      </c>
      <c r="D403" s="15">
        <v>15000000</v>
      </c>
      <c r="E403" s="93">
        <v>0.95881059639999999</v>
      </c>
      <c r="F403" s="18">
        <v>14382158.949999999</v>
      </c>
      <c r="G403" s="18">
        <v>0.03</v>
      </c>
      <c r="H403" s="13"/>
      <c r="I403" s="13"/>
      <c r="J403" s="68"/>
    </row>
    <row r="404" spans="1:10">
      <c r="A404" s="13" t="s">
        <v>859</v>
      </c>
      <c r="B404" s="139" t="s">
        <v>860</v>
      </c>
      <c r="C404" s="139" t="s">
        <v>378</v>
      </c>
      <c r="D404" s="15">
        <v>15000000</v>
      </c>
      <c r="E404" s="93">
        <v>0.93522601049999998</v>
      </c>
      <c r="F404" s="18">
        <v>14028390.16</v>
      </c>
      <c r="G404" s="18">
        <v>0.03</v>
      </c>
      <c r="H404" s="13"/>
      <c r="I404" s="13"/>
    </row>
    <row r="405" spans="1:10">
      <c r="A405" s="13" t="s">
        <v>861</v>
      </c>
      <c r="B405" s="139" t="s">
        <v>862</v>
      </c>
      <c r="C405" s="139" t="s">
        <v>378</v>
      </c>
      <c r="D405" s="15">
        <v>10000000</v>
      </c>
      <c r="E405" s="93">
        <v>0.95300268259999998</v>
      </c>
      <c r="F405" s="18">
        <v>9530026.8300000001</v>
      </c>
      <c r="G405" s="18">
        <v>0.02</v>
      </c>
      <c r="H405" s="13"/>
      <c r="I405" s="13"/>
    </row>
    <row r="406" spans="1:10">
      <c r="A406" s="13" t="s">
        <v>863</v>
      </c>
      <c r="B406" s="139" t="s">
        <v>171</v>
      </c>
      <c r="C406" s="139" t="s">
        <v>378</v>
      </c>
      <c r="D406" s="15">
        <v>42000000</v>
      </c>
      <c r="E406" s="154">
        <v>0.99241416199999999</v>
      </c>
      <c r="F406" s="151">
        <v>41681394.799999997</v>
      </c>
      <c r="G406" s="18">
        <v>0.09</v>
      </c>
      <c r="H406" s="13"/>
      <c r="I406" s="13"/>
    </row>
    <row r="407" spans="1:10">
      <c r="A407" s="13" t="s">
        <v>864</v>
      </c>
      <c r="B407" s="139" t="s">
        <v>696</v>
      </c>
      <c r="C407" s="139" t="s">
        <v>378</v>
      </c>
      <c r="D407" s="18">
        <v>9978017.3200000003</v>
      </c>
      <c r="E407" s="93">
        <v>0.94491050030000001</v>
      </c>
      <c r="F407" s="18">
        <v>9428333.3399999999</v>
      </c>
      <c r="G407" s="18">
        <v>0.02</v>
      </c>
      <c r="H407" s="13"/>
      <c r="I407" s="13"/>
    </row>
    <row r="408" spans="1:10">
      <c r="A408" s="13" t="s">
        <v>865</v>
      </c>
      <c r="B408" s="139" t="s">
        <v>493</v>
      </c>
      <c r="C408" s="139" t="s">
        <v>378</v>
      </c>
      <c r="D408" s="18">
        <v>3519950.15</v>
      </c>
      <c r="E408" s="154">
        <v>0.94958127599999997</v>
      </c>
      <c r="F408" s="18">
        <v>3342478.75</v>
      </c>
      <c r="G408" s="18">
        <v>0.01</v>
      </c>
      <c r="H408" s="13"/>
      <c r="I408" s="13"/>
    </row>
    <row r="409" spans="1:10">
      <c r="A409" s="13" t="s">
        <v>866</v>
      </c>
      <c r="B409" s="139" t="s">
        <v>425</v>
      </c>
      <c r="C409" s="139" t="s">
        <v>378</v>
      </c>
      <c r="D409" s="18">
        <v>3519950.15</v>
      </c>
      <c r="E409" s="93">
        <v>0.98969631319999996</v>
      </c>
      <c r="F409" s="18">
        <v>3483681.69</v>
      </c>
      <c r="G409" s="18">
        <v>0.01</v>
      </c>
      <c r="H409" s="13"/>
      <c r="I409" s="13"/>
    </row>
    <row r="410" spans="1:10">
      <c r="A410" s="13" t="s">
        <v>867</v>
      </c>
      <c r="B410" s="139" t="s">
        <v>569</v>
      </c>
      <c r="C410" s="139" t="s">
        <v>378</v>
      </c>
      <c r="D410" s="18">
        <v>3511491.25</v>
      </c>
      <c r="E410" s="154">
        <v>0.98361542300000004</v>
      </c>
      <c r="F410" s="18">
        <v>3453956.95</v>
      </c>
      <c r="G410" s="18">
        <v>0.01</v>
      </c>
      <c r="H410" s="13"/>
      <c r="I410" s="13"/>
    </row>
    <row r="411" spans="1:10">
      <c r="A411" s="13" t="s">
        <v>868</v>
      </c>
      <c r="B411" s="139" t="s">
        <v>503</v>
      </c>
      <c r="C411" s="139" t="s">
        <v>378</v>
      </c>
      <c r="D411" s="18">
        <v>3116595.02</v>
      </c>
      <c r="E411" s="93">
        <v>0.95619836849999995</v>
      </c>
      <c r="F411" s="18">
        <v>2980083.07</v>
      </c>
      <c r="G411" s="18">
        <v>0.01</v>
      </c>
      <c r="H411" s="13"/>
      <c r="I411" s="13"/>
    </row>
    <row r="412" spans="1:10">
      <c r="A412" s="13" t="s">
        <v>869</v>
      </c>
      <c r="B412" s="139" t="s">
        <v>596</v>
      </c>
      <c r="C412" s="139" t="s">
        <v>378</v>
      </c>
      <c r="D412" s="18">
        <v>3116595.02</v>
      </c>
      <c r="E412" s="93">
        <v>0.94305512410000003</v>
      </c>
      <c r="F412" s="151">
        <v>2939120.9</v>
      </c>
      <c r="G412" s="18">
        <v>0.01</v>
      </c>
      <c r="H412" s="13"/>
      <c r="I412" s="13"/>
    </row>
    <row r="413" spans="1:10">
      <c r="A413" s="13" t="s">
        <v>870</v>
      </c>
      <c r="B413" s="139" t="s">
        <v>871</v>
      </c>
      <c r="C413" s="139" t="s">
        <v>378</v>
      </c>
      <c r="D413" s="18">
        <v>4463318.82</v>
      </c>
      <c r="E413" s="93">
        <v>0.90145735329999999</v>
      </c>
      <c r="F413" s="18">
        <v>4023491.57</v>
      </c>
      <c r="G413" s="18">
        <v>0.01</v>
      </c>
      <c r="H413" s="13"/>
      <c r="I413" s="13"/>
    </row>
    <row r="414" spans="1:10">
      <c r="A414" s="13" t="s">
        <v>872</v>
      </c>
      <c r="B414" s="139" t="s">
        <v>596</v>
      </c>
      <c r="C414" s="139" t="s">
        <v>378</v>
      </c>
      <c r="D414" s="15">
        <v>8500000</v>
      </c>
      <c r="E414" s="93">
        <v>0.95449803249999998</v>
      </c>
      <c r="F414" s="18">
        <v>8113233.2800000003</v>
      </c>
      <c r="G414" s="18">
        <v>0.02</v>
      </c>
      <c r="H414" s="13"/>
      <c r="I414" s="13"/>
      <c r="J414" s="68"/>
    </row>
    <row r="415" spans="1:10">
      <c r="A415" s="13" t="s">
        <v>873</v>
      </c>
      <c r="B415" s="139" t="s">
        <v>596</v>
      </c>
      <c r="C415" s="139" t="s">
        <v>378</v>
      </c>
      <c r="D415" s="15">
        <v>10000000</v>
      </c>
      <c r="E415" s="93">
        <v>0.95449803249999998</v>
      </c>
      <c r="F415" s="18">
        <v>9544980.3300000001</v>
      </c>
      <c r="G415" s="18">
        <v>0.02</v>
      </c>
      <c r="H415" s="13"/>
      <c r="I415" s="13"/>
    </row>
    <row r="416" spans="1:10">
      <c r="A416" s="13" t="s">
        <v>874</v>
      </c>
      <c r="B416" s="139" t="s">
        <v>875</v>
      </c>
      <c r="C416" s="139" t="s">
        <v>378</v>
      </c>
      <c r="D416" s="15">
        <v>8500000</v>
      </c>
      <c r="E416" s="93">
        <v>0.95374975870000001</v>
      </c>
      <c r="F416" s="18">
        <v>8106872.9500000002</v>
      </c>
      <c r="G416" s="18">
        <v>0.02</v>
      </c>
      <c r="H416" s="13"/>
      <c r="I416" s="13"/>
    </row>
    <row r="417" spans="1:9">
      <c r="A417" s="13" t="s">
        <v>876</v>
      </c>
      <c r="B417" s="139" t="s">
        <v>875</v>
      </c>
      <c r="C417" s="139" t="s">
        <v>378</v>
      </c>
      <c r="D417" s="15">
        <v>10000000</v>
      </c>
      <c r="E417" s="93">
        <v>0.95374975870000001</v>
      </c>
      <c r="F417" s="18">
        <v>9537497.5899999999</v>
      </c>
      <c r="G417" s="18">
        <v>0.02</v>
      </c>
      <c r="H417" s="13"/>
      <c r="I417" s="13"/>
    </row>
    <row r="418" spans="1:9">
      <c r="A418" s="13" t="s">
        <v>877</v>
      </c>
      <c r="B418" s="139" t="s">
        <v>470</v>
      </c>
      <c r="C418" s="139" t="s">
        <v>378</v>
      </c>
      <c r="D418" s="15">
        <v>10000000</v>
      </c>
      <c r="E418" s="93">
        <v>0.95300265719999999</v>
      </c>
      <c r="F418" s="18">
        <v>9530026.5700000003</v>
      </c>
      <c r="G418" s="18">
        <v>0.02</v>
      </c>
      <c r="H418" s="13"/>
      <c r="I418" s="13"/>
    </row>
    <row r="419" spans="1:9">
      <c r="A419" s="13" t="s">
        <v>878</v>
      </c>
      <c r="B419" s="139" t="s">
        <v>414</v>
      </c>
      <c r="C419" s="139" t="s">
        <v>378</v>
      </c>
      <c r="D419" s="15">
        <v>4000000</v>
      </c>
      <c r="E419" s="93">
        <v>0.97048663859999995</v>
      </c>
      <c r="F419" s="18">
        <v>3881946.55</v>
      </c>
      <c r="G419" s="18">
        <v>0.01</v>
      </c>
      <c r="H419" s="13"/>
      <c r="I419" s="13"/>
    </row>
    <row r="420" spans="1:9">
      <c r="A420" s="13" t="s">
        <v>879</v>
      </c>
      <c r="B420" s="139" t="s">
        <v>696</v>
      </c>
      <c r="C420" s="139" t="s">
        <v>378</v>
      </c>
      <c r="D420" s="15">
        <v>10000000</v>
      </c>
      <c r="E420" s="93">
        <v>0.9559979636</v>
      </c>
      <c r="F420" s="18">
        <v>9559979.6400000006</v>
      </c>
      <c r="G420" s="18">
        <v>0.02</v>
      </c>
      <c r="H420" s="13"/>
      <c r="I420" s="13"/>
    </row>
    <row r="421" spans="1:9">
      <c r="A421" s="13" t="s">
        <v>880</v>
      </c>
      <c r="B421" s="139" t="s">
        <v>594</v>
      </c>
      <c r="C421" s="139" t="s">
        <v>378</v>
      </c>
      <c r="D421" s="15">
        <v>10000000</v>
      </c>
      <c r="E421" s="93">
        <v>0.9339816071</v>
      </c>
      <c r="F421" s="18">
        <v>9339816.0700000003</v>
      </c>
      <c r="G421" s="18">
        <v>0.02</v>
      </c>
      <c r="H421" s="13"/>
      <c r="I421" s="13"/>
    </row>
    <row r="422" spans="1:9">
      <c r="A422" s="13" t="s">
        <v>881</v>
      </c>
      <c r="B422" s="139" t="s">
        <v>443</v>
      </c>
      <c r="C422" s="139" t="s">
        <v>378</v>
      </c>
      <c r="D422" s="15">
        <v>10000000</v>
      </c>
      <c r="E422" s="154">
        <v>0.98065557800000003</v>
      </c>
      <c r="F422" s="18">
        <v>9806555.7799999993</v>
      </c>
      <c r="G422" s="18">
        <v>0.02</v>
      </c>
      <c r="H422" s="13"/>
      <c r="I422" s="13"/>
    </row>
    <row r="423" spans="1:9">
      <c r="A423" s="13" t="s">
        <v>882</v>
      </c>
      <c r="B423" s="139" t="s">
        <v>414</v>
      </c>
      <c r="C423" s="139" t="s">
        <v>378</v>
      </c>
      <c r="D423" s="15">
        <v>5000000</v>
      </c>
      <c r="E423" s="93">
        <v>0.97048664809999996</v>
      </c>
      <c r="F423" s="18">
        <v>4852433.24</v>
      </c>
      <c r="G423" s="18">
        <v>0.01</v>
      </c>
      <c r="H423" s="13"/>
      <c r="I423" s="13"/>
    </row>
    <row r="424" spans="1:9">
      <c r="A424" s="13" t="s">
        <v>883</v>
      </c>
      <c r="B424" s="139" t="s">
        <v>736</v>
      </c>
      <c r="C424" s="139" t="s">
        <v>378</v>
      </c>
      <c r="D424" s="15">
        <v>5000000</v>
      </c>
      <c r="E424" s="93">
        <v>0.94928492669999998</v>
      </c>
      <c r="F424" s="18">
        <v>4746424.63</v>
      </c>
      <c r="G424" s="18">
        <v>0.01</v>
      </c>
      <c r="H424" s="13"/>
      <c r="I424" s="13"/>
    </row>
    <row r="425" spans="1:9">
      <c r="A425" s="13" t="s">
        <v>884</v>
      </c>
      <c r="B425" s="139" t="s">
        <v>419</v>
      </c>
      <c r="C425" s="139" t="s">
        <v>378</v>
      </c>
      <c r="D425" s="15">
        <v>5000000</v>
      </c>
      <c r="E425" s="154">
        <v>0.94486155699999996</v>
      </c>
      <c r="F425" s="18">
        <v>4724307.79</v>
      </c>
      <c r="G425" s="18">
        <v>0.01</v>
      </c>
      <c r="H425" s="13"/>
      <c r="I425" s="13"/>
    </row>
    <row r="426" spans="1:9">
      <c r="A426" s="13" t="s">
        <v>885</v>
      </c>
      <c r="B426" s="139" t="s">
        <v>886</v>
      </c>
      <c r="C426" s="139" t="s">
        <v>378</v>
      </c>
      <c r="D426" s="15">
        <v>5000000</v>
      </c>
      <c r="E426" s="93">
        <v>0.93541785330000005</v>
      </c>
      <c r="F426" s="18">
        <v>4677089.2699999996</v>
      </c>
      <c r="G426" s="18">
        <v>0.01</v>
      </c>
      <c r="H426" s="13"/>
      <c r="I426" s="13"/>
    </row>
    <row r="427" spans="1:9">
      <c r="A427" s="13" t="s">
        <v>887</v>
      </c>
      <c r="B427" s="139" t="s">
        <v>888</v>
      </c>
      <c r="C427" s="139" t="s">
        <v>378</v>
      </c>
      <c r="D427" s="15">
        <v>7900000</v>
      </c>
      <c r="E427" s="93">
        <v>0.88206870240000002</v>
      </c>
      <c r="F427" s="18">
        <v>6968342.75</v>
      </c>
      <c r="G427" s="18">
        <v>0.02</v>
      </c>
      <c r="H427" s="13"/>
      <c r="I427" s="13"/>
    </row>
    <row r="428" spans="1:9">
      <c r="A428" s="13" t="s">
        <v>889</v>
      </c>
      <c r="B428" s="139" t="s">
        <v>888</v>
      </c>
      <c r="C428" s="139" t="s">
        <v>378</v>
      </c>
      <c r="D428" s="15">
        <v>7203888</v>
      </c>
      <c r="E428" s="154">
        <v>0.88206870500000001</v>
      </c>
      <c r="F428" s="18">
        <v>6354324.1600000001</v>
      </c>
      <c r="G428" s="18">
        <v>0.01</v>
      </c>
      <c r="H428" s="13"/>
      <c r="I428" s="13"/>
    </row>
    <row r="429" spans="1:9">
      <c r="A429" s="13" t="s">
        <v>890</v>
      </c>
      <c r="B429" s="139" t="s">
        <v>891</v>
      </c>
      <c r="C429" s="139" t="s">
        <v>378</v>
      </c>
      <c r="D429" s="15">
        <v>7203888</v>
      </c>
      <c r="E429" s="93">
        <v>0.8846340613</v>
      </c>
      <c r="F429" s="151">
        <v>6372804.7000000002</v>
      </c>
      <c r="G429" s="18">
        <v>0.01</v>
      </c>
      <c r="H429" s="13"/>
      <c r="I429" s="13"/>
    </row>
    <row r="430" spans="1:9">
      <c r="A430" s="13" t="s">
        <v>892</v>
      </c>
      <c r="B430" s="139" t="s">
        <v>893</v>
      </c>
      <c r="C430" s="139" t="s">
        <v>378</v>
      </c>
      <c r="D430" s="15">
        <v>7203888</v>
      </c>
      <c r="E430" s="93">
        <v>0.88292224109999995</v>
      </c>
      <c r="F430" s="18">
        <v>6360472.9400000004</v>
      </c>
      <c r="G430" s="18">
        <v>0.01</v>
      </c>
      <c r="H430" s="13"/>
      <c r="I430" s="13"/>
    </row>
    <row r="431" spans="1:9">
      <c r="A431" s="13" t="s">
        <v>894</v>
      </c>
      <c r="B431" s="139" t="s">
        <v>893</v>
      </c>
      <c r="C431" s="139" t="s">
        <v>378</v>
      </c>
      <c r="D431" s="15">
        <v>7900000</v>
      </c>
      <c r="E431" s="93">
        <v>0.88292224109999995</v>
      </c>
      <c r="F431" s="151">
        <v>6975085.7000000002</v>
      </c>
      <c r="G431" s="18">
        <v>0.02</v>
      </c>
      <c r="H431" s="13"/>
      <c r="I431" s="13"/>
    </row>
    <row r="432" spans="1:9">
      <c r="A432" s="13" t="s">
        <v>924</v>
      </c>
      <c r="B432" s="139" t="s">
        <v>607</v>
      </c>
      <c r="C432" s="139" t="s">
        <v>428</v>
      </c>
      <c r="D432" s="15">
        <v>20000000</v>
      </c>
      <c r="E432" s="93">
        <v>0.97671936029999995</v>
      </c>
      <c r="F432" s="18">
        <v>19534387.210000001</v>
      </c>
      <c r="G432" s="18">
        <v>0.04</v>
      </c>
      <c r="H432" s="13"/>
      <c r="I432" s="13"/>
    </row>
    <row r="433" spans="1:9">
      <c r="A433" s="13" t="s">
        <v>925</v>
      </c>
      <c r="B433" s="139" t="s">
        <v>169</v>
      </c>
      <c r="C433" s="139" t="s">
        <v>428</v>
      </c>
      <c r="D433" s="15">
        <v>5000000</v>
      </c>
      <c r="E433" s="93">
        <v>0.96696435790000002</v>
      </c>
      <c r="F433" s="18">
        <v>4834821.79</v>
      </c>
      <c r="G433" s="18">
        <v>0.01</v>
      </c>
      <c r="H433" s="13"/>
      <c r="I433" s="13"/>
    </row>
    <row r="434" spans="1:9">
      <c r="A434" s="13" t="s">
        <v>926</v>
      </c>
      <c r="B434" s="139" t="s">
        <v>414</v>
      </c>
      <c r="C434" s="139" t="s">
        <v>428</v>
      </c>
      <c r="D434" s="15">
        <v>5000000</v>
      </c>
      <c r="E434" s="93">
        <v>0.97144230880000004</v>
      </c>
      <c r="F434" s="18">
        <v>4857211.54</v>
      </c>
      <c r="G434" s="18">
        <v>0.01</v>
      </c>
      <c r="H434" s="13"/>
      <c r="I434" s="13"/>
    </row>
    <row r="435" spans="1:9">
      <c r="A435" s="13" t="s">
        <v>927</v>
      </c>
      <c r="B435" s="139" t="s">
        <v>503</v>
      </c>
      <c r="C435" s="139" t="s">
        <v>428</v>
      </c>
      <c r="D435" s="15">
        <v>5000000</v>
      </c>
      <c r="E435" s="93">
        <v>0.9662220051</v>
      </c>
      <c r="F435" s="18">
        <v>4831110.03</v>
      </c>
      <c r="G435" s="18">
        <v>0.01</v>
      </c>
      <c r="H435" s="13"/>
      <c r="I435" s="13"/>
    </row>
    <row r="436" spans="1:9">
      <c r="A436" s="13" t="s">
        <v>928</v>
      </c>
      <c r="B436" s="139" t="s">
        <v>499</v>
      </c>
      <c r="C436" s="139" t="s">
        <v>428</v>
      </c>
      <c r="D436" s="15">
        <v>5000000</v>
      </c>
      <c r="E436" s="93">
        <v>0.96252738069999999</v>
      </c>
      <c r="F436" s="151">
        <v>4812636.9000000004</v>
      </c>
      <c r="G436" s="18">
        <v>0.01</v>
      </c>
      <c r="H436" s="13"/>
      <c r="I436" s="13"/>
    </row>
    <row r="437" spans="1:9">
      <c r="A437" s="13" t="s">
        <v>929</v>
      </c>
      <c r="B437" s="139" t="s">
        <v>505</v>
      </c>
      <c r="C437" s="139" t="s">
        <v>428</v>
      </c>
      <c r="D437" s="15">
        <v>5000000</v>
      </c>
      <c r="E437" s="93">
        <v>0.96179195049999999</v>
      </c>
      <c r="F437" s="18">
        <v>4808959.75</v>
      </c>
      <c r="G437" s="18">
        <v>0.01</v>
      </c>
      <c r="H437" s="13"/>
      <c r="I437" s="13"/>
    </row>
    <row r="438" spans="1:9">
      <c r="A438" s="13" t="s">
        <v>930</v>
      </c>
      <c r="B438" s="139" t="s">
        <v>493</v>
      </c>
      <c r="C438" s="139" t="s">
        <v>428</v>
      </c>
      <c r="D438" s="15">
        <v>5000000</v>
      </c>
      <c r="E438" s="93">
        <v>0.96105750779999999</v>
      </c>
      <c r="F438" s="18">
        <v>4805287.54</v>
      </c>
      <c r="G438" s="18">
        <v>0.01</v>
      </c>
      <c r="H438" s="13"/>
      <c r="I438" s="13"/>
    </row>
    <row r="439" spans="1:9">
      <c r="A439" s="13" t="s">
        <v>931</v>
      </c>
      <c r="B439" s="139" t="s">
        <v>346</v>
      </c>
      <c r="C439" s="139" t="s">
        <v>428</v>
      </c>
      <c r="D439" s="15">
        <v>5000000</v>
      </c>
      <c r="E439" s="154">
        <v>0.960324187</v>
      </c>
      <c r="F439" s="18">
        <v>4801620.9400000004</v>
      </c>
      <c r="G439" s="18">
        <v>0.01</v>
      </c>
      <c r="H439" s="13"/>
      <c r="I439" s="13"/>
    </row>
    <row r="440" spans="1:9">
      <c r="A440" s="13" t="s">
        <v>932</v>
      </c>
      <c r="B440" s="139" t="s">
        <v>410</v>
      </c>
      <c r="C440" s="139" t="s">
        <v>428</v>
      </c>
      <c r="D440" s="15">
        <v>5000000</v>
      </c>
      <c r="E440" s="93">
        <v>0.95959198290000003</v>
      </c>
      <c r="F440" s="18">
        <v>4797959.91</v>
      </c>
      <c r="G440" s="18">
        <v>0.01</v>
      </c>
      <c r="H440" s="13"/>
      <c r="I440" s="13"/>
    </row>
    <row r="441" spans="1:9">
      <c r="A441" s="13" t="s">
        <v>933</v>
      </c>
      <c r="B441" s="139" t="s">
        <v>696</v>
      </c>
      <c r="C441" s="139" t="s">
        <v>428</v>
      </c>
      <c r="D441" s="15">
        <v>5000000</v>
      </c>
      <c r="E441" s="93">
        <v>0.95740219510000002</v>
      </c>
      <c r="F441" s="18">
        <v>4787010.9800000004</v>
      </c>
      <c r="G441" s="18">
        <v>0.01</v>
      </c>
      <c r="H441" s="13"/>
      <c r="I441" s="13"/>
    </row>
    <row r="442" spans="1:9">
      <c r="A442" s="13" t="s">
        <v>934</v>
      </c>
      <c r="B442" s="139" t="s">
        <v>193</v>
      </c>
      <c r="C442" s="139" t="s">
        <v>428</v>
      </c>
      <c r="D442" s="15">
        <v>5000000</v>
      </c>
      <c r="E442" s="154">
        <v>0.95667458100000002</v>
      </c>
      <c r="F442" s="18">
        <v>4783372.91</v>
      </c>
      <c r="G442" s="18">
        <v>0.01</v>
      </c>
      <c r="H442" s="13"/>
      <c r="I442" s="13"/>
    </row>
    <row r="443" spans="1:9">
      <c r="A443" s="13" t="s">
        <v>935</v>
      </c>
      <c r="B443" s="139" t="s">
        <v>402</v>
      </c>
      <c r="C443" s="139" t="s">
        <v>428</v>
      </c>
      <c r="D443" s="15">
        <v>10000000</v>
      </c>
      <c r="E443" s="93">
        <v>0.9969409038</v>
      </c>
      <c r="F443" s="18">
        <v>9969409.0399999991</v>
      </c>
      <c r="G443" s="18">
        <v>0.02</v>
      </c>
      <c r="H443" s="13"/>
      <c r="I443" s="13"/>
    </row>
    <row r="444" spans="1:9">
      <c r="A444" s="13" t="s">
        <v>936</v>
      </c>
      <c r="B444" s="139" t="s">
        <v>433</v>
      </c>
      <c r="C444" s="139" t="s">
        <v>428</v>
      </c>
      <c r="D444" s="15">
        <v>10000000</v>
      </c>
      <c r="E444" s="93">
        <v>0.99770392610000003</v>
      </c>
      <c r="F444" s="18">
        <v>9977039.2599999998</v>
      </c>
      <c r="G444" s="18">
        <v>0.02</v>
      </c>
      <c r="H444" s="13"/>
      <c r="I444" s="13"/>
    </row>
    <row r="445" spans="1:9">
      <c r="A445" s="13" t="s">
        <v>937</v>
      </c>
      <c r="B445" s="139" t="s">
        <v>416</v>
      </c>
      <c r="C445" s="139" t="s">
        <v>428</v>
      </c>
      <c r="D445" s="15">
        <v>5000000</v>
      </c>
      <c r="E445" s="93">
        <v>0.99390046129999998</v>
      </c>
      <c r="F445" s="18">
        <v>4969502.3099999996</v>
      </c>
      <c r="G445" s="18">
        <v>0.01</v>
      </c>
      <c r="H445" s="13"/>
      <c r="I445" s="13"/>
    </row>
    <row r="446" spans="1:9">
      <c r="A446" s="13" t="s">
        <v>938</v>
      </c>
      <c r="B446" s="139" t="s">
        <v>801</v>
      </c>
      <c r="C446" s="139" t="s">
        <v>428</v>
      </c>
      <c r="D446" s="15">
        <v>42000000</v>
      </c>
      <c r="E446" s="154">
        <v>0.92707838099999995</v>
      </c>
      <c r="F446" s="15">
        <v>38937292</v>
      </c>
      <c r="G446" s="18">
        <v>0.09</v>
      </c>
      <c r="H446" s="13"/>
      <c r="I446" s="13"/>
    </row>
    <row r="447" spans="1:9">
      <c r="A447" s="13" t="s">
        <v>939</v>
      </c>
      <c r="B447" s="139" t="s">
        <v>412</v>
      </c>
      <c r="C447" s="139" t="s">
        <v>428</v>
      </c>
      <c r="D447" s="15">
        <v>42000000</v>
      </c>
      <c r="E447" s="93">
        <v>0.94945767169999995</v>
      </c>
      <c r="F447" s="18">
        <v>39877222.210000001</v>
      </c>
      <c r="G447" s="18">
        <v>0.09</v>
      </c>
      <c r="H447" s="13"/>
      <c r="I447" s="13"/>
    </row>
    <row r="448" spans="1:9">
      <c r="A448" s="13" t="s">
        <v>940</v>
      </c>
      <c r="B448" s="139" t="s">
        <v>736</v>
      </c>
      <c r="C448" s="139" t="s">
        <v>428</v>
      </c>
      <c r="D448" s="15">
        <v>80000000</v>
      </c>
      <c r="E448" s="28">
        <v>0.95089239000000003</v>
      </c>
      <c r="F448" s="151">
        <v>76071391.200000003</v>
      </c>
      <c r="G448" s="18">
        <v>0.17</v>
      </c>
      <c r="H448" s="13"/>
      <c r="I448" s="13"/>
    </row>
    <row r="449" spans="1:9">
      <c r="A449" s="13" t="s">
        <v>941</v>
      </c>
      <c r="B449" s="139" t="s">
        <v>425</v>
      </c>
      <c r="C449" s="139" t="s">
        <v>428</v>
      </c>
      <c r="D449" s="15">
        <v>40000000</v>
      </c>
      <c r="E449" s="93">
        <v>0.99211746369999998</v>
      </c>
      <c r="F449" s="18">
        <v>39684698.549999997</v>
      </c>
      <c r="G449" s="18">
        <v>0.09</v>
      </c>
      <c r="H449" s="13"/>
      <c r="I449" s="13"/>
    </row>
    <row r="450" spans="1:9">
      <c r="A450" s="13" t="s">
        <v>942</v>
      </c>
      <c r="B450" s="139" t="s">
        <v>405</v>
      </c>
      <c r="C450" s="139" t="s">
        <v>428</v>
      </c>
      <c r="D450" s="15">
        <v>70000000</v>
      </c>
      <c r="E450" s="93">
        <v>0.96994509969999998</v>
      </c>
      <c r="F450" s="18">
        <v>67896156.980000004</v>
      </c>
      <c r="G450" s="18">
        <v>0.15</v>
      </c>
      <c r="H450" s="13"/>
      <c r="I450" s="13"/>
    </row>
    <row r="451" spans="1:9">
      <c r="A451" s="13" t="s">
        <v>943</v>
      </c>
      <c r="B451" s="139" t="s">
        <v>443</v>
      </c>
      <c r="C451" s="139" t="s">
        <v>428</v>
      </c>
      <c r="D451" s="15">
        <v>70000000</v>
      </c>
      <c r="E451" s="93">
        <v>0.98128831059999999</v>
      </c>
      <c r="F451" s="18">
        <v>68690181.739999995</v>
      </c>
      <c r="G451" s="18">
        <v>0.15</v>
      </c>
      <c r="H451" s="13"/>
      <c r="I451" s="13"/>
    </row>
    <row r="452" spans="1:9">
      <c r="A452" s="13" t="s">
        <v>944</v>
      </c>
      <c r="B452" s="139" t="s">
        <v>696</v>
      </c>
      <c r="C452" s="139" t="s">
        <v>428</v>
      </c>
      <c r="D452" s="15">
        <v>80000000</v>
      </c>
      <c r="E452" s="93">
        <v>0.95740219370000001</v>
      </c>
      <c r="F452" s="151">
        <v>76592175.5</v>
      </c>
      <c r="G452" s="18">
        <v>0.17</v>
      </c>
      <c r="H452" s="13"/>
      <c r="I452" s="13"/>
    </row>
    <row r="453" spans="1:9">
      <c r="A453" s="13" t="s">
        <v>945</v>
      </c>
      <c r="B453" s="139" t="s">
        <v>589</v>
      </c>
      <c r="C453" s="139" t="s">
        <v>428</v>
      </c>
      <c r="D453" s="15">
        <v>6000000</v>
      </c>
      <c r="E453" s="93">
        <v>0.99917875869999995</v>
      </c>
      <c r="F453" s="18">
        <v>5995072.5499999998</v>
      </c>
      <c r="G453" s="18">
        <v>0.01</v>
      </c>
      <c r="H453" s="13"/>
      <c r="I453" s="13"/>
    </row>
    <row r="454" spans="1:9">
      <c r="A454" s="13" t="s">
        <v>946</v>
      </c>
      <c r="B454" s="139" t="s">
        <v>594</v>
      </c>
      <c r="C454" s="139" t="s">
        <v>428</v>
      </c>
      <c r="D454" s="15">
        <v>6000000</v>
      </c>
      <c r="E454" s="93">
        <v>0.93398157829999995</v>
      </c>
      <c r="F454" s="18">
        <v>5603889.4699999997</v>
      </c>
      <c r="G454" s="18">
        <v>0.01</v>
      </c>
      <c r="H454" s="13"/>
      <c r="I454" s="13"/>
    </row>
    <row r="455" spans="1:9">
      <c r="A455" s="13" t="s">
        <v>947</v>
      </c>
      <c r="B455" s="139" t="s">
        <v>948</v>
      </c>
      <c r="C455" s="139" t="s">
        <v>428</v>
      </c>
      <c r="D455" s="15">
        <v>6000000</v>
      </c>
      <c r="E455" s="93">
        <v>0.91916398310000003</v>
      </c>
      <c r="F455" s="151">
        <v>5514983.9000000004</v>
      </c>
      <c r="G455" s="18">
        <v>0.01</v>
      </c>
      <c r="H455" s="13"/>
      <c r="I455" s="13"/>
    </row>
    <row r="456" spans="1:9">
      <c r="A456" s="13" t="s">
        <v>949</v>
      </c>
      <c r="B456" s="139" t="s">
        <v>191</v>
      </c>
      <c r="C456" s="139" t="s">
        <v>428</v>
      </c>
      <c r="D456" s="15">
        <v>21395750</v>
      </c>
      <c r="E456" s="93">
        <v>0.92863508589999999</v>
      </c>
      <c r="F456" s="18">
        <v>19868844.140000001</v>
      </c>
      <c r="G456" s="18">
        <v>0.04</v>
      </c>
      <c r="H456" s="13"/>
      <c r="I456" s="13"/>
    </row>
    <row r="457" spans="1:9">
      <c r="A457" s="13" t="s">
        <v>950</v>
      </c>
      <c r="B457" s="139" t="s">
        <v>191</v>
      </c>
      <c r="C457" s="139" t="s">
        <v>428</v>
      </c>
      <c r="D457" s="15">
        <v>21395750</v>
      </c>
      <c r="E457" s="93">
        <v>0.92863508589999999</v>
      </c>
      <c r="F457" s="18">
        <v>19868844.140000001</v>
      </c>
      <c r="G457" s="18">
        <v>0.04</v>
      </c>
      <c r="H457" s="13"/>
      <c r="I457" s="13"/>
    </row>
    <row r="458" spans="1:9">
      <c r="A458" s="13" t="s">
        <v>951</v>
      </c>
      <c r="B458" s="139" t="s">
        <v>952</v>
      </c>
      <c r="C458" s="139" t="s">
        <v>428</v>
      </c>
      <c r="D458" s="15">
        <v>21387500</v>
      </c>
      <c r="E458" s="93">
        <v>0.90507850850000005</v>
      </c>
      <c r="F458" s="151">
        <v>19357366.600000001</v>
      </c>
      <c r="G458" s="18">
        <v>0.04</v>
      </c>
      <c r="H458" s="13"/>
      <c r="I458" s="13"/>
    </row>
    <row r="459" spans="1:9">
      <c r="A459" s="13" t="s">
        <v>953</v>
      </c>
      <c r="B459" s="139" t="s">
        <v>696</v>
      </c>
      <c r="C459" s="139" t="s">
        <v>428</v>
      </c>
      <c r="D459" s="15">
        <v>21395750</v>
      </c>
      <c r="E459" s="93">
        <v>0.95180977990000004</v>
      </c>
      <c r="F459" s="151">
        <v>20364684.100000001</v>
      </c>
      <c r="G459" s="18">
        <v>0.05</v>
      </c>
      <c r="H459" s="13"/>
      <c r="I459" s="13"/>
    </row>
    <row r="460" spans="1:9">
      <c r="A460" s="13" t="s">
        <v>954</v>
      </c>
      <c r="B460" s="139" t="s">
        <v>696</v>
      </c>
      <c r="C460" s="139" t="s">
        <v>428</v>
      </c>
      <c r="D460" s="15">
        <v>21395750</v>
      </c>
      <c r="E460" s="93">
        <v>0.95180977990000004</v>
      </c>
      <c r="F460" s="151">
        <v>20364684.100000001</v>
      </c>
      <c r="G460" s="18">
        <v>0.05</v>
      </c>
      <c r="H460" s="13"/>
      <c r="I460" s="13"/>
    </row>
    <row r="461" spans="1:9">
      <c r="A461" s="13" t="s">
        <v>955</v>
      </c>
      <c r="B461" s="139" t="s">
        <v>408</v>
      </c>
      <c r="C461" s="139" t="s">
        <v>428</v>
      </c>
      <c r="D461" s="15">
        <v>16400000</v>
      </c>
      <c r="E461" s="93">
        <v>0.98637990760000005</v>
      </c>
      <c r="F461" s="18">
        <v>16176630.48</v>
      </c>
      <c r="G461" s="18">
        <v>0.04</v>
      </c>
      <c r="H461" s="13"/>
      <c r="I461" s="13"/>
    </row>
    <row r="462" spans="1:9">
      <c r="A462" s="13" t="s">
        <v>956</v>
      </c>
      <c r="B462" s="139" t="s">
        <v>414</v>
      </c>
      <c r="C462" s="139" t="s">
        <v>428</v>
      </c>
      <c r="D462" s="15">
        <v>11000000</v>
      </c>
      <c r="E462" s="93">
        <v>0.96573626990000005</v>
      </c>
      <c r="F462" s="18">
        <v>10623098.970000001</v>
      </c>
      <c r="G462" s="18">
        <v>0.02</v>
      </c>
      <c r="H462" s="13"/>
      <c r="I462" s="13"/>
    </row>
    <row r="463" spans="1:9">
      <c r="A463" s="13" t="s">
        <v>957</v>
      </c>
      <c r="B463" s="139" t="s">
        <v>607</v>
      </c>
      <c r="C463" s="139" t="s">
        <v>428</v>
      </c>
      <c r="D463" s="15">
        <v>10000000</v>
      </c>
      <c r="E463" s="93">
        <v>0.9729442331</v>
      </c>
      <c r="F463" s="18">
        <v>9729442.3300000001</v>
      </c>
      <c r="G463" s="18">
        <v>0.02</v>
      </c>
      <c r="H463" s="13"/>
      <c r="I463" s="13"/>
    </row>
    <row r="464" spans="1:9">
      <c r="A464" s="13" t="s">
        <v>958</v>
      </c>
      <c r="B464" s="139" t="s">
        <v>589</v>
      </c>
      <c r="C464" s="139" t="s">
        <v>428</v>
      </c>
      <c r="D464" s="15">
        <v>10000000</v>
      </c>
      <c r="E464" s="93">
        <v>0.99904201670000004</v>
      </c>
      <c r="F464" s="18">
        <v>9990420.1699999999</v>
      </c>
      <c r="G464" s="18">
        <v>0.02</v>
      </c>
      <c r="H464" s="13"/>
      <c r="I464" s="13"/>
    </row>
    <row r="465" spans="1:9">
      <c r="A465" s="13" t="s">
        <v>959</v>
      </c>
      <c r="B465" s="139" t="s">
        <v>171</v>
      </c>
      <c r="C465" s="139" t="s">
        <v>428</v>
      </c>
      <c r="D465" s="15">
        <v>10000000</v>
      </c>
      <c r="E465" s="93">
        <v>0.99144371109999996</v>
      </c>
      <c r="F465" s="18">
        <v>9914437.1099999994</v>
      </c>
      <c r="G465" s="18">
        <v>0.02</v>
      </c>
      <c r="H465" s="13"/>
      <c r="I465" s="13"/>
    </row>
    <row r="466" spans="1:9">
      <c r="A466" s="13" t="s">
        <v>960</v>
      </c>
      <c r="B466" s="139" t="s">
        <v>373</v>
      </c>
      <c r="C466" s="139" t="s">
        <v>428</v>
      </c>
      <c r="D466" s="15">
        <v>10000000</v>
      </c>
      <c r="E466" s="93">
        <v>0.98582043080000004</v>
      </c>
      <c r="F466" s="18">
        <v>9858204.3100000005</v>
      </c>
      <c r="G466" s="18">
        <v>0.02</v>
      </c>
      <c r="H466" s="13"/>
      <c r="I466" s="13"/>
    </row>
    <row r="467" spans="1:9">
      <c r="A467" s="13" t="s">
        <v>961</v>
      </c>
      <c r="B467" s="139" t="s">
        <v>173</v>
      </c>
      <c r="C467" s="139" t="s">
        <v>428</v>
      </c>
      <c r="D467" s="15">
        <v>10000000</v>
      </c>
      <c r="E467" s="93">
        <v>0.9793400095</v>
      </c>
      <c r="F467" s="151">
        <v>9793400.0999999996</v>
      </c>
      <c r="G467" s="18">
        <v>0.02</v>
      </c>
      <c r="H467" s="13"/>
      <c r="I467" s="13"/>
    </row>
    <row r="468" spans="1:9">
      <c r="A468" s="13" t="s">
        <v>962</v>
      </c>
      <c r="B468" s="139" t="s">
        <v>569</v>
      </c>
      <c r="C468" s="139" t="s">
        <v>428</v>
      </c>
      <c r="D468" s="15">
        <v>14133915</v>
      </c>
      <c r="E468" s="93">
        <v>0.98702002529999999</v>
      </c>
      <c r="F468" s="18">
        <v>13950457.140000001</v>
      </c>
      <c r="G468" s="18">
        <v>0.03</v>
      </c>
      <c r="H468" s="13"/>
      <c r="I468" s="13"/>
    </row>
    <row r="469" spans="1:9">
      <c r="A469" s="13" t="s">
        <v>963</v>
      </c>
      <c r="B469" s="139" t="s">
        <v>487</v>
      </c>
      <c r="C469" s="139" t="s">
        <v>428</v>
      </c>
      <c r="D469" s="15">
        <v>17111099</v>
      </c>
      <c r="E469" s="93">
        <v>0.98542121559999996</v>
      </c>
      <c r="F469" s="18">
        <v>16861639.98</v>
      </c>
      <c r="G469" s="18">
        <v>0.04</v>
      </c>
      <c r="H469" s="13"/>
      <c r="I469" s="13"/>
    </row>
    <row r="470" spans="1:9">
      <c r="A470" s="13" t="s">
        <v>964</v>
      </c>
      <c r="B470" s="139" t="s">
        <v>414</v>
      </c>
      <c r="C470" s="139" t="s">
        <v>428</v>
      </c>
      <c r="D470" s="15">
        <v>17129876</v>
      </c>
      <c r="E470" s="93">
        <v>0.97048662620000004</v>
      </c>
      <c r="F470" s="18">
        <v>16624315.57</v>
      </c>
      <c r="G470" s="18">
        <v>0.04</v>
      </c>
      <c r="H470" s="13"/>
      <c r="I470" s="13"/>
    </row>
    <row r="471" spans="1:9">
      <c r="A471" s="13" t="s">
        <v>965</v>
      </c>
      <c r="B471" s="139" t="s">
        <v>425</v>
      </c>
      <c r="C471" s="139" t="s">
        <v>428</v>
      </c>
      <c r="D471" s="15">
        <v>17302222</v>
      </c>
      <c r="E471" s="93">
        <v>0.99184786790000001</v>
      </c>
      <c r="F471" s="15">
        <v>17161172</v>
      </c>
      <c r="G471" s="18">
        <v>0.04</v>
      </c>
      <c r="H471" s="13"/>
      <c r="I471" s="13"/>
    </row>
    <row r="472" spans="1:9">
      <c r="A472" s="13" t="s">
        <v>966</v>
      </c>
      <c r="B472" s="139" t="s">
        <v>548</v>
      </c>
      <c r="C472" s="139" t="s">
        <v>428</v>
      </c>
      <c r="D472" s="15">
        <v>17224555</v>
      </c>
      <c r="E472" s="93">
        <v>0.99103994240000004</v>
      </c>
      <c r="F472" s="15">
        <v>17070222</v>
      </c>
      <c r="G472" s="18">
        <v>0.04</v>
      </c>
      <c r="H472" s="13"/>
      <c r="I472" s="13"/>
    </row>
    <row r="473" spans="1:9">
      <c r="A473" s="13" t="s">
        <v>967</v>
      </c>
      <c r="B473" s="139" t="s">
        <v>373</v>
      </c>
      <c r="C473" s="139" t="s">
        <v>428</v>
      </c>
      <c r="D473" s="15">
        <v>17098333</v>
      </c>
      <c r="E473" s="93">
        <v>0.98782141189999995</v>
      </c>
      <c r="F473" s="18">
        <v>16890099.449999999</v>
      </c>
      <c r="G473" s="18">
        <v>0.04</v>
      </c>
      <c r="H473" s="13"/>
      <c r="I473" s="13"/>
    </row>
    <row r="474" spans="1:9">
      <c r="A474" s="13" t="s">
        <v>968</v>
      </c>
      <c r="B474" s="139" t="s">
        <v>414</v>
      </c>
      <c r="C474" s="139" t="s">
        <v>428</v>
      </c>
      <c r="D474" s="15">
        <v>50000000</v>
      </c>
      <c r="E474" s="93">
        <v>0.96763082060000005</v>
      </c>
      <c r="F474" s="18">
        <v>48381541.030000001</v>
      </c>
      <c r="G474" s="18">
        <v>0.11</v>
      </c>
      <c r="H474" s="13"/>
      <c r="I474" s="13"/>
    </row>
    <row r="475" spans="1:9">
      <c r="A475" s="13" t="s">
        <v>969</v>
      </c>
      <c r="B475" s="139" t="s">
        <v>513</v>
      </c>
      <c r="C475" s="139" t="s">
        <v>428</v>
      </c>
      <c r="D475" s="15">
        <v>50000000</v>
      </c>
      <c r="E475" s="93">
        <v>0.98486286919999999</v>
      </c>
      <c r="F475" s="18">
        <v>49243143.460000001</v>
      </c>
      <c r="G475" s="18">
        <v>0.11</v>
      </c>
      <c r="H475" s="13"/>
      <c r="I475" s="13"/>
    </row>
    <row r="476" spans="1:9">
      <c r="A476" s="13" t="s">
        <v>970</v>
      </c>
      <c r="B476" s="139" t="s">
        <v>569</v>
      </c>
      <c r="C476" s="139" t="s">
        <v>428</v>
      </c>
      <c r="D476" s="15">
        <v>17348580</v>
      </c>
      <c r="E476" s="93">
        <v>0.9870200241</v>
      </c>
      <c r="F476" s="18">
        <v>17123395.850000001</v>
      </c>
      <c r="G476" s="18">
        <v>0.04</v>
      </c>
      <c r="H476" s="13"/>
      <c r="I476" s="13"/>
    </row>
    <row r="477" spans="1:9">
      <c r="A477" s="13" t="s">
        <v>971</v>
      </c>
      <c r="B477" s="139" t="s">
        <v>513</v>
      </c>
      <c r="C477" s="139" t="s">
        <v>428</v>
      </c>
      <c r="D477" s="15">
        <v>13421110</v>
      </c>
      <c r="E477" s="93">
        <v>0.98622000990000003</v>
      </c>
      <c r="F477" s="18">
        <v>13236167.24</v>
      </c>
      <c r="G477" s="18">
        <v>0.03</v>
      </c>
      <c r="H477" s="13"/>
      <c r="I477" s="13"/>
    </row>
    <row r="478" spans="1:9">
      <c r="A478" s="13" t="s">
        <v>972</v>
      </c>
      <c r="B478" s="139" t="s">
        <v>523</v>
      </c>
      <c r="C478" s="139" t="s">
        <v>428</v>
      </c>
      <c r="D478" s="15">
        <v>17352660</v>
      </c>
      <c r="E478" s="93">
        <v>0.98303265939999995</v>
      </c>
      <c r="F478" s="18">
        <v>17058231.510000002</v>
      </c>
      <c r="G478" s="18">
        <v>0.04</v>
      </c>
      <c r="H478" s="13"/>
      <c r="I478" s="13"/>
    </row>
    <row r="479" spans="1:9">
      <c r="A479" s="13" t="s">
        <v>973</v>
      </c>
      <c r="B479" s="139" t="s">
        <v>169</v>
      </c>
      <c r="C479" s="139" t="s">
        <v>428</v>
      </c>
      <c r="D479" s="15">
        <v>10000000</v>
      </c>
      <c r="E479" s="154">
        <v>0.960400068</v>
      </c>
      <c r="F479" s="18">
        <v>9604000.6799999997</v>
      </c>
      <c r="G479" s="18">
        <v>0.02</v>
      </c>
      <c r="H479" s="13"/>
      <c r="I479" s="13"/>
    </row>
    <row r="480" spans="1:9">
      <c r="A480" s="13" t="s">
        <v>974</v>
      </c>
      <c r="B480" s="139" t="s">
        <v>173</v>
      </c>
      <c r="C480" s="139" t="s">
        <v>428</v>
      </c>
      <c r="D480" s="15">
        <v>10000000</v>
      </c>
      <c r="E480" s="93">
        <v>0.9793400095</v>
      </c>
      <c r="F480" s="151">
        <v>9793400.0999999996</v>
      </c>
      <c r="G480" s="18">
        <v>0.02</v>
      </c>
      <c r="H480" s="13"/>
      <c r="I480" s="13"/>
    </row>
    <row r="481" spans="1:9">
      <c r="A481" s="13" t="s">
        <v>975</v>
      </c>
      <c r="B481" s="139" t="s">
        <v>373</v>
      </c>
      <c r="C481" s="139" t="s">
        <v>428</v>
      </c>
      <c r="D481" s="15">
        <v>10000000</v>
      </c>
      <c r="E481" s="93">
        <v>0.98582043080000004</v>
      </c>
      <c r="F481" s="18">
        <v>9858204.3100000005</v>
      </c>
      <c r="G481" s="18">
        <v>0.02</v>
      </c>
      <c r="H481" s="13"/>
      <c r="I481" s="13"/>
    </row>
    <row r="482" spans="1:9">
      <c r="A482" s="13" t="s">
        <v>976</v>
      </c>
      <c r="B482" s="139" t="s">
        <v>607</v>
      </c>
      <c r="C482" s="139" t="s">
        <v>428</v>
      </c>
      <c r="D482" s="15">
        <v>10000000</v>
      </c>
      <c r="E482" s="93">
        <v>0.9729442331</v>
      </c>
      <c r="F482" s="18">
        <v>9729442.3300000001</v>
      </c>
      <c r="G482" s="18">
        <v>0.02</v>
      </c>
      <c r="H482" s="13"/>
      <c r="I482" s="13"/>
    </row>
    <row r="483" spans="1:9">
      <c r="A483" s="13" t="s">
        <v>977</v>
      </c>
      <c r="B483" s="139" t="s">
        <v>569</v>
      </c>
      <c r="C483" s="139" t="s">
        <v>428</v>
      </c>
      <c r="D483" s="15">
        <v>5450000</v>
      </c>
      <c r="E483" s="93">
        <v>0.98488938179999996</v>
      </c>
      <c r="F483" s="18">
        <v>5367647.13</v>
      </c>
      <c r="G483" s="18">
        <v>0.01</v>
      </c>
      <c r="H483" s="13"/>
      <c r="I483" s="13"/>
    </row>
    <row r="484" spans="1:9">
      <c r="A484" s="13" t="s">
        <v>978</v>
      </c>
      <c r="B484" s="139" t="s">
        <v>862</v>
      </c>
      <c r="C484" s="139" t="s">
        <v>428</v>
      </c>
      <c r="D484" s="15">
        <v>5450000</v>
      </c>
      <c r="E484" s="154">
        <v>0.95863431300000002</v>
      </c>
      <c r="F484" s="18">
        <v>5224557.01</v>
      </c>
      <c r="G484" s="18">
        <v>0.01</v>
      </c>
      <c r="H484" s="13"/>
      <c r="I484" s="13"/>
    </row>
    <row r="485" spans="1:9">
      <c r="A485" s="13" t="s">
        <v>979</v>
      </c>
      <c r="B485" s="139" t="s">
        <v>493</v>
      </c>
      <c r="C485" s="139" t="s">
        <v>428</v>
      </c>
      <c r="D485" s="15">
        <v>5450000</v>
      </c>
      <c r="E485" s="93">
        <v>0.95337609359999997</v>
      </c>
      <c r="F485" s="18">
        <v>5195899.71</v>
      </c>
      <c r="G485" s="18">
        <v>0.01</v>
      </c>
      <c r="H485" s="13"/>
      <c r="I485" s="13"/>
    </row>
    <row r="486" spans="1:9">
      <c r="A486" s="13" t="s">
        <v>981</v>
      </c>
      <c r="B486" s="139" t="s">
        <v>982</v>
      </c>
      <c r="C486" s="139" t="s">
        <v>428</v>
      </c>
      <c r="D486" s="15">
        <v>4250000</v>
      </c>
      <c r="E486" s="93">
        <v>0.91731606669999999</v>
      </c>
      <c r="F486" s="18">
        <v>3898593.2799999998</v>
      </c>
      <c r="G486" s="18">
        <v>0.01</v>
      </c>
      <c r="H486" s="13"/>
      <c r="I486" s="13"/>
    </row>
    <row r="487" spans="1:9">
      <c r="A487" s="13" t="s">
        <v>983</v>
      </c>
      <c r="B487" s="139" t="s">
        <v>171</v>
      </c>
      <c r="C487" s="139" t="s">
        <v>428</v>
      </c>
      <c r="D487" s="15">
        <v>5450000</v>
      </c>
      <c r="E487" s="93">
        <v>0.99144371009999999</v>
      </c>
      <c r="F487" s="18">
        <v>5403368.2199999997</v>
      </c>
      <c r="G487" s="18">
        <v>0.01</v>
      </c>
      <c r="H487" s="13"/>
      <c r="I487" s="13"/>
    </row>
    <row r="488" spans="1:9">
      <c r="A488" s="13" t="s">
        <v>984</v>
      </c>
      <c r="B488" s="139" t="s">
        <v>499</v>
      </c>
      <c r="C488" s="139" t="s">
        <v>428</v>
      </c>
      <c r="D488" s="15">
        <v>5450000</v>
      </c>
      <c r="E488" s="93">
        <v>0.95512235739999995</v>
      </c>
      <c r="F488" s="18">
        <v>5205416.8499999996</v>
      </c>
      <c r="G488" s="18">
        <v>0.01</v>
      </c>
      <c r="H488" s="13"/>
      <c r="I488" s="13"/>
    </row>
    <row r="489" spans="1:9">
      <c r="A489" s="13" t="s">
        <v>985</v>
      </c>
      <c r="B489" s="139" t="s">
        <v>346</v>
      </c>
      <c r="C489" s="139" t="s">
        <v>428</v>
      </c>
      <c r="D489" s="15">
        <v>5450000</v>
      </c>
      <c r="E489" s="93">
        <v>0.95250527350000003</v>
      </c>
      <c r="F489" s="18">
        <v>5191153.74</v>
      </c>
      <c r="G489" s="18">
        <v>0.01</v>
      </c>
      <c r="H489" s="13"/>
      <c r="I489" s="13"/>
    </row>
    <row r="490" spans="1:9">
      <c r="A490" s="13" t="s">
        <v>986</v>
      </c>
      <c r="B490" s="139" t="s">
        <v>594</v>
      </c>
      <c r="C490" s="139" t="s">
        <v>428</v>
      </c>
      <c r="D490" s="15">
        <v>19999999</v>
      </c>
      <c r="E490" s="93">
        <v>0.92381675730000001</v>
      </c>
      <c r="F490" s="18">
        <v>18476334.219999999</v>
      </c>
      <c r="G490" s="18">
        <v>0.04</v>
      </c>
      <c r="H490" s="13"/>
      <c r="I490" s="13"/>
    </row>
    <row r="491" spans="1:9">
      <c r="A491" s="13" t="s">
        <v>987</v>
      </c>
      <c r="B491" s="139" t="s">
        <v>875</v>
      </c>
      <c r="C491" s="139" t="s">
        <v>428</v>
      </c>
      <c r="D491" s="15">
        <v>25000000</v>
      </c>
      <c r="E491" s="93">
        <v>0.94645410959999998</v>
      </c>
      <c r="F491" s="18">
        <v>23661352.739999998</v>
      </c>
      <c r="G491" s="18">
        <v>0.05</v>
      </c>
      <c r="H491" s="13"/>
      <c r="I491" s="13"/>
    </row>
    <row r="492" spans="1:9">
      <c r="A492" s="13" t="s">
        <v>988</v>
      </c>
      <c r="B492" s="139" t="s">
        <v>989</v>
      </c>
      <c r="C492" s="139" t="s">
        <v>428</v>
      </c>
      <c r="D492" s="15">
        <v>25000000</v>
      </c>
      <c r="E492" s="93">
        <v>0.94047934590000004</v>
      </c>
      <c r="F492" s="18">
        <v>23511983.649999999</v>
      </c>
      <c r="G492" s="18">
        <v>0.05</v>
      </c>
      <c r="H492" s="13"/>
      <c r="I492" s="13"/>
    </row>
    <row r="493" spans="1:9">
      <c r="A493" s="13" t="s">
        <v>990</v>
      </c>
      <c r="B493" s="139" t="s">
        <v>809</v>
      </c>
      <c r="C493" s="139" t="s">
        <v>428</v>
      </c>
      <c r="D493" s="15">
        <v>25000000</v>
      </c>
      <c r="E493" s="93">
        <v>0.93457954409999999</v>
      </c>
      <c r="F493" s="151">
        <v>23364488.600000001</v>
      </c>
      <c r="G493" s="18">
        <v>0.05</v>
      </c>
      <c r="H493" s="13"/>
      <c r="I493" s="13"/>
    </row>
    <row r="494" spans="1:9">
      <c r="A494" s="13" t="s">
        <v>991</v>
      </c>
      <c r="B494" s="139" t="s">
        <v>346</v>
      </c>
      <c r="C494" s="139" t="s">
        <v>428</v>
      </c>
      <c r="D494" s="15">
        <v>25000000</v>
      </c>
      <c r="E494" s="93">
        <v>0.95250527350000003</v>
      </c>
      <c r="F494" s="18">
        <v>23812631.84</v>
      </c>
      <c r="G494" s="18">
        <v>0.05</v>
      </c>
      <c r="H494" s="13"/>
      <c r="I494" s="13"/>
    </row>
    <row r="495" spans="1:9">
      <c r="A495" s="13" t="s">
        <v>996</v>
      </c>
      <c r="B495" s="139" t="s">
        <v>505</v>
      </c>
      <c r="C495" s="139" t="s">
        <v>366</v>
      </c>
      <c r="D495" s="15">
        <v>5000000</v>
      </c>
      <c r="E495" s="93">
        <v>0.96179185540000001</v>
      </c>
      <c r="F495" s="18">
        <v>4808959.28</v>
      </c>
      <c r="G495" s="18">
        <v>0.01</v>
      </c>
      <c r="H495" s="13"/>
      <c r="I495" s="13"/>
    </row>
    <row r="496" spans="1:9">
      <c r="A496" s="13" t="s">
        <v>997</v>
      </c>
      <c r="B496" s="139" t="s">
        <v>493</v>
      </c>
      <c r="C496" s="139" t="s">
        <v>366</v>
      </c>
      <c r="D496" s="15">
        <v>5000000</v>
      </c>
      <c r="E496" s="93">
        <v>0.96105754779999997</v>
      </c>
      <c r="F496" s="18">
        <v>4805287.74</v>
      </c>
      <c r="G496" s="18">
        <v>0.01</v>
      </c>
      <c r="H496" s="13"/>
      <c r="I496" s="13"/>
    </row>
    <row r="497" spans="1:9">
      <c r="A497" s="13" t="s">
        <v>998</v>
      </c>
      <c r="B497" s="139" t="s">
        <v>346</v>
      </c>
      <c r="C497" s="139" t="s">
        <v>366</v>
      </c>
      <c r="D497" s="15">
        <v>5000000</v>
      </c>
      <c r="E497" s="93">
        <v>0.96032422510000004</v>
      </c>
      <c r="F497" s="18">
        <v>4801621.13</v>
      </c>
      <c r="G497" s="18">
        <v>0.01</v>
      </c>
      <c r="H497" s="13"/>
      <c r="I497" s="13"/>
    </row>
    <row r="498" spans="1:9">
      <c r="A498" s="13" t="s">
        <v>999</v>
      </c>
      <c r="B498" s="139" t="s">
        <v>410</v>
      </c>
      <c r="C498" s="139" t="s">
        <v>366</v>
      </c>
      <c r="D498" s="15">
        <v>5000000</v>
      </c>
      <c r="E498" s="154">
        <v>0.95959202300000002</v>
      </c>
      <c r="F498" s="18">
        <v>4797960.12</v>
      </c>
      <c r="G498" s="18">
        <v>0.01</v>
      </c>
      <c r="H498" s="13"/>
      <c r="I498" s="13"/>
    </row>
    <row r="499" spans="1:9">
      <c r="A499" s="13" t="s">
        <v>1000</v>
      </c>
      <c r="B499" s="139" t="s">
        <v>696</v>
      </c>
      <c r="C499" s="139" t="s">
        <v>366</v>
      </c>
      <c r="D499" s="15">
        <v>5000000</v>
      </c>
      <c r="E499" s="93">
        <v>0.95740223589999995</v>
      </c>
      <c r="F499" s="18">
        <v>4787011.18</v>
      </c>
      <c r="G499" s="18">
        <v>0.01</v>
      </c>
      <c r="H499" s="13"/>
      <c r="I499" s="13"/>
    </row>
    <row r="500" spans="1:9">
      <c r="A500" s="13" t="s">
        <v>1001</v>
      </c>
      <c r="B500" s="139" t="s">
        <v>193</v>
      </c>
      <c r="C500" s="139" t="s">
        <v>366</v>
      </c>
      <c r="D500" s="15">
        <v>5000000</v>
      </c>
      <c r="E500" s="93">
        <v>0.95667447670000005</v>
      </c>
      <c r="F500" s="18">
        <v>4783372.38</v>
      </c>
      <c r="G500" s="18">
        <v>0.01</v>
      </c>
      <c r="H500" s="13"/>
      <c r="I500" s="13"/>
    </row>
    <row r="501" spans="1:9">
      <c r="A501" s="13" t="s">
        <v>1002</v>
      </c>
      <c r="B501" s="139" t="s">
        <v>1003</v>
      </c>
      <c r="C501" s="139" t="s">
        <v>366</v>
      </c>
      <c r="D501" s="15">
        <v>25000000</v>
      </c>
      <c r="E501" s="28">
        <v>0.91570512999999998</v>
      </c>
      <c r="F501" s="18">
        <v>22892628.25</v>
      </c>
      <c r="G501" s="18">
        <v>0.05</v>
      </c>
      <c r="H501" s="13"/>
      <c r="I501" s="13"/>
    </row>
    <row r="502" spans="1:9">
      <c r="A502" s="13" t="s">
        <v>1004</v>
      </c>
      <c r="B502" s="139" t="s">
        <v>835</v>
      </c>
      <c r="C502" s="139" t="s">
        <v>366</v>
      </c>
      <c r="D502" s="15">
        <v>10000000</v>
      </c>
      <c r="E502" s="93">
        <v>0.93407728629999998</v>
      </c>
      <c r="F502" s="18">
        <v>9340772.8599999994</v>
      </c>
      <c r="G502" s="18">
        <v>0.02</v>
      </c>
      <c r="H502" s="13"/>
      <c r="I502" s="13"/>
    </row>
    <row r="503" spans="1:9">
      <c r="A503" s="13" t="s">
        <v>1005</v>
      </c>
      <c r="B503" s="139" t="s">
        <v>1006</v>
      </c>
      <c r="C503" s="139" t="s">
        <v>366</v>
      </c>
      <c r="D503" s="15">
        <v>25000000</v>
      </c>
      <c r="E503" s="93">
        <v>0.91058789650000005</v>
      </c>
      <c r="F503" s="18">
        <v>22764697.41</v>
      </c>
      <c r="G503" s="18">
        <v>0.05</v>
      </c>
      <c r="H503" s="13"/>
      <c r="I503" s="13"/>
    </row>
    <row r="504" spans="1:9">
      <c r="A504" s="13" t="s">
        <v>1007</v>
      </c>
      <c r="B504" s="139" t="s">
        <v>1008</v>
      </c>
      <c r="C504" s="139" t="s">
        <v>366</v>
      </c>
      <c r="D504" s="15">
        <v>10000000</v>
      </c>
      <c r="E504" s="93">
        <v>0.93007848329999998</v>
      </c>
      <c r="F504" s="18">
        <v>9300784.8300000001</v>
      </c>
      <c r="G504" s="18">
        <v>0.02</v>
      </c>
      <c r="H504" s="13"/>
      <c r="I504" s="13"/>
    </row>
    <row r="505" spans="1:9">
      <c r="A505" s="13" t="s">
        <v>1009</v>
      </c>
      <c r="B505" s="139" t="s">
        <v>795</v>
      </c>
      <c r="C505" s="139" t="s">
        <v>366</v>
      </c>
      <c r="D505" s="15">
        <v>10000000</v>
      </c>
      <c r="E505" s="93">
        <v>0.92875325389999996</v>
      </c>
      <c r="F505" s="18">
        <v>9287532.5399999991</v>
      </c>
      <c r="G505" s="18">
        <v>0.02</v>
      </c>
      <c r="H505" s="13"/>
      <c r="I505" s="13"/>
    </row>
    <row r="506" spans="1:9">
      <c r="A506" s="13" t="s">
        <v>1010</v>
      </c>
      <c r="B506" s="139" t="s">
        <v>1011</v>
      </c>
      <c r="C506" s="139" t="s">
        <v>366</v>
      </c>
      <c r="D506" s="15">
        <v>25000000</v>
      </c>
      <c r="E506" s="93">
        <v>0.9099522189</v>
      </c>
      <c r="F506" s="18">
        <v>22748805.469999999</v>
      </c>
      <c r="G506" s="18">
        <v>0.05</v>
      </c>
      <c r="H506" s="13"/>
      <c r="I506" s="13"/>
    </row>
    <row r="507" spans="1:9">
      <c r="A507" s="13" t="s">
        <v>1012</v>
      </c>
      <c r="B507" s="139" t="s">
        <v>1013</v>
      </c>
      <c r="C507" s="139" t="s">
        <v>366</v>
      </c>
      <c r="D507" s="15">
        <v>10000000</v>
      </c>
      <c r="E507" s="93">
        <v>0.92743179620000005</v>
      </c>
      <c r="F507" s="18">
        <v>9274317.9600000009</v>
      </c>
      <c r="G507" s="18">
        <v>0.02</v>
      </c>
      <c r="H507" s="13"/>
      <c r="I507" s="13"/>
    </row>
    <row r="508" spans="1:9">
      <c r="A508" s="13" t="s">
        <v>1014</v>
      </c>
      <c r="B508" s="139" t="s">
        <v>1015</v>
      </c>
      <c r="C508" s="139" t="s">
        <v>366</v>
      </c>
      <c r="D508" s="15">
        <v>25000000</v>
      </c>
      <c r="E508" s="93">
        <v>0.90678726450000002</v>
      </c>
      <c r="F508" s="18">
        <v>22669681.609999999</v>
      </c>
      <c r="G508" s="18">
        <v>0.05</v>
      </c>
      <c r="H508" s="13"/>
      <c r="I508" s="13"/>
    </row>
    <row r="509" spans="1:9">
      <c r="A509" s="13" t="s">
        <v>1016</v>
      </c>
      <c r="B509" s="139" t="s">
        <v>1017</v>
      </c>
      <c r="C509" s="139" t="s">
        <v>366</v>
      </c>
      <c r="D509" s="15">
        <v>25000000</v>
      </c>
      <c r="E509" s="93">
        <v>0.90615704750000003</v>
      </c>
      <c r="F509" s="18">
        <v>22653926.190000001</v>
      </c>
      <c r="G509" s="18">
        <v>0.05</v>
      </c>
      <c r="H509" s="13"/>
      <c r="I509" s="13"/>
    </row>
    <row r="510" spans="1:9">
      <c r="A510" s="13" t="s">
        <v>1018</v>
      </c>
      <c r="B510" s="139" t="s">
        <v>632</v>
      </c>
      <c r="C510" s="139" t="s">
        <v>366</v>
      </c>
      <c r="D510" s="15">
        <v>10000000</v>
      </c>
      <c r="E510" s="93">
        <v>0.9435426241</v>
      </c>
      <c r="F510" s="18">
        <v>9435426.2400000002</v>
      </c>
      <c r="G510" s="18">
        <v>0.02</v>
      </c>
      <c r="H510" s="13"/>
      <c r="I510" s="13"/>
    </row>
    <row r="511" spans="1:9">
      <c r="A511" s="13" t="s">
        <v>1019</v>
      </c>
      <c r="B511" s="139" t="s">
        <v>948</v>
      </c>
      <c r="C511" s="139" t="s">
        <v>366</v>
      </c>
      <c r="D511" s="15">
        <v>10000000</v>
      </c>
      <c r="E511" s="93">
        <v>0.92414430479999998</v>
      </c>
      <c r="F511" s="18">
        <v>9241443.0500000007</v>
      </c>
      <c r="G511" s="18">
        <v>0.02</v>
      </c>
      <c r="H511" s="13"/>
      <c r="I511" s="13"/>
    </row>
    <row r="512" spans="1:9">
      <c r="A512" s="13" t="s">
        <v>1020</v>
      </c>
      <c r="B512" s="139" t="s">
        <v>860</v>
      </c>
      <c r="C512" s="139" t="s">
        <v>366</v>
      </c>
      <c r="D512" s="15">
        <v>10000000</v>
      </c>
      <c r="E512" s="93">
        <v>0.94286012779999995</v>
      </c>
      <c r="F512" s="18">
        <v>9428601.2799999993</v>
      </c>
      <c r="G512" s="18">
        <v>0.02</v>
      </c>
      <c r="H512" s="13"/>
      <c r="I512" s="13"/>
    </row>
    <row r="513" spans="1:9">
      <c r="A513" s="13" t="s">
        <v>1021</v>
      </c>
      <c r="B513" s="139" t="s">
        <v>1022</v>
      </c>
      <c r="C513" s="139" t="s">
        <v>366</v>
      </c>
      <c r="D513" s="15">
        <v>10000000</v>
      </c>
      <c r="E513" s="93">
        <v>0.92023008090000002</v>
      </c>
      <c r="F513" s="18">
        <v>9202300.8100000005</v>
      </c>
      <c r="G513" s="18">
        <v>0.02</v>
      </c>
      <c r="H513" s="13"/>
      <c r="I513" s="13"/>
    </row>
    <row r="514" spans="1:9">
      <c r="A514" s="13" t="s">
        <v>1023</v>
      </c>
      <c r="B514" s="139" t="s">
        <v>468</v>
      </c>
      <c r="C514" s="139" t="s">
        <v>366</v>
      </c>
      <c r="D514" s="15">
        <v>10000000</v>
      </c>
      <c r="E514" s="93">
        <v>0.94149824510000002</v>
      </c>
      <c r="F514" s="18">
        <v>9414982.4499999993</v>
      </c>
      <c r="G514" s="18">
        <v>0.02</v>
      </c>
      <c r="H514" s="13"/>
      <c r="I514" s="13"/>
    </row>
    <row r="515" spans="1:9">
      <c r="A515" s="13" t="s">
        <v>1024</v>
      </c>
      <c r="B515" s="139" t="s">
        <v>952</v>
      </c>
      <c r="C515" s="139" t="s">
        <v>366</v>
      </c>
      <c r="D515" s="15">
        <v>15000000</v>
      </c>
      <c r="E515" s="93">
        <v>0.91828520749999998</v>
      </c>
      <c r="F515" s="18">
        <v>13774278.109999999</v>
      </c>
      <c r="G515" s="18">
        <v>0.03</v>
      </c>
      <c r="H515" s="13"/>
      <c r="I515" s="13"/>
    </row>
    <row r="516" spans="1:9">
      <c r="A516" s="13" t="s">
        <v>1025</v>
      </c>
      <c r="B516" s="139" t="s">
        <v>594</v>
      </c>
      <c r="C516" s="139" t="s">
        <v>366</v>
      </c>
      <c r="D516" s="15">
        <v>10000000</v>
      </c>
      <c r="E516" s="93">
        <v>0.93811045989999997</v>
      </c>
      <c r="F516" s="151">
        <v>9381104.5999999996</v>
      </c>
      <c r="G516" s="18">
        <v>0.02</v>
      </c>
      <c r="H516" s="13"/>
      <c r="I516" s="13"/>
    </row>
    <row r="517" spans="1:9">
      <c r="A517" s="13" t="s">
        <v>1026</v>
      </c>
      <c r="B517" s="139" t="s">
        <v>191</v>
      </c>
      <c r="C517" s="139" t="s">
        <v>366</v>
      </c>
      <c r="D517" s="15">
        <v>10000000</v>
      </c>
      <c r="E517" s="93">
        <v>0.9387860965</v>
      </c>
      <c r="F517" s="18">
        <v>9387860.9700000007</v>
      </c>
      <c r="G517" s="18">
        <v>0.02</v>
      </c>
      <c r="H517" s="13"/>
      <c r="I517" s="13"/>
    </row>
    <row r="518" spans="1:9">
      <c r="A518" s="13" t="s">
        <v>1027</v>
      </c>
      <c r="B518" s="139" t="s">
        <v>503</v>
      </c>
      <c r="C518" s="139" t="s">
        <v>366</v>
      </c>
      <c r="D518" s="15">
        <v>15000000</v>
      </c>
      <c r="E518" s="93">
        <v>0.96509793740000005</v>
      </c>
      <c r="F518" s="18">
        <v>14476469.060000001</v>
      </c>
      <c r="G518" s="18">
        <v>0.03</v>
      </c>
      <c r="H518" s="13"/>
      <c r="I518" s="13"/>
    </row>
    <row r="519" spans="1:9">
      <c r="A519" s="13" t="s">
        <v>1028</v>
      </c>
      <c r="B519" s="139" t="s">
        <v>602</v>
      </c>
      <c r="C519" s="139" t="s">
        <v>366</v>
      </c>
      <c r="D519" s="15">
        <v>10000000</v>
      </c>
      <c r="E519" s="93">
        <v>0.98044484269999999</v>
      </c>
      <c r="F519" s="18">
        <v>9804448.4299999997</v>
      </c>
      <c r="G519" s="18">
        <v>0.02</v>
      </c>
      <c r="H519" s="13"/>
      <c r="I519" s="13"/>
    </row>
    <row r="520" spans="1:9">
      <c r="A520" s="13" t="s">
        <v>1029</v>
      </c>
      <c r="B520" s="139" t="s">
        <v>513</v>
      </c>
      <c r="C520" s="139" t="s">
        <v>366</v>
      </c>
      <c r="D520" s="15">
        <v>10000000</v>
      </c>
      <c r="E520" s="93">
        <v>0.98803531089999996</v>
      </c>
      <c r="F520" s="18">
        <v>9880353.1099999994</v>
      </c>
      <c r="G520" s="18">
        <v>0.02</v>
      </c>
      <c r="H520" s="13"/>
      <c r="I520" s="13"/>
    </row>
    <row r="521" spans="1:9">
      <c r="A521" s="13" t="s">
        <v>1030</v>
      </c>
      <c r="B521" s="139" t="s">
        <v>373</v>
      </c>
      <c r="C521" s="139" t="s">
        <v>366</v>
      </c>
      <c r="D521" s="15">
        <v>10000000</v>
      </c>
      <c r="E521" s="93">
        <v>0.98942807629999996</v>
      </c>
      <c r="F521" s="18">
        <v>9894280.7599999998</v>
      </c>
      <c r="G521" s="18">
        <v>0.02</v>
      </c>
      <c r="H521" s="13"/>
      <c r="I521" s="13"/>
    </row>
    <row r="522" spans="1:9">
      <c r="A522" s="13" t="s">
        <v>1031</v>
      </c>
      <c r="B522" s="139" t="s">
        <v>523</v>
      </c>
      <c r="C522" s="139" t="s">
        <v>366</v>
      </c>
      <c r="D522" s="15">
        <v>10000000</v>
      </c>
      <c r="E522" s="93">
        <v>0.98526157339999998</v>
      </c>
      <c r="F522" s="18">
        <v>9852615.7300000004</v>
      </c>
      <c r="G522" s="18">
        <v>0.02</v>
      </c>
      <c r="H522" s="13"/>
      <c r="I522" s="13"/>
    </row>
    <row r="523" spans="1:9">
      <c r="A523" s="13" t="s">
        <v>1032</v>
      </c>
      <c r="B523" s="139" t="s">
        <v>607</v>
      </c>
      <c r="C523" s="139" t="s">
        <v>366</v>
      </c>
      <c r="D523" s="15">
        <v>10000000</v>
      </c>
      <c r="E523" s="93">
        <v>0.97976064959999998</v>
      </c>
      <c r="F523" s="151">
        <v>9797606.5</v>
      </c>
      <c r="G523" s="18">
        <v>0.02</v>
      </c>
      <c r="H523" s="13"/>
      <c r="I523" s="13"/>
    </row>
    <row r="524" spans="1:9">
      <c r="A524" s="13" t="s">
        <v>1033</v>
      </c>
      <c r="B524" s="139" t="s">
        <v>487</v>
      </c>
      <c r="C524" s="139" t="s">
        <v>366</v>
      </c>
      <c r="D524" s="15">
        <v>10000000</v>
      </c>
      <c r="E524" s="93">
        <v>0.98734046740000003</v>
      </c>
      <c r="F524" s="18">
        <v>9873404.6699999999</v>
      </c>
      <c r="G524" s="18">
        <v>0.02</v>
      </c>
      <c r="H524" s="13"/>
      <c r="I524" s="13"/>
    </row>
    <row r="525" spans="1:9">
      <c r="A525" s="13" t="s">
        <v>1034</v>
      </c>
      <c r="B525" s="139" t="s">
        <v>569</v>
      </c>
      <c r="C525" s="139" t="s">
        <v>366</v>
      </c>
      <c r="D525" s="15">
        <v>10000000</v>
      </c>
      <c r="E525" s="93">
        <v>0.98873120390000002</v>
      </c>
      <c r="F525" s="18">
        <v>9887312.0399999991</v>
      </c>
      <c r="G525" s="18">
        <v>0.02</v>
      </c>
      <c r="H525" s="13"/>
      <c r="I525" s="13"/>
    </row>
    <row r="526" spans="1:9">
      <c r="A526" s="13" t="s">
        <v>1035</v>
      </c>
      <c r="B526" s="139" t="s">
        <v>173</v>
      </c>
      <c r="C526" s="139" t="s">
        <v>366</v>
      </c>
      <c r="D526" s="15">
        <v>10000000</v>
      </c>
      <c r="E526" s="93">
        <v>0.9845706326</v>
      </c>
      <c r="F526" s="18">
        <v>9845706.3300000001</v>
      </c>
      <c r="G526" s="18">
        <v>0.02</v>
      </c>
      <c r="H526" s="13"/>
      <c r="I526" s="13"/>
    </row>
    <row r="527" spans="1:9">
      <c r="A527" s="13" t="s">
        <v>1036</v>
      </c>
      <c r="B527" s="139" t="s">
        <v>405</v>
      </c>
      <c r="C527" s="139" t="s">
        <v>366</v>
      </c>
      <c r="D527" s="15">
        <v>15000000</v>
      </c>
      <c r="E527" s="93">
        <v>0.97095128539999997</v>
      </c>
      <c r="F527" s="18">
        <v>14564269.279999999</v>
      </c>
      <c r="G527" s="18">
        <v>0.03</v>
      </c>
      <c r="H527" s="13"/>
      <c r="I527" s="13"/>
    </row>
    <row r="528" spans="1:9">
      <c r="A528" s="13" t="s">
        <v>1037</v>
      </c>
      <c r="B528" s="139" t="s">
        <v>491</v>
      </c>
      <c r="C528" s="139" t="s">
        <v>366</v>
      </c>
      <c r="D528" s="15">
        <v>15000000</v>
      </c>
      <c r="E528" s="93">
        <v>0.96591513709999999</v>
      </c>
      <c r="F528" s="18">
        <v>14488727.060000001</v>
      </c>
      <c r="G528" s="18">
        <v>0.03</v>
      </c>
      <c r="H528" s="13"/>
      <c r="I528" s="13"/>
    </row>
    <row r="529" spans="1:9">
      <c r="A529" s="13" t="s">
        <v>1038</v>
      </c>
      <c r="B529" s="139" t="s">
        <v>410</v>
      </c>
      <c r="C529" s="139" t="s">
        <v>366</v>
      </c>
      <c r="D529" s="15">
        <v>15000000</v>
      </c>
      <c r="E529" s="93">
        <v>0.96093096249999999</v>
      </c>
      <c r="F529" s="18">
        <v>14413964.439999999</v>
      </c>
      <c r="G529" s="18">
        <v>0.03</v>
      </c>
      <c r="H529" s="13"/>
      <c r="I529" s="13"/>
    </row>
    <row r="530" spans="1:9">
      <c r="A530" s="13" t="s">
        <v>1039</v>
      </c>
      <c r="B530" s="139" t="s">
        <v>610</v>
      </c>
      <c r="C530" s="139" t="s">
        <v>366</v>
      </c>
      <c r="D530" s="15">
        <v>15000000</v>
      </c>
      <c r="E530" s="93">
        <v>0.97312584530000001</v>
      </c>
      <c r="F530" s="18">
        <v>14596887.68</v>
      </c>
      <c r="G530" s="18">
        <v>0.03</v>
      </c>
      <c r="H530" s="13"/>
      <c r="I530" s="13"/>
    </row>
    <row r="531" spans="1:9">
      <c r="A531" s="13" t="s">
        <v>1040</v>
      </c>
      <c r="B531" s="139" t="s">
        <v>499</v>
      </c>
      <c r="C531" s="139" t="s">
        <v>366</v>
      </c>
      <c r="D531" s="15">
        <v>150000000</v>
      </c>
      <c r="E531" s="93">
        <v>0.96439664650000001</v>
      </c>
      <c r="F531" s="18">
        <v>144659496.97999999</v>
      </c>
      <c r="G531" s="18">
        <v>0.32</v>
      </c>
      <c r="H531" s="13"/>
      <c r="I531" s="13"/>
    </row>
    <row r="532" spans="1:9">
      <c r="A532" s="13" t="s">
        <v>1041</v>
      </c>
      <c r="B532" s="139" t="s">
        <v>505</v>
      </c>
      <c r="C532" s="139" t="s">
        <v>366</v>
      </c>
      <c r="D532" s="15">
        <v>150000000</v>
      </c>
      <c r="E532" s="93">
        <v>0.96369638869999996</v>
      </c>
      <c r="F532" s="18">
        <v>144554458.31</v>
      </c>
      <c r="G532" s="18">
        <v>0.32</v>
      </c>
      <c r="H532" s="13"/>
      <c r="I532" s="13"/>
    </row>
    <row r="533" spans="1:9">
      <c r="A533" s="13" t="s">
        <v>1042</v>
      </c>
      <c r="B533" s="139" t="s">
        <v>373</v>
      </c>
      <c r="C533" s="139" t="s">
        <v>366</v>
      </c>
      <c r="D533" s="15">
        <v>130000000</v>
      </c>
      <c r="E533" s="93">
        <v>0.98342995010000001</v>
      </c>
      <c r="F533" s="18">
        <v>127845893.51000001</v>
      </c>
      <c r="G533" s="18">
        <v>0.28999999999999998</v>
      </c>
      <c r="H533" s="13"/>
      <c r="I533" s="13"/>
    </row>
    <row r="534" spans="1:9">
      <c r="A534" s="13" t="s">
        <v>1043</v>
      </c>
      <c r="B534" s="139" t="s">
        <v>589</v>
      </c>
      <c r="C534" s="139" t="s">
        <v>366</v>
      </c>
      <c r="D534" s="15">
        <v>120000000</v>
      </c>
      <c r="E534" s="93">
        <v>0.99887797749999996</v>
      </c>
      <c r="F534" s="151">
        <v>119865357.3</v>
      </c>
      <c r="G534" s="18">
        <v>0.27</v>
      </c>
      <c r="H534" s="13"/>
      <c r="I534" s="13"/>
    </row>
    <row r="535" spans="1:9">
      <c r="A535" s="13" t="s">
        <v>1044</v>
      </c>
      <c r="B535" s="139" t="s">
        <v>408</v>
      </c>
      <c r="C535" s="139" t="s">
        <v>366</v>
      </c>
      <c r="D535" s="15">
        <v>10000000</v>
      </c>
      <c r="E535" s="93">
        <v>0.9897499864</v>
      </c>
      <c r="F535" s="18">
        <v>9897499.8599999994</v>
      </c>
      <c r="G535" s="18">
        <v>0.02</v>
      </c>
      <c r="H535" s="13"/>
      <c r="I535" s="13"/>
    </row>
    <row r="536" spans="1:9">
      <c r="A536" s="13" t="s">
        <v>1045</v>
      </c>
      <c r="B536" s="139" t="s">
        <v>513</v>
      </c>
      <c r="C536" s="139" t="s">
        <v>366</v>
      </c>
      <c r="D536" s="15">
        <v>10000000</v>
      </c>
      <c r="E536" s="93">
        <v>0.98758084690000003</v>
      </c>
      <c r="F536" s="18">
        <v>9875808.4700000007</v>
      </c>
      <c r="G536" s="18">
        <v>0.02</v>
      </c>
      <c r="H536" s="13"/>
      <c r="I536" s="13"/>
    </row>
    <row r="537" spans="1:9">
      <c r="A537" s="13" t="s">
        <v>1046</v>
      </c>
      <c r="B537" s="139" t="s">
        <v>513</v>
      </c>
      <c r="C537" s="139" t="s">
        <v>366</v>
      </c>
      <c r="D537" s="15">
        <v>10000000</v>
      </c>
      <c r="E537" s="93">
        <v>0.98758084690000003</v>
      </c>
      <c r="F537" s="18">
        <v>9875808.4700000007</v>
      </c>
      <c r="G537" s="18">
        <v>0.02</v>
      </c>
      <c r="H537" s="13"/>
      <c r="I537" s="13"/>
    </row>
    <row r="538" spans="1:9">
      <c r="A538" s="13" t="s">
        <v>1047</v>
      </c>
      <c r="B538" s="139" t="s">
        <v>513</v>
      </c>
      <c r="C538" s="139" t="s">
        <v>366</v>
      </c>
      <c r="D538" s="15">
        <v>10000000</v>
      </c>
      <c r="E538" s="93">
        <v>0.98758084690000003</v>
      </c>
      <c r="F538" s="18">
        <v>9875808.4700000007</v>
      </c>
      <c r="G538" s="18">
        <v>0.02</v>
      </c>
      <c r="H538" s="13"/>
      <c r="I538" s="13"/>
    </row>
    <row r="539" spans="1:9">
      <c r="A539" s="13" t="s">
        <v>1048</v>
      </c>
      <c r="B539" s="139" t="s">
        <v>523</v>
      </c>
      <c r="C539" s="139" t="s">
        <v>366</v>
      </c>
      <c r="D539" s="15">
        <v>10000000</v>
      </c>
      <c r="E539" s="93">
        <v>0.98470338329999996</v>
      </c>
      <c r="F539" s="18">
        <v>9847033.8300000001</v>
      </c>
      <c r="G539" s="18">
        <v>0.02</v>
      </c>
      <c r="H539" s="13"/>
      <c r="I539" s="13"/>
    </row>
    <row r="540" spans="1:9">
      <c r="A540" s="13" t="s">
        <v>1049</v>
      </c>
      <c r="B540" s="139" t="s">
        <v>523</v>
      </c>
      <c r="C540" s="139" t="s">
        <v>366</v>
      </c>
      <c r="D540" s="15">
        <v>10000000</v>
      </c>
      <c r="E540" s="93">
        <v>0.98470338329999996</v>
      </c>
      <c r="F540" s="18">
        <v>9847033.8300000001</v>
      </c>
      <c r="G540" s="18">
        <v>0.02</v>
      </c>
      <c r="H540" s="13"/>
      <c r="I540" s="13"/>
    </row>
    <row r="541" spans="1:9">
      <c r="A541" s="13" t="s">
        <v>1050</v>
      </c>
      <c r="B541" s="139" t="s">
        <v>408</v>
      </c>
      <c r="C541" s="139" t="s">
        <v>366</v>
      </c>
      <c r="D541" s="15">
        <v>10000000</v>
      </c>
      <c r="E541" s="93">
        <v>0.9897499864</v>
      </c>
      <c r="F541" s="18">
        <v>9897499.8599999994</v>
      </c>
      <c r="G541" s="18">
        <v>0.02</v>
      </c>
      <c r="H541" s="13"/>
      <c r="I541" s="13"/>
    </row>
    <row r="542" spans="1:9">
      <c r="A542" s="13" t="s">
        <v>1051</v>
      </c>
      <c r="B542" s="139" t="s">
        <v>408</v>
      </c>
      <c r="C542" s="139" t="s">
        <v>366</v>
      </c>
      <c r="D542" s="15">
        <v>10000000</v>
      </c>
      <c r="E542" s="93">
        <v>0.9897499864</v>
      </c>
      <c r="F542" s="18">
        <v>9897499.8599999994</v>
      </c>
      <c r="G542" s="18">
        <v>0.02</v>
      </c>
      <c r="H542" s="13"/>
      <c r="I542" s="13"/>
    </row>
    <row r="543" spans="1:9">
      <c r="A543" s="13" t="s">
        <v>1056</v>
      </c>
      <c r="B543" s="139" t="s">
        <v>1057</v>
      </c>
      <c r="C543" s="139" t="s">
        <v>344</v>
      </c>
      <c r="D543" s="15">
        <v>8560000</v>
      </c>
      <c r="E543" s="93">
        <v>0.8659138582</v>
      </c>
      <c r="F543" s="18">
        <v>7412222.6299999999</v>
      </c>
      <c r="G543" s="18">
        <v>0.02</v>
      </c>
      <c r="H543" s="13"/>
      <c r="I543" s="13"/>
    </row>
    <row r="544" spans="1:9">
      <c r="A544" s="13" t="s">
        <v>1058</v>
      </c>
      <c r="B544" s="139" t="s">
        <v>896</v>
      </c>
      <c r="C544" s="139" t="s">
        <v>344</v>
      </c>
      <c r="D544" s="15">
        <v>9450000</v>
      </c>
      <c r="E544" s="93">
        <v>0.86223203640000001</v>
      </c>
      <c r="F544" s="18">
        <v>8148092.7400000002</v>
      </c>
      <c r="G544" s="18">
        <v>0.02</v>
      </c>
      <c r="H544" s="13"/>
      <c r="I544" s="13"/>
    </row>
    <row r="545" spans="1:9">
      <c r="A545" s="13" t="s">
        <v>1059</v>
      </c>
      <c r="B545" s="139" t="s">
        <v>1060</v>
      </c>
      <c r="C545" s="139" t="s">
        <v>344</v>
      </c>
      <c r="D545" s="15">
        <v>9450000</v>
      </c>
      <c r="E545" s="93">
        <v>0.86149934080000001</v>
      </c>
      <c r="F545" s="18">
        <v>8141168.7699999996</v>
      </c>
      <c r="G545" s="18">
        <v>0.02</v>
      </c>
      <c r="H545" s="13"/>
      <c r="I545" s="13"/>
    </row>
    <row r="546" spans="1:9">
      <c r="A546" s="13" t="s">
        <v>1061</v>
      </c>
      <c r="B546" s="139" t="s">
        <v>1062</v>
      </c>
      <c r="C546" s="139" t="s">
        <v>344</v>
      </c>
      <c r="D546" s="15">
        <v>9450000</v>
      </c>
      <c r="E546" s="93">
        <v>0.85640555620000003</v>
      </c>
      <c r="F546" s="18">
        <v>8093032.5099999998</v>
      </c>
      <c r="G546" s="18">
        <v>0.02</v>
      </c>
      <c r="H546" s="13"/>
      <c r="I546" s="13"/>
    </row>
    <row r="547" spans="1:9">
      <c r="A547" s="13" t="s">
        <v>1063</v>
      </c>
      <c r="B547" s="139" t="s">
        <v>1064</v>
      </c>
      <c r="C547" s="139" t="s">
        <v>344</v>
      </c>
      <c r="D547" s="15">
        <v>8560000</v>
      </c>
      <c r="E547" s="93">
        <v>0.86665408349999995</v>
      </c>
      <c r="F547" s="18">
        <v>7418558.9500000002</v>
      </c>
      <c r="G547" s="18">
        <v>0.02</v>
      </c>
      <c r="H547" s="13"/>
      <c r="I547" s="13"/>
    </row>
    <row r="548" spans="1:9">
      <c r="A548" s="13" t="s">
        <v>1065</v>
      </c>
      <c r="B548" s="139" t="s">
        <v>809</v>
      </c>
      <c r="C548" s="139" t="s">
        <v>344</v>
      </c>
      <c r="D548" s="151">
        <v>6410198.7999999998</v>
      </c>
      <c r="E548" s="93">
        <v>0.94517960379999999</v>
      </c>
      <c r="F548" s="18">
        <v>6058789.1600000001</v>
      </c>
      <c r="G548" s="18">
        <v>0.01</v>
      </c>
      <c r="H548" s="13"/>
      <c r="I548" s="13"/>
    </row>
    <row r="549" spans="1:9">
      <c r="A549" s="13" t="s">
        <v>1066</v>
      </c>
      <c r="B549" s="139" t="s">
        <v>809</v>
      </c>
      <c r="C549" s="139" t="s">
        <v>344</v>
      </c>
      <c r="D549" s="18">
        <v>5184831.3600000003</v>
      </c>
      <c r="E549" s="93">
        <v>0.94517960379999999</v>
      </c>
      <c r="F549" s="18">
        <v>4900596.8499999996</v>
      </c>
      <c r="G549" s="18">
        <v>0.01</v>
      </c>
      <c r="H549" s="13"/>
      <c r="I549" s="13"/>
    </row>
    <row r="550" spans="1:9">
      <c r="A550" s="13" t="s">
        <v>1067</v>
      </c>
      <c r="B550" s="139" t="s">
        <v>414</v>
      </c>
      <c r="C550" s="139" t="s">
        <v>344</v>
      </c>
      <c r="D550" s="151">
        <v>788284.3</v>
      </c>
      <c r="E550" s="93">
        <v>0.97144240449999997</v>
      </c>
      <c r="F550" s="151">
        <v>765772.80000000005</v>
      </c>
      <c r="G550" s="15">
        <v>0</v>
      </c>
      <c r="H550" s="13"/>
      <c r="I550" s="13"/>
    </row>
    <row r="551" spans="1:9">
      <c r="A551" s="13" t="s">
        <v>1068</v>
      </c>
      <c r="B551" s="139" t="s">
        <v>505</v>
      </c>
      <c r="C551" s="139" t="s">
        <v>344</v>
      </c>
      <c r="D551" s="15">
        <v>5000000</v>
      </c>
      <c r="E551" s="93">
        <v>0.96179189340000004</v>
      </c>
      <c r="F551" s="18">
        <v>4808959.47</v>
      </c>
      <c r="G551" s="18">
        <v>0.01</v>
      </c>
      <c r="H551" s="13"/>
      <c r="I551" s="13"/>
    </row>
    <row r="552" spans="1:9">
      <c r="A552" s="13" t="s">
        <v>1069</v>
      </c>
      <c r="B552" s="139" t="s">
        <v>989</v>
      </c>
      <c r="C552" s="139" t="s">
        <v>344</v>
      </c>
      <c r="D552" s="15">
        <v>5000000</v>
      </c>
      <c r="E552" s="93">
        <v>0.95017442539999997</v>
      </c>
      <c r="F552" s="18">
        <v>4750872.13</v>
      </c>
      <c r="G552" s="18">
        <v>0.01</v>
      </c>
      <c r="H552" s="13"/>
      <c r="I552" s="13"/>
    </row>
    <row r="553" spans="1:9">
      <c r="A553" s="13" t="s">
        <v>1070</v>
      </c>
      <c r="B553" s="139" t="s">
        <v>189</v>
      </c>
      <c r="C553" s="139" t="s">
        <v>344</v>
      </c>
      <c r="D553" s="15">
        <v>5000000</v>
      </c>
      <c r="E553" s="93">
        <v>0.9458899757</v>
      </c>
      <c r="F553" s="18">
        <v>4729449.88</v>
      </c>
      <c r="G553" s="18">
        <v>0.01</v>
      </c>
      <c r="H553" s="13"/>
      <c r="I553" s="13"/>
    </row>
    <row r="554" spans="1:9">
      <c r="A554" s="13" t="s">
        <v>1071</v>
      </c>
      <c r="B554" s="139" t="s">
        <v>1072</v>
      </c>
      <c r="C554" s="139" t="s">
        <v>344</v>
      </c>
      <c r="D554" s="15">
        <v>50000000</v>
      </c>
      <c r="E554" s="93">
        <v>0.91432881659999998</v>
      </c>
      <c r="F554" s="18">
        <v>45716440.829999998</v>
      </c>
      <c r="G554" s="151">
        <v>0.1</v>
      </c>
      <c r="H554" s="13"/>
      <c r="I554" s="13"/>
    </row>
    <row r="555" spans="1:9">
      <c r="A555" s="13" t="s">
        <v>1073</v>
      </c>
      <c r="B555" s="139" t="s">
        <v>1003</v>
      </c>
      <c r="C555" s="139" t="s">
        <v>344</v>
      </c>
      <c r="D555" s="15">
        <v>2500000</v>
      </c>
      <c r="E555" s="93">
        <v>0.91570500870000004</v>
      </c>
      <c r="F555" s="18">
        <v>2289262.52</v>
      </c>
      <c r="G555" s="18">
        <v>0.01</v>
      </c>
      <c r="H555" s="13"/>
      <c r="I555" s="13"/>
    </row>
    <row r="556" spans="1:9">
      <c r="A556" s="13" t="s">
        <v>1074</v>
      </c>
      <c r="B556" s="139" t="s">
        <v>893</v>
      </c>
      <c r="C556" s="139" t="s">
        <v>344</v>
      </c>
      <c r="D556" s="15">
        <v>2500000</v>
      </c>
      <c r="E556" s="93">
        <v>0.91506234060000002</v>
      </c>
      <c r="F556" s="18">
        <v>2287655.85</v>
      </c>
      <c r="G556" s="18">
        <v>0.01</v>
      </c>
      <c r="H556" s="13"/>
      <c r="I556" s="13"/>
    </row>
    <row r="557" spans="1:9">
      <c r="A557" s="13" t="s">
        <v>1075</v>
      </c>
      <c r="B557" s="139" t="s">
        <v>1076</v>
      </c>
      <c r="C557" s="139" t="s">
        <v>344</v>
      </c>
      <c r="D557" s="15">
        <v>2500000</v>
      </c>
      <c r="E557" s="93">
        <v>0.91377936420000005</v>
      </c>
      <c r="F557" s="18">
        <v>2284448.41</v>
      </c>
      <c r="G557" s="18">
        <v>0.01</v>
      </c>
      <c r="H557" s="13"/>
      <c r="I557" s="13"/>
    </row>
    <row r="558" spans="1:9">
      <c r="A558" s="13" t="s">
        <v>1077</v>
      </c>
      <c r="B558" s="139" t="s">
        <v>1006</v>
      </c>
      <c r="C558" s="139" t="s">
        <v>344</v>
      </c>
      <c r="D558" s="15">
        <v>2500000</v>
      </c>
      <c r="E558" s="93">
        <v>0.91058776860000001</v>
      </c>
      <c r="F558" s="18">
        <v>2276469.42</v>
      </c>
      <c r="G558" s="18">
        <v>0.01</v>
      </c>
      <c r="H558" s="13"/>
      <c r="I558" s="13"/>
    </row>
    <row r="559" spans="1:9">
      <c r="A559" s="13" t="s">
        <v>1078</v>
      </c>
      <c r="B559" s="139" t="s">
        <v>1011</v>
      </c>
      <c r="C559" s="139" t="s">
        <v>344</v>
      </c>
      <c r="D559" s="15">
        <v>2500000</v>
      </c>
      <c r="E559" s="93">
        <v>0.90995226279999997</v>
      </c>
      <c r="F559" s="18">
        <v>2274880.66</v>
      </c>
      <c r="G559" s="18">
        <v>0.01</v>
      </c>
      <c r="H559" s="13"/>
      <c r="I559" s="13"/>
    </row>
    <row r="560" spans="1:9">
      <c r="A560" s="13" t="s">
        <v>1079</v>
      </c>
      <c r="B560" s="139" t="s">
        <v>1080</v>
      </c>
      <c r="C560" s="139" t="s">
        <v>344</v>
      </c>
      <c r="D560" s="15">
        <v>2500000</v>
      </c>
      <c r="E560" s="93">
        <v>0.90552757319999999</v>
      </c>
      <c r="F560" s="18">
        <v>2263818.9300000002</v>
      </c>
      <c r="G560" s="18">
        <v>0.01</v>
      </c>
      <c r="H560" s="13"/>
      <c r="I560" s="13"/>
    </row>
    <row r="561" spans="1:9">
      <c r="A561" s="13" t="s">
        <v>1081</v>
      </c>
      <c r="B561" s="139" t="s">
        <v>1082</v>
      </c>
      <c r="C561" s="139" t="s">
        <v>344</v>
      </c>
      <c r="D561" s="15">
        <v>2500000</v>
      </c>
      <c r="E561" s="93">
        <v>0.90489893880000005</v>
      </c>
      <c r="F561" s="18">
        <v>2262247.35</v>
      </c>
      <c r="G561" s="18">
        <v>0.01</v>
      </c>
      <c r="H561" s="13"/>
      <c r="I561" s="13"/>
    </row>
    <row r="562" spans="1:9">
      <c r="A562" s="13" t="s">
        <v>1083</v>
      </c>
      <c r="B562" s="139" t="s">
        <v>1084</v>
      </c>
      <c r="C562" s="139" t="s">
        <v>344</v>
      </c>
      <c r="D562" s="15">
        <v>2500000</v>
      </c>
      <c r="E562" s="154">
        <v>0.90301843599999998</v>
      </c>
      <c r="F562" s="18">
        <v>2257546.09</v>
      </c>
      <c r="G562" s="18">
        <v>0.01</v>
      </c>
      <c r="H562" s="13"/>
      <c r="I562" s="13"/>
    </row>
    <row r="563" spans="1:9">
      <c r="A563" s="13" t="s">
        <v>1085</v>
      </c>
      <c r="B563" s="139" t="s">
        <v>1086</v>
      </c>
      <c r="C563" s="139" t="s">
        <v>344</v>
      </c>
      <c r="D563" s="15">
        <v>2500000</v>
      </c>
      <c r="E563" s="93">
        <v>0.90176898750000001</v>
      </c>
      <c r="F563" s="18">
        <v>2254422.4700000002</v>
      </c>
      <c r="G563" s="18">
        <v>0.01</v>
      </c>
      <c r="H563" s="13"/>
      <c r="I563" s="13"/>
    </row>
    <row r="564" spans="1:9">
      <c r="A564" s="13" t="s">
        <v>1087</v>
      </c>
      <c r="B564" s="139" t="s">
        <v>1088</v>
      </c>
      <c r="C564" s="139" t="s">
        <v>344</v>
      </c>
      <c r="D564" s="15">
        <v>2500000</v>
      </c>
      <c r="E564" s="93">
        <v>0.90114573450000002</v>
      </c>
      <c r="F564" s="18">
        <v>2252864.34</v>
      </c>
      <c r="G564" s="18">
        <v>0.01</v>
      </c>
      <c r="H564" s="13"/>
      <c r="I564" s="13"/>
    </row>
    <row r="565" spans="1:9">
      <c r="A565" s="13" t="s">
        <v>1089</v>
      </c>
      <c r="B565" s="139" t="s">
        <v>1090</v>
      </c>
      <c r="C565" s="139" t="s">
        <v>344</v>
      </c>
      <c r="D565" s="15">
        <v>2500000</v>
      </c>
      <c r="E565" s="154">
        <v>0.89866076299999997</v>
      </c>
      <c r="F565" s="18">
        <v>2246651.91</v>
      </c>
      <c r="G565" s="18">
        <v>0.01</v>
      </c>
      <c r="H565" s="13"/>
      <c r="I565" s="13"/>
    </row>
    <row r="566" spans="1:9">
      <c r="A566" s="13" t="s">
        <v>1091</v>
      </c>
      <c r="B566" s="139" t="s">
        <v>1015</v>
      </c>
      <c r="C566" s="139" t="s">
        <v>344</v>
      </c>
      <c r="D566" s="15">
        <v>2500000</v>
      </c>
      <c r="E566" s="93">
        <v>0.90678731589999995</v>
      </c>
      <c r="F566" s="18">
        <v>2266968.29</v>
      </c>
      <c r="G566" s="18">
        <v>0.01</v>
      </c>
      <c r="H566" s="13"/>
      <c r="I566" s="13"/>
    </row>
    <row r="567" spans="1:9">
      <c r="A567" s="13" t="s">
        <v>1092</v>
      </c>
      <c r="B567" s="139" t="s">
        <v>1093</v>
      </c>
      <c r="C567" s="139" t="s">
        <v>344</v>
      </c>
      <c r="D567" s="15">
        <v>2500000</v>
      </c>
      <c r="E567" s="93">
        <v>0.90239329059999995</v>
      </c>
      <c r="F567" s="18">
        <v>2255983.23</v>
      </c>
      <c r="G567" s="18">
        <v>0.01</v>
      </c>
      <c r="H567" s="13"/>
      <c r="I567" s="13"/>
    </row>
    <row r="568" spans="1:9">
      <c r="A568" s="13" t="s">
        <v>1094</v>
      </c>
      <c r="B568" s="139" t="s">
        <v>1095</v>
      </c>
      <c r="C568" s="139" t="s">
        <v>344</v>
      </c>
      <c r="D568" s="15">
        <v>2500000</v>
      </c>
      <c r="E568" s="93">
        <v>0.90741857969999995</v>
      </c>
      <c r="F568" s="18">
        <v>2268546.4500000002</v>
      </c>
      <c r="G568" s="18">
        <v>0.01</v>
      </c>
      <c r="H568" s="13"/>
      <c r="I568" s="13"/>
    </row>
    <row r="569" spans="1:9">
      <c r="A569" s="13" t="s">
        <v>1096</v>
      </c>
      <c r="B569" s="139" t="s">
        <v>425</v>
      </c>
      <c r="C569" s="139" t="s">
        <v>344</v>
      </c>
      <c r="D569" s="15">
        <v>10000000</v>
      </c>
      <c r="E569" s="93">
        <v>0.99238718469999998</v>
      </c>
      <c r="F569" s="18">
        <v>9923871.8499999996</v>
      </c>
      <c r="G569" s="18">
        <v>0.02</v>
      </c>
      <c r="H569" s="13"/>
      <c r="I569" s="13"/>
    </row>
    <row r="570" spans="1:9">
      <c r="A570" s="13" t="s">
        <v>1097</v>
      </c>
      <c r="B570" s="139" t="s">
        <v>171</v>
      </c>
      <c r="C570" s="139" t="s">
        <v>344</v>
      </c>
      <c r="D570" s="15">
        <v>10000000</v>
      </c>
      <c r="E570" s="28">
        <v>0.99314325999999997</v>
      </c>
      <c r="F570" s="151">
        <v>9931432.5999999996</v>
      </c>
      <c r="G570" s="18">
        <v>0.02</v>
      </c>
      <c r="H570" s="13"/>
      <c r="I570" s="13"/>
    </row>
    <row r="571" spans="1:9">
      <c r="A571" s="13" t="s">
        <v>1098</v>
      </c>
      <c r="B571" s="139" t="s">
        <v>416</v>
      </c>
      <c r="C571" s="139" t="s">
        <v>344</v>
      </c>
      <c r="D571" s="15">
        <v>5000000</v>
      </c>
      <c r="E571" s="93">
        <v>0.99390048470000003</v>
      </c>
      <c r="F571" s="18">
        <v>4969502.42</v>
      </c>
      <c r="G571" s="18">
        <v>0.01</v>
      </c>
      <c r="H571" s="13"/>
      <c r="I571" s="13"/>
    </row>
    <row r="572" spans="1:9">
      <c r="A572" s="13" t="s">
        <v>1099</v>
      </c>
      <c r="B572" s="139" t="s">
        <v>505</v>
      </c>
      <c r="C572" s="139" t="s">
        <v>344</v>
      </c>
      <c r="D572" s="15">
        <v>10000000</v>
      </c>
      <c r="E572" s="93">
        <v>0.96052637649999995</v>
      </c>
      <c r="F572" s="18">
        <v>9605263.7699999996</v>
      </c>
      <c r="G572" s="18">
        <v>0.02</v>
      </c>
      <c r="H572" s="13"/>
      <c r="I572" s="13"/>
    </row>
    <row r="573" spans="1:9">
      <c r="A573" s="13" t="s">
        <v>1100</v>
      </c>
      <c r="B573" s="139" t="s">
        <v>493</v>
      </c>
      <c r="C573" s="139" t="s">
        <v>344</v>
      </c>
      <c r="D573" s="15">
        <v>10000000</v>
      </c>
      <c r="E573" s="93">
        <v>0.95976862559999998</v>
      </c>
      <c r="F573" s="18">
        <v>9597686.2599999998</v>
      </c>
      <c r="G573" s="18">
        <v>0.02</v>
      </c>
      <c r="H573" s="13"/>
      <c r="I573" s="13"/>
    </row>
    <row r="574" spans="1:9">
      <c r="A574" s="13" t="s">
        <v>1101</v>
      </c>
      <c r="B574" s="139" t="s">
        <v>410</v>
      </c>
      <c r="C574" s="139" t="s">
        <v>344</v>
      </c>
      <c r="D574" s="15">
        <v>10000000</v>
      </c>
      <c r="E574" s="93">
        <v>0.95825684830000002</v>
      </c>
      <c r="F574" s="18">
        <v>9582568.4800000004</v>
      </c>
      <c r="G574" s="18">
        <v>0.02</v>
      </c>
      <c r="H574" s="13"/>
      <c r="I574" s="13"/>
    </row>
    <row r="575" spans="1:9">
      <c r="A575" s="13" t="s">
        <v>1102</v>
      </c>
      <c r="B575" s="139" t="s">
        <v>696</v>
      </c>
      <c r="C575" s="139" t="s">
        <v>344</v>
      </c>
      <c r="D575" s="15">
        <v>10000000</v>
      </c>
      <c r="E575" s="154">
        <v>0.95599802099999998</v>
      </c>
      <c r="F575" s="18">
        <v>9559980.2100000009</v>
      </c>
      <c r="G575" s="18">
        <v>0.02</v>
      </c>
      <c r="H575" s="13"/>
      <c r="I575" s="13"/>
    </row>
    <row r="576" spans="1:9">
      <c r="A576" s="13" t="s">
        <v>1103</v>
      </c>
      <c r="B576" s="139" t="s">
        <v>405</v>
      </c>
      <c r="C576" s="139" t="s">
        <v>344</v>
      </c>
      <c r="D576" s="15">
        <v>1000000</v>
      </c>
      <c r="E576" s="93">
        <v>0.97095131759999997</v>
      </c>
      <c r="F576" s="18">
        <v>970951.32</v>
      </c>
      <c r="G576" s="15">
        <v>0</v>
      </c>
      <c r="H576" s="13"/>
      <c r="I576" s="13"/>
    </row>
    <row r="577" spans="1:9">
      <c r="A577" s="13" t="s">
        <v>1104</v>
      </c>
      <c r="B577" s="139" t="s">
        <v>1105</v>
      </c>
      <c r="C577" s="139" t="s">
        <v>344</v>
      </c>
      <c r="D577" s="15">
        <v>1000000</v>
      </c>
      <c r="E577" s="93">
        <v>0.97385277869999998</v>
      </c>
      <c r="F577" s="18">
        <v>973852.78</v>
      </c>
      <c r="G577" s="15">
        <v>0</v>
      </c>
      <c r="H577" s="13"/>
      <c r="I577" s="13"/>
    </row>
    <row r="578" spans="1:9">
      <c r="A578" s="13" t="s">
        <v>1106</v>
      </c>
      <c r="B578" s="139" t="s">
        <v>388</v>
      </c>
      <c r="C578" s="139" t="s">
        <v>344</v>
      </c>
      <c r="D578" s="15">
        <v>14000000</v>
      </c>
      <c r="E578" s="93">
        <v>0.98388060040000003</v>
      </c>
      <c r="F578" s="18">
        <v>13774328.41</v>
      </c>
      <c r="G578" s="18">
        <v>0.03</v>
      </c>
      <c r="H578" s="13"/>
      <c r="I578" s="13"/>
    </row>
    <row r="579" spans="1:9">
      <c r="A579" s="13" t="s">
        <v>1107</v>
      </c>
      <c r="B579" s="139" t="s">
        <v>1108</v>
      </c>
      <c r="C579" s="139" t="s">
        <v>344</v>
      </c>
      <c r="D579" s="15">
        <v>3000000</v>
      </c>
      <c r="E579" s="93">
        <v>0.91526873279999998</v>
      </c>
      <c r="F579" s="151">
        <v>2745806.2</v>
      </c>
      <c r="G579" s="18">
        <v>0.01</v>
      </c>
      <c r="H579" s="13"/>
      <c r="I579" s="13"/>
    </row>
    <row r="580" spans="1:9">
      <c r="A580" s="13" t="s">
        <v>1109</v>
      </c>
      <c r="B580" s="139" t="s">
        <v>1013</v>
      </c>
      <c r="C580" s="139" t="s">
        <v>344</v>
      </c>
      <c r="D580" s="15">
        <v>3000000</v>
      </c>
      <c r="E580" s="93">
        <v>0.92027636820000003</v>
      </c>
      <c r="F580" s="151">
        <v>2760829.1</v>
      </c>
      <c r="G580" s="18">
        <v>0.01</v>
      </c>
      <c r="H580" s="13"/>
      <c r="I580" s="13"/>
    </row>
    <row r="581" spans="1:9">
      <c r="A581" s="13" t="s">
        <v>1110</v>
      </c>
      <c r="B581" s="139" t="s">
        <v>948</v>
      </c>
      <c r="C581" s="139" t="s">
        <v>344</v>
      </c>
      <c r="D581" s="15">
        <v>3000000</v>
      </c>
      <c r="E581" s="93">
        <v>0.91669402970000002</v>
      </c>
      <c r="F581" s="18">
        <v>2750082.09</v>
      </c>
      <c r="G581" s="18">
        <v>0.01</v>
      </c>
      <c r="H581" s="13"/>
      <c r="I581" s="13"/>
    </row>
    <row r="582" spans="1:9">
      <c r="A582" s="13" t="s">
        <v>1111</v>
      </c>
      <c r="B582" s="139" t="s">
        <v>489</v>
      </c>
      <c r="C582" s="139" t="s">
        <v>344</v>
      </c>
      <c r="D582" s="15">
        <v>20000000</v>
      </c>
      <c r="E582" s="93">
        <v>0.96986774649999996</v>
      </c>
      <c r="F582" s="18">
        <v>19397354.93</v>
      </c>
      <c r="G582" s="18">
        <v>0.04</v>
      </c>
      <c r="H582" s="13"/>
      <c r="I582" s="13"/>
    </row>
    <row r="583" spans="1:9">
      <c r="A583" s="13" t="s">
        <v>1112</v>
      </c>
      <c r="B583" s="139" t="s">
        <v>346</v>
      </c>
      <c r="C583" s="139" t="s">
        <v>344</v>
      </c>
      <c r="D583" s="15">
        <v>75000000</v>
      </c>
      <c r="E583" s="93">
        <v>0.96295916940000004</v>
      </c>
      <c r="F583" s="18">
        <v>72221937.709999993</v>
      </c>
      <c r="G583" s="18">
        <v>0.16</v>
      </c>
      <c r="H583" s="13"/>
      <c r="I583" s="13"/>
    </row>
    <row r="584" spans="1:9">
      <c r="A584" s="13" t="s">
        <v>1113</v>
      </c>
      <c r="B584" s="139" t="s">
        <v>412</v>
      </c>
      <c r="C584" s="139" t="s">
        <v>344</v>
      </c>
      <c r="D584" s="15">
        <v>75000000</v>
      </c>
      <c r="E584" s="93">
        <v>0.9527788304</v>
      </c>
      <c r="F584" s="18">
        <v>71458412.280000001</v>
      </c>
      <c r="G584" s="18">
        <v>0.16</v>
      </c>
      <c r="H584" s="13"/>
      <c r="I584" s="13"/>
    </row>
    <row r="585" spans="1:9">
      <c r="A585" s="13" t="s">
        <v>1114</v>
      </c>
      <c r="B585" s="139" t="s">
        <v>1115</v>
      </c>
      <c r="C585" s="139" t="s">
        <v>344</v>
      </c>
      <c r="D585" s="15">
        <v>25000000</v>
      </c>
      <c r="E585" s="154">
        <v>0.92232275200000002</v>
      </c>
      <c r="F585" s="151">
        <v>23058068.800000001</v>
      </c>
      <c r="G585" s="18">
        <v>0.05</v>
      </c>
      <c r="H585" s="13"/>
      <c r="I585" s="13"/>
    </row>
    <row r="586" spans="1:9">
      <c r="A586" s="13" t="s">
        <v>1116</v>
      </c>
      <c r="B586" s="139" t="s">
        <v>487</v>
      </c>
      <c r="C586" s="139" t="s">
        <v>344</v>
      </c>
      <c r="D586" s="15">
        <v>25000000</v>
      </c>
      <c r="E586" s="93">
        <v>0.98685990690000003</v>
      </c>
      <c r="F586" s="18">
        <v>24671497.670000002</v>
      </c>
      <c r="G586" s="18">
        <v>0.06</v>
      </c>
      <c r="H586" s="13"/>
      <c r="I586" s="13"/>
    </row>
    <row r="587" spans="1:9">
      <c r="A587" s="13" t="s">
        <v>1117</v>
      </c>
      <c r="B587" s="139" t="s">
        <v>862</v>
      </c>
      <c r="C587" s="139" t="s">
        <v>344</v>
      </c>
      <c r="D587" s="15">
        <v>25000000</v>
      </c>
      <c r="E587" s="93">
        <v>0.9666314573</v>
      </c>
      <c r="F587" s="18">
        <v>24165786.43</v>
      </c>
      <c r="G587" s="18">
        <v>0.05</v>
      </c>
      <c r="H587" s="13"/>
      <c r="I587" s="13"/>
    </row>
    <row r="588" spans="1:9">
      <c r="A588" s="13" t="s">
        <v>1118</v>
      </c>
      <c r="B588" s="139" t="s">
        <v>875</v>
      </c>
      <c r="C588" s="139" t="s">
        <v>344</v>
      </c>
      <c r="D588" s="15">
        <v>25000000</v>
      </c>
      <c r="E588" s="93">
        <v>0.95669965379999999</v>
      </c>
      <c r="F588" s="18">
        <v>23917491.350000001</v>
      </c>
      <c r="G588" s="18">
        <v>0.05</v>
      </c>
      <c r="H588" s="13"/>
      <c r="I588" s="13"/>
    </row>
    <row r="589" spans="1:9">
      <c r="A589" s="13" t="s">
        <v>1119</v>
      </c>
      <c r="B589" s="139" t="s">
        <v>477</v>
      </c>
      <c r="C589" s="139" t="s">
        <v>344</v>
      </c>
      <c r="D589" s="15">
        <v>16500000</v>
      </c>
      <c r="E589" s="93">
        <v>0.9759358615</v>
      </c>
      <c r="F589" s="18">
        <v>16102941.710000001</v>
      </c>
      <c r="G589" s="18">
        <v>0.04</v>
      </c>
      <c r="H589" s="13"/>
      <c r="I589" s="13"/>
    </row>
    <row r="590" spans="1:9">
      <c r="A590" s="13" t="s">
        <v>1120</v>
      </c>
      <c r="B590" s="139" t="s">
        <v>408</v>
      </c>
      <c r="C590" s="139" t="s">
        <v>344</v>
      </c>
      <c r="D590" s="15">
        <v>50000000</v>
      </c>
      <c r="E590" s="93">
        <v>0.9848893943</v>
      </c>
      <c r="F590" s="18">
        <v>49244469.719999999</v>
      </c>
      <c r="G590" s="18">
        <v>0.11</v>
      </c>
      <c r="H590" s="13"/>
      <c r="I590" s="13"/>
    </row>
    <row r="591" spans="1:9">
      <c r="A591" s="13" t="s">
        <v>1121</v>
      </c>
      <c r="B591" s="139" t="s">
        <v>813</v>
      </c>
      <c r="C591" s="139" t="s">
        <v>344</v>
      </c>
      <c r="D591" s="15">
        <v>10000000</v>
      </c>
      <c r="E591" s="93">
        <v>0.94234890520000003</v>
      </c>
      <c r="F591" s="18">
        <v>9423489.0500000007</v>
      </c>
      <c r="G591" s="18">
        <v>0.02</v>
      </c>
      <c r="H591" s="13"/>
      <c r="I591" s="13"/>
    </row>
    <row r="592" spans="1:9">
      <c r="A592" s="13" t="s">
        <v>1122</v>
      </c>
      <c r="B592" s="139" t="s">
        <v>860</v>
      </c>
      <c r="C592" s="139" t="s">
        <v>344</v>
      </c>
      <c r="D592" s="15">
        <v>10000000</v>
      </c>
      <c r="E592" s="93">
        <v>0.94093998540000001</v>
      </c>
      <c r="F592" s="18">
        <v>9409399.8499999996</v>
      </c>
      <c r="G592" s="18">
        <v>0.02</v>
      </c>
      <c r="H592" s="13"/>
      <c r="I592" s="13"/>
    </row>
    <row r="593" spans="1:9">
      <c r="A593" s="13" t="s">
        <v>1123</v>
      </c>
      <c r="B593" s="139" t="s">
        <v>1124</v>
      </c>
      <c r="C593" s="139" t="s">
        <v>344</v>
      </c>
      <c r="D593" s="15">
        <v>10000000</v>
      </c>
      <c r="E593" s="93">
        <v>0.94023702419999999</v>
      </c>
      <c r="F593" s="18">
        <v>9402370.2400000002</v>
      </c>
      <c r="G593" s="18">
        <v>0.02</v>
      </c>
      <c r="H593" s="13"/>
      <c r="I593" s="13"/>
    </row>
    <row r="594" spans="1:9">
      <c r="A594" s="13" t="s">
        <v>1125</v>
      </c>
      <c r="B594" s="139" t="s">
        <v>468</v>
      </c>
      <c r="C594" s="139" t="s">
        <v>344</v>
      </c>
      <c r="D594" s="15">
        <v>10000000</v>
      </c>
      <c r="E594" s="154">
        <v>0.93953527400000003</v>
      </c>
      <c r="F594" s="18">
        <v>9395352.7400000002</v>
      </c>
      <c r="G594" s="18">
        <v>0.02</v>
      </c>
      <c r="H594" s="13"/>
      <c r="I594" s="13"/>
    </row>
    <row r="595" spans="1:9">
      <c r="A595" s="13" t="s">
        <v>1126</v>
      </c>
      <c r="B595" s="139" t="s">
        <v>886</v>
      </c>
      <c r="C595" s="139" t="s">
        <v>344</v>
      </c>
      <c r="D595" s="15">
        <v>10000000</v>
      </c>
      <c r="E595" s="93">
        <v>0.93743581030000001</v>
      </c>
      <c r="F595" s="151">
        <v>9374358.0999999996</v>
      </c>
      <c r="G595" s="18">
        <v>0.02</v>
      </c>
      <c r="H595" s="13"/>
      <c r="I595" s="13"/>
    </row>
    <row r="596" spans="1:9">
      <c r="A596" s="13" t="s">
        <v>1127</v>
      </c>
      <c r="B596" s="139" t="s">
        <v>191</v>
      </c>
      <c r="C596" s="139" t="s">
        <v>344</v>
      </c>
      <c r="D596" s="15">
        <v>10000000</v>
      </c>
      <c r="E596" s="93">
        <v>0.93673823519999999</v>
      </c>
      <c r="F596" s="18">
        <v>9367382.3499999996</v>
      </c>
      <c r="G596" s="18">
        <v>0.02</v>
      </c>
      <c r="H596" s="13"/>
      <c r="I596" s="13"/>
    </row>
    <row r="597" spans="1:9">
      <c r="A597" s="13" t="s">
        <v>1128</v>
      </c>
      <c r="B597" s="139" t="s">
        <v>632</v>
      </c>
      <c r="C597" s="139" t="s">
        <v>344</v>
      </c>
      <c r="D597" s="15">
        <v>10000000</v>
      </c>
      <c r="E597" s="93">
        <v>0.94164399929999998</v>
      </c>
      <c r="F597" s="18">
        <v>9416439.9900000002</v>
      </c>
      <c r="G597" s="18">
        <v>0.02</v>
      </c>
      <c r="H597" s="13"/>
      <c r="I597" s="13"/>
    </row>
    <row r="598" spans="1:9">
      <c r="A598" s="13" t="s">
        <v>1129</v>
      </c>
      <c r="B598" s="139" t="s">
        <v>373</v>
      </c>
      <c r="C598" s="139" t="s">
        <v>344</v>
      </c>
      <c r="D598" s="18">
        <v>3926635.97</v>
      </c>
      <c r="E598" s="93">
        <v>0.98462368769999997</v>
      </c>
      <c r="F598" s="18">
        <v>3866258.79</v>
      </c>
      <c r="G598" s="18">
        <v>0.01</v>
      </c>
      <c r="H598" s="13"/>
      <c r="I598" s="13"/>
    </row>
    <row r="599" spans="1:9">
      <c r="A599" s="13" t="s">
        <v>1130</v>
      </c>
      <c r="B599" s="139" t="s">
        <v>425</v>
      </c>
      <c r="C599" s="139" t="s">
        <v>344</v>
      </c>
      <c r="D599" s="15">
        <v>3926635</v>
      </c>
      <c r="E599" s="93">
        <v>0.98969633729999995</v>
      </c>
      <c r="F599" s="18">
        <v>3886176.28</v>
      </c>
      <c r="G599" s="18">
        <v>0.01</v>
      </c>
      <c r="H599" s="13"/>
      <c r="I599" s="13"/>
    </row>
    <row r="600" spans="1:9">
      <c r="A600" s="13" t="s">
        <v>1131</v>
      </c>
      <c r="B600" s="139" t="s">
        <v>477</v>
      </c>
      <c r="C600" s="139" t="s">
        <v>344</v>
      </c>
      <c r="D600" s="18">
        <v>4298084.1900000004</v>
      </c>
      <c r="E600" s="154">
        <v>0.97463287700000001</v>
      </c>
      <c r="F600" s="18">
        <v>4189054.16</v>
      </c>
      <c r="G600" s="18">
        <v>0.01</v>
      </c>
      <c r="H600" s="13"/>
      <c r="I600" s="13"/>
    </row>
    <row r="601" spans="1:9">
      <c r="A601" s="13" t="s">
        <v>1132</v>
      </c>
      <c r="B601" s="139" t="s">
        <v>493</v>
      </c>
      <c r="C601" s="139" t="s">
        <v>344</v>
      </c>
      <c r="D601" s="18">
        <v>4599318.34</v>
      </c>
      <c r="E601" s="93">
        <v>0.94958117009999998</v>
      </c>
      <c r="F601" s="18">
        <v>4367426.09</v>
      </c>
      <c r="G601" s="18">
        <v>0.01</v>
      </c>
      <c r="H601" s="13"/>
      <c r="I601" s="13"/>
    </row>
    <row r="602" spans="1:9">
      <c r="A602" s="13" t="s">
        <v>1133</v>
      </c>
      <c r="B602" s="139" t="s">
        <v>191</v>
      </c>
      <c r="C602" s="139" t="s">
        <v>344</v>
      </c>
      <c r="D602" s="15">
        <v>4500000</v>
      </c>
      <c r="E602" s="93">
        <v>0.91870140629999997</v>
      </c>
      <c r="F602" s="18">
        <v>4134156.33</v>
      </c>
      <c r="G602" s="18">
        <v>0.01</v>
      </c>
      <c r="H602" s="13"/>
      <c r="I602" s="13"/>
    </row>
    <row r="603" spans="1:9">
      <c r="A603" s="13" t="s">
        <v>1134</v>
      </c>
      <c r="B603" s="139" t="s">
        <v>388</v>
      </c>
      <c r="C603" s="139" t="s">
        <v>344</v>
      </c>
      <c r="D603" s="18">
        <v>4298084.1900000004</v>
      </c>
      <c r="E603" s="93">
        <v>0.9766148563</v>
      </c>
      <c r="F603" s="18">
        <v>4197572.87</v>
      </c>
      <c r="G603" s="18">
        <v>0.01</v>
      </c>
      <c r="H603" s="13"/>
      <c r="I603" s="13"/>
    </row>
    <row r="604" spans="1:9">
      <c r="A604" s="13" t="s">
        <v>1135</v>
      </c>
      <c r="B604" s="139" t="s">
        <v>696</v>
      </c>
      <c r="C604" s="139" t="s">
        <v>344</v>
      </c>
      <c r="D604" s="18">
        <v>4599318.34</v>
      </c>
      <c r="E604" s="93">
        <v>0.94491057010000001</v>
      </c>
      <c r="F604" s="18">
        <v>4345944.51</v>
      </c>
      <c r="G604" s="18">
        <v>0.01</v>
      </c>
      <c r="H604" s="13"/>
      <c r="I604" s="13"/>
    </row>
    <row r="605" spans="1:9">
      <c r="A605" s="13" t="s">
        <v>1136</v>
      </c>
      <c r="B605" s="139" t="s">
        <v>596</v>
      </c>
      <c r="C605" s="139" t="s">
        <v>344</v>
      </c>
      <c r="D605" s="15">
        <v>4500000</v>
      </c>
      <c r="E605" s="154">
        <v>0.94305502100000005</v>
      </c>
      <c r="F605" s="18">
        <v>4243747.59</v>
      </c>
      <c r="G605" s="18">
        <v>0.01</v>
      </c>
      <c r="H605" s="13"/>
      <c r="I605" s="13"/>
    </row>
    <row r="606" spans="1:9">
      <c r="A606" s="13" t="s">
        <v>1137</v>
      </c>
      <c r="B606" s="139" t="s">
        <v>414</v>
      </c>
      <c r="C606" s="139" t="s">
        <v>344</v>
      </c>
      <c r="D606" s="18">
        <v>4599318.34</v>
      </c>
      <c r="E606" s="93">
        <v>0.96290840180000004</v>
      </c>
      <c r="F606" s="18">
        <v>4428722.2699999996</v>
      </c>
      <c r="G606" s="18">
        <v>0.01</v>
      </c>
      <c r="H606" s="13"/>
      <c r="I606" s="13"/>
    </row>
    <row r="607" spans="1:9">
      <c r="A607" s="13" t="s">
        <v>1138</v>
      </c>
      <c r="B607" s="139" t="s">
        <v>425</v>
      </c>
      <c r="C607" s="139" t="s">
        <v>344</v>
      </c>
      <c r="D607" s="18">
        <v>4599318.34</v>
      </c>
      <c r="E607" s="93">
        <v>0.98969633680000002</v>
      </c>
      <c r="F607" s="18">
        <v>4551928.51</v>
      </c>
      <c r="G607" s="18">
        <v>0.01</v>
      </c>
      <c r="H607" s="13"/>
      <c r="I607" s="13"/>
    </row>
    <row r="608" spans="1:9">
      <c r="A608" s="13" t="s">
        <v>1139</v>
      </c>
      <c r="B608" s="139" t="s">
        <v>871</v>
      </c>
      <c r="C608" s="139" t="s">
        <v>344</v>
      </c>
      <c r="D608" s="15">
        <v>4500000</v>
      </c>
      <c r="E608" s="93">
        <v>0.90145722709999998</v>
      </c>
      <c r="F608" s="18">
        <v>4056557.52</v>
      </c>
      <c r="G608" s="18">
        <v>0.01</v>
      </c>
      <c r="H608" s="13"/>
      <c r="I608" s="13"/>
    </row>
    <row r="609" spans="1:9">
      <c r="A609" s="13" t="s">
        <v>1140</v>
      </c>
      <c r="B609" s="139" t="s">
        <v>860</v>
      </c>
      <c r="C609" s="139" t="s">
        <v>344</v>
      </c>
      <c r="D609" s="15">
        <v>4500000</v>
      </c>
      <c r="E609" s="93">
        <v>0.92400394770000005</v>
      </c>
      <c r="F609" s="18">
        <v>4158017.76</v>
      </c>
      <c r="G609" s="18">
        <v>0.01</v>
      </c>
      <c r="H609" s="13"/>
      <c r="I609" s="13"/>
    </row>
    <row r="610" spans="1:9">
      <c r="A610" s="13" t="s">
        <v>1141</v>
      </c>
      <c r="B610" s="139" t="s">
        <v>607</v>
      </c>
      <c r="C610" s="139" t="s">
        <v>344</v>
      </c>
      <c r="D610" s="18">
        <v>7162509.1500000004</v>
      </c>
      <c r="E610" s="28">
        <v>0.97069307000000005</v>
      </c>
      <c r="F610" s="15">
        <v>6952598</v>
      </c>
      <c r="G610" s="18">
        <v>0.02</v>
      </c>
      <c r="H610" s="13"/>
      <c r="I610" s="13"/>
    </row>
    <row r="611" spans="1:9">
      <c r="A611" s="13" t="s">
        <v>1142</v>
      </c>
      <c r="B611" s="139" t="s">
        <v>835</v>
      </c>
      <c r="C611" s="139" t="s">
        <v>344</v>
      </c>
      <c r="D611" s="18">
        <v>7162509.1500000004</v>
      </c>
      <c r="E611" s="93">
        <v>0.91259145220000004</v>
      </c>
      <c r="F611" s="18">
        <v>6536444.6299999999</v>
      </c>
      <c r="G611" s="18">
        <v>0.01</v>
      </c>
      <c r="H611" s="13"/>
      <c r="I611" s="13"/>
    </row>
    <row r="612" spans="1:9">
      <c r="A612" s="13" t="s">
        <v>1143</v>
      </c>
      <c r="B612" s="139" t="s">
        <v>1015</v>
      </c>
      <c r="C612" s="139" t="s">
        <v>344</v>
      </c>
      <c r="D612" s="18">
        <v>6899161.7699999996</v>
      </c>
      <c r="E612" s="93">
        <v>0.87757270060000003</v>
      </c>
      <c r="F612" s="18">
        <v>6054516.0300000003</v>
      </c>
      <c r="G612" s="18">
        <v>0.01</v>
      </c>
      <c r="H612" s="13"/>
      <c r="I612" s="13"/>
    </row>
    <row r="613" spans="1:9">
      <c r="A613" s="13" t="s">
        <v>1144</v>
      </c>
      <c r="B613" s="139" t="s">
        <v>443</v>
      </c>
      <c r="C613" s="139" t="s">
        <v>344</v>
      </c>
      <c r="D613" s="18">
        <v>7272516.8499999996</v>
      </c>
      <c r="E613" s="93">
        <v>0.97562286239999996</v>
      </c>
      <c r="F613" s="18">
        <v>7095233.71</v>
      </c>
      <c r="G613" s="18">
        <v>0.02</v>
      </c>
      <c r="H613" s="13"/>
      <c r="I613" s="13"/>
    </row>
    <row r="614" spans="1:9">
      <c r="A614" s="13" t="s">
        <v>1145</v>
      </c>
      <c r="B614" s="139" t="s">
        <v>425</v>
      </c>
      <c r="C614" s="139" t="s">
        <v>344</v>
      </c>
      <c r="D614" s="18">
        <v>6110818.4299999997</v>
      </c>
      <c r="E614" s="154">
        <v>0.98969633599999995</v>
      </c>
      <c r="F614" s="18">
        <v>6047854.6100000003</v>
      </c>
      <c r="G614" s="18">
        <v>0.01</v>
      </c>
      <c r="H614" s="13"/>
      <c r="I614" s="13"/>
    </row>
    <row r="615" spans="1:9">
      <c r="A615" s="13" t="s">
        <v>1146</v>
      </c>
      <c r="B615" s="139" t="s">
        <v>1022</v>
      </c>
      <c r="C615" s="139" t="s">
        <v>344</v>
      </c>
      <c r="D615" s="18">
        <v>6899161.7699999996</v>
      </c>
      <c r="E615" s="93">
        <v>0.89473945720000003</v>
      </c>
      <c r="F615" s="18">
        <v>6172952.2599999998</v>
      </c>
      <c r="G615" s="18">
        <v>0.01</v>
      </c>
      <c r="H615" s="13"/>
      <c r="I615" s="13"/>
    </row>
    <row r="616" spans="1:9">
      <c r="A616" s="13" t="s">
        <v>1147</v>
      </c>
      <c r="B616" s="139" t="s">
        <v>1148</v>
      </c>
      <c r="C616" s="139" t="s">
        <v>344</v>
      </c>
      <c r="D616" s="18">
        <v>7133529.1399999997</v>
      </c>
      <c r="E616" s="93">
        <v>0.91172516930000003</v>
      </c>
      <c r="F616" s="18">
        <v>6503818.0599999996</v>
      </c>
      <c r="G616" s="18">
        <v>0.01</v>
      </c>
      <c r="H616" s="13"/>
      <c r="I616" s="13"/>
    </row>
    <row r="617" spans="1:9">
      <c r="A617" s="13" t="s">
        <v>1149</v>
      </c>
      <c r="B617" s="139" t="s">
        <v>1017</v>
      </c>
      <c r="C617" s="139" t="s">
        <v>344</v>
      </c>
      <c r="D617" s="18">
        <v>7133529.1399999997</v>
      </c>
      <c r="E617" s="93">
        <v>0.87677159019999995</v>
      </c>
      <c r="F617" s="18">
        <v>6254475.6900000004</v>
      </c>
      <c r="G617" s="18">
        <v>0.01</v>
      </c>
      <c r="H617" s="13"/>
      <c r="I617" s="13"/>
    </row>
    <row r="618" spans="1:9">
      <c r="A618" s="13" t="s">
        <v>1150</v>
      </c>
      <c r="B618" s="139" t="s">
        <v>1072</v>
      </c>
      <c r="C618" s="139" t="s">
        <v>344</v>
      </c>
      <c r="D618" s="18">
        <v>4500591.28</v>
      </c>
      <c r="E618" s="154">
        <v>0.89390693200000004</v>
      </c>
      <c r="F618" s="18">
        <v>4023109.74</v>
      </c>
      <c r="G618" s="18">
        <v>0.01</v>
      </c>
      <c r="H618" s="13"/>
      <c r="I618" s="13"/>
    </row>
    <row r="619" spans="1:9">
      <c r="A619" s="13" t="s">
        <v>1151</v>
      </c>
      <c r="B619" s="139" t="s">
        <v>813</v>
      </c>
      <c r="C619" s="139" t="s">
        <v>344</v>
      </c>
      <c r="D619" s="18">
        <v>7865231.25</v>
      </c>
      <c r="E619" s="93">
        <v>0.92578502039999999</v>
      </c>
      <c r="F619" s="18">
        <v>7281513.2699999996</v>
      </c>
      <c r="G619" s="18">
        <v>0.02</v>
      </c>
      <c r="H619" s="13"/>
      <c r="I619" s="13"/>
    </row>
    <row r="620" spans="1:9">
      <c r="A620" s="13" t="s">
        <v>1152</v>
      </c>
      <c r="B620" s="139" t="s">
        <v>405</v>
      </c>
      <c r="C620" s="139" t="s">
        <v>344</v>
      </c>
      <c r="D620" s="15">
        <v>3500000</v>
      </c>
      <c r="E620" s="93">
        <v>0.96994504240000001</v>
      </c>
      <c r="F620" s="18">
        <v>3394807.65</v>
      </c>
      <c r="G620" s="18">
        <v>0.01</v>
      </c>
      <c r="H620" s="13"/>
      <c r="I620" s="13"/>
    </row>
    <row r="621" spans="1:9">
      <c r="A621" s="13" t="s">
        <v>1153</v>
      </c>
      <c r="B621" s="139" t="s">
        <v>503</v>
      </c>
      <c r="C621" s="139" t="s">
        <v>344</v>
      </c>
      <c r="D621" s="15">
        <v>3500000</v>
      </c>
      <c r="E621" s="93">
        <v>0.96622194319999999</v>
      </c>
      <c r="F621" s="151">
        <v>3381776.8</v>
      </c>
      <c r="G621" s="18">
        <v>0.01</v>
      </c>
      <c r="H621" s="13"/>
      <c r="I621" s="13"/>
    </row>
    <row r="622" spans="1:9">
      <c r="A622" s="13" t="s">
        <v>1154</v>
      </c>
      <c r="B622" s="139" t="s">
        <v>493</v>
      </c>
      <c r="C622" s="139" t="s">
        <v>344</v>
      </c>
      <c r="D622" s="15">
        <v>3500000</v>
      </c>
      <c r="E622" s="93">
        <v>0.96105744319999997</v>
      </c>
      <c r="F622" s="18">
        <v>3363701.05</v>
      </c>
      <c r="G622" s="18">
        <v>0.01</v>
      </c>
      <c r="H622" s="13"/>
      <c r="I622" s="13"/>
    </row>
    <row r="623" spans="1:9">
      <c r="A623" s="13" t="s">
        <v>1155</v>
      </c>
      <c r="B623" s="139" t="s">
        <v>696</v>
      </c>
      <c r="C623" s="139" t="s">
        <v>344</v>
      </c>
      <c r="D623" s="15">
        <v>3500000</v>
      </c>
      <c r="E623" s="93">
        <v>0.9574022781</v>
      </c>
      <c r="F623" s="18">
        <v>3350907.97</v>
      </c>
      <c r="G623" s="18">
        <v>0.01</v>
      </c>
      <c r="H623" s="13"/>
      <c r="I623" s="13"/>
    </row>
    <row r="624" spans="1:9">
      <c r="A624" s="13" t="s">
        <v>1156</v>
      </c>
      <c r="B624" s="139" t="s">
        <v>171</v>
      </c>
      <c r="C624" s="139" t="s">
        <v>344</v>
      </c>
      <c r="D624" s="15">
        <v>100000000</v>
      </c>
      <c r="E624" s="93">
        <v>0.99144374140000002</v>
      </c>
      <c r="F624" s="18">
        <v>99144374.140000001</v>
      </c>
      <c r="G624" s="18">
        <v>0.22</v>
      </c>
      <c r="H624" s="13"/>
      <c r="I624" s="13"/>
    </row>
    <row r="625" spans="1:9">
      <c r="A625" s="13" t="s">
        <v>1157</v>
      </c>
      <c r="B625" s="139" t="s">
        <v>402</v>
      </c>
      <c r="C625" s="139" t="s">
        <v>344</v>
      </c>
      <c r="D625" s="15">
        <v>6000000</v>
      </c>
      <c r="E625" s="93">
        <v>0.99585288770000002</v>
      </c>
      <c r="F625" s="18">
        <v>5975117.3300000001</v>
      </c>
      <c r="G625" s="18">
        <v>0.01</v>
      </c>
      <c r="H625" s="13"/>
      <c r="I625" s="13"/>
    </row>
    <row r="626" spans="1:9">
      <c r="A626" s="13" t="s">
        <v>1158</v>
      </c>
      <c r="B626" s="139" t="s">
        <v>433</v>
      </c>
      <c r="C626" s="139" t="s">
        <v>344</v>
      </c>
      <c r="D626" s="15">
        <v>6000000</v>
      </c>
      <c r="E626" s="93">
        <v>0.99688644420000005</v>
      </c>
      <c r="F626" s="18">
        <v>5981318.6699999999</v>
      </c>
      <c r="G626" s="18">
        <v>0.01</v>
      </c>
      <c r="H626" s="13"/>
      <c r="I626" s="13"/>
    </row>
    <row r="627" spans="1:9">
      <c r="A627" s="13" t="s">
        <v>1159</v>
      </c>
      <c r="B627" s="139" t="s">
        <v>416</v>
      </c>
      <c r="C627" s="139" t="s">
        <v>344</v>
      </c>
      <c r="D627" s="15">
        <v>6000000</v>
      </c>
      <c r="E627" s="93">
        <v>0.99174007959999999</v>
      </c>
      <c r="F627" s="18">
        <v>5950440.4800000004</v>
      </c>
      <c r="G627" s="18">
        <v>0.01</v>
      </c>
      <c r="H627" s="13"/>
      <c r="I627" s="13"/>
    </row>
    <row r="628" spans="1:9">
      <c r="A628" s="13" t="s">
        <v>1160</v>
      </c>
      <c r="B628" s="139" t="s">
        <v>439</v>
      </c>
      <c r="C628" s="139" t="s">
        <v>344</v>
      </c>
      <c r="D628" s="15">
        <v>6000000</v>
      </c>
      <c r="E628" s="93">
        <v>0.99792214379999999</v>
      </c>
      <c r="F628" s="18">
        <v>5987532.8600000003</v>
      </c>
      <c r="G628" s="18">
        <v>0.01</v>
      </c>
      <c r="H628" s="13"/>
      <c r="I628" s="13"/>
    </row>
    <row r="629" spans="1:9">
      <c r="A629" s="13" t="s">
        <v>1161</v>
      </c>
      <c r="B629" s="139" t="s">
        <v>388</v>
      </c>
      <c r="C629" s="139" t="s">
        <v>344</v>
      </c>
      <c r="D629" s="15">
        <v>50000000</v>
      </c>
      <c r="E629" s="93">
        <v>0.97661485690000005</v>
      </c>
      <c r="F629" s="18">
        <v>48830742.850000001</v>
      </c>
      <c r="G629" s="18">
        <v>0.11</v>
      </c>
      <c r="H629" s="13"/>
      <c r="I629" s="13"/>
    </row>
    <row r="630" spans="1:9">
      <c r="A630" s="13" t="s">
        <v>1167</v>
      </c>
      <c r="B630" s="139" t="s">
        <v>193</v>
      </c>
      <c r="C630" s="139" t="s">
        <v>431</v>
      </c>
      <c r="D630" s="15">
        <v>40000000</v>
      </c>
      <c r="E630" s="93">
        <v>0.95524743570000004</v>
      </c>
      <c r="F630" s="18">
        <v>38209897.43</v>
      </c>
      <c r="G630" s="18">
        <v>0.09</v>
      </c>
      <c r="H630" s="13"/>
      <c r="I630" s="13"/>
    </row>
    <row r="631" spans="1:9">
      <c r="A631" s="13" t="s">
        <v>1168</v>
      </c>
      <c r="B631" s="139" t="s">
        <v>405</v>
      </c>
      <c r="C631" s="139" t="s">
        <v>431</v>
      </c>
      <c r="D631" s="15">
        <v>1500000</v>
      </c>
      <c r="E631" s="93">
        <v>0.96395097240000005</v>
      </c>
      <c r="F631" s="18">
        <v>1445926.46</v>
      </c>
      <c r="G631" s="15">
        <v>0</v>
      </c>
      <c r="H631" s="13"/>
      <c r="I631" s="13"/>
    </row>
    <row r="632" spans="1:9">
      <c r="A632" s="13" t="s">
        <v>1169</v>
      </c>
      <c r="B632" s="139" t="s">
        <v>809</v>
      </c>
      <c r="C632" s="139" t="s">
        <v>431</v>
      </c>
      <c r="D632" s="15">
        <v>1500000</v>
      </c>
      <c r="E632" s="93">
        <v>0.93457951260000005</v>
      </c>
      <c r="F632" s="18">
        <v>1401869.27</v>
      </c>
      <c r="G632" s="15">
        <v>0</v>
      </c>
      <c r="H632" s="13"/>
      <c r="I632" s="13"/>
    </row>
    <row r="633" spans="1:9">
      <c r="A633" s="13" t="s">
        <v>1170</v>
      </c>
      <c r="B633" s="139" t="s">
        <v>1095</v>
      </c>
      <c r="C633" s="139" t="s">
        <v>431</v>
      </c>
      <c r="D633" s="15">
        <v>1500000</v>
      </c>
      <c r="E633" s="93">
        <v>0.88689122239999996</v>
      </c>
      <c r="F633" s="18">
        <v>1330336.83</v>
      </c>
      <c r="G633" s="15">
        <v>0</v>
      </c>
      <c r="H633" s="13"/>
      <c r="I633" s="13"/>
    </row>
    <row r="634" spans="1:9">
      <c r="A634" s="13" t="s">
        <v>1171</v>
      </c>
      <c r="B634" s="139" t="s">
        <v>1060</v>
      </c>
      <c r="C634" s="139" t="s">
        <v>431</v>
      </c>
      <c r="D634" s="15">
        <v>1500000</v>
      </c>
      <c r="E634" s="154">
        <v>0.86482657600000001</v>
      </c>
      <c r="F634" s="18">
        <v>1297239.8600000001</v>
      </c>
      <c r="G634" s="15">
        <v>0</v>
      </c>
      <c r="H634" s="13"/>
      <c r="I634" s="13"/>
    </row>
    <row r="635" spans="1:9">
      <c r="A635" s="13" t="s">
        <v>1172</v>
      </c>
      <c r="B635" s="139" t="s">
        <v>799</v>
      </c>
      <c r="C635" s="139" t="s">
        <v>431</v>
      </c>
      <c r="D635" s="15">
        <v>1500000</v>
      </c>
      <c r="E635" s="93">
        <v>0.91170240079999998</v>
      </c>
      <c r="F635" s="151">
        <v>1367553.6</v>
      </c>
      <c r="G635" s="15">
        <v>0</v>
      </c>
      <c r="H635" s="13"/>
      <c r="I635" s="13"/>
    </row>
    <row r="636" spans="1:9">
      <c r="A636" s="13" t="s">
        <v>1173</v>
      </c>
      <c r="B636" s="139" t="s">
        <v>503</v>
      </c>
      <c r="C636" s="139" t="s">
        <v>431</v>
      </c>
      <c r="D636" s="15">
        <v>100000000</v>
      </c>
      <c r="E636" s="93">
        <v>0.95730177689999996</v>
      </c>
      <c r="F636" s="18">
        <v>95730177.689999998</v>
      </c>
      <c r="G636" s="18">
        <v>0.22</v>
      </c>
      <c r="H636" s="13"/>
      <c r="I636" s="13"/>
    </row>
    <row r="637" spans="1:9">
      <c r="A637" s="13" t="s">
        <v>1174</v>
      </c>
      <c r="B637" s="139" t="s">
        <v>477</v>
      </c>
      <c r="C637" s="139" t="s">
        <v>431</v>
      </c>
      <c r="D637" s="15">
        <v>1000000000</v>
      </c>
      <c r="E637" s="93">
        <v>0.97986582769999997</v>
      </c>
      <c r="F637" s="151">
        <v>979865827.70000005</v>
      </c>
      <c r="G637" s="151">
        <v>2.2000000000000002</v>
      </c>
      <c r="H637" s="13"/>
      <c r="I637" s="13"/>
    </row>
    <row r="638" spans="1:9">
      <c r="A638" s="13" t="s">
        <v>1175</v>
      </c>
      <c r="B638" s="139" t="s">
        <v>477</v>
      </c>
      <c r="C638" s="139" t="s">
        <v>431</v>
      </c>
      <c r="D638" s="15">
        <v>500000000</v>
      </c>
      <c r="E638" s="93">
        <v>0.98118284779999998</v>
      </c>
      <c r="F638" s="151">
        <v>490591423.89999998</v>
      </c>
      <c r="G638" s="151">
        <v>1.1000000000000001</v>
      </c>
      <c r="H638" s="13"/>
      <c r="I638" s="13"/>
    </row>
    <row r="639" spans="1:9">
      <c r="A639" s="13" t="s">
        <v>1176</v>
      </c>
      <c r="B639" s="139" t="s">
        <v>493</v>
      </c>
      <c r="C639" s="139" t="s">
        <v>431</v>
      </c>
      <c r="D639" s="15">
        <v>20000000</v>
      </c>
      <c r="E639" s="93">
        <v>0.96364553990000001</v>
      </c>
      <c r="F639" s="151">
        <v>19272910.800000001</v>
      </c>
      <c r="G639" s="18">
        <v>0.04</v>
      </c>
      <c r="H639" s="13"/>
      <c r="I639" s="13"/>
    </row>
    <row r="640" spans="1:9">
      <c r="A640" s="13" t="s">
        <v>1177</v>
      </c>
      <c r="B640" s="139" t="s">
        <v>594</v>
      </c>
      <c r="C640" s="139" t="s">
        <v>431</v>
      </c>
      <c r="D640" s="15">
        <v>10000000</v>
      </c>
      <c r="E640" s="93">
        <v>0.9238169181</v>
      </c>
      <c r="F640" s="18">
        <v>9238169.1799999997</v>
      </c>
      <c r="G640" s="18">
        <v>0.02</v>
      </c>
      <c r="H640" s="13"/>
      <c r="I640" s="13"/>
    </row>
    <row r="641" spans="1:9">
      <c r="A641" s="13" t="s">
        <v>1178</v>
      </c>
      <c r="B641" s="139" t="s">
        <v>632</v>
      </c>
      <c r="C641" s="139" t="s">
        <v>431</v>
      </c>
      <c r="D641" s="15">
        <v>10000000</v>
      </c>
      <c r="E641" s="93">
        <v>0.93041040580000001</v>
      </c>
      <c r="F641" s="18">
        <v>9304104.0600000005</v>
      </c>
      <c r="G641" s="18">
        <v>0.02</v>
      </c>
      <c r="H641" s="13"/>
      <c r="I641" s="13"/>
    </row>
    <row r="642" spans="1:9">
      <c r="A642" s="13" t="s">
        <v>1185</v>
      </c>
      <c r="B642" s="139" t="s">
        <v>638</v>
      </c>
      <c r="C642" s="139" t="s">
        <v>374</v>
      </c>
      <c r="D642" s="15">
        <v>16500000</v>
      </c>
      <c r="E642" s="93">
        <v>0.97126137050000005</v>
      </c>
      <c r="F642" s="18">
        <v>16025812.609999999</v>
      </c>
      <c r="G642" s="18">
        <v>0.04</v>
      </c>
      <c r="H642" s="13"/>
      <c r="I642" s="13"/>
    </row>
    <row r="643" spans="1:9">
      <c r="A643" s="13" t="s">
        <v>1186</v>
      </c>
      <c r="B643" s="139" t="s">
        <v>596</v>
      </c>
      <c r="C643" s="139" t="s">
        <v>374</v>
      </c>
      <c r="D643" s="15">
        <v>12500000</v>
      </c>
      <c r="E643" s="154">
        <v>0.95594794500000002</v>
      </c>
      <c r="F643" s="18">
        <v>11949349.310000001</v>
      </c>
      <c r="G643" s="18">
        <v>0.03</v>
      </c>
      <c r="H643" s="13"/>
      <c r="I643" s="13"/>
    </row>
    <row r="644" spans="1:9">
      <c r="A644" s="13" t="s">
        <v>1187</v>
      </c>
      <c r="B644" s="139" t="s">
        <v>414</v>
      </c>
      <c r="C644" s="139" t="s">
        <v>374</v>
      </c>
      <c r="D644" s="15">
        <v>12500000</v>
      </c>
      <c r="E644" s="93">
        <v>0.97144232509999995</v>
      </c>
      <c r="F644" s="18">
        <v>12143029.060000001</v>
      </c>
      <c r="G644" s="18">
        <v>0.03</v>
      </c>
      <c r="H644" s="13"/>
      <c r="I644" s="13"/>
    </row>
    <row r="645" spans="1:9">
      <c r="A645" s="13" t="s">
        <v>1188</v>
      </c>
      <c r="B645" s="139" t="s">
        <v>632</v>
      </c>
      <c r="C645" s="139" t="s">
        <v>374</v>
      </c>
      <c r="D645" s="15">
        <v>12500000</v>
      </c>
      <c r="E645" s="93">
        <v>0.94164392730000002</v>
      </c>
      <c r="F645" s="18">
        <v>11770549.09</v>
      </c>
      <c r="G645" s="18">
        <v>0.03</v>
      </c>
      <c r="H645" s="13"/>
      <c r="I645" s="13"/>
    </row>
    <row r="646" spans="1:9">
      <c r="A646" s="13" t="s">
        <v>1189</v>
      </c>
      <c r="B646" s="139" t="s">
        <v>491</v>
      </c>
      <c r="C646" s="139" t="s">
        <v>374</v>
      </c>
      <c r="D646" s="15">
        <v>12500000</v>
      </c>
      <c r="E646" s="93">
        <v>0.96474071880000001</v>
      </c>
      <c r="F646" s="18">
        <v>12059258.99</v>
      </c>
      <c r="G646" s="18">
        <v>0.03</v>
      </c>
      <c r="H646" s="13"/>
      <c r="I646" s="13"/>
    </row>
    <row r="647" spans="1:9">
      <c r="A647" s="13" t="s">
        <v>1190</v>
      </c>
      <c r="B647" s="139" t="s">
        <v>433</v>
      </c>
      <c r="C647" s="139" t="s">
        <v>374</v>
      </c>
      <c r="D647" s="18">
        <v>17368953.050000001</v>
      </c>
      <c r="E647" s="93">
        <v>0.99655984259999997</v>
      </c>
      <c r="F647" s="18">
        <v>17309201.120000001</v>
      </c>
      <c r="G647" s="18">
        <v>0.04</v>
      </c>
      <c r="H647" s="13"/>
      <c r="I647" s="13"/>
    </row>
    <row r="648" spans="1:9">
      <c r="A648" s="13" t="s">
        <v>1191</v>
      </c>
      <c r="B648" s="139" t="s">
        <v>487</v>
      </c>
      <c r="C648" s="139" t="s">
        <v>374</v>
      </c>
      <c r="D648" s="15">
        <v>15000000</v>
      </c>
      <c r="E648" s="93">
        <v>0.97923494190000004</v>
      </c>
      <c r="F648" s="18">
        <v>14688524.130000001</v>
      </c>
      <c r="G648" s="18">
        <v>0.03</v>
      </c>
      <c r="H648" s="13"/>
      <c r="I648" s="13"/>
    </row>
    <row r="649" spans="1:9">
      <c r="A649" s="13" t="s">
        <v>1192</v>
      </c>
      <c r="B649" s="139" t="s">
        <v>523</v>
      </c>
      <c r="C649" s="139" t="s">
        <v>374</v>
      </c>
      <c r="D649" s="15">
        <v>15000000</v>
      </c>
      <c r="E649" s="154">
        <v>0.97585767099999998</v>
      </c>
      <c r="F649" s="18">
        <v>14637865.07</v>
      </c>
      <c r="G649" s="18">
        <v>0.03</v>
      </c>
      <c r="H649" s="13"/>
      <c r="I649" s="13"/>
    </row>
    <row r="650" spans="1:9">
      <c r="A650" s="13" t="s">
        <v>1193</v>
      </c>
      <c r="B650" s="139" t="s">
        <v>1194</v>
      </c>
      <c r="C650" s="139" t="s">
        <v>374</v>
      </c>
      <c r="D650" s="15">
        <v>5600000</v>
      </c>
      <c r="E650" s="93">
        <v>0.9461106494</v>
      </c>
      <c r="F650" s="18">
        <v>5298219.6399999997</v>
      </c>
      <c r="G650" s="18">
        <v>0.01</v>
      </c>
      <c r="H650" s="13"/>
      <c r="I650" s="13"/>
    </row>
    <row r="651" spans="1:9">
      <c r="A651" s="13" t="s">
        <v>1195</v>
      </c>
      <c r="B651" s="139" t="s">
        <v>886</v>
      </c>
      <c r="C651" s="139" t="s">
        <v>374</v>
      </c>
      <c r="D651" s="15">
        <v>5600000</v>
      </c>
      <c r="E651" s="93">
        <v>0.92941548279999997</v>
      </c>
      <c r="F651" s="151">
        <v>5204726.7</v>
      </c>
      <c r="G651" s="18">
        <v>0.01</v>
      </c>
      <c r="H651" s="13"/>
      <c r="I651" s="13"/>
    </row>
    <row r="652" spans="1:9">
      <c r="A652" s="13" t="s">
        <v>1196</v>
      </c>
      <c r="B652" s="139" t="s">
        <v>414</v>
      </c>
      <c r="C652" s="139" t="s">
        <v>374</v>
      </c>
      <c r="D652" s="15">
        <v>5600000</v>
      </c>
      <c r="E652" s="93">
        <v>0.96763083579999998</v>
      </c>
      <c r="F652" s="18">
        <v>5418732.6799999997</v>
      </c>
      <c r="G652" s="18">
        <v>0.01</v>
      </c>
      <c r="H652" s="13"/>
      <c r="I652" s="13"/>
    </row>
    <row r="653" spans="1:9">
      <c r="A653" s="13" t="s">
        <v>1197</v>
      </c>
      <c r="B653" s="139" t="s">
        <v>419</v>
      </c>
      <c r="C653" s="139" t="s">
        <v>374</v>
      </c>
      <c r="D653" s="15">
        <v>5600000</v>
      </c>
      <c r="E653" s="93">
        <v>0.93968028910000001</v>
      </c>
      <c r="F653" s="18">
        <v>5262209.62</v>
      </c>
      <c r="G653" s="18">
        <v>0.01</v>
      </c>
      <c r="H653" s="13"/>
      <c r="I653" s="13"/>
    </row>
    <row r="654" spans="1:9">
      <c r="A654" s="13" t="s">
        <v>1198</v>
      </c>
      <c r="B654" s="139" t="s">
        <v>813</v>
      </c>
      <c r="C654" s="139" t="s">
        <v>374</v>
      </c>
      <c r="D654" s="15">
        <v>5600000</v>
      </c>
      <c r="E654" s="93">
        <v>0.93491468209999995</v>
      </c>
      <c r="F654" s="18">
        <v>5235522.22</v>
      </c>
      <c r="G654" s="18">
        <v>0.01</v>
      </c>
      <c r="H654" s="13"/>
      <c r="I654" s="13"/>
    </row>
    <row r="655" spans="1:9">
      <c r="A655" s="13" t="s">
        <v>1199</v>
      </c>
      <c r="B655" s="139" t="s">
        <v>402</v>
      </c>
      <c r="C655" s="139" t="s">
        <v>374</v>
      </c>
      <c r="D655" s="15">
        <v>139000000</v>
      </c>
      <c r="E655" s="93">
        <v>0.99552696650000005</v>
      </c>
      <c r="F655" s="18">
        <v>138378248.34</v>
      </c>
      <c r="G655" s="18">
        <v>0.31</v>
      </c>
      <c r="H655" s="13"/>
      <c r="I655" s="13"/>
    </row>
    <row r="656" spans="1:9">
      <c r="A656" s="13" t="s">
        <v>1200</v>
      </c>
      <c r="B656" s="139" t="s">
        <v>891</v>
      </c>
      <c r="C656" s="139" t="s">
        <v>374</v>
      </c>
      <c r="D656" s="18">
        <v>6500236.5700000003</v>
      </c>
      <c r="E656" s="93">
        <v>0.88976648229999999</v>
      </c>
      <c r="F656" s="18">
        <v>5783692.6299999999</v>
      </c>
      <c r="G656" s="18">
        <v>0.01</v>
      </c>
      <c r="H656" s="13"/>
      <c r="I656" s="13"/>
    </row>
    <row r="657" spans="1:9">
      <c r="A657" s="13" t="s">
        <v>1201</v>
      </c>
      <c r="B657" s="139" t="s">
        <v>628</v>
      </c>
      <c r="C657" s="139" t="s">
        <v>374</v>
      </c>
      <c r="D657" s="18">
        <v>5211510.2699999996</v>
      </c>
      <c r="E657" s="93">
        <v>0.93753213189999995</v>
      </c>
      <c r="F657" s="18">
        <v>4885958.33</v>
      </c>
      <c r="G657" s="18">
        <v>0.01</v>
      </c>
      <c r="H657" s="13"/>
      <c r="I657" s="13"/>
    </row>
    <row r="658" spans="1:9">
      <c r="A658" s="13" t="s">
        <v>1202</v>
      </c>
      <c r="B658" s="139" t="s">
        <v>860</v>
      </c>
      <c r="C658" s="139" t="s">
        <v>374</v>
      </c>
      <c r="D658" s="151">
        <v>2398145.2000000002</v>
      </c>
      <c r="E658" s="93">
        <v>0.92400386079999997</v>
      </c>
      <c r="F658" s="18">
        <v>2215895.42</v>
      </c>
      <c r="G658" s="15">
        <v>0</v>
      </c>
      <c r="H658" s="13"/>
      <c r="I658" s="13"/>
    </row>
    <row r="659" spans="1:9">
      <c r="A659" s="13" t="s">
        <v>1203</v>
      </c>
      <c r="B659" s="139" t="s">
        <v>596</v>
      </c>
      <c r="C659" s="139" t="s">
        <v>374</v>
      </c>
      <c r="D659" s="151">
        <v>2398145.2000000002</v>
      </c>
      <c r="E659" s="93">
        <v>0.94305513259999996</v>
      </c>
      <c r="F659" s="18">
        <v>2261583.14</v>
      </c>
      <c r="G659" s="18">
        <v>0.01</v>
      </c>
      <c r="H659" s="13"/>
      <c r="I659" s="13"/>
    </row>
    <row r="660" spans="1:9">
      <c r="A660" s="13" t="s">
        <v>1204</v>
      </c>
      <c r="B660" s="139" t="s">
        <v>1086</v>
      </c>
      <c r="C660" s="139" t="s">
        <v>374</v>
      </c>
      <c r="D660" s="18">
        <v>3511491.25</v>
      </c>
      <c r="E660" s="93">
        <v>0.87120505660000003</v>
      </c>
      <c r="F660" s="18">
        <v>3059228.93</v>
      </c>
      <c r="G660" s="18">
        <v>0.01</v>
      </c>
      <c r="H660" s="13"/>
      <c r="I660" s="13"/>
    </row>
    <row r="661" spans="1:9">
      <c r="A661" s="13" t="s">
        <v>1205</v>
      </c>
      <c r="B661" s="139" t="s">
        <v>1206</v>
      </c>
      <c r="C661" s="139" t="s">
        <v>374</v>
      </c>
      <c r="D661" s="18">
        <v>4957711.8099999996</v>
      </c>
      <c r="E661" s="93">
        <v>0.91345928809999999</v>
      </c>
      <c r="F661" s="151">
        <v>4528667.9000000004</v>
      </c>
      <c r="G661" s="18">
        <v>0.01</v>
      </c>
      <c r="H661" s="13"/>
      <c r="I661" s="13"/>
    </row>
    <row r="662" spans="1:9">
      <c r="A662" s="13" t="s">
        <v>1207</v>
      </c>
      <c r="B662" s="139" t="s">
        <v>736</v>
      </c>
      <c r="C662" s="139" t="s">
        <v>374</v>
      </c>
      <c r="D662" s="18">
        <v>4957711.8099999996</v>
      </c>
      <c r="E662" s="93">
        <v>0.93661808310000005</v>
      </c>
      <c r="F662" s="18">
        <v>4643482.53</v>
      </c>
      <c r="G662" s="18">
        <v>0.01</v>
      </c>
      <c r="H662" s="13"/>
      <c r="I662" s="13"/>
    </row>
    <row r="663" spans="1:9">
      <c r="A663" s="13" t="s">
        <v>1208</v>
      </c>
      <c r="B663" s="139" t="s">
        <v>1209</v>
      </c>
      <c r="C663" s="139" t="s">
        <v>374</v>
      </c>
      <c r="D663" s="18">
        <v>4957711.8099999996</v>
      </c>
      <c r="E663" s="93">
        <v>0.90999764480000001</v>
      </c>
      <c r="F663" s="18">
        <v>4511506.07</v>
      </c>
      <c r="G663" s="18">
        <v>0.01</v>
      </c>
      <c r="H663" s="13"/>
      <c r="I663" s="13"/>
    </row>
    <row r="664" spans="1:9">
      <c r="A664" s="13" t="s">
        <v>1210</v>
      </c>
      <c r="B664" s="139" t="s">
        <v>412</v>
      </c>
      <c r="C664" s="139" t="s">
        <v>374</v>
      </c>
      <c r="D664" s="18">
        <v>4957711.8099999996</v>
      </c>
      <c r="E664" s="93">
        <v>0.93479491989999997</v>
      </c>
      <c r="F664" s="18">
        <v>4634443.8099999996</v>
      </c>
      <c r="G664" s="18">
        <v>0.01</v>
      </c>
      <c r="H664" s="13"/>
      <c r="I664" s="13"/>
    </row>
    <row r="665" spans="1:9">
      <c r="A665" s="13" t="s">
        <v>1211</v>
      </c>
      <c r="B665" s="139" t="s">
        <v>1209</v>
      </c>
      <c r="C665" s="139" t="s">
        <v>374</v>
      </c>
      <c r="D665" s="151">
        <v>100046704.59999999</v>
      </c>
      <c r="E665" s="93">
        <v>0.93661801170000003</v>
      </c>
      <c r="F665" s="18">
        <v>93705545.540000007</v>
      </c>
      <c r="G665" s="18">
        <v>0.21</v>
      </c>
      <c r="H665" s="13"/>
      <c r="I665" s="13"/>
    </row>
    <row r="666" spans="1:9">
      <c r="A666" s="13" t="s">
        <v>1212</v>
      </c>
      <c r="B666" s="139" t="s">
        <v>1013</v>
      </c>
      <c r="C666" s="139" t="s">
        <v>374</v>
      </c>
      <c r="D666" s="151">
        <v>215007207.40000001</v>
      </c>
      <c r="E666" s="93">
        <v>0.93226411090000005</v>
      </c>
      <c r="F666" s="18">
        <v>200443503.03999999</v>
      </c>
      <c r="G666" s="18">
        <v>0.45</v>
      </c>
      <c r="H666" s="13"/>
      <c r="I666" s="13"/>
    </row>
    <row r="667" spans="1:9">
      <c r="A667" s="13" t="s">
        <v>1213</v>
      </c>
      <c r="B667" s="139" t="s">
        <v>1013</v>
      </c>
      <c r="C667" s="139" t="s">
        <v>374</v>
      </c>
      <c r="D667" s="18">
        <v>29857329.09</v>
      </c>
      <c r="E667" s="93">
        <v>0.93226411090000005</v>
      </c>
      <c r="F667" s="18">
        <v>27834916.359999999</v>
      </c>
      <c r="G667" s="18">
        <v>0.06</v>
      </c>
      <c r="H667" s="13"/>
      <c r="I667" s="13"/>
    </row>
    <row r="668" spans="1:9">
      <c r="A668" s="13" t="s">
        <v>1214</v>
      </c>
      <c r="B668" s="139" t="s">
        <v>1013</v>
      </c>
      <c r="C668" s="139" t="s">
        <v>374</v>
      </c>
      <c r="D668" s="18">
        <v>92806889.260000005</v>
      </c>
      <c r="E668" s="93">
        <v>0.93226411090000005</v>
      </c>
      <c r="F668" s="151">
        <v>86520532.099999994</v>
      </c>
      <c r="G668" s="18">
        <v>0.19</v>
      </c>
      <c r="H668" s="13"/>
      <c r="I668" s="13"/>
    </row>
    <row r="669" spans="1:9">
      <c r="A669" s="13" t="s">
        <v>1215</v>
      </c>
      <c r="B669" s="139" t="s">
        <v>1013</v>
      </c>
      <c r="C669" s="139" t="s">
        <v>374</v>
      </c>
      <c r="D669" s="18">
        <v>20411147.440000001</v>
      </c>
      <c r="E669" s="93">
        <v>0.93226411090000005</v>
      </c>
      <c r="F669" s="18">
        <v>19028580.219999999</v>
      </c>
      <c r="G669" s="18">
        <v>0.04</v>
      </c>
      <c r="H669" s="13"/>
      <c r="I669" s="13"/>
    </row>
    <row r="670" spans="1:9">
      <c r="A670" s="13" t="s">
        <v>1216</v>
      </c>
      <c r="B670" s="139" t="s">
        <v>809</v>
      </c>
      <c r="C670" s="139" t="s">
        <v>374</v>
      </c>
      <c r="D670" s="18">
        <v>28712357.309999999</v>
      </c>
      <c r="E670" s="93">
        <v>0.9505704398</v>
      </c>
      <c r="F670" s="18">
        <v>27293118.120000001</v>
      </c>
      <c r="G670" s="18">
        <v>0.06</v>
      </c>
      <c r="H670" s="13"/>
      <c r="I670" s="13"/>
    </row>
    <row r="671" spans="1:9">
      <c r="A671" s="13" t="s">
        <v>1217</v>
      </c>
      <c r="B671" s="139" t="s">
        <v>809</v>
      </c>
      <c r="C671" s="139" t="s">
        <v>374</v>
      </c>
      <c r="D671" s="18">
        <v>50399108.950000003</v>
      </c>
      <c r="E671" s="93">
        <v>0.9505704398</v>
      </c>
      <c r="F671" s="18">
        <v>47907903.159999996</v>
      </c>
      <c r="G671" s="18">
        <v>0.11</v>
      </c>
      <c r="H671" s="13"/>
      <c r="I671" s="13"/>
    </row>
    <row r="672" spans="1:9">
      <c r="A672" s="13" t="s">
        <v>1218</v>
      </c>
      <c r="B672" s="139" t="s">
        <v>809</v>
      </c>
      <c r="C672" s="139" t="s">
        <v>374</v>
      </c>
      <c r="D672" s="18">
        <v>4643215.3099999996</v>
      </c>
      <c r="E672" s="154">
        <v>0.95057043799999996</v>
      </c>
      <c r="F672" s="18">
        <v>4413703.21</v>
      </c>
      <c r="G672" s="18">
        <v>0.01</v>
      </c>
      <c r="H672" s="13"/>
      <c r="I672" s="13"/>
    </row>
    <row r="673" spans="1:9">
      <c r="A673" s="13" t="s">
        <v>1219</v>
      </c>
      <c r="B673" s="139" t="s">
        <v>809</v>
      </c>
      <c r="C673" s="139" t="s">
        <v>374</v>
      </c>
      <c r="D673" s="18">
        <v>2120477.86</v>
      </c>
      <c r="E673" s="93">
        <v>0.9505704344</v>
      </c>
      <c r="F673" s="18">
        <v>2015663.56</v>
      </c>
      <c r="G673" s="15">
        <v>0</v>
      </c>
      <c r="H673" s="13"/>
      <c r="I673" s="13"/>
    </row>
    <row r="674" spans="1:9">
      <c r="A674" s="13" t="s">
        <v>1220</v>
      </c>
      <c r="B674" s="139" t="s">
        <v>1013</v>
      </c>
      <c r="C674" s="139" t="s">
        <v>374</v>
      </c>
      <c r="D674" s="18">
        <v>68728608.280000001</v>
      </c>
      <c r="E674" s="93">
        <v>0.93226411090000005</v>
      </c>
      <c r="F674" s="18">
        <v>64073214.890000001</v>
      </c>
      <c r="G674" s="18">
        <v>0.14000000000000001</v>
      </c>
      <c r="H674" s="13"/>
      <c r="I674" s="13"/>
    </row>
    <row r="675" spans="1:9">
      <c r="A675" s="13" t="s">
        <v>1221</v>
      </c>
      <c r="B675" s="139" t="s">
        <v>1013</v>
      </c>
      <c r="C675" s="139" t="s">
        <v>374</v>
      </c>
      <c r="D675" s="18">
        <v>6875275.0899999999</v>
      </c>
      <c r="E675" s="93">
        <v>0.93226411090000005</v>
      </c>
      <c r="F675" s="18">
        <v>6409572.2199999997</v>
      </c>
      <c r="G675" s="18">
        <v>0.01</v>
      </c>
      <c r="H675" s="13"/>
      <c r="I675" s="13"/>
    </row>
    <row r="676" spans="1:9">
      <c r="A676" s="13" t="s">
        <v>1222</v>
      </c>
      <c r="B676" s="139" t="s">
        <v>1013</v>
      </c>
      <c r="C676" s="139" t="s">
        <v>374</v>
      </c>
      <c r="D676" s="18">
        <v>6937722.3200000003</v>
      </c>
      <c r="E676" s="93">
        <v>0.93226411090000005</v>
      </c>
      <c r="F676" s="18">
        <v>6467789.5300000003</v>
      </c>
      <c r="G676" s="18">
        <v>0.01</v>
      </c>
      <c r="H676" s="13"/>
      <c r="I676" s="13"/>
    </row>
    <row r="677" spans="1:9">
      <c r="A677" s="13" t="s">
        <v>1223</v>
      </c>
      <c r="B677" s="139" t="s">
        <v>1013</v>
      </c>
      <c r="C677" s="139" t="s">
        <v>374</v>
      </c>
      <c r="D677" s="18">
        <v>3090146.07</v>
      </c>
      <c r="E677" s="93">
        <v>0.93226411819999999</v>
      </c>
      <c r="F677" s="151">
        <v>2880832.3</v>
      </c>
      <c r="G677" s="18">
        <v>0.01</v>
      </c>
      <c r="H677" s="13"/>
      <c r="I677" s="13"/>
    </row>
    <row r="678" spans="1:9">
      <c r="A678" s="13" t="s">
        <v>1224</v>
      </c>
      <c r="B678" s="139" t="s">
        <v>809</v>
      </c>
      <c r="C678" s="139" t="s">
        <v>374</v>
      </c>
      <c r="D678" s="18">
        <v>3412014.84</v>
      </c>
      <c r="E678" s="154">
        <v>0.95057043799999996</v>
      </c>
      <c r="F678" s="18">
        <v>3243360.44</v>
      </c>
      <c r="G678" s="18">
        <v>0.01</v>
      </c>
      <c r="H678" s="13"/>
      <c r="I678" s="13"/>
    </row>
    <row r="679" spans="1:9">
      <c r="A679" s="13" t="s">
        <v>1225</v>
      </c>
      <c r="B679" s="139" t="s">
        <v>809</v>
      </c>
      <c r="C679" s="139" t="s">
        <v>374</v>
      </c>
      <c r="D679" s="18">
        <v>2502217.0699999998</v>
      </c>
      <c r="E679" s="93">
        <v>0.9505704452</v>
      </c>
      <c r="F679" s="18">
        <v>2378533.59</v>
      </c>
      <c r="G679" s="18">
        <v>0.01</v>
      </c>
      <c r="H679" s="13"/>
      <c r="I679" s="13"/>
    </row>
    <row r="680" spans="1:9">
      <c r="A680" s="13" t="s">
        <v>1226</v>
      </c>
      <c r="B680" s="139" t="s">
        <v>809</v>
      </c>
      <c r="C680" s="139" t="s">
        <v>374</v>
      </c>
      <c r="D680" s="151">
        <v>6395453.2000000002</v>
      </c>
      <c r="E680" s="93">
        <v>0.9505704398</v>
      </c>
      <c r="F680" s="18">
        <v>6079328.7599999998</v>
      </c>
      <c r="G680" s="18">
        <v>0.01</v>
      </c>
      <c r="H680" s="13"/>
      <c r="I680" s="13"/>
    </row>
    <row r="681" spans="1:9">
      <c r="A681" s="13" t="s">
        <v>1227</v>
      </c>
      <c r="B681" s="139" t="s">
        <v>809</v>
      </c>
      <c r="C681" s="139" t="s">
        <v>374</v>
      </c>
      <c r="D681" s="151">
        <v>1860181.4</v>
      </c>
      <c r="E681" s="93">
        <v>0.9505704452</v>
      </c>
      <c r="F681" s="18">
        <v>1768233.46</v>
      </c>
      <c r="G681" s="15">
        <v>0</v>
      </c>
      <c r="H681" s="13"/>
      <c r="I681" s="13"/>
    </row>
    <row r="682" spans="1:9">
      <c r="A682" s="13" t="s">
        <v>1228</v>
      </c>
      <c r="B682" s="139" t="s">
        <v>809</v>
      </c>
      <c r="C682" s="139" t="s">
        <v>374</v>
      </c>
      <c r="D682" s="18">
        <v>3621557.13</v>
      </c>
      <c r="E682" s="93">
        <v>0.9505704344</v>
      </c>
      <c r="F682" s="18">
        <v>3442545.13</v>
      </c>
      <c r="G682" s="18">
        <v>0.01</v>
      </c>
      <c r="H682" s="13"/>
      <c r="I682" s="13"/>
    </row>
    <row r="683" spans="1:9">
      <c r="A683" s="13" t="s">
        <v>1229</v>
      </c>
      <c r="B683" s="139" t="s">
        <v>809</v>
      </c>
      <c r="C683" s="139" t="s">
        <v>374</v>
      </c>
      <c r="D683" s="18">
        <v>14947325.66</v>
      </c>
      <c r="E683" s="93">
        <v>0.9505704398</v>
      </c>
      <c r="F683" s="18">
        <v>14208485.93</v>
      </c>
      <c r="G683" s="18">
        <v>0.03</v>
      </c>
      <c r="H683" s="13"/>
      <c r="I683" s="13"/>
    </row>
    <row r="684" spans="1:9">
      <c r="A684" s="13" t="s">
        <v>1230</v>
      </c>
      <c r="B684" s="139" t="s">
        <v>809</v>
      </c>
      <c r="C684" s="139" t="s">
        <v>374</v>
      </c>
      <c r="D684" s="18">
        <v>10604114.439999999</v>
      </c>
      <c r="E684" s="93">
        <v>0.9505704398</v>
      </c>
      <c r="F684" s="18">
        <v>10079957.73</v>
      </c>
      <c r="G684" s="18">
        <v>0.02</v>
      </c>
      <c r="H684" s="13"/>
      <c r="I684" s="13"/>
    </row>
    <row r="685" spans="1:9">
      <c r="A685" s="13" t="s">
        <v>1231</v>
      </c>
      <c r="B685" s="139" t="s">
        <v>1013</v>
      </c>
      <c r="C685" s="139" t="s">
        <v>374</v>
      </c>
      <c r="D685" s="18">
        <v>7075968.3200000003</v>
      </c>
      <c r="E685" s="93">
        <v>0.93226411090000005</v>
      </c>
      <c r="F685" s="18">
        <v>6596671.3099999996</v>
      </c>
      <c r="G685" s="18">
        <v>0.01</v>
      </c>
      <c r="H685" s="13"/>
      <c r="I685" s="13"/>
    </row>
    <row r="686" spans="1:9">
      <c r="A686" s="13" t="s">
        <v>1232</v>
      </c>
      <c r="B686" s="139" t="s">
        <v>1013</v>
      </c>
      <c r="C686" s="139" t="s">
        <v>374</v>
      </c>
      <c r="D686" s="18">
        <v>11809132.970000001</v>
      </c>
      <c r="E686" s="93">
        <v>0.93226411090000005</v>
      </c>
      <c r="F686" s="18">
        <v>11009230.85</v>
      </c>
      <c r="G686" s="18">
        <v>0.02</v>
      </c>
      <c r="H686" s="13"/>
      <c r="I686" s="13"/>
    </row>
    <row r="687" spans="1:9">
      <c r="A687" s="13" t="s">
        <v>1233</v>
      </c>
      <c r="B687" s="139" t="s">
        <v>1013</v>
      </c>
      <c r="C687" s="139" t="s">
        <v>374</v>
      </c>
      <c r="D687" s="18">
        <v>31694713.280000001</v>
      </c>
      <c r="E687" s="93">
        <v>0.93226411090000005</v>
      </c>
      <c r="F687" s="151">
        <v>29547843.699999999</v>
      </c>
      <c r="G687" s="18">
        <v>7.0000000000000007E-2</v>
      </c>
      <c r="H687" s="13"/>
      <c r="I687" s="13"/>
    </row>
    <row r="688" spans="1:9">
      <c r="A688" s="13" t="s">
        <v>1234</v>
      </c>
      <c r="B688" s="139" t="s">
        <v>1013</v>
      </c>
      <c r="C688" s="139" t="s">
        <v>374</v>
      </c>
      <c r="D688" s="18">
        <v>20011620.16</v>
      </c>
      <c r="E688" s="93">
        <v>0.93226411090000005</v>
      </c>
      <c r="F688" s="18">
        <v>18656115.280000001</v>
      </c>
      <c r="G688" s="18">
        <v>0.04</v>
      </c>
      <c r="H688" s="13"/>
      <c r="I688" s="13"/>
    </row>
    <row r="689" spans="1:9">
      <c r="A689" s="13" t="s">
        <v>1235</v>
      </c>
      <c r="B689" s="139" t="s">
        <v>1013</v>
      </c>
      <c r="C689" s="139" t="s">
        <v>374</v>
      </c>
      <c r="D689" s="15">
        <v>34118781</v>
      </c>
      <c r="E689" s="93">
        <v>0.93226411090000005</v>
      </c>
      <c r="F689" s="18">
        <v>31807715.030000001</v>
      </c>
      <c r="G689" s="18">
        <v>7.0000000000000007E-2</v>
      </c>
      <c r="H689" s="13"/>
      <c r="I689" s="13"/>
    </row>
    <row r="690" spans="1:9">
      <c r="A690" s="13" t="s">
        <v>1238</v>
      </c>
      <c r="B690" s="139" t="s">
        <v>799</v>
      </c>
      <c r="C690" s="139" t="s">
        <v>395</v>
      </c>
      <c r="D690" s="15">
        <v>16500000</v>
      </c>
      <c r="E690" s="93">
        <v>0.92099634239999995</v>
      </c>
      <c r="F690" s="18">
        <v>15196439.65</v>
      </c>
      <c r="G690" s="18">
        <v>0.03</v>
      </c>
      <c r="H690" s="13"/>
      <c r="I690" s="13"/>
    </row>
    <row r="691" spans="1:9">
      <c r="A691" s="13" t="s">
        <v>1239</v>
      </c>
      <c r="B691" s="139" t="s">
        <v>952</v>
      </c>
      <c r="C691" s="139" t="s">
        <v>395</v>
      </c>
      <c r="D691" s="15">
        <v>16500000</v>
      </c>
      <c r="E691" s="93">
        <v>0.91031537770000004</v>
      </c>
      <c r="F691" s="18">
        <v>15020203.73</v>
      </c>
      <c r="G691" s="18">
        <v>0.03</v>
      </c>
      <c r="H691" s="13"/>
      <c r="I691" s="13"/>
    </row>
    <row r="692" spans="1:9">
      <c r="A692" s="13" t="s">
        <v>1240</v>
      </c>
      <c r="B692" s="139" t="s">
        <v>1095</v>
      </c>
      <c r="C692" s="139" t="s">
        <v>395</v>
      </c>
      <c r="D692" s="15">
        <v>16500000</v>
      </c>
      <c r="E692" s="93">
        <v>0.89850578439999995</v>
      </c>
      <c r="F692" s="18">
        <v>14825345.439999999</v>
      </c>
      <c r="G692" s="18">
        <v>0.03</v>
      </c>
      <c r="H692" s="13"/>
      <c r="I692" s="13"/>
    </row>
    <row r="693" spans="1:9">
      <c r="A693" s="13" t="s">
        <v>1241</v>
      </c>
      <c r="B693" s="139" t="s">
        <v>780</v>
      </c>
      <c r="C693" s="139" t="s">
        <v>395</v>
      </c>
      <c r="D693" s="15">
        <v>10000000</v>
      </c>
      <c r="E693" s="93">
        <v>0.9444703565</v>
      </c>
      <c r="F693" s="18">
        <v>9444703.5700000003</v>
      </c>
      <c r="G693" s="18">
        <v>0.02</v>
      </c>
      <c r="H693" s="13"/>
      <c r="I693" s="13"/>
    </row>
    <row r="694" spans="1:9">
      <c r="A694" s="13" t="s">
        <v>1242</v>
      </c>
      <c r="B694" s="139" t="s">
        <v>809</v>
      </c>
      <c r="C694" s="139" t="s">
        <v>395</v>
      </c>
      <c r="D694" s="15">
        <v>10000000</v>
      </c>
      <c r="E694" s="93">
        <v>0.94517966630000005</v>
      </c>
      <c r="F694" s="18">
        <v>9451796.6600000001</v>
      </c>
      <c r="G694" s="18">
        <v>0.02</v>
      </c>
      <c r="H694" s="13"/>
      <c r="I694" s="13"/>
    </row>
    <row r="695" spans="1:9">
      <c r="A695" s="13" t="s">
        <v>1243</v>
      </c>
      <c r="B695" s="139" t="s">
        <v>191</v>
      </c>
      <c r="C695" s="139" t="s">
        <v>395</v>
      </c>
      <c r="D695" s="15">
        <v>10000000</v>
      </c>
      <c r="E695" s="154">
        <v>0.93673813299999997</v>
      </c>
      <c r="F695" s="18">
        <v>9367381.3300000001</v>
      </c>
      <c r="G695" s="18">
        <v>0.02</v>
      </c>
      <c r="H695" s="13"/>
      <c r="I695" s="13"/>
    </row>
    <row r="696" spans="1:9">
      <c r="A696" s="13" t="s">
        <v>1244</v>
      </c>
      <c r="B696" s="139" t="s">
        <v>886</v>
      </c>
      <c r="C696" s="139" t="s">
        <v>395</v>
      </c>
      <c r="D696" s="15">
        <v>10000000</v>
      </c>
      <c r="E696" s="154">
        <v>0.93743587299999998</v>
      </c>
      <c r="F696" s="18">
        <v>9374358.7300000004</v>
      </c>
      <c r="G696" s="18">
        <v>0.02</v>
      </c>
      <c r="H696" s="13"/>
      <c r="I696" s="13"/>
    </row>
    <row r="697" spans="1:9">
      <c r="A697" s="13" t="s">
        <v>1245</v>
      </c>
      <c r="B697" s="139" t="s">
        <v>632</v>
      </c>
      <c r="C697" s="139" t="s">
        <v>395</v>
      </c>
      <c r="D697" s="15">
        <v>10000000</v>
      </c>
      <c r="E697" s="93">
        <v>0.9416438989</v>
      </c>
      <c r="F697" s="18">
        <v>9416438.9900000002</v>
      </c>
      <c r="G697" s="18">
        <v>0.02</v>
      </c>
      <c r="H697" s="13"/>
      <c r="I697" s="13"/>
    </row>
    <row r="698" spans="1:9">
      <c r="A698" s="13" t="s">
        <v>1246</v>
      </c>
      <c r="B698" s="139" t="s">
        <v>1124</v>
      </c>
      <c r="C698" s="139" t="s">
        <v>395</v>
      </c>
      <c r="D698" s="15">
        <v>10000000</v>
      </c>
      <c r="E698" s="93">
        <v>0.94023708809999995</v>
      </c>
      <c r="F698" s="18">
        <v>9402370.8800000008</v>
      </c>
      <c r="G698" s="18">
        <v>0.02</v>
      </c>
      <c r="H698" s="13"/>
      <c r="I698" s="13"/>
    </row>
    <row r="699" spans="1:9">
      <c r="A699" s="13" t="s">
        <v>1247</v>
      </c>
      <c r="B699" s="139" t="s">
        <v>813</v>
      </c>
      <c r="C699" s="139" t="s">
        <v>395</v>
      </c>
      <c r="D699" s="15">
        <v>10000000</v>
      </c>
      <c r="E699" s="154">
        <v>0.94234896700000004</v>
      </c>
      <c r="F699" s="18">
        <v>9423489.6699999999</v>
      </c>
      <c r="G699" s="18">
        <v>0.02</v>
      </c>
      <c r="H699" s="13"/>
      <c r="I699" s="13"/>
    </row>
    <row r="700" spans="1:9">
      <c r="A700" s="13" t="s">
        <v>1248</v>
      </c>
      <c r="B700" s="139" t="s">
        <v>860</v>
      </c>
      <c r="C700" s="139" t="s">
        <v>395</v>
      </c>
      <c r="D700" s="15">
        <v>10000000</v>
      </c>
      <c r="E700" s="93">
        <v>0.94094005049999996</v>
      </c>
      <c r="F700" s="18">
        <v>9409400.5099999998</v>
      </c>
      <c r="G700" s="18">
        <v>0.02</v>
      </c>
      <c r="H700" s="13"/>
      <c r="I700" s="13"/>
    </row>
    <row r="701" spans="1:9">
      <c r="A701" s="13" t="s">
        <v>1249</v>
      </c>
      <c r="B701" s="139" t="s">
        <v>468</v>
      </c>
      <c r="C701" s="139" t="s">
        <v>395</v>
      </c>
      <c r="D701" s="15">
        <v>10000000</v>
      </c>
      <c r="E701" s="93">
        <v>0.93953517409999998</v>
      </c>
      <c r="F701" s="18">
        <v>9395351.7400000002</v>
      </c>
      <c r="G701" s="18">
        <v>0.02</v>
      </c>
      <c r="H701" s="13"/>
      <c r="I701" s="13"/>
    </row>
    <row r="702" spans="1:9">
      <c r="A702" s="13" t="s">
        <v>1250</v>
      </c>
      <c r="B702" s="139" t="s">
        <v>809</v>
      </c>
      <c r="C702" s="139" t="s">
        <v>395</v>
      </c>
      <c r="D702" s="15">
        <v>10000000</v>
      </c>
      <c r="E702" s="93">
        <v>0.94517966630000005</v>
      </c>
      <c r="F702" s="18">
        <v>9451796.6600000001</v>
      </c>
      <c r="G702" s="18">
        <v>0.02</v>
      </c>
      <c r="H702" s="13"/>
      <c r="I702" s="13"/>
    </row>
    <row r="703" spans="1:9">
      <c r="A703" s="13" t="s">
        <v>1251</v>
      </c>
      <c r="B703" s="139" t="s">
        <v>1105</v>
      </c>
      <c r="C703" s="139" t="s">
        <v>395</v>
      </c>
      <c r="D703" s="15">
        <v>10000000</v>
      </c>
      <c r="E703" s="93">
        <v>0.97476309139999995</v>
      </c>
      <c r="F703" s="18">
        <v>9747630.9100000001</v>
      </c>
      <c r="G703" s="18">
        <v>0.02</v>
      </c>
      <c r="H703" s="13"/>
      <c r="I703" s="13"/>
    </row>
    <row r="704" spans="1:9">
      <c r="A704" s="13" t="s">
        <v>1252</v>
      </c>
      <c r="B704" s="139" t="s">
        <v>607</v>
      </c>
      <c r="C704" s="139" t="s">
        <v>395</v>
      </c>
      <c r="D704" s="15">
        <v>10000000</v>
      </c>
      <c r="E704" s="93">
        <v>0.97899852980000002</v>
      </c>
      <c r="F704" s="151">
        <v>9789985.3000000007</v>
      </c>
      <c r="G704" s="18">
        <v>0.02</v>
      </c>
      <c r="H704" s="13"/>
      <c r="I704" s="13"/>
    </row>
    <row r="705" spans="1:9">
      <c r="A705" s="13" t="s">
        <v>1253</v>
      </c>
      <c r="B705" s="139" t="s">
        <v>477</v>
      </c>
      <c r="C705" s="139" t="s">
        <v>395</v>
      </c>
      <c r="D705" s="15">
        <v>10000000</v>
      </c>
      <c r="E705" s="93">
        <v>0.98184269820000003</v>
      </c>
      <c r="F705" s="18">
        <v>9818426.9800000004</v>
      </c>
      <c r="G705" s="18">
        <v>0.02</v>
      </c>
      <c r="H705" s="13"/>
      <c r="I705" s="13"/>
    </row>
    <row r="706" spans="1:9">
      <c r="A706" s="13" t="s">
        <v>1254</v>
      </c>
      <c r="B706" s="139" t="s">
        <v>388</v>
      </c>
      <c r="C706" s="139" t="s">
        <v>395</v>
      </c>
      <c r="D706" s="15">
        <v>12000000</v>
      </c>
      <c r="E706" s="93">
        <v>0.98327094189999997</v>
      </c>
      <c r="F706" s="151">
        <v>11799251.300000001</v>
      </c>
      <c r="G706" s="18">
        <v>0.03</v>
      </c>
      <c r="H706" s="13"/>
      <c r="I706" s="13"/>
    </row>
    <row r="707" spans="1:9">
      <c r="A707" s="13" t="s">
        <v>1255</v>
      </c>
      <c r="B707" s="139" t="s">
        <v>443</v>
      </c>
      <c r="C707" s="139" t="s">
        <v>395</v>
      </c>
      <c r="D707" s="15">
        <v>7000000</v>
      </c>
      <c r="E707" s="93">
        <v>0.98255634709999995</v>
      </c>
      <c r="F707" s="18">
        <v>6877894.4299999997</v>
      </c>
      <c r="G707" s="18">
        <v>0.02</v>
      </c>
      <c r="H707" s="13"/>
      <c r="I707" s="13"/>
    </row>
    <row r="708" spans="1:9">
      <c r="A708" s="13" t="s">
        <v>1256</v>
      </c>
      <c r="B708" s="139" t="s">
        <v>414</v>
      </c>
      <c r="C708" s="139" t="s">
        <v>395</v>
      </c>
      <c r="D708" s="15">
        <v>16800000</v>
      </c>
      <c r="E708" s="93">
        <v>0.96479176639999997</v>
      </c>
      <c r="F708" s="18">
        <v>16208501.68</v>
      </c>
      <c r="G708" s="18">
        <v>0.04</v>
      </c>
      <c r="H708" s="13"/>
      <c r="I708" s="13"/>
    </row>
    <row r="709" spans="1:9">
      <c r="A709" s="13" t="s">
        <v>1257</v>
      </c>
      <c r="B709" s="139" t="s">
        <v>982</v>
      </c>
      <c r="C709" s="139" t="s">
        <v>161</v>
      </c>
      <c r="D709" s="15">
        <v>5500000</v>
      </c>
      <c r="E709" s="93">
        <v>0.93050527930000004</v>
      </c>
      <c r="F709" s="18">
        <v>5117779.04</v>
      </c>
      <c r="G709" s="18">
        <v>0.01</v>
      </c>
      <c r="H709" s="13"/>
      <c r="I709" s="13"/>
    </row>
    <row r="710" spans="1:9">
      <c r="A710" s="13" t="s">
        <v>1258</v>
      </c>
      <c r="B710" s="139" t="s">
        <v>189</v>
      </c>
      <c r="C710" s="139" t="s">
        <v>161</v>
      </c>
      <c r="D710" s="15">
        <v>5500000</v>
      </c>
      <c r="E710" s="154">
        <v>0.94588992100000002</v>
      </c>
      <c r="F710" s="18">
        <v>5202394.57</v>
      </c>
      <c r="G710" s="18">
        <v>0.01</v>
      </c>
      <c r="H710" s="13"/>
      <c r="I710" s="13"/>
    </row>
    <row r="711" spans="1:9">
      <c r="A711" s="13" t="s">
        <v>1259</v>
      </c>
      <c r="B711" s="139" t="s">
        <v>632</v>
      </c>
      <c r="C711" s="139" t="s">
        <v>161</v>
      </c>
      <c r="D711" s="15">
        <v>5500000</v>
      </c>
      <c r="E711" s="93">
        <v>0.94164394429999998</v>
      </c>
      <c r="F711" s="18">
        <v>5179041.6900000004</v>
      </c>
      <c r="G711" s="18">
        <v>0.01</v>
      </c>
      <c r="H711" s="13"/>
      <c r="I711" s="13"/>
    </row>
    <row r="712" spans="1:9">
      <c r="A712" s="13" t="s">
        <v>1260</v>
      </c>
      <c r="B712" s="139" t="s">
        <v>503</v>
      </c>
      <c r="C712" s="139" t="s">
        <v>161</v>
      </c>
      <c r="D712" s="15">
        <v>40000000</v>
      </c>
      <c r="E712" s="28">
        <v>0.96622204</v>
      </c>
      <c r="F712" s="151">
        <v>38648881.600000001</v>
      </c>
      <c r="G712" s="18">
        <v>0.09</v>
      </c>
      <c r="H712" s="13"/>
      <c r="I712" s="13"/>
    </row>
    <row r="713" spans="1:9">
      <c r="A713" s="13" t="s">
        <v>1261</v>
      </c>
      <c r="B713" s="139" t="s">
        <v>491</v>
      </c>
      <c r="C713" s="139" t="s">
        <v>161</v>
      </c>
      <c r="D713" s="15">
        <v>40000000</v>
      </c>
      <c r="E713" s="93">
        <v>0.96474073289999995</v>
      </c>
      <c r="F713" s="18">
        <v>38589629.32</v>
      </c>
      <c r="G713" s="18">
        <v>0.09</v>
      </c>
      <c r="H713" s="13"/>
      <c r="I713" s="13"/>
    </row>
    <row r="714" spans="1:9">
      <c r="A714" s="13" t="s">
        <v>1262</v>
      </c>
      <c r="B714" s="139" t="s">
        <v>505</v>
      </c>
      <c r="C714" s="139" t="s">
        <v>161</v>
      </c>
      <c r="D714" s="15">
        <v>30000000</v>
      </c>
      <c r="E714" s="93">
        <v>0.96179184149999997</v>
      </c>
      <c r="F714" s="18">
        <v>28853755.25</v>
      </c>
      <c r="G714" s="18">
        <v>0.06</v>
      </c>
      <c r="H714" s="13"/>
      <c r="I714" s="13"/>
    </row>
    <row r="715" spans="1:9">
      <c r="A715" s="13" t="s">
        <v>1263</v>
      </c>
      <c r="B715" s="139" t="s">
        <v>421</v>
      </c>
      <c r="C715" s="139" t="s">
        <v>161</v>
      </c>
      <c r="D715" s="15">
        <v>1200000</v>
      </c>
      <c r="E715" s="93">
        <v>0.97069309429999995</v>
      </c>
      <c r="F715" s="18">
        <v>1164831.71</v>
      </c>
      <c r="G715" s="15">
        <v>0</v>
      </c>
      <c r="H715" s="13"/>
      <c r="I715" s="13"/>
    </row>
    <row r="716" spans="1:9">
      <c r="A716" s="13" t="s">
        <v>1264</v>
      </c>
      <c r="B716" s="139" t="s">
        <v>638</v>
      </c>
      <c r="C716" s="139" t="s">
        <v>161</v>
      </c>
      <c r="D716" s="15">
        <v>1200000</v>
      </c>
      <c r="E716" s="93">
        <v>0.97671935160000001</v>
      </c>
      <c r="F716" s="18">
        <v>1172063.22</v>
      </c>
      <c r="G716" s="15">
        <v>0</v>
      </c>
      <c r="H716" s="13"/>
      <c r="I716" s="13"/>
    </row>
    <row r="717" spans="1:9">
      <c r="A717" s="13" t="s">
        <v>1265</v>
      </c>
      <c r="B717" s="139" t="s">
        <v>493</v>
      </c>
      <c r="C717" s="139" t="s">
        <v>161</v>
      </c>
      <c r="D717" s="15">
        <v>1300000</v>
      </c>
      <c r="E717" s="93">
        <v>0.96105754129999998</v>
      </c>
      <c r="F717" s="151">
        <v>1249374.8</v>
      </c>
      <c r="G717" s="15">
        <v>0</v>
      </c>
      <c r="H717" s="13"/>
      <c r="I717" s="13"/>
    </row>
    <row r="718" spans="1:9">
      <c r="A718" s="13" t="s">
        <v>1266</v>
      </c>
      <c r="B718" s="139" t="s">
        <v>638</v>
      </c>
      <c r="C718" s="139" t="s">
        <v>161</v>
      </c>
      <c r="D718" s="15">
        <v>12500000</v>
      </c>
      <c r="E718" s="93">
        <v>0.97671935779999997</v>
      </c>
      <c r="F718" s="18">
        <v>12208991.970000001</v>
      </c>
      <c r="G718" s="18">
        <v>0.03</v>
      </c>
      <c r="H718" s="13"/>
      <c r="I718" s="13"/>
    </row>
    <row r="719" spans="1:9">
      <c r="A719" s="13" t="s">
        <v>1267</v>
      </c>
      <c r="B719" s="139" t="s">
        <v>414</v>
      </c>
      <c r="C719" s="139" t="s">
        <v>161</v>
      </c>
      <c r="D719" s="15">
        <v>12500000</v>
      </c>
      <c r="E719" s="93">
        <v>0.97144234039999999</v>
      </c>
      <c r="F719" s="18">
        <v>12143029.26</v>
      </c>
      <c r="G719" s="18">
        <v>0.03</v>
      </c>
      <c r="H719" s="13"/>
      <c r="I719" s="13"/>
    </row>
    <row r="720" spans="1:9">
      <c r="A720" s="13" t="s">
        <v>1268</v>
      </c>
      <c r="B720" s="139" t="s">
        <v>503</v>
      </c>
      <c r="C720" s="139" t="s">
        <v>161</v>
      </c>
      <c r="D720" s="15">
        <v>12500000</v>
      </c>
      <c r="E720" s="28">
        <v>0.96622204</v>
      </c>
      <c r="F720" s="151">
        <v>12077775.5</v>
      </c>
      <c r="G720" s="18">
        <v>0.03</v>
      </c>
      <c r="H720" s="13"/>
      <c r="I720" s="13"/>
    </row>
    <row r="721" spans="1:9">
      <c r="A721" s="13" t="s">
        <v>1269</v>
      </c>
      <c r="B721" s="139" t="s">
        <v>569</v>
      </c>
      <c r="C721" s="139" t="s">
        <v>161</v>
      </c>
      <c r="D721" s="15">
        <v>11000000</v>
      </c>
      <c r="E721" s="93">
        <v>0.98744727590000003</v>
      </c>
      <c r="F721" s="18">
        <v>10861920.029999999</v>
      </c>
      <c r="G721" s="18">
        <v>0.02</v>
      </c>
      <c r="H721" s="13"/>
      <c r="I721" s="13"/>
    </row>
    <row r="722" spans="1:9">
      <c r="A722" s="13" t="s">
        <v>1270</v>
      </c>
      <c r="B722" s="139" t="s">
        <v>173</v>
      </c>
      <c r="C722" s="139" t="s">
        <v>161</v>
      </c>
      <c r="D722" s="15">
        <v>11000000</v>
      </c>
      <c r="E722" s="93">
        <v>0.9828209014</v>
      </c>
      <c r="F722" s="18">
        <v>10811029.92</v>
      </c>
      <c r="G722" s="18">
        <v>0.02</v>
      </c>
      <c r="H722" s="13"/>
      <c r="I722" s="13"/>
    </row>
    <row r="723" spans="1:9">
      <c r="A723" s="13" t="s">
        <v>1271</v>
      </c>
      <c r="B723" s="139" t="s">
        <v>493</v>
      </c>
      <c r="C723" s="139" t="s">
        <v>161</v>
      </c>
      <c r="D723" s="15">
        <v>12500000</v>
      </c>
      <c r="E723" s="93">
        <v>0.96105754519999997</v>
      </c>
      <c r="F723" s="18">
        <v>12013219.32</v>
      </c>
      <c r="G723" s="18">
        <v>0.03</v>
      </c>
      <c r="H723" s="13"/>
      <c r="I723" s="13"/>
    </row>
    <row r="724" spans="1:9">
      <c r="A724" s="13" t="s">
        <v>1273</v>
      </c>
      <c r="B724" s="139" t="s">
        <v>416</v>
      </c>
      <c r="C724" s="139" t="s">
        <v>161</v>
      </c>
      <c r="D724" s="15">
        <v>50000000</v>
      </c>
      <c r="E724" s="93">
        <v>0.99368400810000002</v>
      </c>
      <c r="F724" s="18">
        <v>49684200.409999996</v>
      </c>
      <c r="G724" s="18">
        <v>0.11</v>
      </c>
      <c r="H724" s="13"/>
      <c r="I724" s="13"/>
    </row>
    <row r="725" spans="1:9">
      <c r="A725" s="13" t="s">
        <v>1274</v>
      </c>
      <c r="B725" s="139" t="s">
        <v>408</v>
      </c>
      <c r="C725" s="139" t="s">
        <v>161</v>
      </c>
      <c r="D725" s="15">
        <v>50000000</v>
      </c>
      <c r="E725" s="93">
        <v>0.98899914590000004</v>
      </c>
      <c r="F725" s="151">
        <v>49449957.299999997</v>
      </c>
      <c r="G725" s="18">
        <v>0.11</v>
      </c>
      <c r="H725" s="13"/>
      <c r="I725" s="13"/>
    </row>
    <row r="726" spans="1:9">
      <c r="A726" s="13" t="s">
        <v>1275</v>
      </c>
      <c r="B726" s="139" t="s">
        <v>569</v>
      </c>
      <c r="C726" s="139" t="s">
        <v>161</v>
      </c>
      <c r="D726" s="15">
        <v>50000000</v>
      </c>
      <c r="E726" s="93">
        <v>0.98744727629999995</v>
      </c>
      <c r="F726" s="18">
        <v>49372363.82</v>
      </c>
      <c r="G726" s="18">
        <v>0.11</v>
      </c>
      <c r="H726" s="13"/>
      <c r="I726" s="13"/>
    </row>
    <row r="727" spans="1:9">
      <c r="A727" s="13" t="s">
        <v>1276</v>
      </c>
      <c r="B727" s="139" t="s">
        <v>589</v>
      </c>
      <c r="C727" s="139" t="s">
        <v>161</v>
      </c>
      <c r="D727" s="15">
        <v>50000000</v>
      </c>
      <c r="E727" s="93">
        <v>0.99920611370000001</v>
      </c>
      <c r="F727" s="18">
        <v>49960305.689999998</v>
      </c>
      <c r="G727" s="18">
        <v>0.11</v>
      </c>
      <c r="H727" s="13"/>
      <c r="I727" s="13"/>
    </row>
    <row r="728" spans="1:9">
      <c r="A728" s="13" t="s">
        <v>1277</v>
      </c>
      <c r="B728" s="139" t="s">
        <v>425</v>
      </c>
      <c r="C728" s="139" t="s">
        <v>161</v>
      </c>
      <c r="D728" s="15">
        <v>50000000</v>
      </c>
      <c r="E728" s="93">
        <v>0.99211742479999998</v>
      </c>
      <c r="F728" s="18">
        <v>49605871.240000002</v>
      </c>
      <c r="G728" s="18">
        <v>0.11</v>
      </c>
      <c r="H728" s="13"/>
      <c r="I728" s="13"/>
    </row>
    <row r="729" spans="1:9">
      <c r="A729" s="13" t="s">
        <v>1278</v>
      </c>
      <c r="B729" s="139" t="s">
        <v>346</v>
      </c>
      <c r="C729" s="139" t="s">
        <v>161</v>
      </c>
      <c r="D729" s="15">
        <v>20000000</v>
      </c>
      <c r="E729" s="93">
        <v>0.94608615949999997</v>
      </c>
      <c r="F729" s="18">
        <v>18921723.190000001</v>
      </c>
      <c r="G729" s="18">
        <v>0.04</v>
      </c>
      <c r="H729" s="13"/>
      <c r="I729" s="13"/>
    </row>
    <row r="730" spans="1:9">
      <c r="A730" s="13" t="s">
        <v>1279</v>
      </c>
      <c r="B730" s="139" t="s">
        <v>505</v>
      </c>
      <c r="C730" s="139" t="s">
        <v>161</v>
      </c>
      <c r="D730" s="15">
        <v>20000000</v>
      </c>
      <c r="E730" s="93">
        <v>0.94805196160000005</v>
      </c>
      <c r="F730" s="18">
        <v>18961039.23</v>
      </c>
      <c r="G730" s="18">
        <v>0.04</v>
      </c>
      <c r="H730" s="13"/>
      <c r="I730" s="13"/>
    </row>
    <row r="731" spans="1:9">
      <c r="A731" s="13" t="s">
        <v>1280</v>
      </c>
      <c r="B731" s="139" t="s">
        <v>425</v>
      </c>
      <c r="C731" s="139" t="s">
        <v>161</v>
      </c>
      <c r="D731" s="15">
        <v>127500000</v>
      </c>
      <c r="E731" s="93">
        <v>0.98889190140000005</v>
      </c>
      <c r="F731" s="18">
        <v>126083717.43000001</v>
      </c>
      <c r="G731" s="18">
        <v>0.28000000000000003</v>
      </c>
      <c r="H731" s="13"/>
      <c r="I731" s="13"/>
    </row>
    <row r="732" spans="1:9">
      <c r="A732" s="13" t="s">
        <v>1281</v>
      </c>
      <c r="B732" s="139" t="s">
        <v>425</v>
      </c>
      <c r="C732" s="139" t="s">
        <v>334</v>
      </c>
      <c r="D732" s="15">
        <v>128500000</v>
      </c>
      <c r="E732" s="93">
        <v>0.98889192329999998</v>
      </c>
      <c r="F732" s="18">
        <v>127072612.14</v>
      </c>
      <c r="G732" s="18">
        <v>0.28999999999999998</v>
      </c>
      <c r="H732" s="13"/>
      <c r="I732" s="13"/>
    </row>
    <row r="733" spans="1:9">
      <c r="A733" s="13" t="s">
        <v>1282</v>
      </c>
      <c r="B733" s="139" t="s">
        <v>402</v>
      </c>
      <c r="C733" s="139" t="s">
        <v>334</v>
      </c>
      <c r="D733" s="15">
        <v>16000000</v>
      </c>
      <c r="E733" s="93">
        <v>0.99715880209999996</v>
      </c>
      <c r="F733" s="18">
        <v>15954540.83</v>
      </c>
      <c r="G733" s="18">
        <v>0.04</v>
      </c>
      <c r="H733" s="13"/>
      <c r="I733" s="13"/>
    </row>
    <row r="734" spans="1:9">
      <c r="A734" s="13" t="s">
        <v>1283</v>
      </c>
      <c r="B734" s="139" t="s">
        <v>388</v>
      </c>
      <c r="C734" s="139" t="s">
        <v>334</v>
      </c>
      <c r="D734" s="15">
        <v>200000000</v>
      </c>
      <c r="E734" s="93">
        <v>0.98327099549999997</v>
      </c>
      <c r="F734" s="151">
        <v>196654199.09999999</v>
      </c>
      <c r="G734" s="18">
        <v>0.44</v>
      </c>
      <c r="H734" s="13"/>
      <c r="I734" s="13"/>
    </row>
    <row r="735" spans="1:9">
      <c r="A735" s="13" t="s">
        <v>1284</v>
      </c>
      <c r="B735" s="139" t="s">
        <v>443</v>
      </c>
      <c r="C735" s="139" t="s">
        <v>334</v>
      </c>
      <c r="D735" s="15">
        <v>15000000</v>
      </c>
      <c r="E735" s="93">
        <v>0.97312580169999996</v>
      </c>
      <c r="F735" s="18">
        <v>14596887.029999999</v>
      </c>
      <c r="G735" s="18">
        <v>0.03</v>
      </c>
      <c r="H735" s="13"/>
      <c r="I735" s="13"/>
    </row>
    <row r="736" spans="1:9">
      <c r="A736" s="13" t="s">
        <v>1285</v>
      </c>
      <c r="B736" s="139" t="s">
        <v>388</v>
      </c>
      <c r="C736" s="139" t="s">
        <v>334</v>
      </c>
      <c r="D736" s="15">
        <v>15000000</v>
      </c>
      <c r="E736" s="93">
        <v>0.97421673070000003</v>
      </c>
      <c r="F736" s="18">
        <v>14613250.960000001</v>
      </c>
      <c r="G736" s="18">
        <v>0.03</v>
      </c>
      <c r="H736" s="13"/>
      <c r="I736" s="13"/>
    </row>
    <row r="737" spans="1:9">
      <c r="A737" s="13" t="s">
        <v>1286</v>
      </c>
      <c r="B737" s="139" t="s">
        <v>173</v>
      </c>
      <c r="C737" s="139" t="s">
        <v>334</v>
      </c>
      <c r="D737" s="15">
        <v>8200000</v>
      </c>
      <c r="E737" s="154">
        <v>0.98223896899999996</v>
      </c>
      <c r="F737" s="18">
        <v>8054359.5499999998</v>
      </c>
      <c r="G737" s="18">
        <v>0.02</v>
      </c>
      <c r="H737" s="13"/>
      <c r="I737" s="13"/>
    </row>
    <row r="738" spans="1:9">
      <c r="A738" s="13" t="s">
        <v>1287</v>
      </c>
      <c r="B738" s="139" t="s">
        <v>421</v>
      </c>
      <c r="C738" s="139" t="s">
        <v>334</v>
      </c>
      <c r="D738" s="15">
        <v>14700000</v>
      </c>
      <c r="E738" s="93">
        <v>0.96971315830000004</v>
      </c>
      <c r="F738" s="18">
        <v>14254783.43</v>
      </c>
      <c r="G738" s="18">
        <v>0.03</v>
      </c>
      <c r="H738" s="13"/>
      <c r="I738" s="13"/>
    </row>
    <row r="739" spans="1:9">
      <c r="A739" s="13" t="s">
        <v>1288</v>
      </c>
      <c r="B739" s="139" t="s">
        <v>388</v>
      </c>
      <c r="C739" s="139" t="s">
        <v>334</v>
      </c>
      <c r="D739" s="15">
        <v>10000000</v>
      </c>
      <c r="E739" s="93">
        <v>0.9790248198</v>
      </c>
      <c r="F739" s="151">
        <v>9790248.1999999993</v>
      </c>
      <c r="G739" s="18">
        <v>0.02</v>
      </c>
      <c r="H739" s="13"/>
      <c r="I739" s="13"/>
    </row>
    <row r="740" spans="1:9">
      <c r="A740" s="13" t="s">
        <v>1289</v>
      </c>
      <c r="B740" s="139" t="s">
        <v>410</v>
      </c>
      <c r="C740" s="139" t="s">
        <v>334</v>
      </c>
      <c r="D740" s="15">
        <v>5000000</v>
      </c>
      <c r="E740" s="93">
        <v>0.95295293810000004</v>
      </c>
      <c r="F740" s="18">
        <v>4764764.6900000004</v>
      </c>
      <c r="G740" s="18">
        <v>0.01</v>
      </c>
      <c r="H740" s="13"/>
      <c r="I740" s="13"/>
    </row>
    <row r="741" spans="1:9">
      <c r="A741" s="13" t="s">
        <v>1290</v>
      </c>
      <c r="B741" s="139" t="s">
        <v>596</v>
      </c>
      <c r="C741" s="139" t="s">
        <v>334</v>
      </c>
      <c r="D741" s="15">
        <v>16800000</v>
      </c>
      <c r="E741" s="93">
        <v>0.94588994240000002</v>
      </c>
      <c r="F741" s="18">
        <v>15890951.029999999</v>
      </c>
      <c r="G741" s="18">
        <v>0.04</v>
      </c>
      <c r="H741" s="13"/>
      <c r="I741" s="13"/>
    </row>
    <row r="742" spans="1:9">
      <c r="A742" s="13" t="s">
        <v>1294</v>
      </c>
      <c r="B742" s="139" t="s">
        <v>1057</v>
      </c>
      <c r="C742" s="139" t="s">
        <v>359</v>
      </c>
      <c r="D742" s="15">
        <v>17118303</v>
      </c>
      <c r="E742" s="93">
        <v>0.88909463950000001</v>
      </c>
      <c r="F742" s="18">
        <v>15219791.43</v>
      </c>
      <c r="G742" s="18">
        <v>0.03</v>
      </c>
      <c r="H742" s="13"/>
      <c r="I742" s="13"/>
    </row>
    <row r="743" spans="1:9">
      <c r="A743" s="13" t="s">
        <v>1295</v>
      </c>
      <c r="B743" s="139" t="s">
        <v>412</v>
      </c>
      <c r="C743" s="139" t="s">
        <v>359</v>
      </c>
      <c r="D743" s="15">
        <v>1040000</v>
      </c>
      <c r="E743" s="93">
        <v>0.94780591309999995</v>
      </c>
      <c r="F743" s="18">
        <v>985718.15</v>
      </c>
      <c r="G743" s="15">
        <v>0</v>
      </c>
      <c r="H743" s="13"/>
      <c r="I743" s="13"/>
    </row>
    <row r="744" spans="1:9">
      <c r="A744" s="13" t="s">
        <v>1296</v>
      </c>
      <c r="B744" s="139" t="s">
        <v>860</v>
      </c>
      <c r="C744" s="139" t="s">
        <v>359</v>
      </c>
      <c r="D744" s="15">
        <v>1040000</v>
      </c>
      <c r="E744" s="93">
        <v>0.93902764979999997</v>
      </c>
      <c r="F744" s="18">
        <v>976588.76</v>
      </c>
      <c r="G744" s="15">
        <v>0</v>
      </c>
      <c r="H744" s="13"/>
      <c r="I744" s="13"/>
    </row>
    <row r="745" spans="1:9">
      <c r="A745" s="13" t="s">
        <v>1297</v>
      </c>
      <c r="B745" s="139" t="s">
        <v>809</v>
      </c>
      <c r="C745" s="139" t="s">
        <v>359</v>
      </c>
      <c r="D745" s="15">
        <v>1040000</v>
      </c>
      <c r="E745" s="93">
        <v>0.9433962816</v>
      </c>
      <c r="F745" s="18">
        <v>981132.13</v>
      </c>
      <c r="G745" s="15">
        <v>0</v>
      </c>
      <c r="H745" s="13"/>
      <c r="I745" s="13"/>
    </row>
    <row r="746" spans="1:9">
      <c r="A746" s="13" t="s">
        <v>1298</v>
      </c>
      <c r="B746" s="139" t="s">
        <v>493</v>
      </c>
      <c r="C746" s="139" t="s">
        <v>359</v>
      </c>
      <c r="D746" s="15">
        <v>1040000</v>
      </c>
      <c r="E746" s="93">
        <v>0.95976866940000005</v>
      </c>
      <c r="F746" s="18">
        <v>998159.42</v>
      </c>
      <c r="G746" s="15">
        <v>0</v>
      </c>
      <c r="H746" s="13"/>
      <c r="I746" s="13"/>
    </row>
    <row r="747" spans="1:9">
      <c r="A747" s="13" t="s">
        <v>1299</v>
      </c>
      <c r="B747" s="139" t="s">
        <v>491</v>
      </c>
      <c r="C747" s="139" t="s">
        <v>359</v>
      </c>
      <c r="D747" s="15">
        <v>1040000</v>
      </c>
      <c r="E747" s="93">
        <v>0.96356927930000003</v>
      </c>
      <c r="F747" s="18">
        <v>1002112.05</v>
      </c>
      <c r="G747" s="15">
        <v>0</v>
      </c>
      <c r="H747" s="13"/>
      <c r="I747" s="13"/>
    </row>
    <row r="748" spans="1:9">
      <c r="A748" s="13" t="s">
        <v>1300</v>
      </c>
      <c r="B748" s="139" t="s">
        <v>1194</v>
      </c>
      <c r="C748" s="139" t="s">
        <v>359</v>
      </c>
      <c r="D748" s="15">
        <v>1040000</v>
      </c>
      <c r="E748" s="93">
        <v>0.95076843239999997</v>
      </c>
      <c r="F748" s="18">
        <v>988799.17</v>
      </c>
      <c r="G748" s="15">
        <v>0</v>
      </c>
      <c r="H748" s="13"/>
      <c r="I748" s="13"/>
    </row>
    <row r="749" spans="1:9">
      <c r="A749" s="13" t="s">
        <v>1301</v>
      </c>
      <c r="B749" s="139" t="s">
        <v>505</v>
      </c>
      <c r="C749" s="139" t="s">
        <v>359</v>
      </c>
      <c r="D749" s="15">
        <v>1040000</v>
      </c>
      <c r="E749" s="93">
        <v>0.96052641559999996</v>
      </c>
      <c r="F749" s="18">
        <v>998947.47</v>
      </c>
      <c r="G749" s="15">
        <v>0</v>
      </c>
      <c r="H749" s="13"/>
      <c r="I749" s="13"/>
    </row>
    <row r="750" spans="1:9">
      <c r="A750" s="13" t="s">
        <v>1302</v>
      </c>
      <c r="B750" s="139" t="s">
        <v>410</v>
      </c>
      <c r="C750" s="139" t="s">
        <v>359</v>
      </c>
      <c r="D750" s="15">
        <v>1040000</v>
      </c>
      <c r="E750" s="154">
        <v>0.95825687900000001</v>
      </c>
      <c r="F750" s="18">
        <v>996587.15</v>
      </c>
      <c r="G750" s="15">
        <v>0</v>
      </c>
      <c r="H750" s="13"/>
      <c r="I750" s="13"/>
    </row>
    <row r="751" spans="1:9">
      <c r="A751" s="13" t="s">
        <v>1303</v>
      </c>
      <c r="B751" s="139" t="s">
        <v>809</v>
      </c>
      <c r="C751" s="139" t="s">
        <v>359</v>
      </c>
      <c r="D751" s="15">
        <v>1040000</v>
      </c>
      <c r="E751" s="93">
        <v>0.9433962816</v>
      </c>
      <c r="F751" s="18">
        <v>981132.13</v>
      </c>
      <c r="G751" s="15">
        <v>0</v>
      </c>
      <c r="H751" s="13"/>
      <c r="I751" s="13"/>
    </row>
    <row r="752" spans="1:9">
      <c r="A752" s="13" t="s">
        <v>1304</v>
      </c>
      <c r="B752" s="139" t="s">
        <v>410</v>
      </c>
      <c r="C752" s="139" t="s">
        <v>359</v>
      </c>
      <c r="D752" s="15">
        <v>5000000</v>
      </c>
      <c r="E752" s="93">
        <v>0.95959209519999999</v>
      </c>
      <c r="F752" s="18">
        <v>4797960.4800000004</v>
      </c>
      <c r="G752" s="18">
        <v>0.01</v>
      </c>
      <c r="H752" s="13"/>
      <c r="I752" s="13"/>
    </row>
    <row r="753" spans="1:9">
      <c r="A753" s="13" t="s">
        <v>1305</v>
      </c>
      <c r="B753" s="139" t="s">
        <v>346</v>
      </c>
      <c r="C753" s="139" t="s">
        <v>359</v>
      </c>
      <c r="D753" s="15">
        <v>5000000</v>
      </c>
      <c r="E753" s="93">
        <v>0.96032415540000005</v>
      </c>
      <c r="F753" s="18">
        <v>4801620.78</v>
      </c>
      <c r="G753" s="18">
        <v>0.01</v>
      </c>
      <c r="H753" s="13"/>
      <c r="I753" s="13"/>
    </row>
    <row r="754" spans="1:9">
      <c r="A754" s="13" t="s">
        <v>1306</v>
      </c>
      <c r="B754" s="139" t="s">
        <v>493</v>
      </c>
      <c r="C754" s="139" t="s">
        <v>359</v>
      </c>
      <c r="D754" s="15">
        <v>5000000</v>
      </c>
      <c r="E754" s="93">
        <v>0.96105747549999998</v>
      </c>
      <c r="F754" s="18">
        <v>4805287.38</v>
      </c>
      <c r="G754" s="18">
        <v>0.01</v>
      </c>
      <c r="H754" s="13"/>
      <c r="I754" s="13"/>
    </row>
    <row r="755" spans="1:9">
      <c r="A755" s="13" t="s">
        <v>1307</v>
      </c>
      <c r="B755" s="139" t="s">
        <v>491</v>
      </c>
      <c r="C755" s="139" t="s">
        <v>359</v>
      </c>
      <c r="D755" s="15">
        <v>5000000</v>
      </c>
      <c r="E755" s="93">
        <v>0.96474081379999999</v>
      </c>
      <c r="F755" s="18">
        <v>4823704.07</v>
      </c>
      <c r="G755" s="18">
        <v>0.01</v>
      </c>
      <c r="H755" s="13"/>
      <c r="I755" s="13"/>
    </row>
    <row r="756" spans="1:9">
      <c r="A756" s="13" t="s">
        <v>1308</v>
      </c>
      <c r="B756" s="139" t="s">
        <v>862</v>
      </c>
      <c r="C756" s="139" t="s">
        <v>359</v>
      </c>
      <c r="D756" s="15">
        <v>5000000</v>
      </c>
      <c r="E756" s="93">
        <v>0.96548089790000002</v>
      </c>
      <c r="F756" s="18">
        <v>4827404.49</v>
      </c>
      <c r="G756" s="18">
        <v>0.01</v>
      </c>
      <c r="H756" s="13"/>
      <c r="I756" s="13"/>
    </row>
    <row r="757" spans="1:9">
      <c r="A757" s="13" t="s">
        <v>1309</v>
      </c>
      <c r="B757" s="139" t="s">
        <v>489</v>
      </c>
      <c r="C757" s="139" t="s">
        <v>359</v>
      </c>
      <c r="D757" s="15">
        <v>5000000</v>
      </c>
      <c r="E757" s="93">
        <v>0.96770783780000003</v>
      </c>
      <c r="F757" s="18">
        <v>4838539.1900000004</v>
      </c>
      <c r="G757" s="18">
        <v>0.01</v>
      </c>
      <c r="H757" s="13"/>
      <c r="I757" s="13"/>
    </row>
    <row r="758" spans="1:9">
      <c r="A758" s="13" t="s">
        <v>1310</v>
      </c>
      <c r="B758" s="139" t="s">
        <v>414</v>
      </c>
      <c r="C758" s="139" t="s">
        <v>359</v>
      </c>
      <c r="D758" s="15">
        <v>5000000</v>
      </c>
      <c r="E758" s="93">
        <v>0.97144228109999997</v>
      </c>
      <c r="F758" s="18">
        <v>4857211.41</v>
      </c>
      <c r="G758" s="18">
        <v>0.01</v>
      </c>
      <c r="H758" s="13"/>
      <c r="I758" s="13"/>
    </row>
    <row r="759" spans="1:9">
      <c r="A759" s="13" t="s">
        <v>1311</v>
      </c>
      <c r="B759" s="139" t="s">
        <v>638</v>
      </c>
      <c r="C759" s="139" t="s">
        <v>359</v>
      </c>
      <c r="D759" s="15">
        <v>5000000</v>
      </c>
      <c r="E759" s="93">
        <v>0.97671930689999997</v>
      </c>
      <c r="F759" s="18">
        <v>4883596.53</v>
      </c>
      <c r="G759" s="18">
        <v>0.01</v>
      </c>
      <c r="H759" s="13"/>
      <c r="I759" s="13"/>
    </row>
    <row r="760" spans="1:9">
      <c r="A760" s="13" t="s">
        <v>1312</v>
      </c>
      <c r="B760" s="139" t="s">
        <v>607</v>
      </c>
      <c r="C760" s="139" t="s">
        <v>359</v>
      </c>
      <c r="D760" s="15">
        <v>5000000</v>
      </c>
      <c r="E760" s="93">
        <v>0.97747788260000001</v>
      </c>
      <c r="F760" s="18">
        <v>4887389.41</v>
      </c>
      <c r="G760" s="18">
        <v>0.01</v>
      </c>
      <c r="H760" s="13"/>
      <c r="I760" s="13"/>
    </row>
    <row r="761" spans="1:9">
      <c r="A761" s="13" t="s">
        <v>1313</v>
      </c>
      <c r="B761" s="139" t="s">
        <v>477</v>
      </c>
      <c r="C761" s="139" t="s">
        <v>359</v>
      </c>
      <c r="D761" s="15">
        <v>5000000</v>
      </c>
      <c r="E761" s="93">
        <v>0.98052389159999997</v>
      </c>
      <c r="F761" s="18">
        <v>4902619.46</v>
      </c>
      <c r="G761" s="18">
        <v>0.01</v>
      </c>
      <c r="H761" s="13"/>
      <c r="I761" s="13"/>
    </row>
    <row r="762" spans="1:9">
      <c r="A762" s="13" t="s">
        <v>1314</v>
      </c>
      <c r="B762" s="139" t="s">
        <v>777</v>
      </c>
      <c r="C762" s="139" t="s">
        <v>359</v>
      </c>
      <c r="D762" s="15">
        <v>5000000</v>
      </c>
      <c r="E762" s="93">
        <v>0.93254985889999997</v>
      </c>
      <c r="F762" s="18">
        <v>4662749.29</v>
      </c>
      <c r="G762" s="18">
        <v>0.01</v>
      </c>
      <c r="H762" s="13"/>
      <c r="I762" s="13"/>
    </row>
    <row r="763" spans="1:9">
      <c r="A763" s="13" t="s">
        <v>1315</v>
      </c>
      <c r="B763" s="139" t="s">
        <v>468</v>
      </c>
      <c r="C763" s="139" t="s">
        <v>359</v>
      </c>
      <c r="D763" s="15">
        <v>40000000</v>
      </c>
      <c r="E763" s="93">
        <v>0.93953514469999999</v>
      </c>
      <c r="F763" s="18">
        <v>37581405.789999999</v>
      </c>
      <c r="G763" s="18">
        <v>0.08</v>
      </c>
      <c r="H763" s="13"/>
      <c r="I763" s="13"/>
    </row>
    <row r="764" spans="1:9">
      <c r="A764" s="13" t="s">
        <v>1316</v>
      </c>
      <c r="B764" s="139" t="s">
        <v>1124</v>
      </c>
      <c r="C764" s="139" t="s">
        <v>359</v>
      </c>
      <c r="D764" s="15">
        <v>40000000</v>
      </c>
      <c r="E764" s="93">
        <v>0.94023705909999999</v>
      </c>
      <c r="F764" s="18">
        <v>37609482.359999999</v>
      </c>
      <c r="G764" s="18">
        <v>0.08</v>
      </c>
      <c r="H764" s="13"/>
      <c r="I764" s="13"/>
    </row>
    <row r="765" spans="1:9">
      <c r="A765" s="13" t="s">
        <v>1317</v>
      </c>
      <c r="B765" s="139" t="s">
        <v>813</v>
      </c>
      <c r="C765" s="139" t="s">
        <v>359</v>
      </c>
      <c r="D765" s="18">
        <v>11923076.92</v>
      </c>
      <c r="E765" s="93">
        <v>0.94234893890000004</v>
      </c>
      <c r="F765" s="18">
        <v>11235698.880000001</v>
      </c>
      <c r="G765" s="18">
        <v>0.03</v>
      </c>
      <c r="H765" s="13"/>
      <c r="I765" s="13"/>
    </row>
    <row r="766" spans="1:9">
      <c r="A766" s="13" t="s">
        <v>1318</v>
      </c>
      <c r="B766" s="139" t="s">
        <v>835</v>
      </c>
      <c r="C766" s="139" t="s">
        <v>359</v>
      </c>
      <c r="D766" s="18">
        <v>11923076.92</v>
      </c>
      <c r="E766" s="93">
        <v>0.93188318960000005</v>
      </c>
      <c r="F766" s="18">
        <v>11110914.949999999</v>
      </c>
      <c r="G766" s="18">
        <v>0.02</v>
      </c>
      <c r="H766" s="13"/>
      <c r="I766" s="13"/>
    </row>
    <row r="767" spans="1:9">
      <c r="A767" s="13" t="s">
        <v>1319</v>
      </c>
      <c r="B767" s="139" t="s">
        <v>632</v>
      </c>
      <c r="C767" s="139" t="s">
        <v>359</v>
      </c>
      <c r="D767" s="15">
        <v>40000000</v>
      </c>
      <c r="E767" s="154">
        <v>0.94164404099999999</v>
      </c>
      <c r="F767" s="18">
        <v>37665761.640000001</v>
      </c>
      <c r="G767" s="18">
        <v>0.08</v>
      </c>
      <c r="H767" s="13"/>
      <c r="I767" s="13"/>
    </row>
    <row r="768" spans="1:9">
      <c r="A768" s="13" t="s">
        <v>1320</v>
      </c>
      <c r="B768" s="139" t="s">
        <v>589</v>
      </c>
      <c r="C768" s="139" t="s">
        <v>359</v>
      </c>
      <c r="D768" s="15">
        <v>15200000</v>
      </c>
      <c r="E768" s="93">
        <v>0.99926082090000001</v>
      </c>
      <c r="F768" s="18">
        <v>15188764.48</v>
      </c>
      <c r="G768" s="18">
        <v>0.03</v>
      </c>
      <c r="H768" s="13"/>
      <c r="I768" s="13"/>
    </row>
    <row r="769" spans="1:9">
      <c r="A769" s="13" t="s">
        <v>1321</v>
      </c>
      <c r="B769" s="139" t="s">
        <v>171</v>
      </c>
      <c r="C769" s="139" t="s">
        <v>359</v>
      </c>
      <c r="D769" s="15">
        <v>15200000</v>
      </c>
      <c r="E769" s="93">
        <v>0.99338653720000003</v>
      </c>
      <c r="F769" s="18">
        <v>15099475.369999999</v>
      </c>
      <c r="G769" s="18">
        <v>0.03</v>
      </c>
      <c r="H769" s="13"/>
      <c r="I769" s="13"/>
    </row>
    <row r="770" spans="1:9">
      <c r="A770" s="13" t="s">
        <v>1322</v>
      </c>
      <c r="B770" s="139" t="s">
        <v>433</v>
      </c>
      <c r="C770" s="139" t="s">
        <v>359</v>
      </c>
      <c r="D770" s="15">
        <v>15200000</v>
      </c>
      <c r="E770" s="93">
        <v>0.99778574539999998</v>
      </c>
      <c r="F770" s="18">
        <v>15166343.33</v>
      </c>
      <c r="G770" s="18">
        <v>0.03</v>
      </c>
      <c r="H770" s="13"/>
      <c r="I770" s="13"/>
    </row>
    <row r="771" spans="1:9">
      <c r="A771" s="13" t="s">
        <v>1323</v>
      </c>
      <c r="B771" s="139" t="s">
        <v>425</v>
      </c>
      <c r="C771" s="139" t="s">
        <v>359</v>
      </c>
      <c r="D771" s="15">
        <v>15200000</v>
      </c>
      <c r="E771" s="93">
        <v>0.99265708870000002</v>
      </c>
      <c r="F771" s="18">
        <v>15088387.75</v>
      </c>
      <c r="G771" s="18">
        <v>0.03</v>
      </c>
      <c r="H771" s="13"/>
      <c r="I771" s="13"/>
    </row>
    <row r="772" spans="1:9">
      <c r="A772" s="13" t="s">
        <v>1324</v>
      </c>
      <c r="B772" s="139" t="s">
        <v>491</v>
      </c>
      <c r="C772" s="139" t="s">
        <v>359</v>
      </c>
      <c r="D772" s="151">
        <v>6013017.5</v>
      </c>
      <c r="E772" s="93">
        <v>0.96356927110000001</v>
      </c>
      <c r="F772" s="18">
        <v>5793958.8899999997</v>
      </c>
      <c r="G772" s="18">
        <v>0.01</v>
      </c>
      <c r="H772" s="13"/>
      <c r="I772" s="13"/>
    </row>
    <row r="773" spans="1:9">
      <c r="A773" s="13" t="s">
        <v>1325</v>
      </c>
      <c r="B773" s="139" t="s">
        <v>491</v>
      </c>
      <c r="C773" s="139" t="s">
        <v>359</v>
      </c>
      <c r="D773" s="151">
        <v>6013017.5</v>
      </c>
      <c r="E773" s="93">
        <v>0.96356927110000001</v>
      </c>
      <c r="F773" s="18">
        <v>5793958.8899999997</v>
      </c>
      <c r="G773" s="18">
        <v>0.01</v>
      </c>
      <c r="H773" s="13"/>
      <c r="I773" s="13"/>
    </row>
    <row r="774" spans="1:9">
      <c r="A774" s="13" t="s">
        <v>1326</v>
      </c>
      <c r="B774" s="139" t="s">
        <v>491</v>
      </c>
      <c r="C774" s="139" t="s">
        <v>359</v>
      </c>
      <c r="D774" s="151">
        <v>6013017.5</v>
      </c>
      <c r="E774" s="93">
        <v>0.96356927110000001</v>
      </c>
      <c r="F774" s="18">
        <v>5793958.8899999997</v>
      </c>
      <c r="G774" s="18">
        <v>0.01</v>
      </c>
      <c r="H774" s="13"/>
      <c r="I774" s="13"/>
    </row>
    <row r="775" spans="1:9">
      <c r="A775" s="13" t="s">
        <v>1327</v>
      </c>
      <c r="B775" s="139" t="s">
        <v>886</v>
      </c>
      <c r="C775" s="139" t="s">
        <v>359</v>
      </c>
      <c r="D775" s="15">
        <v>35000000</v>
      </c>
      <c r="E775" s="93">
        <v>0.93946262670000003</v>
      </c>
      <c r="F775" s="18">
        <v>32881191.93</v>
      </c>
      <c r="G775" s="18">
        <v>7.0000000000000007E-2</v>
      </c>
      <c r="H775" s="13"/>
      <c r="I775" s="13"/>
    </row>
    <row r="776" spans="1:9">
      <c r="A776" s="13" t="s">
        <v>1328</v>
      </c>
      <c r="B776" s="139" t="s">
        <v>1072</v>
      </c>
      <c r="C776" s="139" t="s">
        <v>359</v>
      </c>
      <c r="D776" s="15">
        <v>35000000</v>
      </c>
      <c r="E776" s="93">
        <v>0.91958078509999996</v>
      </c>
      <c r="F776" s="18">
        <v>32185327.48</v>
      </c>
      <c r="G776" s="18">
        <v>7.0000000000000007E-2</v>
      </c>
      <c r="H776" s="13"/>
      <c r="I776" s="13"/>
    </row>
    <row r="777" spans="1:9">
      <c r="A777" s="13" t="s">
        <v>1329</v>
      </c>
      <c r="B777" s="139" t="s">
        <v>1086</v>
      </c>
      <c r="C777" s="139" t="s">
        <v>359</v>
      </c>
      <c r="D777" s="15">
        <v>30000000</v>
      </c>
      <c r="E777" s="93">
        <v>0.9017690223</v>
      </c>
      <c r="F777" s="18">
        <v>27053070.670000002</v>
      </c>
      <c r="G777" s="18">
        <v>0.06</v>
      </c>
      <c r="H777" s="13"/>
      <c r="I777" s="13"/>
    </row>
    <row r="778" spans="1:9">
      <c r="A778" s="13" t="s">
        <v>1330</v>
      </c>
      <c r="B778" s="139" t="s">
        <v>589</v>
      </c>
      <c r="C778" s="139" t="s">
        <v>359</v>
      </c>
      <c r="D778" s="15">
        <v>20000000</v>
      </c>
      <c r="E778" s="93">
        <v>0.99928817859999997</v>
      </c>
      <c r="F778" s="18">
        <v>19985763.57</v>
      </c>
      <c r="G778" s="18">
        <v>0.04</v>
      </c>
      <c r="H778" s="13"/>
      <c r="I778" s="13"/>
    </row>
    <row r="779" spans="1:9">
      <c r="A779" s="13" t="s">
        <v>1331</v>
      </c>
      <c r="B779" s="139" t="s">
        <v>171</v>
      </c>
      <c r="C779" s="139" t="s">
        <v>359</v>
      </c>
      <c r="D779" s="15">
        <v>25000000</v>
      </c>
      <c r="E779" s="93">
        <v>0.99362992059999999</v>
      </c>
      <c r="F779" s="18">
        <v>24840748.02</v>
      </c>
      <c r="G779" s="18">
        <v>0.06</v>
      </c>
      <c r="H779" s="13"/>
      <c r="I779" s="13"/>
    </row>
    <row r="780" spans="1:9">
      <c r="A780" s="13" t="s">
        <v>1332</v>
      </c>
      <c r="B780" s="139" t="s">
        <v>638</v>
      </c>
      <c r="C780" s="139" t="s">
        <v>359</v>
      </c>
      <c r="D780" s="15">
        <v>7000000</v>
      </c>
      <c r="E780" s="93">
        <v>0.97671930770000004</v>
      </c>
      <c r="F780" s="18">
        <v>6837035.1500000004</v>
      </c>
      <c r="G780" s="18">
        <v>0.02</v>
      </c>
      <c r="H780" s="13"/>
      <c r="I780" s="13"/>
    </row>
    <row r="781" spans="1:9">
      <c r="A781" s="13" t="s">
        <v>1333</v>
      </c>
      <c r="B781" s="139" t="s">
        <v>414</v>
      </c>
      <c r="C781" s="139" t="s">
        <v>359</v>
      </c>
      <c r="D781" s="15">
        <v>25000000</v>
      </c>
      <c r="E781" s="154">
        <v>0.97144228300000002</v>
      </c>
      <c r="F781" s="18">
        <v>24286057.079999998</v>
      </c>
      <c r="G781" s="18">
        <v>0.05</v>
      </c>
      <c r="H781" s="13"/>
      <c r="I781" s="13"/>
    </row>
    <row r="782" spans="1:9">
      <c r="A782" s="13" t="s">
        <v>1334</v>
      </c>
      <c r="B782" s="139" t="s">
        <v>862</v>
      </c>
      <c r="C782" s="139" t="s">
        <v>359</v>
      </c>
      <c r="D782" s="15">
        <v>25000000</v>
      </c>
      <c r="E782" s="154">
        <v>0.965480899</v>
      </c>
      <c r="F782" s="18">
        <v>24137022.48</v>
      </c>
      <c r="G782" s="18">
        <v>0.05</v>
      </c>
      <c r="H782" s="13"/>
      <c r="I782" s="13"/>
    </row>
    <row r="783" spans="1:9">
      <c r="A783" s="13" t="s">
        <v>1335</v>
      </c>
      <c r="B783" s="139" t="s">
        <v>388</v>
      </c>
      <c r="C783" s="139" t="s">
        <v>359</v>
      </c>
      <c r="D783" s="15">
        <v>25000000</v>
      </c>
      <c r="E783" s="93">
        <v>0.98205397380000004</v>
      </c>
      <c r="F783" s="18">
        <v>24551349.350000001</v>
      </c>
      <c r="G783" s="18">
        <v>0.06</v>
      </c>
      <c r="H783" s="13"/>
      <c r="I783" s="13"/>
    </row>
    <row r="784" spans="1:9">
      <c r="A784" s="13" t="s">
        <v>1336</v>
      </c>
      <c r="B784" s="139" t="s">
        <v>1105</v>
      </c>
      <c r="C784" s="139" t="s">
        <v>359</v>
      </c>
      <c r="D784" s="15">
        <v>20000000</v>
      </c>
      <c r="E784" s="93">
        <v>0.97294425009999996</v>
      </c>
      <c r="F784" s="15">
        <v>19458885</v>
      </c>
      <c r="G784" s="18">
        <v>0.04</v>
      </c>
      <c r="H784" s="13"/>
      <c r="I784" s="13"/>
    </row>
    <row r="785" spans="1:9">
      <c r="A785" s="13" t="s">
        <v>1337</v>
      </c>
      <c r="B785" s="139" t="s">
        <v>610</v>
      </c>
      <c r="C785" s="139" t="s">
        <v>359</v>
      </c>
      <c r="D785" s="15">
        <v>20000000</v>
      </c>
      <c r="E785" s="154">
        <v>0.97219268700000006</v>
      </c>
      <c r="F785" s="18">
        <v>19443853.739999998</v>
      </c>
      <c r="G785" s="18">
        <v>0.04</v>
      </c>
      <c r="H785" s="13"/>
      <c r="I785" s="13"/>
    </row>
    <row r="786" spans="1:9">
      <c r="A786" s="13" t="s">
        <v>1338</v>
      </c>
      <c r="B786" s="139" t="s">
        <v>596</v>
      </c>
      <c r="C786" s="139" t="s">
        <v>359</v>
      </c>
      <c r="D786" s="18">
        <v>4166666.66</v>
      </c>
      <c r="E786" s="93">
        <v>0.95594789270000002</v>
      </c>
      <c r="F786" s="18">
        <v>3983116.21</v>
      </c>
      <c r="G786" s="18">
        <v>0.01</v>
      </c>
      <c r="H786" s="13"/>
      <c r="I786" s="13"/>
    </row>
    <row r="787" spans="1:9">
      <c r="A787" s="13" t="s">
        <v>1339</v>
      </c>
      <c r="B787" s="139" t="s">
        <v>425</v>
      </c>
      <c r="C787" s="139" t="s">
        <v>359</v>
      </c>
      <c r="D787" s="18">
        <v>4166666.66</v>
      </c>
      <c r="E787" s="93">
        <v>0.99211745669999996</v>
      </c>
      <c r="F787" s="18">
        <v>4133822.73</v>
      </c>
      <c r="G787" s="18">
        <v>0.01</v>
      </c>
      <c r="H787" s="13"/>
      <c r="I787" s="13"/>
    </row>
    <row r="788" spans="1:9">
      <c r="A788" s="13" t="s">
        <v>1340</v>
      </c>
      <c r="B788" s="139" t="s">
        <v>503</v>
      </c>
      <c r="C788" s="139" t="s">
        <v>359</v>
      </c>
      <c r="D788" s="151">
        <v>4166666.7</v>
      </c>
      <c r="E788" s="93">
        <v>0.96622197590000003</v>
      </c>
      <c r="F788" s="18">
        <v>4025924.93</v>
      </c>
      <c r="G788" s="18">
        <v>0.01</v>
      </c>
      <c r="H788" s="13"/>
      <c r="I788" s="13"/>
    </row>
    <row r="789" spans="1:9">
      <c r="A789" s="13" t="s">
        <v>1341</v>
      </c>
      <c r="B789" s="139" t="s">
        <v>569</v>
      </c>
      <c r="C789" s="139" t="s">
        <v>359</v>
      </c>
      <c r="D789" s="18">
        <v>4166666.66</v>
      </c>
      <c r="E789" s="93">
        <v>0.98744732290000004</v>
      </c>
      <c r="F789" s="18">
        <v>4114363.84</v>
      </c>
      <c r="G789" s="18">
        <v>0.01</v>
      </c>
      <c r="H789" s="13"/>
      <c r="I789" s="13"/>
    </row>
    <row r="790" spans="1:9">
      <c r="A790" s="13" t="s">
        <v>1342</v>
      </c>
      <c r="B790" s="139" t="s">
        <v>569</v>
      </c>
      <c r="C790" s="139" t="s">
        <v>359</v>
      </c>
      <c r="D790" s="15">
        <v>10000000</v>
      </c>
      <c r="E790" s="93">
        <v>0.98744732160000004</v>
      </c>
      <c r="F790" s="18">
        <v>9874473.2200000007</v>
      </c>
      <c r="G790" s="18">
        <v>0.02</v>
      </c>
      <c r="H790" s="13"/>
      <c r="I790" s="13"/>
    </row>
    <row r="791" spans="1:9">
      <c r="A791" s="13" t="s">
        <v>1343</v>
      </c>
      <c r="B791" s="139" t="s">
        <v>503</v>
      </c>
      <c r="C791" s="139" t="s">
        <v>359</v>
      </c>
      <c r="D791" s="15">
        <v>10000000</v>
      </c>
      <c r="E791" s="154">
        <v>0.96622197700000001</v>
      </c>
      <c r="F791" s="18">
        <v>9662219.7699999996</v>
      </c>
      <c r="G791" s="18">
        <v>0.02</v>
      </c>
      <c r="H791" s="13"/>
      <c r="I791" s="13"/>
    </row>
    <row r="792" spans="1:9">
      <c r="A792" s="13" t="s">
        <v>1344</v>
      </c>
      <c r="B792" s="139" t="s">
        <v>569</v>
      </c>
      <c r="C792" s="139" t="s">
        <v>359</v>
      </c>
      <c r="D792" s="15">
        <v>10000000</v>
      </c>
      <c r="E792" s="93">
        <v>0.98744732160000004</v>
      </c>
      <c r="F792" s="18">
        <v>9874473.2200000007</v>
      </c>
      <c r="G792" s="18">
        <v>0.02</v>
      </c>
      <c r="H792" s="13"/>
      <c r="I792" s="13"/>
    </row>
    <row r="793" spans="1:9">
      <c r="A793" s="13" t="s">
        <v>1345</v>
      </c>
      <c r="B793" s="139" t="s">
        <v>862</v>
      </c>
      <c r="C793" s="139" t="s">
        <v>359</v>
      </c>
      <c r="D793" s="15">
        <v>10000000</v>
      </c>
      <c r="E793" s="154">
        <v>0.965480899</v>
      </c>
      <c r="F793" s="18">
        <v>9654808.9900000002</v>
      </c>
      <c r="G793" s="18">
        <v>0.02</v>
      </c>
      <c r="H793" s="13"/>
      <c r="I793" s="13"/>
    </row>
    <row r="794" spans="1:9">
      <c r="A794" s="13" t="s">
        <v>1346</v>
      </c>
      <c r="B794" s="139" t="s">
        <v>777</v>
      </c>
      <c r="C794" s="139" t="s">
        <v>359</v>
      </c>
      <c r="D794" s="15">
        <v>10000000</v>
      </c>
      <c r="E794" s="93">
        <v>0.93465127010000004</v>
      </c>
      <c r="F794" s="151">
        <v>9346512.6999999993</v>
      </c>
      <c r="G794" s="18">
        <v>0.02</v>
      </c>
      <c r="H794" s="13"/>
      <c r="I794" s="13"/>
    </row>
    <row r="795" spans="1:9">
      <c r="A795" s="13" t="s">
        <v>1347</v>
      </c>
      <c r="B795" s="139" t="s">
        <v>835</v>
      </c>
      <c r="C795" s="139" t="s">
        <v>359</v>
      </c>
      <c r="D795" s="15">
        <v>10000000</v>
      </c>
      <c r="E795" s="93">
        <v>0.93188318960000005</v>
      </c>
      <c r="F795" s="151">
        <v>9318831.9000000004</v>
      </c>
      <c r="G795" s="18">
        <v>0.02</v>
      </c>
      <c r="H795" s="13"/>
      <c r="I795" s="13"/>
    </row>
    <row r="796" spans="1:9">
      <c r="A796" s="13" t="s">
        <v>1348</v>
      </c>
      <c r="B796" s="139" t="s">
        <v>1148</v>
      </c>
      <c r="C796" s="139" t="s">
        <v>359</v>
      </c>
      <c r="D796" s="15">
        <v>10000000</v>
      </c>
      <c r="E796" s="93">
        <v>0.93119386179999997</v>
      </c>
      <c r="F796" s="18">
        <v>9311938.6199999992</v>
      </c>
      <c r="G796" s="18">
        <v>0.02</v>
      </c>
      <c r="H796" s="13"/>
      <c r="I796" s="13"/>
    </row>
    <row r="797" spans="1:9">
      <c r="A797" s="13" t="s">
        <v>1349</v>
      </c>
      <c r="B797" s="139" t="s">
        <v>1105</v>
      </c>
      <c r="C797" s="139" t="s">
        <v>359</v>
      </c>
      <c r="D797" s="15">
        <v>6500000</v>
      </c>
      <c r="E797" s="93">
        <v>0.9729442519</v>
      </c>
      <c r="F797" s="18">
        <v>6324137.6399999997</v>
      </c>
      <c r="G797" s="18">
        <v>0.01</v>
      </c>
      <c r="H797" s="13"/>
      <c r="I797" s="13"/>
    </row>
    <row r="798" spans="1:9">
      <c r="A798" s="13" t="s">
        <v>1350</v>
      </c>
      <c r="B798" s="139" t="s">
        <v>989</v>
      </c>
      <c r="C798" s="139" t="s">
        <v>359</v>
      </c>
      <c r="D798" s="15">
        <v>10000000</v>
      </c>
      <c r="E798" s="93">
        <v>0.94047930430000004</v>
      </c>
      <c r="F798" s="18">
        <v>9404793.0399999991</v>
      </c>
      <c r="G798" s="18">
        <v>0.02</v>
      </c>
      <c r="H798" s="13"/>
      <c r="I798" s="13"/>
    </row>
    <row r="799" spans="1:9">
      <c r="A799" s="13" t="s">
        <v>1351</v>
      </c>
      <c r="B799" s="139" t="s">
        <v>886</v>
      </c>
      <c r="C799" s="139" t="s">
        <v>359</v>
      </c>
      <c r="D799" s="15">
        <v>10000000</v>
      </c>
      <c r="E799" s="93">
        <v>0.92545645060000004</v>
      </c>
      <c r="F799" s="18">
        <v>9254564.5099999998</v>
      </c>
      <c r="G799" s="18">
        <v>0.02</v>
      </c>
      <c r="H799" s="13"/>
      <c r="I799" s="13"/>
    </row>
    <row r="800" spans="1:9">
      <c r="A800" s="13" t="s">
        <v>1352</v>
      </c>
      <c r="B800" s="139" t="s">
        <v>602</v>
      </c>
      <c r="C800" s="139" t="s">
        <v>359</v>
      </c>
      <c r="D800" s="15">
        <v>1000000000</v>
      </c>
      <c r="E800" s="93">
        <v>0.98044489359999998</v>
      </c>
      <c r="F800" s="151">
        <v>980444893.60000002</v>
      </c>
      <c r="G800" s="151">
        <v>2.2000000000000002</v>
      </c>
      <c r="H800" s="13"/>
      <c r="I800" s="13"/>
    </row>
    <row r="801" spans="1:9">
      <c r="A801" s="13" t="s">
        <v>1353</v>
      </c>
      <c r="B801" s="139" t="s">
        <v>443</v>
      </c>
      <c r="C801" s="139" t="s">
        <v>359</v>
      </c>
      <c r="D801" s="15">
        <v>1000000000</v>
      </c>
      <c r="E801" s="154">
        <v>0.98319153699999995</v>
      </c>
      <c r="F801" s="15">
        <v>983191537</v>
      </c>
      <c r="G801" s="18">
        <v>2.21</v>
      </c>
      <c r="H801" s="13"/>
      <c r="I801" s="13"/>
    </row>
    <row r="802" spans="1:9">
      <c r="A802" s="13" t="s">
        <v>1354</v>
      </c>
      <c r="B802" s="139" t="s">
        <v>503</v>
      </c>
      <c r="C802" s="139" t="s">
        <v>359</v>
      </c>
      <c r="D802" s="15">
        <v>1809446</v>
      </c>
      <c r="E802" s="93">
        <v>0.96285749129999998</v>
      </c>
      <c r="F802" s="18">
        <v>1742238.64</v>
      </c>
      <c r="G802" s="15">
        <v>0</v>
      </c>
      <c r="H802" s="13"/>
      <c r="I802" s="13"/>
    </row>
    <row r="803" spans="1:9">
      <c r="A803" s="13" t="s">
        <v>1355</v>
      </c>
      <c r="B803" s="139" t="s">
        <v>569</v>
      </c>
      <c r="C803" s="139" t="s">
        <v>359</v>
      </c>
      <c r="D803" s="151">
        <v>1659905.2</v>
      </c>
      <c r="E803" s="93">
        <v>0.98616673259999998</v>
      </c>
      <c r="F803" s="18">
        <v>1636943.29</v>
      </c>
      <c r="G803" s="15">
        <v>0</v>
      </c>
      <c r="H803" s="13"/>
      <c r="I803" s="13"/>
    </row>
    <row r="804" spans="1:9">
      <c r="A804" s="13" t="s">
        <v>1356</v>
      </c>
      <c r="B804" s="139" t="s">
        <v>388</v>
      </c>
      <c r="C804" s="139" t="s">
        <v>359</v>
      </c>
      <c r="D804" s="15">
        <v>2433059</v>
      </c>
      <c r="E804" s="93">
        <v>0.98023418740000001</v>
      </c>
      <c r="F804" s="18">
        <v>2384967.61</v>
      </c>
      <c r="G804" s="18">
        <v>0.01</v>
      </c>
      <c r="H804" s="13"/>
      <c r="I804" s="13"/>
    </row>
    <row r="805" spans="1:9">
      <c r="A805" s="13" t="s">
        <v>1359</v>
      </c>
      <c r="B805" s="139" t="s">
        <v>1086</v>
      </c>
      <c r="C805" s="139" t="s">
        <v>379</v>
      </c>
      <c r="D805" s="15">
        <v>100000000</v>
      </c>
      <c r="E805" s="93">
        <v>0.90176904120000001</v>
      </c>
      <c r="F805" s="18">
        <v>90176904.120000005</v>
      </c>
      <c r="G805" s="151">
        <v>0.2</v>
      </c>
      <c r="H805" s="13"/>
      <c r="I805" s="13"/>
    </row>
    <row r="806" spans="1:9">
      <c r="A806" s="13" t="s">
        <v>1360</v>
      </c>
      <c r="B806" s="139" t="s">
        <v>439</v>
      </c>
      <c r="C806" s="139" t="s">
        <v>379</v>
      </c>
      <c r="D806" s="15">
        <v>5000000</v>
      </c>
      <c r="E806" s="93">
        <v>0.99846811769999999</v>
      </c>
      <c r="F806" s="18">
        <v>4992340.59</v>
      </c>
      <c r="G806" s="18">
        <v>0.01</v>
      </c>
      <c r="H806" s="13"/>
      <c r="I806" s="13"/>
    </row>
    <row r="807" spans="1:9">
      <c r="A807" s="13" t="s">
        <v>1361</v>
      </c>
      <c r="B807" s="139" t="s">
        <v>433</v>
      </c>
      <c r="C807" s="139" t="s">
        <v>379</v>
      </c>
      <c r="D807" s="15">
        <v>5000000</v>
      </c>
      <c r="E807" s="93">
        <v>0.99770392809999997</v>
      </c>
      <c r="F807" s="18">
        <v>4988519.6399999997</v>
      </c>
      <c r="G807" s="18">
        <v>0.01</v>
      </c>
      <c r="H807" s="13"/>
      <c r="I807" s="13"/>
    </row>
    <row r="808" spans="1:9">
      <c r="A808" s="13" t="s">
        <v>1362</v>
      </c>
      <c r="B808" s="139" t="s">
        <v>425</v>
      </c>
      <c r="C808" s="139" t="s">
        <v>379</v>
      </c>
      <c r="D808" s="15">
        <v>5000000</v>
      </c>
      <c r="E808" s="93">
        <v>0.99238720849999995</v>
      </c>
      <c r="F808" s="18">
        <v>4961936.04</v>
      </c>
      <c r="G808" s="18">
        <v>0.01</v>
      </c>
      <c r="H808" s="13"/>
      <c r="I808" s="13"/>
    </row>
    <row r="809" spans="1:9">
      <c r="A809" s="13" t="s">
        <v>1363</v>
      </c>
      <c r="B809" s="139" t="s">
        <v>425</v>
      </c>
      <c r="C809" s="139" t="s">
        <v>379</v>
      </c>
      <c r="D809" s="15">
        <v>5000000</v>
      </c>
      <c r="E809" s="93">
        <v>0.99238720849999995</v>
      </c>
      <c r="F809" s="18">
        <v>4961936.04</v>
      </c>
      <c r="G809" s="18">
        <v>0.01</v>
      </c>
      <c r="H809" s="13"/>
      <c r="I809" s="13"/>
    </row>
    <row r="810" spans="1:9">
      <c r="A810" s="13" t="s">
        <v>1364</v>
      </c>
      <c r="B810" s="139" t="s">
        <v>569</v>
      </c>
      <c r="C810" s="139" t="s">
        <v>379</v>
      </c>
      <c r="D810" s="15">
        <v>5000000</v>
      </c>
      <c r="E810" s="93">
        <v>0.98787485409999998</v>
      </c>
      <c r="F810" s="18">
        <v>4939374.2699999996</v>
      </c>
      <c r="G810" s="18">
        <v>0.01</v>
      </c>
      <c r="H810" s="13"/>
      <c r="I810" s="13"/>
    </row>
    <row r="811" spans="1:9">
      <c r="A811" s="13" t="s">
        <v>1365</v>
      </c>
      <c r="B811" s="139" t="s">
        <v>513</v>
      </c>
      <c r="C811" s="139" t="s">
        <v>379</v>
      </c>
      <c r="D811" s="15">
        <v>5000000</v>
      </c>
      <c r="E811" s="93">
        <v>0.98712685440000003</v>
      </c>
      <c r="F811" s="18">
        <v>4935634.2699999996</v>
      </c>
      <c r="G811" s="18">
        <v>0.01</v>
      </c>
      <c r="H811" s="13"/>
      <c r="I811" s="13"/>
    </row>
    <row r="812" spans="1:9">
      <c r="A812" s="13" t="s">
        <v>1366</v>
      </c>
      <c r="B812" s="139" t="s">
        <v>388</v>
      </c>
      <c r="C812" s="139" t="s">
        <v>379</v>
      </c>
      <c r="D812" s="15">
        <v>5000000</v>
      </c>
      <c r="E812" s="93">
        <v>0.98266208229999996</v>
      </c>
      <c r="F812" s="18">
        <v>4913310.41</v>
      </c>
      <c r="G812" s="18">
        <v>0.01</v>
      </c>
      <c r="H812" s="13"/>
      <c r="I812" s="13"/>
    </row>
    <row r="813" spans="1:9">
      <c r="A813" s="13" t="s">
        <v>1367</v>
      </c>
      <c r="B813" s="139" t="s">
        <v>443</v>
      </c>
      <c r="C813" s="139" t="s">
        <v>379</v>
      </c>
      <c r="D813" s="15">
        <v>5000000</v>
      </c>
      <c r="E813" s="93">
        <v>0.98192196919999997</v>
      </c>
      <c r="F813" s="18">
        <v>4909609.8499999996</v>
      </c>
      <c r="G813" s="18">
        <v>0.01</v>
      </c>
      <c r="H813" s="13"/>
      <c r="I813" s="13"/>
    </row>
    <row r="814" spans="1:9">
      <c r="A814" s="13" t="s">
        <v>1368</v>
      </c>
      <c r="B814" s="139" t="s">
        <v>875</v>
      </c>
      <c r="C814" s="139" t="s">
        <v>379</v>
      </c>
      <c r="D814" s="15">
        <v>6500000</v>
      </c>
      <c r="E814" s="93">
        <v>0.95669955770000004</v>
      </c>
      <c r="F814" s="18">
        <v>6218547.1299999999</v>
      </c>
      <c r="G814" s="18">
        <v>0.01</v>
      </c>
      <c r="H814" s="13"/>
      <c r="I814" s="13"/>
    </row>
    <row r="815" spans="1:9">
      <c r="A815" s="13" t="s">
        <v>1369</v>
      </c>
      <c r="B815" s="139" t="s">
        <v>638</v>
      </c>
      <c r="C815" s="139" t="s">
        <v>379</v>
      </c>
      <c r="D815" s="15">
        <v>6500000</v>
      </c>
      <c r="E815" s="93">
        <v>0.97750404069999997</v>
      </c>
      <c r="F815" s="18">
        <v>6353776.2599999998</v>
      </c>
      <c r="G815" s="18">
        <v>0.01</v>
      </c>
      <c r="H815" s="13"/>
      <c r="I815" s="13"/>
    </row>
    <row r="816" spans="1:9">
      <c r="A816" s="13" t="s">
        <v>1370</v>
      </c>
      <c r="B816" s="139" t="s">
        <v>1105</v>
      </c>
      <c r="C816" s="139" t="s">
        <v>379</v>
      </c>
      <c r="D816" s="15">
        <v>6500000</v>
      </c>
      <c r="E816" s="93">
        <v>0.97385282969999998</v>
      </c>
      <c r="F816" s="18">
        <v>6330043.3899999997</v>
      </c>
      <c r="G816" s="18">
        <v>0.01</v>
      </c>
      <c r="H816" s="13"/>
      <c r="I816" s="13"/>
    </row>
    <row r="817" spans="1:9">
      <c r="A817" s="13" t="s">
        <v>1371</v>
      </c>
      <c r="B817" s="139" t="s">
        <v>736</v>
      </c>
      <c r="C817" s="139" t="s">
        <v>379</v>
      </c>
      <c r="D817" s="15">
        <v>7000000</v>
      </c>
      <c r="E817" s="93">
        <v>0.95250531780000003</v>
      </c>
      <c r="F817" s="18">
        <v>6667537.2199999997</v>
      </c>
      <c r="G817" s="18">
        <v>0.01</v>
      </c>
      <c r="H817" s="13"/>
      <c r="I817" s="13"/>
    </row>
    <row r="818" spans="1:9">
      <c r="A818" s="13" t="s">
        <v>1372</v>
      </c>
      <c r="B818" s="139" t="s">
        <v>989</v>
      </c>
      <c r="C818" s="139" t="s">
        <v>379</v>
      </c>
      <c r="D818" s="15">
        <v>7000000</v>
      </c>
      <c r="E818" s="93">
        <v>0.95180979639999996</v>
      </c>
      <c r="F818" s="18">
        <v>6662668.5700000003</v>
      </c>
      <c r="G818" s="18">
        <v>0.01</v>
      </c>
      <c r="H818" s="13"/>
      <c r="I818" s="13"/>
    </row>
    <row r="819" spans="1:9">
      <c r="A819" s="13" t="s">
        <v>1373</v>
      </c>
      <c r="B819" s="139" t="s">
        <v>414</v>
      </c>
      <c r="C819" s="139" t="s">
        <v>379</v>
      </c>
      <c r="D819" s="15">
        <v>6500000</v>
      </c>
      <c r="E819" s="93">
        <v>0.97239986590000005</v>
      </c>
      <c r="F819" s="18">
        <v>6320599.1299999999</v>
      </c>
      <c r="G819" s="18">
        <v>0.01</v>
      </c>
      <c r="H819" s="13"/>
      <c r="I819" s="13"/>
    </row>
    <row r="820" spans="1:9">
      <c r="A820" s="13" t="s">
        <v>1374</v>
      </c>
      <c r="B820" s="139" t="s">
        <v>421</v>
      </c>
      <c r="C820" s="139" t="s">
        <v>379</v>
      </c>
      <c r="D820" s="15">
        <v>6500000</v>
      </c>
      <c r="E820" s="154">
        <v>0.97167500900000003</v>
      </c>
      <c r="F820" s="18">
        <v>6315887.5599999996</v>
      </c>
      <c r="G820" s="18">
        <v>0.01</v>
      </c>
      <c r="H820" s="13"/>
      <c r="I820" s="13"/>
    </row>
    <row r="821" spans="1:9">
      <c r="A821" s="13" t="s">
        <v>1375</v>
      </c>
      <c r="B821" s="139" t="s">
        <v>809</v>
      </c>
      <c r="C821" s="139" t="s">
        <v>379</v>
      </c>
      <c r="D821" s="15">
        <v>5000000</v>
      </c>
      <c r="E821" s="93">
        <v>0.94696976690000001</v>
      </c>
      <c r="F821" s="18">
        <v>4734848.83</v>
      </c>
      <c r="G821" s="18">
        <v>0.01</v>
      </c>
      <c r="H821" s="13"/>
      <c r="I821" s="13"/>
    </row>
    <row r="822" spans="1:9">
      <c r="A822" s="13" t="s">
        <v>1376</v>
      </c>
      <c r="B822" s="139" t="s">
        <v>596</v>
      </c>
      <c r="C822" s="139" t="s">
        <v>379</v>
      </c>
      <c r="D822" s="15">
        <v>6500000</v>
      </c>
      <c r="E822" s="93">
        <v>0.95740224439999999</v>
      </c>
      <c r="F822" s="18">
        <v>6223114.5899999999</v>
      </c>
      <c r="G822" s="18">
        <v>0.01</v>
      </c>
      <c r="H822" s="13"/>
      <c r="I822" s="13"/>
    </row>
    <row r="823" spans="1:9">
      <c r="A823" s="13" t="s">
        <v>1377</v>
      </c>
      <c r="B823" s="139" t="s">
        <v>503</v>
      </c>
      <c r="C823" s="139" t="s">
        <v>379</v>
      </c>
      <c r="D823" s="15">
        <v>6500000</v>
      </c>
      <c r="E823" s="93">
        <v>0.96734872029999996</v>
      </c>
      <c r="F823" s="18">
        <v>6287766.6799999997</v>
      </c>
      <c r="G823" s="18">
        <v>0.01</v>
      </c>
      <c r="H823" s="13"/>
      <c r="I823" s="13"/>
    </row>
    <row r="824" spans="1:9">
      <c r="A824" s="13" t="s">
        <v>1378</v>
      </c>
      <c r="B824" s="139" t="s">
        <v>862</v>
      </c>
      <c r="C824" s="139" t="s">
        <v>379</v>
      </c>
      <c r="D824" s="15">
        <v>6500000</v>
      </c>
      <c r="E824" s="93">
        <v>0.96663136859999998</v>
      </c>
      <c r="F824" s="151">
        <v>6283103.9000000004</v>
      </c>
      <c r="G824" s="18">
        <v>0.01</v>
      </c>
      <c r="H824" s="13"/>
      <c r="I824" s="13"/>
    </row>
    <row r="825" spans="1:9">
      <c r="A825" s="13" t="s">
        <v>1379</v>
      </c>
      <c r="B825" s="139" t="s">
        <v>860</v>
      </c>
      <c r="C825" s="139" t="s">
        <v>379</v>
      </c>
      <c r="D825" s="15">
        <v>5000000</v>
      </c>
      <c r="E825" s="93">
        <v>0.94286022780000001</v>
      </c>
      <c r="F825" s="18">
        <v>4714301.1399999997</v>
      </c>
      <c r="G825" s="18">
        <v>0.01</v>
      </c>
      <c r="H825" s="13"/>
      <c r="I825" s="13"/>
    </row>
    <row r="826" spans="1:9">
      <c r="A826" s="13" t="s">
        <v>1380</v>
      </c>
      <c r="B826" s="139" t="s">
        <v>1124</v>
      </c>
      <c r="C826" s="139" t="s">
        <v>379</v>
      </c>
      <c r="D826" s="15">
        <v>5000000</v>
      </c>
      <c r="E826" s="93">
        <v>0.94217871239999995</v>
      </c>
      <c r="F826" s="18">
        <v>4710893.5599999996</v>
      </c>
      <c r="G826" s="18">
        <v>0.01</v>
      </c>
      <c r="H826" s="13"/>
      <c r="I826" s="13"/>
    </row>
    <row r="827" spans="1:9">
      <c r="A827" s="13" t="s">
        <v>1381</v>
      </c>
      <c r="B827" s="139" t="s">
        <v>493</v>
      </c>
      <c r="C827" s="139" t="s">
        <v>379</v>
      </c>
      <c r="D827" s="15">
        <v>6500000</v>
      </c>
      <c r="E827" s="93">
        <v>0.96234978120000003</v>
      </c>
      <c r="F827" s="18">
        <v>6255273.5800000001</v>
      </c>
      <c r="G827" s="18">
        <v>0.01</v>
      </c>
      <c r="H827" s="13"/>
      <c r="I827" s="13"/>
    </row>
    <row r="828" spans="1:9">
      <c r="A828" s="13" t="s">
        <v>1382</v>
      </c>
      <c r="B828" s="139" t="s">
        <v>346</v>
      </c>
      <c r="C828" s="139" t="s">
        <v>379</v>
      </c>
      <c r="D828" s="15">
        <v>6500000</v>
      </c>
      <c r="E828" s="93">
        <v>0.96163981850000002</v>
      </c>
      <c r="F828" s="18">
        <v>6250658.8200000003</v>
      </c>
      <c r="G828" s="18">
        <v>0.01</v>
      </c>
      <c r="H828" s="13"/>
      <c r="I828" s="13"/>
    </row>
    <row r="829" spans="1:9">
      <c r="A829" s="13" t="s">
        <v>1383</v>
      </c>
      <c r="B829" s="139" t="s">
        <v>809</v>
      </c>
      <c r="C829" s="139" t="s">
        <v>379</v>
      </c>
      <c r="D829" s="15">
        <v>5000000</v>
      </c>
      <c r="E829" s="93">
        <v>0.94696976690000001</v>
      </c>
      <c r="F829" s="18">
        <v>4734848.83</v>
      </c>
      <c r="G829" s="18">
        <v>0.01</v>
      </c>
      <c r="H829" s="13"/>
      <c r="I829" s="13"/>
    </row>
    <row r="830" spans="1:9">
      <c r="A830" s="13" t="s">
        <v>1384</v>
      </c>
      <c r="B830" s="139" t="s">
        <v>470</v>
      </c>
      <c r="C830" s="139" t="s">
        <v>379</v>
      </c>
      <c r="D830" s="15">
        <v>8000000</v>
      </c>
      <c r="E830" s="93">
        <v>0.95300277820000001</v>
      </c>
      <c r="F830" s="18">
        <v>7624022.2300000004</v>
      </c>
      <c r="G830" s="18">
        <v>0.02</v>
      </c>
      <c r="H830" s="13"/>
      <c r="I830" s="13"/>
    </row>
    <row r="831" spans="1:9">
      <c r="A831" s="13" t="s">
        <v>1385</v>
      </c>
      <c r="B831" s="139" t="s">
        <v>589</v>
      </c>
      <c r="C831" s="139" t="s">
        <v>379</v>
      </c>
      <c r="D831" s="15">
        <v>12000000</v>
      </c>
      <c r="E831" s="93">
        <v>0.99923346570000005</v>
      </c>
      <c r="F831" s="18">
        <v>11990801.59</v>
      </c>
      <c r="G831" s="18">
        <v>0.03</v>
      </c>
      <c r="H831" s="13"/>
      <c r="I831" s="13"/>
    </row>
    <row r="832" spans="1:9">
      <c r="A832" s="13" t="s">
        <v>1386</v>
      </c>
      <c r="B832" s="139" t="s">
        <v>607</v>
      </c>
      <c r="C832" s="139" t="s">
        <v>379</v>
      </c>
      <c r="D832" s="15">
        <v>12000000</v>
      </c>
      <c r="E832" s="93">
        <v>0.97747789860000001</v>
      </c>
      <c r="F832" s="18">
        <v>11729734.779999999</v>
      </c>
      <c r="G832" s="18">
        <v>0.03</v>
      </c>
      <c r="H832" s="13"/>
      <c r="I832" s="13"/>
    </row>
    <row r="833" spans="1:9">
      <c r="A833" s="13" t="s">
        <v>1387</v>
      </c>
      <c r="B833" s="139" t="s">
        <v>425</v>
      </c>
      <c r="C833" s="139" t="s">
        <v>379</v>
      </c>
      <c r="D833" s="151">
        <v>2131442.7999999998</v>
      </c>
      <c r="E833" s="93">
        <v>0.99130911420000001</v>
      </c>
      <c r="F833" s="18">
        <v>2112918.67</v>
      </c>
      <c r="G833" s="15">
        <v>0</v>
      </c>
      <c r="H833" s="13"/>
      <c r="I833" s="13"/>
    </row>
    <row r="834" spans="1:9">
      <c r="A834" s="13" t="s">
        <v>1388</v>
      </c>
      <c r="B834" s="139" t="s">
        <v>421</v>
      </c>
      <c r="C834" s="139" t="s">
        <v>379</v>
      </c>
      <c r="D834" s="151">
        <v>96959948.799999997</v>
      </c>
      <c r="E834" s="93">
        <v>0.97364489970000001</v>
      </c>
      <c r="F834" s="18">
        <v>94404559.620000005</v>
      </c>
      <c r="G834" s="18">
        <v>0.21</v>
      </c>
      <c r="H834" s="13"/>
      <c r="I834" s="13"/>
    </row>
    <row r="835" spans="1:9">
      <c r="A835" s="13" t="s">
        <v>1389</v>
      </c>
      <c r="B835" s="139" t="s">
        <v>388</v>
      </c>
      <c r="C835" s="139" t="s">
        <v>379</v>
      </c>
      <c r="D835" s="15">
        <v>19183831</v>
      </c>
      <c r="E835" s="93">
        <v>0.98388054359999999</v>
      </c>
      <c r="F835" s="18">
        <v>18874598.07</v>
      </c>
      <c r="G835" s="18">
        <v>0.04</v>
      </c>
      <c r="H835" s="13"/>
      <c r="I835" s="13"/>
    </row>
    <row r="836" spans="1:9">
      <c r="A836" s="13" t="s">
        <v>1390</v>
      </c>
      <c r="B836" s="139" t="s">
        <v>513</v>
      </c>
      <c r="C836" s="139" t="s">
        <v>379</v>
      </c>
      <c r="D836" s="18">
        <v>36057385.109999999</v>
      </c>
      <c r="E836" s="93">
        <v>0.98803536089999999</v>
      </c>
      <c r="F836" s="18">
        <v>35625971.509999998</v>
      </c>
      <c r="G836" s="18">
        <v>0.08</v>
      </c>
      <c r="H836" s="13"/>
      <c r="I836" s="13"/>
    </row>
    <row r="837" spans="1:9">
      <c r="A837" s="13" t="s">
        <v>1391</v>
      </c>
      <c r="B837" s="139" t="s">
        <v>569</v>
      </c>
      <c r="C837" s="139" t="s">
        <v>379</v>
      </c>
      <c r="D837" s="18">
        <v>44732891.780000001</v>
      </c>
      <c r="E837" s="93">
        <v>0.98873117560000001</v>
      </c>
      <c r="F837" s="18">
        <v>44228804.68</v>
      </c>
      <c r="G837" s="151">
        <v>0.1</v>
      </c>
      <c r="H837" s="13"/>
      <c r="I837" s="13"/>
    </row>
    <row r="838" spans="1:9">
      <c r="A838" s="13" t="s">
        <v>1392</v>
      </c>
      <c r="B838" s="139" t="s">
        <v>569</v>
      </c>
      <c r="C838" s="139" t="s">
        <v>379</v>
      </c>
      <c r="D838" s="18">
        <v>44732891.770000003</v>
      </c>
      <c r="E838" s="93">
        <v>0.98873117560000001</v>
      </c>
      <c r="F838" s="18">
        <v>44228804.670000002</v>
      </c>
      <c r="G838" s="151">
        <v>0.1</v>
      </c>
      <c r="H838" s="13"/>
      <c r="I838" s="13"/>
    </row>
    <row r="839" spans="1:9">
      <c r="A839" s="13" t="s">
        <v>1393</v>
      </c>
      <c r="B839" s="139" t="s">
        <v>433</v>
      </c>
      <c r="C839" s="139" t="s">
        <v>379</v>
      </c>
      <c r="D839" s="15">
        <v>19618198</v>
      </c>
      <c r="E839" s="93">
        <v>0.9965598403</v>
      </c>
      <c r="F839" s="18">
        <v>19550708.27</v>
      </c>
      <c r="G839" s="18">
        <v>0.04</v>
      </c>
      <c r="H839" s="13"/>
      <c r="I839" s="13"/>
    </row>
    <row r="840" spans="1:9">
      <c r="A840" s="13" t="s">
        <v>1394</v>
      </c>
      <c r="B840" s="139" t="s">
        <v>402</v>
      </c>
      <c r="C840" s="139" t="s">
        <v>379</v>
      </c>
      <c r="D840" s="15">
        <v>19618198</v>
      </c>
      <c r="E840" s="93">
        <v>0.99541836159999997</v>
      </c>
      <c r="F840" s="18">
        <v>19528314.510000002</v>
      </c>
      <c r="G840" s="18">
        <v>0.04</v>
      </c>
      <c r="H840" s="13"/>
      <c r="I840" s="13"/>
    </row>
    <row r="841" spans="1:9">
      <c r="A841" s="13" t="s">
        <v>1395</v>
      </c>
      <c r="B841" s="139" t="s">
        <v>193</v>
      </c>
      <c r="C841" s="139" t="s">
        <v>379</v>
      </c>
      <c r="D841" s="151">
        <v>27789080.199999999</v>
      </c>
      <c r="E841" s="93">
        <v>0.95954164539999998</v>
      </c>
      <c r="F841" s="18">
        <v>26664779.739999998</v>
      </c>
      <c r="G841" s="18">
        <v>0.06</v>
      </c>
      <c r="H841" s="13"/>
      <c r="I841" s="13"/>
    </row>
    <row r="842" spans="1:9">
      <c r="A842" s="13" t="s">
        <v>1396</v>
      </c>
      <c r="B842" s="139" t="s">
        <v>736</v>
      </c>
      <c r="C842" s="139" t="s">
        <v>379</v>
      </c>
      <c r="D842" s="15">
        <v>16800000</v>
      </c>
      <c r="E842" s="93">
        <v>0.94928489140000005</v>
      </c>
      <c r="F842" s="18">
        <v>15947986.18</v>
      </c>
      <c r="G842" s="18">
        <v>0.04</v>
      </c>
      <c r="H842" s="13"/>
      <c r="I842" s="13"/>
    </row>
    <row r="843" spans="1:9">
      <c r="A843" s="13" t="s">
        <v>1397</v>
      </c>
      <c r="B843" s="139" t="s">
        <v>414</v>
      </c>
      <c r="C843" s="139" t="s">
        <v>379</v>
      </c>
      <c r="D843" s="15">
        <v>10250000</v>
      </c>
      <c r="E843" s="93">
        <v>0.97048661280000004</v>
      </c>
      <c r="F843" s="18">
        <v>9947487.7799999993</v>
      </c>
      <c r="G843" s="18">
        <v>0.02</v>
      </c>
      <c r="H843" s="13"/>
      <c r="I843" s="13"/>
    </row>
    <row r="844" spans="1:9">
      <c r="A844" s="13" t="s">
        <v>1398</v>
      </c>
      <c r="B844" s="139" t="s">
        <v>169</v>
      </c>
      <c r="C844" s="139" t="s">
        <v>379</v>
      </c>
      <c r="D844" s="15">
        <v>10250000</v>
      </c>
      <c r="E844" s="93">
        <v>0.96586408189999995</v>
      </c>
      <c r="F844" s="18">
        <v>9900106.8399999999</v>
      </c>
      <c r="G844" s="18">
        <v>0.02</v>
      </c>
      <c r="H844" s="13"/>
      <c r="I844" s="13"/>
    </row>
    <row r="845" spans="1:9">
      <c r="A845" s="13" t="s">
        <v>1399</v>
      </c>
      <c r="B845" s="139" t="s">
        <v>421</v>
      </c>
      <c r="C845" s="139" t="s">
        <v>379</v>
      </c>
      <c r="D845" s="15">
        <v>3214300</v>
      </c>
      <c r="E845" s="93">
        <v>0.96387451150000003</v>
      </c>
      <c r="F845" s="18">
        <v>3098181.84</v>
      </c>
      <c r="G845" s="18">
        <v>0.01</v>
      </c>
      <c r="H845" s="13"/>
      <c r="I845" s="13"/>
    </row>
    <row r="846" spans="1:9">
      <c r="A846" s="13" t="s">
        <v>1400</v>
      </c>
      <c r="B846" s="139" t="s">
        <v>594</v>
      </c>
      <c r="C846" s="139" t="s">
        <v>379</v>
      </c>
      <c r="D846" s="15">
        <v>50000000</v>
      </c>
      <c r="E846" s="93">
        <v>0.93398173449999999</v>
      </c>
      <c r="F846" s="18">
        <v>46699086.729999997</v>
      </c>
      <c r="G846" s="151">
        <v>0.1</v>
      </c>
      <c r="H846" s="13"/>
      <c r="I846" s="13"/>
    </row>
    <row r="847" spans="1:9">
      <c r="A847" s="13" t="s">
        <v>1401</v>
      </c>
      <c r="B847" s="139" t="s">
        <v>594</v>
      </c>
      <c r="C847" s="139" t="s">
        <v>379</v>
      </c>
      <c r="D847" s="15">
        <v>50000000</v>
      </c>
      <c r="E847" s="93">
        <v>0.93398173449999999</v>
      </c>
      <c r="F847" s="18">
        <v>46699086.729999997</v>
      </c>
      <c r="G847" s="151">
        <v>0.1</v>
      </c>
      <c r="H847" s="13"/>
      <c r="I847" s="13"/>
    </row>
    <row r="848" spans="1:9">
      <c r="A848" s="13" t="s">
        <v>1422</v>
      </c>
      <c r="B848" s="139" t="s">
        <v>1194</v>
      </c>
      <c r="C848" s="139" t="s">
        <v>343</v>
      </c>
      <c r="D848" s="15">
        <v>10000000</v>
      </c>
      <c r="E848" s="93">
        <v>0.95076850420000003</v>
      </c>
      <c r="F848" s="18">
        <v>9507685.0399999991</v>
      </c>
      <c r="G848" s="18">
        <v>0.02</v>
      </c>
      <c r="H848" s="13"/>
      <c r="I848" s="13"/>
    </row>
    <row r="849" spans="1:9">
      <c r="A849" s="13" t="s">
        <v>1413</v>
      </c>
      <c r="B849" s="139" t="s">
        <v>795</v>
      </c>
      <c r="C849" s="139" t="s">
        <v>343</v>
      </c>
      <c r="D849" s="15">
        <v>10000000</v>
      </c>
      <c r="E849" s="93">
        <v>0.92875323269999999</v>
      </c>
      <c r="F849" s="18">
        <v>9287532.3300000001</v>
      </c>
      <c r="G849" s="18">
        <v>0.02</v>
      </c>
      <c r="H849" s="13"/>
      <c r="I849" s="13"/>
    </row>
    <row r="850" spans="1:9">
      <c r="A850" s="13" t="s">
        <v>1414</v>
      </c>
      <c r="B850" s="139" t="s">
        <v>948</v>
      </c>
      <c r="C850" s="139" t="s">
        <v>343</v>
      </c>
      <c r="D850" s="15">
        <v>10000000</v>
      </c>
      <c r="E850" s="93">
        <v>0.92414428469999998</v>
      </c>
      <c r="F850" s="18">
        <v>9241442.8499999996</v>
      </c>
      <c r="G850" s="18">
        <v>0.02</v>
      </c>
      <c r="H850" s="13"/>
      <c r="I850" s="13"/>
    </row>
    <row r="851" spans="1:9">
      <c r="A851" s="13" t="s">
        <v>1415</v>
      </c>
      <c r="B851" s="139" t="s">
        <v>1072</v>
      </c>
      <c r="C851" s="139" t="s">
        <v>343</v>
      </c>
      <c r="D851" s="15">
        <v>10000000</v>
      </c>
      <c r="E851" s="93">
        <v>0.91694727789999997</v>
      </c>
      <c r="F851" s="18">
        <v>9169472.7799999993</v>
      </c>
      <c r="G851" s="18">
        <v>0.02</v>
      </c>
      <c r="H851" s="13"/>
      <c r="I851" s="13"/>
    </row>
    <row r="852" spans="1:9">
      <c r="A852" s="13" t="s">
        <v>1416</v>
      </c>
      <c r="B852" s="139" t="s">
        <v>952</v>
      </c>
      <c r="C852" s="139" t="s">
        <v>343</v>
      </c>
      <c r="D852" s="15">
        <v>10000000</v>
      </c>
      <c r="E852" s="154">
        <v>0.91561325500000001</v>
      </c>
      <c r="F852" s="18">
        <v>9156132.5500000007</v>
      </c>
      <c r="G852" s="18">
        <v>0.02</v>
      </c>
      <c r="H852" s="13"/>
      <c r="I852" s="13"/>
    </row>
    <row r="853" spans="1:9">
      <c r="A853" s="13" t="s">
        <v>1404</v>
      </c>
      <c r="B853" s="139" t="s">
        <v>169</v>
      </c>
      <c r="C853" s="139" t="s">
        <v>343</v>
      </c>
      <c r="D853" s="15">
        <v>5000000</v>
      </c>
      <c r="E853" s="93">
        <v>0.95823177960000006</v>
      </c>
      <c r="F853" s="151">
        <v>4791158.9000000004</v>
      </c>
      <c r="G853" s="18">
        <v>0.01</v>
      </c>
      <c r="H853" s="13"/>
      <c r="I853" s="13"/>
    </row>
    <row r="854" spans="1:9">
      <c r="A854" s="13" t="s">
        <v>1405</v>
      </c>
      <c r="B854" s="139" t="s">
        <v>414</v>
      </c>
      <c r="C854" s="139" t="s">
        <v>343</v>
      </c>
      <c r="D854" s="15">
        <v>5000000</v>
      </c>
      <c r="E854" s="93">
        <v>0.9638491575</v>
      </c>
      <c r="F854" s="18">
        <v>4819245.79</v>
      </c>
      <c r="G854" s="18">
        <v>0.01</v>
      </c>
      <c r="H854" s="13"/>
      <c r="I854" s="13"/>
    </row>
    <row r="855" spans="1:9">
      <c r="A855" s="13" t="s">
        <v>1406</v>
      </c>
      <c r="B855" s="139" t="s">
        <v>405</v>
      </c>
      <c r="C855" s="139" t="s">
        <v>343</v>
      </c>
      <c r="D855" s="15">
        <v>5000000</v>
      </c>
      <c r="E855" s="93">
        <v>0.96196926569999996</v>
      </c>
      <c r="F855" s="18">
        <v>4809846.33</v>
      </c>
      <c r="G855" s="18">
        <v>0.01</v>
      </c>
      <c r="H855" s="13"/>
      <c r="I855" s="13"/>
    </row>
    <row r="856" spans="1:9">
      <c r="A856" s="13" t="s">
        <v>1407</v>
      </c>
      <c r="B856" s="139" t="s">
        <v>548</v>
      </c>
      <c r="C856" s="139" t="s">
        <v>343</v>
      </c>
      <c r="D856" s="151">
        <v>105680999.8</v>
      </c>
      <c r="E856" s="93">
        <v>0.99222534520000005</v>
      </c>
      <c r="F856" s="18">
        <v>104859366.51000001</v>
      </c>
      <c r="G856" s="18">
        <v>0.24</v>
      </c>
      <c r="H856" s="13"/>
      <c r="I856" s="13"/>
    </row>
    <row r="857" spans="1:9">
      <c r="A857" s="13" t="s">
        <v>1421</v>
      </c>
      <c r="B857" s="139" t="s">
        <v>596</v>
      </c>
      <c r="C857" s="139" t="s">
        <v>343</v>
      </c>
      <c r="D857" s="15">
        <v>15000000</v>
      </c>
      <c r="E857" s="154">
        <v>0.95449804400000005</v>
      </c>
      <c r="F857" s="18">
        <v>14317470.66</v>
      </c>
      <c r="G857" s="18">
        <v>0.03</v>
      </c>
      <c r="H857" s="13"/>
      <c r="I857" s="13"/>
    </row>
    <row r="858" spans="1:9">
      <c r="A858" s="13" t="s">
        <v>1419</v>
      </c>
      <c r="B858" s="139" t="s">
        <v>602</v>
      </c>
      <c r="C858" s="139" t="s">
        <v>343</v>
      </c>
      <c r="D858" s="15">
        <v>42000000</v>
      </c>
      <c r="E858" s="93">
        <v>0.97677157069999998</v>
      </c>
      <c r="F858" s="18">
        <v>41024405.969999999</v>
      </c>
      <c r="G858" s="18">
        <v>0.09</v>
      </c>
      <c r="H858" s="13"/>
      <c r="I858" s="13"/>
    </row>
    <row r="859" spans="1:9">
      <c r="A859" s="13" t="s">
        <v>1420</v>
      </c>
      <c r="B859" s="139" t="s">
        <v>477</v>
      </c>
      <c r="C859" s="139" t="s">
        <v>343</v>
      </c>
      <c r="D859" s="15">
        <v>15000000</v>
      </c>
      <c r="E859" s="93">
        <v>0.97920868989999998</v>
      </c>
      <c r="F859" s="18">
        <v>14688130.35</v>
      </c>
      <c r="G859" s="18">
        <v>0.03</v>
      </c>
      <c r="H859" s="13"/>
      <c r="I859" s="13"/>
    </row>
    <row r="860" spans="1:9">
      <c r="A860" s="13" t="s">
        <v>1425</v>
      </c>
      <c r="B860" s="139" t="s">
        <v>835</v>
      </c>
      <c r="C860" s="139" t="s">
        <v>343</v>
      </c>
      <c r="D860" s="15">
        <v>60000000</v>
      </c>
      <c r="E860" s="93">
        <v>0.92969953110000003</v>
      </c>
      <c r="F860" s="18">
        <v>55781971.869999997</v>
      </c>
      <c r="G860" s="18">
        <v>0.13</v>
      </c>
      <c r="H860" s="13"/>
      <c r="I860" s="13"/>
    </row>
    <row r="861" spans="1:9">
      <c r="A861" s="13" t="s">
        <v>1426</v>
      </c>
      <c r="B861" s="139" t="s">
        <v>414</v>
      </c>
      <c r="C861" s="139" t="s">
        <v>343</v>
      </c>
      <c r="D861" s="15">
        <v>60000000</v>
      </c>
      <c r="E861" s="93">
        <v>0.9704866539</v>
      </c>
      <c r="F861" s="18">
        <v>58229199.229999997</v>
      </c>
      <c r="G861" s="18">
        <v>0.13</v>
      </c>
      <c r="H861" s="13"/>
      <c r="I861" s="13"/>
    </row>
    <row r="862" spans="1:9">
      <c r="A862" s="13" t="s">
        <v>1427</v>
      </c>
      <c r="B862" s="139" t="s">
        <v>171</v>
      </c>
      <c r="C862" s="139" t="s">
        <v>343</v>
      </c>
      <c r="D862" s="15">
        <v>60000000</v>
      </c>
      <c r="E862" s="154">
        <v>0.992657071</v>
      </c>
      <c r="F862" s="18">
        <v>59559424.259999998</v>
      </c>
      <c r="G862" s="18">
        <v>0.13</v>
      </c>
      <c r="H862" s="13"/>
      <c r="I862" s="13"/>
    </row>
    <row r="863" spans="1:9">
      <c r="A863" s="13" t="s">
        <v>1428</v>
      </c>
      <c r="B863" s="139" t="s">
        <v>189</v>
      </c>
      <c r="C863" s="139" t="s">
        <v>343</v>
      </c>
      <c r="D863" s="15">
        <v>60000000</v>
      </c>
      <c r="E863" s="93">
        <v>0.94412847209999995</v>
      </c>
      <c r="F863" s="18">
        <v>56647708.329999998</v>
      </c>
      <c r="G863" s="18">
        <v>0.13</v>
      </c>
      <c r="H863" s="13"/>
      <c r="I863" s="13"/>
    </row>
    <row r="864" spans="1:9">
      <c r="A864" s="13" t="s">
        <v>1429</v>
      </c>
      <c r="B864" s="139" t="s">
        <v>470</v>
      </c>
      <c r="C864" s="139" t="s">
        <v>343</v>
      </c>
      <c r="D864" s="15">
        <v>10000000</v>
      </c>
      <c r="E864" s="93">
        <v>0.95300265429999997</v>
      </c>
      <c r="F864" s="18">
        <v>9530026.5399999991</v>
      </c>
      <c r="G864" s="18">
        <v>0.02</v>
      </c>
      <c r="H864" s="13"/>
      <c r="I864" s="13"/>
    </row>
    <row r="865" spans="1:9">
      <c r="A865" s="13" t="s">
        <v>1423</v>
      </c>
      <c r="B865" s="139" t="s">
        <v>862</v>
      </c>
      <c r="C865" s="139" t="s">
        <v>343</v>
      </c>
      <c r="D865" s="15">
        <v>50000000</v>
      </c>
      <c r="E865" s="93">
        <v>0.96663140889999999</v>
      </c>
      <c r="F865" s="18">
        <v>48331570.450000003</v>
      </c>
      <c r="G865" s="18">
        <v>0.11</v>
      </c>
      <c r="H865" s="13"/>
      <c r="I865" s="13"/>
    </row>
    <row r="866" spans="1:9">
      <c r="A866" s="13" t="s">
        <v>1424</v>
      </c>
      <c r="B866" s="139" t="s">
        <v>193</v>
      </c>
      <c r="C866" s="139" t="s">
        <v>343</v>
      </c>
      <c r="D866" s="15">
        <v>50000000</v>
      </c>
      <c r="E866" s="93">
        <v>0.95810584939999999</v>
      </c>
      <c r="F866" s="18">
        <v>47905292.469999999</v>
      </c>
      <c r="G866" s="18">
        <v>0.11</v>
      </c>
      <c r="H866" s="13"/>
      <c r="I866" s="13"/>
    </row>
    <row r="867" spans="1:9">
      <c r="A867" s="13" t="s">
        <v>1412</v>
      </c>
      <c r="B867" s="139" t="s">
        <v>1194</v>
      </c>
      <c r="C867" s="139" t="s">
        <v>343</v>
      </c>
      <c r="D867" s="15">
        <v>50000000</v>
      </c>
      <c r="E867" s="93">
        <v>0.94765819520000005</v>
      </c>
      <c r="F867" s="18">
        <v>47382909.759999998</v>
      </c>
      <c r="G867" s="18">
        <v>0.11</v>
      </c>
      <c r="H867" s="13"/>
      <c r="I867" s="13"/>
    </row>
    <row r="868" spans="1:9">
      <c r="A868" s="13" t="s">
        <v>1418</v>
      </c>
      <c r="B868" s="139" t="s">
        <v>173</v>
      </c>
      <c r="C868" s="139" t="s">
        <v>343</v>
      </c>
      <c r="D868" s="15">
        <v>2000000</v>
      </c>
      <c r="E868" s="154">
        <v>0.98049758399999998</v>
      </c>
      <c r="F868" s="18">
        <v>1960995.17</v>
      </c>
      <c r="G868" s="15">
        <v>0</v>
      </c>
      <c r="H868" s="13"/>
      <c r="I868" s="13"/>
    </row>
    <row r="869" spans="1:9">
      <c r="A869" s="13" t="s">
        <v>1409</v>
      </c>
      <c r="B869" s="139" t="s">
        <v>607</v>
      </c>
      <c r="C869" s="139" t="s">
        <v>343</v>
      </c>
      <c r="D869" s="18">
        <v>1862351.88</v>
      </c>
      <c r="E869" s="93">
        <v>0.97445080080000002</v>
      </c>
      <c r="F869" s="18">
        <v>1814770.28</v>
      </c>
      <c r="G869" s="15">
        <v>0</v>
      </c>
      <c r="H869" s="13"/>
      <c r="I869" s="13"/>
    </row>
    <row r="870" spans="1:9">
      <c r="A870" s="13" t="s">
        <v>1411</v>
      </c>
      <c r="B870" s="139" t="s">
        <v>1105</v>
      </c>
      <c r="C870" s="139" t="s">
        <v>343</v>
      </c>
      <c r="D870" s="15">
        <v>1100000</v>
      </c>
      <c r="E870" s="93">
        <v>0.96932679610000005</v>
      </c>
      <c r="F870" s="18">
        <v>1066259.48</v>
      </c>
      <c r="G870" s="15">
        <v>0</v>
      </c>
      <c r="H870" s="13"/>
      <c r="I870" s="13"/>
    </row>
    <row r="871" spans="1:9">
      <c r="A871" s="13" t="s">
        <v>1431</v>
      </c>
      <c r="B871" s="139" t="s">
        <v>809</v>
      </c>
      <c r="C871" s="139" t="s">
        <v>360</v>
      </c>
      <c r="D871" s="18">
        <v>17969542.75</v>
      </c>
      <c r="E871" s="93">
        <v>0.94339640260000002</v>
      </c>
      <c r="F871" s="18">
        <v>16952401.989999998</v>
      </c>
      <c r="G871" s="18">
        <v>0.04</v>
      </c>
      <c r="H871" s="13"/>
      <c r="I871" s="13"/>
    </row>
    <row r="872" spans="1:9">
      <c r="A872" s="13" t="s">
        <v>1432</v>
      </c>
      <c r="B872" s="139" t="s">
        <v>596</v>
      </c>
      <c r="C872" s="139" t="s">
        <v>360</v>
      </c>
      <c r="D872" s="18">
        <v>6060681.79</v>
      </c>
      <c r="E872" s="93">
        <v>0.9588609374</v>
      </c>
      <c r="F872" s="18">
        <v>5811351.0199999996</v>
      </c>
      <c r="G872" s="18">
        <v>0.01</v>
      </c>
      <c r="H872" s="13"/>
      <c r="I872" s="13"/>
    </row>
    <row r="873" spans="1:9">
      <c r="A873" s="13" t="s">
        <v>1436</v>
      </c>
      <c r="B873" s="139" t="s">
        <v>569</v>
      </c>
      <c r="C873" s="139" t="s">
        <v>473</v>
      </c>
      <c r="D873" s="15">
        <v>1500000000</v>
      </c>
      <c r="E873" s="93">
        <v>0.98702009369999999</v>
      </c>
      <c r="F873" s="18">
        <v>1480530140.55</v>
      </c>
      <c r="G873" s="18">
        <v>3.33</v>
      </c>
      <c r="H873" s="13"/>
      <c r="I873" s="13"/>
    </row>
    <row r="874" spans="1:9">
      <c r="A874" s="13" t="s">
        <v>1437</v>
      </c>
      <c r="B874" s="139" t="s">
        <v>523</v>
      </c>
      <c r="C874" s="139" t="s">
        <v>473</v>
      </c>
      <c r="D874" s="15">
        <v>192000000</v>
      </c>
      <c r="E874" s="93">
        <v>0.97695465240000001</v>
      </c>
      <c r="F874" s="18">
        <v>187575293.25999999</v>
      </c>
      <c r="G874" s="18">
        <v>0.42</v>
      </c>
      <c r="H874" s="13"/>
      <c r="I874" s="13"/>
    </row>
    <row r="875" spans="1:9">
      <c r="A875" s="13" t="s">
        <v>1438</v>
      </c>
      <c r="B875" s="139" t="s">
        <v>373</v>
      </c>
      <c r="C875" s="139" t="s">
        <v>473</v>
      </c>
      <c r="D875" s="15">
        <v>64000000</v>
      </c>
      <c r="E875" s="93">
        <v>0.98342989560000005</v>
      </c>
      <c r="F875" s="18">
        <v>62939513.32</v>
      </c>
      <c r="G875" s="18">
        <v>0.14000000000000001</v>
      </c>
      <c r="H875" s="13"/>
      <c r="I875" s="13"/>
    </row>
    <row r="876" spans="1:9">
      <c r="A876" s="13" t="s">
        <v>1439</v>
      </c>
      <c r="B876" s="139" t="s">
        <v>1105</v>
      </c>
      <c r="C876" s="139" t="s">
        <v>473</v>
      </c>
      <c r="D876" s="15">
        <v>42000000</v>
      </c>
      <c r="E876" s="93">
        <v>0.97113219910000004</v>
      </c>
      <c r="F876" s="18">
        <v>40787552.359999999</v>
      </c>
      <c r="G876" s="18">
        <v>0.09</v>
      </c>
      <c r="H876" s="13"/>
      <c r="I876" s="13"/>
    </row>
    <row r="877" spans="1:9">
      <c r="A877" s="13" t="s">
        <v>1440</v>
      </c>
      <c r="B877" s="139" t="s">
        <v>477</v>
      </c>
      <c r="C877" s="139" t="s">
        <v>473</v>
      </c>
      <c r="D877" s="15">
        <v>25000000</v>
      </c>
      <c r="E877" s="93">
        <v>0.97920863479999998</v>
      </c>
      <c r="F877" s="18">
        <v>24480215.870000001</v>
      </c>
      <c r="G877" s="18">
        <v>0.05</v>
      </c>
      <c r="H877" s="13"/>
      <c r="I877" s="13"/>
    </row>
    <row r="878" spans="1:9">
      <c r="A878" s="13" t="s">
        <v>1441</v>
      </c>
      <c r="B878" s="139" t="s">
        <v>638</v>
      </c>
      <c r="C878" s="139" t="s">
        <v>473</v>
      </c>
      <c r="D878" s="15">
        <v>25000000</v>
      </c>
      <c r="E878" s="93">
        <v>0.97515362169999997</v>
      </c>
      <c r="F878" s="18">
        <v>24378840.539999999</v>
      </c>
      <c r="G878" s="18">
        <v>0.05</v>
      </c>
      <c r="H878" s="13"/>
      <c r="I878" s="13"/>
    </row>
    <row r="879" spans="1:9">
      <c r="A879" s="13" t="s">
        <v>1442</v>
      </c>
      <c r="B879" s="139" t="s">
        <v>1105</v>
      </c>
      <c r="C879" s="139" t="s">
        <v>473</v>
      </c>
      <c r="D879" s="15">
        <v>25000000</v>
      </c>
      <c r="E879" s="93">
        <v>0.97113219910000004</v>
      </c>
      <c r="F879" s="18">
        <v>24278304.98</v>
      </c>
      <c r="G879" s="18">
        <v>0.05</v>
      </c>
      <c r="H879" s="13"/>
      <c r="I879" s="13"/>
    </row>
    <row r="880" spans="1:9">
      <c r="A880" s="13" t="s">
        <v>1443</v>
      </c>
      <c r="B880" s="139" t="s">
        <v>610</v>
      </c>
      <c r="C880" s="139" t="s">
        <v>473</v>
      </c>
      <c r="D880" s="15">
        <v>30000000</v>
      </c>
      <c r="E880" s="93">
        <v>0.9703318313</v>
      </c>
      <c r="F880" s="18">
        <v>29109954.940000001</v>
      </c>
      <c r="G880" s="18">
        <v>7.0000000000000007E-2</v>
      </c>
      <c r="H880" s="13"/>
      <c r="I880" s="13"/>
    </row>
    <row r="881" spans="1:9">
      <c r="A881" s="13" t="s">
        <v>1444</v>
      </c>
      <c r="B881" s="139" t="s">
        <v>809</v>
      </c>
      <c r="C881" s="139" t="s">
        <v>473</v>
      </c>
      <c r="D881" s="15">
        <v>13500000</v>
      </c>
      <c r="E881" s="93">
        <v>0.94339626909999996</v>
      </c>
      <c r="F881" s="18">
        <v>12735849.630000001</v>
      </c>
      <c r="G881" s="18">
        <v>0.03</v>
      </c>
      <c r="H881" s="13"/>
      <c r="I881" s="13"/>
    </row>
    <row r="882" spans="1:9">
      <c r="A882" s="13" t="s">
        <v>1445</v>
      </c>
      <c r="B882" s="139" t="s">
        <v>373</v>
      </c>
      <c r="C882" s="139" t="s">
        <v>473</v>
      </c>
      <c r="D882" s="15">
        <v>625000000</v>
      </c>
      <c r="E882" s="93">
        <v>0.98621995370000004</v>
      </c>
      <c r="F882" s="18">
        <v>616387471.05999994</v>
      </c>
      <c r="G882" s="18">
        <v>1.38</v>
      </c>
      <c r="H882" s="13"/>
      <c r="I882" s="13"/>
    </row>
    <row r="883" spans="1:9">
      <c r="A883" s="13" t="s">
        <v>1446</v>
      </c>
      <c r="B883" s="139" t="s">
        <v>373</v>
      </c>
      <c r="C883" s="139" t="s">
        <v>473</v>
      </c>
      <c r="D883" s="15">
        <v>625000000</v>
      </c>
      <c r="E883" s="93">
        <v>0.98621995370000004</v>
      </c>
      <c r="F883" s="18">
        <v>616387471.05999994</v>
      </c>
      <c r="G883" s="18">
        <v>1.38</v>
      </c>
      <c r="H883" s="13"/>
      <c r="I883" s="13"/>
    </row>
    <row r="884" spans="1:9">
      <c r="A884" s="13" t="s">
        <v>1448</v>
      </c>
      <c r="B884" s="139" t="s">
        <v>1148</v>
      </c>
      <c r="C884" s="139" t="s">
        <v>381</v>
      </c>
      <c r="D884" s="15">
        <v>25000000</v>
      </c>
      <c r="E884" s="93">
        <v>0.92461242929999998</v>
      </c>
      <c r="F884" s="18">
        <v>23115310.73</v>
      </c>
      <c r="G884" s="18">
        <v>0.05</v>
      </c>
      <c r="H884" s="13"/>
      <c r="I884" s="13"/>
    </row>
    <row r="885" spans="1:9">
      <c r="A885" s="13" t="s">
        <v>1449</v>
      </c>
      <c r="B885" s="139" t="s">
        <v>477</v>
      </c>
      <c r="C885" s="139" t="s">
        <v>381</v>
      </c>
      <c r="D885" s="15">
        <v>2000000</v>
      </c>
      <c r="E885" s="93">
        <v>0.97658872610000003</v>
      </c>
      <c r="F885" s="18">
        <v>1953177.45</v>
      </c>
      <c r="G885" s="15">
        <v>0</v>
      </c>
      <c r="H885" s="13"/>
      <c r="I885" s="13"/>
    </row>
    <row r="886" spans="1:9">
      <c r="A886" s="13" t="s">
        <v>1450</v>
      </c>
      <c r="B886" s="139" t="s">
        <v>602</v>
      </c>
      <c r="C886" s="139" t="s">
        <v>381</v>
      </c>
      <c r="D886" s="15">
        <v>2000000</v>
      </c>
      <c r="E886" s="93">
        <v>0.9738528568</v>
      </c>
      <c r="F886" s="18">
        <v>1947705.71</v>
      </c>
      <c r="G886" s="15">
        <v>0</v>
      </c>
      <c r="H886" s="13"/>
      <c r="I886" s="13"/>
    </row>
    <row r="887" spans="1:9">
      <c r="A887" s="13" t="s">
        <v>1451</v>
      </c>
      <c r="B887" s="139" t="s">
        <v>607</v>
      </c>
      <c r="C887" s="139" t="s">
        <v>381</v>
      </c>
      <c r="D887" s="15">
        <v>2000000</v>
      </c>
      <c r="E887" s="93">
        <v>0.9729442452</v>
      </c>
      <c r="F887" s="18">
        <v>1945888.49</v>
      </c>
      <c r="G887" s="15">
        <v>0</v>
      </c>
      <c r="H887" s="13"/>
      <c r="I887" s="13"/>
    </row>
    <row r="888" spans="1:9">
      <c r="A888" s="13" t="s">
        <v>1452</v>
      </c>
      <c r="B888" s="139" t="s">
        <v>416</v>
      </c>
      <c r="C888" s="139" t="s">
        <v>381</v>
      </c>
      <c r="D888" s="15">
        <v>2000000</v>
      </c>
      <c r="E888" s="154">
        <v>0.99238718699999995</v>
      </c>
      <c r="F888" s="18">
        <v>1984774.37</v>
      </c>
      <c r="G888" s="15">
        <v>0</v>
      </c>
      <c r="H888" s="13"/>
      <c r="I888" s="13"/>
    </row>
    <row r="889" spans="1:9">
      <c r="A889" s="13" t="s">
        <v>1453</v>
      </c>
      <c r="B889" s="139" t="s">
        <v>373</v>
      </c>
      <c r="C889" s="139" t="s">
        <v>381</v>
      </c>
      <c r="D889" s="15">
        <v>2000000</v>
      </c>
      <c r="E889" s="93">
        <v>0.98582043519999996</v>
      </c>
      <c r="F889" s="18">
        <v>1971640.87</v>
      </c>
      <c r="G889" s="15">
        <v>0</v>
      </c>
      <c r="H889" s="13"/>
      <c r="I889" s="13"/>
    </row>
    <row r="890" spans="1:9">
      <c r="A890" s="13" t="s">
        <v>1454</v>
      </c>
      <c r="B890" s="139" t="s">
        <v>439</v>
      </c>
      <c r="C890" s="139" t="s">
        <v>381</v>
      </c>
      <c r="D890" s="15">
        <v>2000000</v>
      </c>
      <c r="E890" s="93">
        <v>0.99808588190000003</v>
      </c>
      <c r="F890" s="18">
        <v>1996171.76</v>
      </c>
      <c r="G890" s="15">
        <v>0</v>
      </c>
      <c r="H890" s="13"/>
      <c r="I890" s="13"/>
    </row>
    <row r="891" spans="1:9">
      <c r="A891" s="13" t="s">
        <v>1455</v>
      </c>
      <c r="B891" s="139" t="s">
        <v>1105</v>
      </c>
      <c r="C891" s="139" t="s">
        <v>381</v>
      </c>
      <c r="D891" s="15">
        <v>2000000</v>
      </c>
      <c r="E891" s="93">
        <v>0.96752832860000004</v>
      </c>
      <c r="F891" s="18">
        <v>1935056.66</v>
      </c>
      <c r="G891" s="15">
        <v>0</v>
      </c>
      <c r="H891" s="13"/>
      <c r="I891" s="13"/>
    </row>
    <row r="892" spans="1:9">
      <c r="A892" s="13" t="s">
        <v>1456</v>
      </c>
      <c r="B892" s="139" t="s">
        <v>569</v>
      </c>
      <c r="C892" s="139" t="s">
        <v>381</v>
      </c>
      <c r="D892" s="15">
        <v>2000000</v>
      </c>
      <c r="E892" s="93">
        <v>0.98488938469999998</v>
      </c>
      <c r="F892" s="18">
        <v>1969778.77</v>
      </c>
      <c r="G892" s="15">
        <v>0</v>
      </c>
      <c r="H892" s="13"/>
      <c r="I892" s="13"/>
    </row>
    <row r="893" spans="1:9">
      <c r="A893" s="13" t="s">
        <v>1457</v>
      </c>
      <c r="B893" s="139" t="s">
        <v>523</v>
      </c>
      <c r="C893" s="139" t="s">
        <v>381</v>
      </c>
      <c r="D893" s="15">
        <v>2000000</v>
      </c>
      <c r="E893" s="93">
        <v>0.98026061590000002</v>
      </c>
      <c r="F893" s="18">
        <v>1960521.23</v>
      </c>
      <c r="G893" s="15">
        <v>0</v>
      </c>
      <c r="H893" s="13"/>
      <c r="I893" s="13"/>
    </row>
    <row r="894" spans="1:9">
      <c r="A894" s="13" t="s">
        <v>1458</v>
      </c>
      <c r="B894" s="139" t="s">
        <v>173</v>
      </c>
      <c r="C894" s="139" t="s">
        <v>381</v>
      </c>
      <c r="D894" s="15">
        <v>2000000</v>
      </c>
      <c r="E894" s="93">
        <v>0.97934001930000003</v>
      </c>
      <c r="F894" s="18">
        <v>1958680.04</v>
      </c>
      <c r="G894" s="15">
        <v>0</v>
      </c>
      <c r="H894" s="13"/>
      <c r="I894" s="13"/>
    </row>
    <row r="895" spans="1:9">
      <c r="A895" s="13" t="s">
        <v>1460</v>
      </c>
      <c r="B895" s="139" t="s">
        <v>1461</v>
      </c>
      <c r="C895" s="139" t="s">
        <v>377</v>
      </c>
      <c r="D895" s="18">
        <v>11923076.92</v>
      </c>
      <c r="E895" s="154">
        <v>0.89024394799999995</v>
      </c>
      <c r="F895" s="18">
        <v>10614447.07</v>
      </c>
      <c r="G895" s="18">
        <v>0.02</v>
      </c>
      <c r="H895" s="13"/>
      <c r="I895" s="13"/>
    </row>
    <row r="896" spans="1:9">
      <c r="A896" s="13" t="s">
        <v>1462</v>
      </c>
      <c r="B896" s="139" t="s">
        <v>1017</v>
      </c>
      <c r="C896" s="139" t="s">
        <v>377</v>
      </c>
      <c r="D896" s="18">
        <v>11923076.92</v>
      </c>
      <c r="E896" s="93">
        <v>0.90012337350000005</v>
      </c>
      <c r="F896" s="18">
        <v>10732240.220000001</v>
      </c>
      <c r="G896" s="18">
        <v>0.02</v>
      </c>
      <c r="H896" s="13"/>
      <c r="I896" s="13"/>
    </row>
    <row r="897" spans="1:9">
      <c r="A897" s="13" t="s">
        <v>1463</v>
      </c>
      <c r="B897" s="139" t="s">
        <v>736</v>
      </c>
      <c r="C897" s="139" t="s">
        <v>377</v>
      </c>
      <c r="D897" s="15">
        <v>10000000</v>
      </c>
      <c r="E897" s="93">
        <v>0.94928488330000005</v>
      </c>
      <c r="F897" s="18">
        <v>9492848.8300000001</v>
      </c>
      <c r="G897" s="18">
        <v>0.02</v>
      </c>
      <c r="H897" s="13"/>
      <c r="I897" s="13"/>
    </row>
    <row r="898" spans="1:9">
      <c r="A898" s="13" t="s">
        <v>1464</v>
      </c>
      <c r="B898" s="139" t="s">
        <v>982</v>
      </c>
      <c r="C898" s="139" t="s">
        <v>377</v>
      </c>
      <c r="D898" s="15">
        <v>10000000</v>
      </c>
      <c r="E898" s="93">
        <v>0.92828088630000005</v>
      </c>
      <c r="F898" s="18">
        <v>9282808.8599999994</v>
      </c>
      <c r="G898" s="18">
        <v>0.02</v>
      </c>
      <c r="H898" s="13"/>
      <c r="I898" s="13"/>
    </row>
    <row r="899" spans="1:9">
      <c r="A899" s="13" t="s">
        <v>1465</v>
      </c>
      <c r="B899" s="139" t="s">
        <v>439</v>
      </c>
      <c r="C899" s="139" t="s">
        <v>377</v>
      </c>
      <c r="D899" s="15">
        <v>138969390</v>
      </c>
      <c r="E899" s="93">
        <v>0.99857738269999996</v>
      </c>
      <c r="F899" s="18">
        <v>138771689.74000001</v>
      </c>
      <c r="G899" s="18">
        <v>0.31</v>
      </c>
      <c r="H899" s="13"/>
      <c r="I899" s="13"/>
    </row>
    <row r="900" spans="1:9">
      <c r="A900" s="13" t="s">
        <v>1466</v>
      </c>
      <c r="B900" s="139" t="s">
        <v>439</v>
      </c>
      <c r="C900" s="139" t="s">
        <v>377</v>
      </c>
      <c r="D900" s="151">
        <v>409578017.30000001</v>
      </c>
      <c r="E900" s="93">
        <v>0.99857738269999996</v>
      </c>
      <c r="F900" s="18">
        <v>408995344.52999997</v>
      </c>
      <c r="G900" s="18">
        <v>0.92</v>
      </c>
      <c r="H900" s="13"/>
      <c r="I900" s="13"/>
    </row>
    <row r="901" spans="1:9">
      <c r="A901" s="13" t="s">
        <v>1467</v>
      </c>
      <c r="B901" s="139" t="s">
        <v>439</v>
      </c>
      <c r="C901" s="139" t="s">
        <v>377</v>
      </c>
      <c r="D901" s="15">
        <v>285628140</v>
      </c>
      <c r="E901" s="93">
        <v>0.99857738279999997</v>
      </c>
      <c r="F901" s="151">
        <v>285221800.5</v>
      </c>
      <c r="G901" s="18">
        <v>0.64</v>
      </c>
      <c r="H901" s="13"/>
      <c r="I901" s="13"/>
    </row>
    <row r="902" spans="1:9">
      <c r="A902" s="13" t="s">
        <v>1468</v>
      </c>
      <c r="B902" s="139" t="s">
        <v>439</v>
      </c>
      <c r="C902" s="139" t="s">
        <v>377</v>
      </c>
      <c r="D902" s="18">
        <v>18466213.440000001</v>
      </c>
      <c r="E902" s="93">
        <v>0.99857738259999995</v>
      </c>
      <c r="F902" s="18">
        <v>18439943.079999998</v>
      </c>
      <c r="G902" s="18">
        <v>0.04</v>
      </c>
      <c r="H902" s="13"/>
      <c r="I902" s="13"/>
    </row>
    <row r="903" spans="1:9">
      <c r="A903" s="13" t="s">
        <v>1469</v>
      </c>
      <c r="B903" s="139" t="s">
        <v>1105</v>
      </c>
      <c r="C903" s="139" t="s">
        <v>377</v>
      </c>
      <c r="D903" s="15">
        <v>25000000</v>
      </c>
      <c r="E903" s="93">
        <v>0.97113222079999995</v>
      </c>
      <c r="F903" s="18">
        <v>24278305.52</v>
      </c>
      <c r="G903" s="18">
        <v>0.05</v>
      </c>
      <c r="H903" s="13"/>
      <c r="I903" s="13"/>
    </row>
    <row r="904" spans="1:9">
      <c r="A904" s="13" t="s">
        <v>1470</v>
      </c>
      <c r="B904" s="139" t="s">
        <v>610</v>
      </c>
      <c r="C904" s="139" t="s">
        <v>377</v>
      </c>
      <c r="D904" s="15">
        <v>3200000</v>
      </c>
      <c r="E904" s="154">
        <v>0.97033184800000005</v>
      </c>
      <c r="F904" s="18">
        <v>3105061.91</v>
      </c>
      <c r="G904" s="18">
        <v>0.01</v>
      </c>
      <c r="H904" s="13"/>
      <c r="I904" s="13"/>
    </row>
    <row r="905" spans="1:9">
      <c r="A905" s="13" t="s">
        <v>1471</v>
      </c>
      <c r="B905" s="139" t="s">
        <v>610</v>
      </c>
      <c r="C905" s="139" t="s">
        <v>377</v>
      </c>
      <c r="D905" s="15">
        <v>25000000</v>
      </c>
      <c r="E905" s="93">
        <v>0.97033184989999999</v>
      </c>
      <c r="F905" s="18">
        <v>24258296.25</v>
      </c>
      <c r="G905" s="18">
        <v>0.05</v>
      </c>
      <c r="H905" s="13"/>
      <c r="I905" s="13"/>
    </row>
    <row r="906" spans="1:9">
      <c r="A906" s="13" t="s">
        <v>1472</v>
      </c>
      <c r="B906" s="139" t="s">
        <v>489</v>
      </c>
      <c r="C906" s="139" t="s">
        <v>377</v>
      </c>
      <c r="D906" s="15">
        <v>15000000</v>
      </c>
      <c r="E906" s="93">
        <v>0.9655575206</v>
      </c>
      <c r="F906" s="18">
        <v>14483362.810000001</v>
      </c>
      <c r="G906" s="18">
        <v>0.03</v>
      </c>
      <c r="H906" s="13"/>
      <c r="I906" s="13"/>
    </row>
    <row r="907" spans="1:9">
      <c r="A907" s="13" t="s">
        <v>1473</v>
      </c>
      <c r="B907" s="139" t="s">
        <v>171</v>
      </c>
      <c r="C907" s="139" t="s">
        <v>367</v>
      </c>
      <c r="D907" s="15">
        <v>100000000</v>
      </c>
      <c r="E907" s="93">
        <v>0.99047516980000005</v>
      </c>
      <c r="F907" s="18">
        <v>99047516.980000004</v>
      </c>
      <c r="G907" s="18">
        <v>0.22</v>
      </c>
      <c r="H907" s="13"/>
      <c r="I907" s="13"/>
    </row>
    <row r="908" spans="1:9">
      <c r="A908" s="13" t="s">
        <v>1474</v>
      </c>
      <c r="B908" s="139" t="s">
        <v>801</v>
      </c>
      <c r="C908" s="139" t="s">
        <v>367</v>
      </c>
      <c r="D908" s="15">
        <v>150000000</v>
      </c>
      <c r="E908" s="93">
        <v>0.93176431250000002</v>
      </c>
      <c r="F908" s="18">
        <v>139764646.88</v>
      </c>
      <c r="G908" s="18">
        <v>0.31</v>
      </c>
      <c r="H908" s="13"/>
      <c r="I908" s="13"/>
    </row>
    <row r="909" spans="1:9">
      <c r="A909" s="13" t="s">
        <v>1475</v>
      </c>
      <c r="B909" s="139" t="s">
        <v>414</v>
      </c>
      <c r="C909" s="139" t="s">
        <v>367</v>
      </c>
      <c r="D909" s="15">
        <v>50000000</v>
      </c>
      <c r="E909" s="93">
        <v>0.97335935870000001</v>
      </c>
      <c r="F909" s="18">
        <v>48667967.939999998</v>
      </c>
      <c r="G909" s="18">
        <v>0.11</v>
      </c>
      <c r="H909" s="13"/>
      <c r="I909" s="13"/>
    </row>
    <row r="910" spans="1:9">
      <c r="A910" s="13" t="s">
        <v>1476</v>
      </c>
      <c r="B910" s="139" t="s">
        <v>989</v>
      </c>
      <c r="C910" s="139" t="s">
        <v>367</v>
      </c>
      <c r="D910" s="15">
        <v>150000000</v>
      </c>
      <c r="E910" s="93">
        <v>0.95345079830000001</v>
      </c>
      <c r="F910" s="18">
        <v>143017619.75</v>
      </c>
      <c r="G910" s="18">
        <v>0.32</v>
      </c>
      <c r="H910" s="13"/>
      <c r="I910" s="13"/>
    </row>
    <row r="911" spans="1:9">
      <c r="A911" s="13" t="s">
        <v>1477</v>
      </c>
      <c r="B911" s="139" t="s">
        <v>835</v>
      </c>
      <c r="C911" s="139" t="s">
        <v>367</v>
      </c>
      <c r="D911" s="15">
        <v>12166667</v>
      </c>
      <c r="E911" s="93">
        <v>0.90841224730000003</v>
      </c>
      <c r="F911" s="18">
        <v>11052349.310000001</v>
      </c>
      <c r="G911" s="18">
        <v>0.02</v>
      </c>
      <c r="H911" s="13"/>
      <c r="I911" s="13"/>
    </row>
    <row r="912" spans="1:9">
      <c r="A912" s="13" t="s">
        <v>1478</v>
      </c>
      <c r="B912" s="139" t="s">
        <v>1148</v>
      </c>
      <c r="C912" s="139" t="s">
        <v>367</v>
      </c>
      <c r="D912" s="15">
        <v>15166667</v>
      </c>
      <c r="E912" s="93">
        <v>0.90750873359999995</v>
      </c>
      <c r="F912" s="18">
        <v>13763882.76</v>
      </c>
      <c r="G912" s="18">
        <v>0.03</v>
      </c>
      <c r="H912" s="13"/>
      <c r="I912" s="13"/>
    </row>
    <row r="913" spans="1:9">
      <c r="A913" s="13" t="s">
        <v>1479</v>
      </c>
      <c r="B913" s="139" t="s">
        <v>797</v>
      </c>
      <c r="C913" s="139" t="s">
        <v>367</v>
      </c>
      <c r="D913" s="15">
        <v>12166667</v>
      </c>
      <c r="E913" s="93">
        <v>0.91295667290000004</v>
      </c>
      <c r="F913" s="18">
        <v>11107639.82</v>
      </c>
      <c r="G913" s="18">
        <v>0.02</v>
      </c>
      <c r="H913" s="13"/>
      <c r="I913" s="13"/>
    </row>
    <row r="914" spans="1:9">
      <c r="A914" s="13" t="s">
        <v>1480</v>
      </c>
      <c r="B914" s="139" t="s">
        <v>777</v>
      </c>
      <c r="C914" s="139" t="s">
        <v>367</v>
      </c>
      <c r="D914" s="15">
        <v>15166667</v>
      </c>
      <c r="E914" s="93">
        <v>0.91204410440000006</v>
      </c>
      <c r="F914" s="18">
        <v>13832669.220000001</v>
      </c>
      <c r="G914" s="18">
        <v>0.03</v>
      </c>
      <c r="H914" s="13"/>
      <c r="I914" s="13"/>
    </row>
    <row r="915" spans="1:9">
      <c r="A915" s="13" t="s">
        <v>1481</v>
      </c>
      <c r="B915" s="139" t="s">
        <v>569</v>
      </c>
      <c r="C915" s="139" t="s">
        <v>367</v>
      </c>
      <c r="D915" s="18">
        <v>3665841.29</v>
      </c>
      <c r="E915" s="93">
        <v>0.98787487549999997</v>
      </c>
      <c r="F915" s="18">
        <v>3621392.51</v>
      </c>
      <c r="G915" s="18">
        <v>0.01</v>
      </c>
      <c r="H915" s="13"/>
      <c r="I915" s="13"/>
    </row>
    <row r="916" spans="1:9">
      <c r="A916" s="13" t="s">
        <v>1482</v>
      </c>
      <c r="B916" s="139" t="s">
        <v>414</v>
      </c>
      <c r="C916" s="139" t="s">
        <v>367</v>
      </c>
      <c r="D916" s="15">
        <v>10000000</v>
      </c>
      <c r="E916" s="93">
        <v>0.97048664910000004</v>
      </c>
      <c r="F916" s="18">
        <v>9704866.4900000002</v>
      </c>
      <c r="G916" s="18">
        <v>0.02</v>
      </c>
      <c r="H916" s="13"/>
      <c r="I916" s="13"/>
    </row>
    <row r="917" spans="1:9">
      <c r="A917" s="13" t="s">
        <v>1483</v>
      </c>
      <c r="B917" s="139" t="s">
        <v>860</v>
      </c>
      <c r="C917" s="139" t="s">
        <v>367</v>
      </c>
      <c r="D917" s="15">
        <v>10000000</v>
      </c>
      <c r="E917" s="93">
        <v>0.93902771659999995</v>
      </c>
      <c r="F917" s="18">
        <v>9390277.1699999999</v>
      </c>
      <c r="G917" s="18">
        <v>0.02</v>
      </c>
      <c r="H917" s="13"/>
      <c r="I917" s="13"/>
    </row>
    <row r="918" spans="1:9">
      <c r="A918" s="13" t="s">
        <v>1484</v>
      </c>
      <c r="B918" s="139" t="s">
        <v>499</v>
      </c>
      <c r="C918" s="139" t="s">
        <v>367</v>
      </c>
      <c r="D918" s="15">
        <v>10000000</v>
      </c>
      <c r="E918" s="93">
        <v>0.96128525740000004</v>
      </c>
      <c r="F918" s="18">
        <v>9612852.5700000003</v>
      </c>
      <c r="G918" s="18">
        <v>0.02</v>
      </c>
      <c r="H918" s="13"/>
      <c r="I918" s="13"/>
    </row>
    <row r="919" spans="1:9">
      <c r="A919" s="13" t="s">
        <v>1485</v>
      </c>
      <c r="B919" s="139" t="s">
        <v>809</v>
      </c>
      <c r="C919" s="139" t="s">
        <v>367</v>
      </c>
      <c r="D919" s="15">
        <v>10000000</v>
      </c>
      <c r="E919" s="93">
        <v>0.94339634390000005</v>
      </c>
      <c r="F919" s="18">
        <v>9433963.4399999995</v>
      </c>
      <c r="G919" s="18">
        <v>0.02</v>
      </c>
      <c r="H919" s="13"/>
      <c r="I919" s="13"/>
    </row>
    <row r="920" spans="1:9">
      <c r="A920" s="13" t="s">
        <v>1486</v>
      </c>
      <c r="B920" s="139" t="s">
        <v>373</v>
      </c>
      <c r="C920" s="139" t="s">
        <v>367</v>
      </c>
      <c r="D920" s="15">
        <v>50000000</v>
      </c>
      <c r="E920" s="93">
        <v>0.98862410020000002</v>
      </c>
      <c r="F920" s="18">
        <v>49431205.009999998</v>
      </c>
      <c r="G920" s="18">
        <v>0.11</v>
      </c>
      <c r="H920" s="13"/>
      <c r="I920" s="13"/>
    </row>
    <row r="921" spans="1:9">
      <c r="A921" s="13" t="s">
        <v>1487</v>
      </c>
      <c r="B921" s="139" t="s">
        <v>491</v>
      </c>
      <c r="C921" s="139" t="s">
        <v>367</v>
      </c>
      <c r="D921" s="15">
        <v>50000000</v>
      </c>
      <c r="E921" s="93">
        <v>0.96591510530000002</v>
      </c>
      <c r="F921" s="18">
        <v>48295755.270000003</v>
      </c>
      <c r="G921" s="18">
        <v>0.11</v>
      </c>
      <c r="H921" s="13"/>
      <c r="I921" s="13"/>
    </row>
    <row r="922" spans="1:9">
      <c r="A922" s="13" t="s">
        <v>1488</v>
      </c>
      <c r="B922" s="139" t="s">
        <v>628</v>
      </c>
      <c r="C922" s="139" t="s">
        <v>367</v>
      </c>
      <c r="D922" s="15">
        <v>50000000</v>
      </c>
      <c r="E922" s="93">
        <v>0.94687144720000005</v>
      </c>
      <c r="F922" s="18">
        <v>47343572.359999999</v>
      </c>
      <c r="G922" s="18">
        <v>0.11</v>
      </c>
      <c r="H922" s="13"/>
      <c r="I922" s="13"/>
    </row>
    <row r="923" spans="1:9">
      <c r="A923" s="13" t="s">
        <v>1489</v>
      </c>
      <c r="B923" s="139" t="s">
        <v>989</v>
      </c>
      <c r="C923" s="139" t="s">
        <v>367</v>
      </c>
      <c r="D923" s="15">
        <v>50000000</v>
      </c>
      <c r="E923" s="93">
        <v>0.94530208370000002</v>
      </c>
      <c r="F923" s="18">
        <v>47265104.189999998</v>
      </c>
      <c r="G923" s="18">
        <v>0.11</v>
      </c>
      <c r="H923" s="13"/>
      <c r="I923" s="13"/>
    </row>
    <row r="924" spans="1:9">
      <c r="A924" s="13" t="s">
        <v>1490</v>
      </c>
      <c r="B924" s="139" t="s">
        <v>607</v>
      </c>
      <c r="C924" s="139" t="s">
        <v>367</v>
      </c>
      <c r="D924" s="15">
        <v>267500000</v>
      </c>
      <c r="E924" s="93">
        <v>0.96919821579999998</v>
      </c>
      <c r="F924" s="18">
        <v>259260522.72999999</v>
      </c>
      <c r="G924" s="18">
        <v>0.57999999999999996</v>
      </c>
      <c r="H924" s="13"/>
      <c r="I924" s="13"/>
    </row>
    <row r="925" spans="1:9">
      <c r="A925" s="13" t="s">
        <v>1491</v>
      </c>
      <c r="B925" s="139" t="s">
        <v>638</v>
      </c>
      <c r="C925" s="139" t="s">
        <v>367</v>
      </c>
      <c r="D925" s="18">
        <v>38136774.549999997</v>
      </c>
      <c r="E925" s="93">
        <v>0.97359302120000002</v>
      </c>
      <c r="F925" s="18">
        <v>37129697.549999997</v>
      </c>
      <c r="G925" s="18">
        <v>0.08</v>
      </c>
      <c r="H925" s="13"/>
      <c r="I925" s="13"/>
    </row>
    <row r="926" spans="1:9">
      <c r="A926" s="13" t="s">
        <v>1495</v>
      </c>
      <c r="B926" s="139" t="s">
        <v>193</v>
      </c>
      <c r="C926" s="139" t="s">
        <v>384</v>
      </c>
      <c r="D926" s="15">
        <v>10000000</v>
      </c>
      <c r="E926" s="93">
        <v>0.95524736730000004</v>
      </c>
      <c r="F926" s="18">
        <v>9552473.6699999999</v>
      </c>
      <c r="G926" s="18">
        <v>0.02</v>
      </c>
      <c r="H926" s="13"/>
      <c r="I926" s="13"/>
    </row>
    <row r="927" spans="1:9">
      <c r="A927" s="13" t="s">
        <v>1496</v>
      </c>
      <c r="B927" s="139" t="s">
        <v>594</v>
      </c>
      <c r="C927" s="139" t="s">
        <v>384</v>
      </c>
      <c r="D927" s="15">
        <v>10000000</v>
      </c>
      <c r="E927" s="28">
        <v>0.93398163999999995</v>
      </c>
      <c r="F927" s="151">
        <v>9339816.4000000004</v>
      </c>
      <c r="G927" s="18">
        <v>0.02</v>
      </c>
      <c r="H927" s="13"/>
      <c r="I927" s="13"/>
    </row>
    <row r="928" spans="1:9">
      <c r="A928" s="13" t="s">
        <v>1497</v>
      </c>
      <c r="B928" s="139" t="s">
        <v>888</v>
      </c>
      <c r="C928" s="139" t="s">
        <v>384</v>
      </c>
      <c r="D928" s="15">
        <v>3750000</v>
      </c>
      <c r="E928" s="93">
        <v>0.88467702619999999</v>
      </c>
      <c r="F928" s="18">
        <v>3317538.85</v>
      </c>
      <c r="G928" s="18">
        <v>0.01</v>
      </c>
      <c r="H928" s="13"/>
      <c r="I928" s="13"/>
    </row>
    <row r="929" spans="1:9">
      <c r="A929" s="13" t="s">
        <v>1498</v>
      </c>
      <c r="B929" s="139" t="s">
        <v>1499</v>
      </c>
      <c r="C929" s="139" t="s">
        <v>384</v>
      </c>
      <c r="D929" s="15">
        <v>3750000</v>
      </c>
      <c r="E929" s="93">
        <v>0.88051530389999999</v>
      </c>
      <c r="F929" s="18">
        <v>3301932.39</v>
      </c>
      <c r="G929" s="18">
        <v>0.01</v>
      </c>
      <c r="H929" s="13"/>
      <c r="I929" s="13"/>
    </row>
    <row r="930" spans="1:9">
      <c r="A930" s="13" t="s">
        <v>1500</v>
      </c>
      <c r="B930" s="139" t="s">
        <v>898</v>
      </c>
      <c r="C930" s="139" t="s">
        <v>384</v>
      </c>
      <c r="D930" s="15">
        <v>3750000</v>
      </c>
      <c r="E930" s="93">
        <v>0.87803710909999999</v>
      </c>
      <c r="F930" s="18">
        <v>3292639.16</v>
      </c>
      <c r="G930" s="18">
        <v>0.01</v>
      </c>
      <c r="H930" s="13"/>
      <c r="I930" s="13"/>
    </row>
    <row r="931" spans="1:9">
      <c r="A931" s="13" t="s">
        <v>1501</v>
      </c>
      <c r="B931" s="139" t="s">
        <v>1502</v>
      </c>
      <c r="C931" s="139" t="s">
        <v>384</v>
      </c>
      <c r="D931" s="15">
        <v>3750000</v>
      </c>
      <c r="E931" s="93">
        <v>0.85089541930000001</v>
      </c>
      <c r="F931" s="18">
        <v>3190857.82</v>
      </c>
      <c r="G931" s="18">
        <v>0.01</v>
      </c>
      <c r="H931" s="13"/>
      <c r="I931" s="13"/>
    </row>
    <row r="932" spans="1:9">
      <c r="A932" s="13" t="s">
        <v>1503</v>
      </c>
      <c r="B932" s="139" t="s">
        <v>1095</v>
      </c>
      <c r="C932" s="139" t="s">
        <v>384</v>
      </c>
      <c r="D932" s="15">
        <v>3750000</v>
      </c>
      <c r="E932" s="93">
        <v>0.87557282950000004</v>
      </c>
      <c r="F932" s="18">
        <v>3283398.11</v>
      </c>
      <c r="G932" s="18">
        <v>0.01</v>
      </c>
      <c r="H932" s="13"/>
      <c r="I932" s="13"/>
    </row>
    <row r="933" spans="1:9">
      <c r="A933" s="13" t="s">
        <v>1504</v>
      </c>
      <c r="B933" s="139" t="s">
        <v>1057</v>
      </c>
      <c r="C933" s="139" t="s">
        <v>384</v>
      </c>
      <c r="D933" s="15">
        <v>3750000</v>
      </c>
      <c r="E933" s="93">
        <v>0.85634537710000003</v>
      </c>
      <c r="F933" s="18">
        <v>3211295.16</v>
      </c>
      <c r="G933" s="18">
        <v>0.01</v>
      </c>
      <c r="H933" s="13"/>
      <c r="I933" s="13"/>
    </row>
    <row r="934" spans="1:9">
      <c r="A934" s="13" t="s">
        <v>1505</v>
      </c>
      <c r="B934" s="139" t="s">
        <v>1506</v>
      </c>
      <c r="C934" s="139" t="s">
        <v>384</v>
      </c>
      <c r="D934" s="15">
        <v>3750000</v>
      </c>
      <c r="E934" s="93">
        <v>0.85322256490000004</v>
      </c>
      <c r="F934" s="18">
        <v>3199584.62</v>
      </c>
      <c r="G934" s="18">
        <v>0.01</v>
      </c>
      <c r="H934" s="13"/>
      <c r="I934" s="13"/>
    </row>
    <row r="935" spans="1:9">
      <c r="A935" s="13" t="s">
        <v>1507</v>
      </c>
      <c r="B935" s="139" t="s">
        <v>1080</v>
      </c>
      <c r="C935" s="139" t="s">
        <v>384</v>
      </c>
      <c r="D935" s="15">
        <v>3750000</v>
      </c>
      <c r="E935" s="93">
        <v>0.8731223427</v>
      </c>
      <c r="F935" s="18">
        <v>3274208.79</v>
      </c>
      <c r="G935" s="18">
        <v>0.01</v>
      </c>
      <c r="H935" s="13"/>
      <c r="I935" s="13"/>
    </row>
    <row r="936" spans="1:9">
      <c r="A936" s="13" t="s">
        <v>1508</v>
      </c>
      <c r="B936" s="139" t="s">
        <v>1084</v>
      </c>
      <c r="C936" s="139" t="s">
        <v>384</v>
      </c>
      <c r="D936" s="15">
        <v>3750000</v>
      </c>
      <c r="E936" s="93">
        <v>0.86987620310000002</v>
      </c>
      <c r="F936" s="18">
        <v>3262035.76</v>
      </c>
      <c r="G936" s="18">
        <v>0.01</v>
      </c>
      <c r="H936" s="13"/>
      <c r="I936" s="13"/>
    </row>
    <row r="937" spans="1:9">
      <c r="A937" s="13" t="s">
        <v>1509</v>
      </c>
      <c r="B937" s="139" t="s">
        <v>1090</v>
      </c>
      <c r="C937" s="139" t="s">
        <v>384</v>
      </c>
      <c r="D937" s="15">
        <v>3750000</v>
      </c>
      <c r="E937" s="93">
        <v>0.86425322270000005</v>
      </c>
      <c r="F937" s="18">
        <v>3240949.59</v>
      </c>
      <c r="G937" s="18">
        <v>0.01</v>
      </c>
      <c r="H937" s="13"/>
      <c r="I937" s="13"/>
    </row>
    <row r="938" spans="1:9">
      <c r="A938" s="13" t="s">
        <v>1510</v>
      </c>
      <c r="B938" s="139" t="s">
        <v>1461</v>
      </c>
      <c r="C938" s="139" t="s">
        <v>384</v>
      </c>
      <c r="D938" s="15">
        <v>3750000</v>
      </c>
      <c r="E938" s="93">
        <v>0.86186559959999998</v>
      </c>
      <c r="F938" s="15">
        <v>3231996</v>
      </c>
      <c r="G938" s="18">
        <v>0.01</v>
      </c>
      <c r="H938" s="13"/>
      <c r="I938" s="13"/>
    </row>
    <row r="939" spans="1:9">
      <c r="A939" s="13" t="s">
        <v>1511</v>
      </c>
      <c r="B939" s="139" t="s">
        <v>1512</v>
      </c>
      <c r="C939" s="139" t="s">
        <v>384</v>
      </c>
      <c r="D939" s="15">
        <v>3750000</v>
      </c>
      <c r="E939" s="93">
        <v>0.85791524870000002</v>
      </c>
      <c r="F939" s="18">
        <v>3217182.18</v>
      </c>
      <c r="G939" s="18">
        <v>0.01</v>
      </c>
      <c r="H939" s="13"/>
      <c r="I939" s="13"/>
    </row>
    <row r="940" spans="1:9">
      <c r="A940" s="13" t="s">
        <v>1513</v>
      </c>
      <c r="B940" s="139" t="s">
        <v>1088</v>
      </c>
      <c r="C940" s="139" t="s">
        <v>384</v>
      </c>
      <c r="D940" s="15">
        <v>3750000</v>
      </c>
      <c r="E940" s="93">
        <v>0.86745745460000001</v>
      </c>
      <c r="F940" s="18">
        <v>3252965.45</v>
      </c>
      <c r="G940" s="18">
        <v>0.01</v>
      </c>
      <c r="H940" s="13"/>
      <c r="I940" s="13"/>
    </row>
    <row r="941" spans="1:9">
      <c r="A941" s="13" t="s">
        <v>1514</v>
      </c>
      <c r="B941" s="139" t="s">
        <v>493</v>
      </c>
      <c r="C941" s="139" t="s">
        <v>384</v>
      </c>
      <c r="D941" s="15">
        <v>50000000</v>
      </c>
      <c r="E941" s="93">
        <v>0.95592297289999995</v>
      </c>
      <c r="F941" s="18">
        <v>47796148.649999999</v>
      </c>
      <c r="G941" s="18">
        <v>0.11</v>
      </c>
      <c r="H941" s="13"/>
      <c r="I941" s="13"/>
    </row>
    <row r="942" spans="1:9">
      <c r="A942" s="13" t="s">
        <v>1515</v>
      </c>
      <c r="B942" s="139" t="s">
        <v>596</v>
      </c>
      <c r="C942" s="139" t="s">
        <v>384</v>
      </c>
      <c r="D942" s="15">
        <v>50000000</v>
      </c>
      <c r="E942" s="93">
        <v>0.95017461790000002</v>
      </c>
      <c r="F942" s="151">
        <v>47508730.899999999</v>
      </c>
      <c r="G942" s="18">
        <v>0.11</v>
      </c>
      <c r="H942" s="13"/>
      <c r="I942" s="13"/>
    </row>
    <row r="943" spans="1:9">
      <c r="A943" s="13" t="s">
        <v>1516</v>
      </c>
      <c r="B943" s="139" t="s">
        <v>414</v>
      </c>
      <c r="C943" s="139" t="s">
        <v>384</v>
      </c>
      <c r="D943" s="15">
        <v>50000000</v>
      </c>
      <c r="E943" s="93">
        <v>0.9676308965</v>
      </c>
      <c r="F943" s="18">
        <v>48381544.829999998</v>
      </c>
      <c r="G943" s="18">
        <v>0.11</v>
      </c>
      <c r="H943" s="13"/>
      <c r="I943" s="13"/>
    </row>
    <row r="944" spans="1:9">
      <c r="A944" s="13" t="s">
        <v>1517</v>
      </c>
      <c r="B944" s="139" t="s">
        <v>503</v>
      </c>
      <c r="C944" s="139" t="s">
        <v>384</v>
      </c>
      <c r="D944" s="15">
        <v>50000000</v>
      </c>
      <c r="E944" s="93">
        <v>0.96174130390000001</v>
      </c>
      <c r="F944" s="151">
        <v>48087065.200000003</v>
      </c>
      <c r="G944" s="18">
        <v>0.11</v>
      </c>
      <c r="H944" s="13"/>
      <c r="I944" s="13"/>
    </row>
    <row r="945" spans="1:9">
      <c r="A945" s="13" t="s">
        <v>1518</v>
      </c>
      <c r="B945" s="139" t="s">
        <v>169</v>
      </c>
      <c r="C945" s="139" t="s">
        <v>384</v>
      </c>
      <c r="D945" s="15">
        <v>5000000</v>
      </c>
      <c r="E945" s="93">
        <v>0.95823162490000002</v>
      </c>
      <c r="F945" s="18">
        <v>4791158.12</v>
      </c>
      <c r="G945" s="18">
        <v>0.01</v>
      </c>
      <c r="H945" s="13"/>
      <c r="I945" s="13"/>
    </row>
    <row r="946" spans="1:9">
      <c r="A946" s="13" t="s">
        <v>1519</v>
      </c>
      <c r="B946" s="139" t="s">
        <v>503</v>
      </c>
      <c r="C946" s="139" t="s">
        <v>384</v>
      </c>
      <c r="D946" s="18">
        <v>5454223.6600000001</v>
      </c>
      <c r="E946" s="154">
        <v>0.95730189399999999</v>
      </c>
      <c r="F946" s="18">
        <v>5221338.6399999997</v>
      </c>
      <c r="G946" s="18">
        <v>0.01</v>
      </c>
      <c r="H946" s="13"/>
      <c r="I946" s="13"/>
    </row>
    <row r="947" spans="1:9">
      <c r="A947" s="13" t="s">
        <v>1520</v>
      </c>
      <c r="B947" s="139" t="s">
        <v>638</v>
      </c>
      <c r="C947" s="139" t="s">
        <v>384</v>
      </c>
      <c r="D947" s="15">
        <v>50000000</v>
      </c>
      <c r="E947" s="93">
        <v>0.97048669580000002</v>
      </c>
      <c r="F947" s="18">
        <v>48524334.789999999</v>
      </c>
      <c r="G947" s="18">
        <v>0.11</v>
      </c>
      <c r="H947" s="13"/>
      <c r="I947" s="13"/>
    </row>
    <row r="948" spans="1:9">
      <c r="A948" s="13" t="s">
        <v>1521</v>
      </c>
      <c r="B948" s="139" t="s">
        <v>414</v>
      </c>
      <c r="C948" s="139" t="s">
        <v>384</v>
      </c>
      <c r="D948" s="15">
        <v>50000000</v>
      </c>
      <c r="E948" s="93">
        <v>0.96384920829999998</v>
      </c>
      <c r="F948" s="18">
        <v>48192460.420000002</v>
      </c>
      <c r="G948" s="18">
        <v>0.11</v>
      </c>
      <c r="H948" s="13"/>
      <c r="I948" s="13"/>
    </row>
    <row r="949" spans="1:9">
      <c r="A949" s="13" t="s">
        <v>1522</v>
      </c>
      <c r="B949" s="139" t="s">
        <v>607</v>
      </c>
      <c r="C949" s="139" t="s">
        <v>384</v>
      </c>
      <c r="D949" s="15">
        <v>9500000</v>
      </c>
      <c r="E949" s="28">
        <v>0.97144242999999997</v>
      </c>
      <c r="F949" s="18">
        <v>9228703.0899999999</v>
      </c>
      <c r="G949" s="18">
        <v>0.02</v>
      </c>
      <c r="H949" s="13"/>
      <c r="I949" s="13"/>
    </row>
    <row r="950" spans="1:9">
      <c r="A950" s="13" t="s">
        <v>1523</v>
      </c>
      <c r="B950" s="139" t="s">
        <v>414</v>
      </c>
      <c r="C950" s="139" t="s">
        <v>384</v>
      </c>
      <c r="D950" s="15">
        <v>9500000</v>
      </c>
      <c r="E950" s="93">
        <v>0.96384920829999998</v>
      </c>
      <c r="F950" s="18">
        <v>9156567.4800000004</v>
      </c>
      <c r="G950" s="18">
        <v>0.02</v>
      </c>
      <c r="H950" s="13"/>
      <c r="I950" s="13"/>
    </row>
    <row r="951" spans="1:9">
      <c r="A951" s="13" t="s">
        <v>1524</v>
      </c>
      <c r="B951" s="139" t="s">
        <v>638</v>
      </c>
      <c r="C951" s="139" t="s">
        <v>384</v>
      </c>
      <c r="D951" s="151">
        <v>28270320.699999999</v>
      </c>
      <c r="E951" s="93">
        <v>0.97048669580000002</v>
      </c>
      <c r="F951" s="18">
        <v>27435970.129999999</v>
      </c>
      <c r="G951" s="18">
        <v>0.06</v>
      </c>
      <c r="H951" s="13"/>
      <c r="I951" s="13"/>
    </row>
    <row r="952" spans="1:9">
      <c r="A952" s="13" t="s">
        <v>1525</v>
      </c>
      <c r="B952" s="139" t="s">
        <v>193</v>
      </c>
      <c r="C952" s="139" t="s">
        <v>384</v>
      </c>
      <c r="D952" s="18">
        <v>6598885.3799999999</v>
      </c>
      <c r="E952" s="93">
        <v>0.94537549060000003</v>
      </c>
      <c r="F952" s="151">
        <v>6238424.5</v>
      </c>
      <c r="G952" s="18">
        <v>0.01</v>
      </c>
      <c r="H952" s="13"/>
      <c r="I952" s="13"/>
    </row>
    <row r="953" spans="1:9">
      <c r="A953" s="13" t="s">
        <v>1532</v>
      </c>
      <c r="B953" s="139" t="s">
        <v>1209</v>
      </c>
      <c r="C953" s="139" t="s">
        <v>383</v>
      </c>
      <c r="D953" s="15">
        <v>10000000</v>
      </c>
      <c r="E953" s="93">
        <v>0.92757308689999995</v>
      </c>
      <c r="F953" s="18">
        <v>9275730.8699999992</v>
      </c>
      <c r="G953" s="18">
        <v>0.02</v>
      </c>
      <c r="H953" s="13"/>
      <c r="I953" s="13"/>
    </row>
    <row r="954" spans="1:9">
      <c r="A954" s="13" t="s">
        <v>1533</v>
      </c>
      <c r="B954" s="139" t="s">
        <v>809</v>
      </c>
      <c r="C954" s="139" t="s">
        <v>383</v>
      </c>
      <c r="D954" s="15">
        <v>10000000</v>
      </c>
      <c r="E954" s="93">
        <v>0.94339625670000005</v>
      </c>
      <c r="F954" s="18">
        <v>9433962.5700000003</v>
      </c>
      <c r="G954" s="18">
        <v>0.02</v>
      </c>
      <c r="H954" s="13"/>
      <c r="I954" s="13"/>
    </row>
    <row r="955" spans="1:9">
      <c r="A955" s="13" t="s">
        <v>1534</v>
      </c>
      <c r="B955" s="139" t="s">
        <v>594</v>
      </c>
      <c r="C955" s="139" t="s">
        <v>383</v>
      </c>
      <c r="D955" s="15">
        <v>10000000</v>
      </c>
      <c r="E955" s="93">
        <v>0.93398169549999999</v>
      </c>
      <c r="F955" s="18">
        <v>9339816.9600000009</v>
      </c>
      <c r="G955" s="18">
        <v>0.02</v>
      </c>
      <c r="H955" s="13"/>
      <c r="I955" s="13"/>
    </row>
    <row r="956" spans="1:9">
      <c r="A956" s="13" t="s">
        <v>1535</v>
      </c>
      <c r="B956" s="139" t="s">
        <v>736</v>
      </c>
      <c r="C956" s="139" t="s">
        <v>383</v>
      </c>
      <c r="D956" s="15">
        <v>10000000</v>
      </c>
      <c r="E956" s="93">
        <v>0.94928485279999997</v>
      </c>
      <c r="F956" s="18">
        <v>9492848.5299999993</v>
      </c>
      <c r="G956" s="18">
        <v>0.02</v>
      </c>
      <c r="H956" s="13"/>
      <c r="I956" s="13"/>
    </row>
    <row r="957" spans="1:9">
      <c r="A957" s="13" t="s">
        <v>1536</v>
      </c>
      <c r="B957" s="139" t="s">
        <v>860</v>
      </c>
      <c r="C957" s="139" t="s">
        <v>383</v>
      </c>
      <c r="D957" s="15">
        <v>10000000</v>
      </c>
      <c r="E957" s="93">
        <v>0.93902762880000001</v>
      </c>
      <c r="F957" s="18">
        <v>9390276.2899999991</v>
      </c>
      <c r="G957" s="18">
        <v>0.02</v>
      </c>
      <c r="H957" s="13"/>
      <c r="I957" s="13"/>
    </row>
    <row r="958" spans="1:9">
      <c r="A958" s="13" t="s">
        <v>1537</v>
      </c>
      <c r="B958" s="139" t="s">
        <v>410</v>
      </c>
      <c r="C958" s="139" t="s">
        <v>383</v>
      </c>
      <c r="D958" s="15">
        <v>10000000</v>
      </c>
      <c r="E958" s="93">
        <v>0.9582568776</v>
      </c>
      <c r="F958" s="18">
        <v>9582568.7799999993</v>
      </c>
      <c r="G958" s="18">
        <v>0.02</v>
      </c>
      <c r="H958" s="13"/>
      <c r="I958" s="13"/>
    </row>
    <row r="959" spans="1:9">
      <c r="A959" s="13" t="s">
        <v>1538</v>
      </c>
      <c r="B959" s="139" t="s">
        <v>982</v>
      </c>
      <c r="C959" s="139" t="s">
        <v>383</v>
      </c>
      <c r="D959" s="15">
        <v>10000000</v>
      </c>
      <c r="E959" s="93">
        <v>0.92167071020000002</v>
      </c>
      <c r="F959" s="151">
        <v>9216707.0999999996</v>
      </c>
      <c r="G959" s="18">
        <v>0.02</v>
      </c>
      <c r="H959" s="13"/>
      <c r="I959" s="13"/>
    </row>
    <row r="960" spans="1:9">
      <c r="A960" s="13" t="s">
        <v>1539</v>
      </c>
      <c r="B960" s="139" t="s">
        <v>799</v>
      </c>
      <c r="C960" s="139" t="s">
        <v>383</v>
      </c>
      <c r="D960" s="15">
        <v>10000000</v>
      </c>
      <c r="E960" s="93">
        <v>0.91632576649999997</v>
      </c>
      <c r="F960" s="18">
        <v>9163257.6699999999</v>
      </c>
      <c r="G960" s="18">
        <v>0.02</v>
      </c>
      <c r="H960" s="13"/>
      <c r="I960" s="13"/>
    </row>
    <row r="961" spans="1:9">
      <c r="A961" s="13" t="s">
        <v>1540</v>
      </c>
      <c r="B961" s="139" t="s">
        <v>548</v>
      </c>
      <c r="C961" s="139" t="s">
        <v>383</v>
      </c>
      <c r="D961" s="15">
        <v>100000000</v>
      </c>
      <c r="E961" s="93">
        <v>0.9904482926</v>
      </c>
      <c r="F961" s="18">
        <v>99044829.260000005</v>
      </c>
      <c r="G961" s="18">
        <v>0.22</v>
      </c>
      <c r="H961" s="13"/>
      <c r="I961" s="13"/>
    </row>
    <row r="962" spans="1:9">
      <c r="A962" s="13" t="s">
        <v>1541</v>
      </c>
      <c r="B962" s="139" t="s">
        <v>425</v>
      </c>
      <c r="C962" s="139" t="s">
        <v>383</v>
      </c>
      <c r="D962" s="15">
        <v>100000000</v>
      </c>
      <c r="E962" s="154">
        <v>0.99130910800000005</v>
      </c>
      <c r="F962" s="151">
        <v>99130910.799999997</v>
      </c>
      <c r="G962" s="18">
        <v>0.22</v>
      </c>
      <c r="H962" s="13"/>
      <c r="I962" s="13"/>
    </row>
    <row r="963" spans="1:9">
      <c r="A963" s="13" t="s">
        <v>1542</v>
      </c>
      <c r="B963" s="139" t="s">
        <v>408</v>
      </c>
      <c r="C963" s="139" t="s">
        <v>383</v>
      </c>
      <c r="D963" s="15">
        <v>150000000</v>
      </c>
      <c r="E963" s="93">
        <v>0.98787488629999998</v>
      </c>
      <c r="F963" s="18">
        <v>148181232.94999999</v>
      </c>
      <c r="G963" s="18">
        <v>0.33</v>
      </c>
      <c r="H963" s="13"/>
      <c r="I963" s="13"/>
    </row>
    <row r="964" spans="1:9">
      <c r="A964" s="13" t="s">
        <v>1544</v>
      </c>
      <c r="B964" s="139" t="s">
        <v>795</v>
      </c>
      <c r="C964" s="139" t="s">
        <v>471</v>
      </c>
      <c r="D964" s="18">
        <v>12825509.390000001</v>
      </c>
      <c r="E964" s="93">
        <v>0.90346535319999999</v>
      </c>
      <c r="F964" s="18">
        <v>11587403.369999999</v>
      </c>
      <c r="G964" s="18">
        <v>0.03</v>
      </c>
      <c r="H964" s="13"/>
      <c r="I964" s="13"/>
    </row>
    <row r="965" spans="1:9">
      <c r="A965" s="13" t="s">
        <v>1545</v>
      </c>
      <c r="B965" s="139" t="s">
        <v>799</v>
      </c>
      <c r="C965" s="139" t="s">
        <v>471</v>
      </c>
      <c r="D965" s="18">
        <v>12825509.390000001</v>
      </c>
      <c r="E965" s="93">
        <v>0.90259422440000003</v>
      </c>
      <c r="F965" s="151">
        <v>11576230.699999999</v>
      </c>
      <c r="G965" s="18">
        <v>0.03</v>
      </c>
      <c r="H965" s="13"/>
      <c r="I965" s="13"/>
    </row>
    <row r="966" spans="1:9">
      <c r="A966" s="13" t="s">
        <v>1546</v>
      </c>
      <c r="B966" s="139" t="s">
        <v>860</v>
      </c>
      <c r="C966" s="139" t="s">
        <v>471</v>
      </c>
      <c r="D966" s="18">
        <v>10800428.970000001</v>
      </c>
      <c r="E966" s="93">
        <v>0.92215982080000003</v>
      </c>
      <c r="F966" s="18">
        <v>9959721.6400000006</v>
      </c>
      <c r="G966" s="18">
        <v>0.02</v>
      </c>
      <c r="H966" s="13"/>
      <c r="I966" s="13"/>
    </row>
    <row r="967" spans="1:9">
      <c r="A967" s="13" t="s">
        <v>1547</v>
      </c>
      <c r="B967" s="139" t="s">
        <v>425</v>
      </c>
      <c r="C967" s="139" t="s">
        <v>471</v>
      </c>
      <c r="D967" s="15">
        <v>6600000</v>
      </c>
      <c r="E967" s="154">
        <v>0.99130913499999995</v>
      </c>
      <c r="F967" s="18">
        <v>6542640.29</v>
      </c>
      <c r="G967" s="18">
        <v>0.01</v>
      </c>
      <c r="H967" s="13"/>
      <c r="I967" s="13"/>
    </row>
    <row r="968" spans="1:9">
      <c r="A968" s="13" t="s">
        <v>1548</v>
      </c>
      <c r="B968" s="139" t="s">
        <v>373</v>
      </c>
      <c r="C968" s="139" t="s">
        <v>471</v>
      </c>
      <c r="D968" s="15">
        <v>6600000</v>
      </c>
      <c r="E968" s="93">
        <v>0.98702004809999999</v>
      </c>
      <c r="F968" s="18">
        <v>6514332.3200000003</v>
      </c>
      <c r="G968" s="18">
        <v>0.01</v>
      </c>
      <c r="H968" s="13"/>
      <c r="I968" s="13"/>
    </row>
    <row r="969" spans="1:9">
      <c r="A969" s="13" t="s">
        <v>1549</v>
      </c>
      <c r="B969" s="139" t="s">
        <v>799</v>
      </c>
      <c r="C969" s="139" t="s">
        <v>471</v>
      </c>
      <c r="D969" s="15">
        <v>25000000</v>
      </c>
      <c r="E969" s="93">
        <v>0.91865515190000002</v>
      </c>
      <c r="F969" s="151">
        <v>22966378.800000001</v>
      </c>
      <c r="G969" s="18">
        <v>0.05</v>
      </c>
      <c r="H969" s="13"/>
      <c r="I969" s="13"/>
    </row>
    <row r="970" spans="1:9">
      <c r="A970" s="13" t="s">
        <v>1550</v>
      </c>
      <c r="B970" s="139" t="s">
        <v>405</v>
      </c>
      <c r="C970" s="139" t="s">
        <v>471</v>
      </c>
      <c r="D970" s="15">
        <v>1250000</v>
      </c>
      <c r="E970" s="93">
        <v>0.9629591971</v>
      </c>
      <c r="F970" s="15">
        <v>1203699</v>
      </c>
      <c r="G970" s="15">
        <v>0</v>
      </c>
      <c r="H970" s="13"/>
      <c r="I970" s="13"/>
    </row>
    <row r="971" spans="1:9">
      <c r="A971" s="13" t="s">
        <v>1551</v>
      </c>
      <c r="B971" s="139" t="s">
        <v>862</v>
      </c>
      <c r="C971" s="139" t="s">
        <v>471</v>
      </c>
      <c r="D971" s="15">
        <v>1250000</v>
      </c>
      <c r="E971" s="93">
        <v>0.95750264360000004</v>
      </c>
      <c r="F971" s="151">
        <v>1196878.3</v>
      </c>
      <c r="G971" s="15">
        <v>0</v>
      </c>
      <c r="H971" s="13"/>
      <c r="I971" s="13"/>
    </row>
    <row r="972" spans="1:9">
      <c r="A972" s="13" t="s">
        <v>1552</v>
      </c>
      <c r="B972" s="139" t="s">
        <v>499</v>
      </c>
      <c r="C972" s="139" t="s">
        <v>471</v>
      </c>
      <c r="D972" s="15">
        <v>1250000</v>
      </c>
      <c r="E972" s="93">
        <v>0.95389923129999998</v>
      </c>
      <c r="F972" s="18">
        <v>1192374.04</v>
      </c>
      <c r="G972" s="15">
        <v>0</v>
      </c>
      <c r="H972" s="13"/>
      <c r="I972" s="13"/>
    </row>
    <row r="973" spans="1:9">
      <c r="A973" s="13" t="s">
        <v>1556</v>
      </c>
      <c r="B973" s="139" t="s">
        <v>414</v>
      </c>
      <c r="C973" s="139" t="s">
        <v>390</v>
      </c>
      <c r="D973" s="15">
        <v>2040817</v>
      </c>
      <c r="E973" s="93">
        <v>0.96479173149999997</v>
      </c>
      <c r="F973" s="18">
        <v>1968963.37</v>
      </c>
      <c r="G973" s="15">
        <v>0</v>
      </c>
      <c r="H973" s="13"/>
      <c r="I973" s="13"/>
    </row>
    <row r="974" spans="1:9">
      <c r="A974" s="13" t="s">
        <v>1557</v>
      </c>
      <c r="B974" s="139" t="s">
        <v>414</v>
      </c>
      <c r="C974" s="139" t="s">
        <v>390</v>
      </c>
      <c r="D974" s="15">
        <v>2040817</v>
      </c>
      <c r="E974" s="93">
        <v>0.96479173149999997</v>
      </c>
      <c r="F974" s="18">
        <v>1968963.37</v>
      </c>
      <c r="G974" s="15">
        <v>0</v>
      </c>
      <c r="H974" s="13"/>
      <c r="I974" s="13"/>
    </row>
    <row r="975" spans="1:9">
      <c r="A975" s="13" t="s">
        <v>1558</v>
      </c>
      <c r="B975" s="139" t="s">
        <v>414</v>
      </c>
      <c r="C975" s="139" t="s">
        <v>390</v>
      </c>
      <c r="D975" s="15">
        <v>2040817</v>
      </c>
      <c r="E975" s="93">
        <v>0.96479173149999997</v>
      </c>
      <c r="F975" s="18">
        <v>1968963.37</v>
      </c>
      <c r="G975" s="15">
        <v>0</v>
      </c>
      <c r="H975" s="13"/>
      <c r="I975" s="13"/>
    </row>
    <row r="976" spans="1:9">
      <c r="A976" s="13" t="s">
        <v>1559</v>
      </c>
      <c r="B976" s="139" t="s">
        <v>487</v>
      </c>
      <c r="C976" s="139" t="s">
        <v>390</v>
      </c>
      <c r="D976" s="15">
        <v>6600000</v>
      </c>
      <c r="E976" s="93">
        <v>0.9839866773</v>
      </c>
      <c r="F976" s="18">
        <v>6494312.0700000003</v>
      </c>
      <c r="G976" s="18">
        <v>0.01</v>
      </c>
      <c r="H976" s="13"/>
      <c r="I976" s="13"/>
    </row>
    <row r="977" spans="1:9">
      <c r="A977" s="13" t="s">
        <v>1560</v>
      </c>
      <c r="B977" s="139" t="s">
        <v>388</v>
      </c>
      <c r="C977" s="139" t="s">
        <v>390</v>
      </c>
      <c r="D977" s="18">
        <v>6885841.1299999999</v>
      </c>
      <c r="E977" s="93">
        <v>0.97962923589999995</v>
      </c>
      <c r="F977" s="18">
        <v>6745571.2800000003</v>
      </c>
      <c r="G977" s="18">
        <v>0.02</v>
      </c>
      <c r="H977" s="13"/>
      <c r="I977" s="13"/>
    </row>
    <row r="978" spans="1:9">
      <c r="A978" s="13" t="s">
        <v>1561</v>
      </c>
      <c r="B978" s="139" t="s">
        <v>799</v>
      </c>
      <c r="C978" s="139" t="s">
        <v>390</v>
      </c>
      <c r="D978" s="15">
        <v>100000000</v>
      </c>
      <c r="E978" s="93">
        <v>0.92334947759999997</v>
      </c>
      <c r="F978" s="18">
        <v>92334947.760000005</v>
      </c>
      <c r="G978" s="18">
        <v>0.21</v>
      </c>
      <c r="H978" s="13"/>
      <c r="I978" s="13"/>
    </row>
    <row r="979" spans="1:9">
      <c r="A979" s="13" t="s">
        <v>1562</v>
      </c>
      <c r="B979" s="139" t="s">
        <v>412</v>
      </c>
      <c r="C979" s="139" t="s">
        <v>390</v>
      </c>
      <c r="D979" s="15">
        <v>100000000</v>
      </c>
      <c r="E979" s="93">
        <v>0.93963207930000003</v>
      </c>
      <c r="F979" s="18">
        <v>93963207.930000007</v>
      </c>
      <c r="G979" s="18">
        <v>0.21</v>
      </c>
      <c r="H979" s="13"/>
      <c r="I979" s="13"/>
    </row>
    <row r="980" spans="1:9">
      <c r="A980" s="13" t="s">
        <v>1563</v>
      </c>
      <c r="B980" s="139" t="s">
        <v>795</v>
      </c>
      <c r="C980" s="139" t="s">
        <v>390</v>
      </c>
      <c r="D980" s="15">
        <v>7500000</v>
      </c>
      <c r="E980" s="154">
        <v>0.92405081300000003</v>
      </c>
      <c r="F980" s="151">
        <v>6930381.0999999996</v>
      </c>
      <c r="G980" s="18">
        <v>0.02</v>
      </c>
      <c r="H980" s="13"/>
      <c r="I980" s="13"/>
    </row>
    <row r="981" spans="1:9">
      <c r="A981" s="13" t="s">
        <v>1564</v>
      </c>
      <c r="B981" s="139" t="s">
        <v>948</v>
      </c>
      <c r="C981" s="139" t="s">
        <v>390</v>
      </c>
      <c r="D981" s="15">
        <v>7500000</v>
      </c>
      <c r="E981" s="93">
        <v>0.91916413419999998</v>
      </c>
      <c r="F981" s="18">
        <v>6893731.0099999998</v>
      </c>
      <c r="G981" s="18">
        <v>0.02</v>
      </c>
      <c r="H981" s="13"/>
      <c r="I981" s="13"/>
    </row>
    <row r="982" spans="1:9">
      <c r="A982" s="13" t="s">
        <v>1565</v>
      </c>
      <c r="B982" s="139" t="s">
        <v>813</v>
      </c>
      <c r="C982" s="139" t="s">
        <v>390</v>
      </c>
      <c r="D982" s="15">
        <v>7500000</v>
      </c>
      <c r="E982" s="93">
        <v>0.94047928960000005</v>
      </c>
      <c r="F982" s="18">
        <v>7053594.6699999999</v>
      </c>
      <c r="G982" s="18">
        <v>0.02</v>
      </c>
      <c r="H982" s="13"/>
      <c r="I982" s="13"/>
    </row>
    <row r="983" spans="1:9">
      <c r="A983" s="13" t="s">
        <v>1566</v>
      </c>
      <c r="B983" s="139" t="s">
        <v>1072</v>
      </c>
      <c r="C983" s="139" t="s">
        <v>390</v>
      </c>
      <c r="D983" s="15">
        <v>10000000</v>
      </c>
      <c r="E983" s="93">
        <v>0.91432865990000001</v>
      </c>
      <c r="F983" s="151">
        <v>9143286.5999999996</v>
      </c>
      <c r="G983" s="18">
        <v>0.02</v>
      </c>
      <c r="H983" s="13"/>
      <c r="I983" s="13"/>
    </row>
    <row r="984" spans="1:9">
      <c r="A984" s="13" t="s">
        <v>1567</v>
      </c>
      <c r="B984" s="139" t="s">
        <v>886</v>
      </c>
      <c r="C984" s="139" t="s">
        <v>390</v>
      </c>
      <c r="D984" s="15">
        <v>7500000</v>
      </c>
      <c r="E984" s="93">
        <v>0.93541778279999999</v>
      </c>
      <c r="F984" s="18">
        <v>7015633.3700000001</v>
      </c>
      <c r="G984" s="18">
        <v>0.02</v>
      </c>
      <c r="H984" s="13"/>
      <c r="I984" s="13"/>
    </row>
    <row r="985" spans="1:9">
      <c r="A985" s="13" t="s">
        <v>1568</v>
      </c>
      <c r="B985" s="139" t="s">
        <v>989</v>
      </c>
      <c r="C985" s="139" t="s">
        <v>390</v>
      </c>
      <c r="D985" s="15">
        <v>15000000</v>
      </c>
      <c r="E985" s="93">
        <v>0.94047929630000004</v>
      </c>
      <c r="F985" s="18">
        <v>14107189.439999999</v>
      </c>
      <c r="G985" s="18">
        <v>0.03</v>
      </c>
      <c r="H985" s="13"/>
      <c r="I985" s="13"/>
    </row>
    <row r="986" spans="1:9">
      <c r="A986" s="13" t="s">
        <v>1571</v>
      </c>
      <c r="B986" s="139" t="s">
        <v>414</v>
      </c>
      <c r="C986" s="139" t="s">
        <v>163</v>
      </c>
      <c r="D986" s="15">
        <v>214500000</v>
      </c>
      <c r="E986" s="93">
        <v>0.96103221390000004</v>
      </c>
      <c r="F986" s="18">
        <v>206141409.88</v>
      </c>
      <c r="G986" s="18">
        <v>0.46</v>
      </c>
      <c r="H986" s="13"/>
      <c r="I986" s="13"/>
    </row>
    <row r="987" spans="1:9">
      <c r="A987" s="13" t="s">
        <v>1572</v>
      </c>
      <c r="B987" s="139" t="s">
        <v>410</v>
      </c>
      <c r="C987" s="139" t="s">
        <v>163</v>
      </c>
      <c r="D987" s="15">
        <v>3000000</v>
      </c>
      <c r="E987" s="93">
        <v>0.94901328620000003</v>
      </c>
      <c r="F987" s="18">
        <v>2847039.86</v>
      </c>
      <c r="G987" s="18">
        <v>0.01</v>
      </c>
      <c r="H987" s="13"/>
      <c r="I987" s="13"/>
    </row>
    <row r="988" spans="1:9">
      <c r="A988" s="13" t="s">
        <v>1573</v>
      </c>
      <c r="B988" s="139" t="s">
        <v>696</v>
      </c>
      <c r="C988" s="139" t="s">
        <v>163</v>
      </c>
      <c r="D988" s="15">
        <v>3000000</v>
      </c>
      <c r="E988" s="93">
        <v>0.94628232680000002</v>
      </c>
      <c r="F988" s="18">
        <v>2838846.98</v>
      </c>
      <c r="G988" s="18">
        <v>0.01</v>
      </c>
      <c r="H988" s="13"/>
      <c r="I988" s="13"/>
    </row>
    <row r="989" spans="1:9">
      <c r="A989" s="13" t="s">
        <v>1574</v>
      </c>
      <c r="B989" s="139" t="s">
        <v>193</v>
      </c>
      <c r="C989" s="139" t="s">
        <v>163</v>
      </c>
      <c r="D989" s="15">
        <v>3000000</v>
      </c>
      <c r="E989" s="93">
        <v>0.9453756539</v>
      </c>
      <c r="F989" s="18">
        <v>2836126.96</v>
      </c>
      <c r="G989" s="18">
        <v>0.01</v>
      </c>
      <c r="H989" s="13"/>
      <c r="I989" s="13"/>
    </row>
    <row r="990" spans="1:9">
      <c r="A990" s="13" t="s">
        <v>1575</v>
      </c>
      <c r="B990" s="139" t="s">
        <v>193</v>
      </c>
      <c r="C990" s="139" t="s">
        <v>163</v>
      </c>
      <c r="D990" s="15">
        <v>6000000</v>
      </c>
      <c r="E990" s="93">
        <v>0.9453756539</v>
      </c>
      <c r="F990" s="18">
        <v>5672253.9199999999</v>
      </c>
      <c r="G990" s="18">
        <v>0.01</v>
      </c>
      <c r="H990" s="13"/>
      <c r="I990" s="13"/>
    </row>
    <row r="991" spans="1:9">
      <c r="A991" s="13" t="s">
        <v>1576</v>
      </c>
      <c r="B991" s="139" t="s">
        <v>193</v>
      </c>
      <c r="C991" s="139" t="s">
        <v>163</v>
      </c>
      <c r="D991" s="15">
        <v>3000000</v>
      </c>
      <c r="E991" s="93">
        <v>0.9453756539</v>
      </c>
      <c r="F991" s="18">
        <v>2836126.96</v>
      </c>
      <c r="G991" s="18">
        <v>0.01</v>
      </c>
      <c r="H991" s="13"/>
      <c r="I991" s="13"/>
    </row>
    <row r="992" spans="1:9">
      <c r="A992" s="13" t="s">
        <v>1577</v>
      </c>
      <c r="B992" s="139" t="s">
        <v>189</v>
      </c>
      <c r="C992" s="139" t="s">
        <v>163</v>
      </c>
      <c r="D992" s="15">
        <v>20000000</v>
      </c>
      <c r="E992" s="93">
        <v>0.93541792440000004</v>
      </c>
      <c r="F992" s="18">
        <v>18708358.489999998</v>
      </c>
      <c r="G992" s="18">
        <v>0.04</v>
      </c>
      <c r="H992" s="13"/>
      <c r="I992" s="13"/>
    </row>
    <row r="993" spans="1:9">
      <c r="A993" s="13" t="s">
        <v>1578</v>
      </c>
      <c r="B993" s="139" t="s">
        <v>414</v>
      </c>
      <c r="C993" s="139" t="s">
        <v>163</v>
      </c>
      <c r="D993" s="15">
        <v>10000000</v>
      </c>
      <c r="E993" s="93">
        <v>0.96763083959999996</v>
      </c>
      <c r="F993" s="151">
        <v>9676308.4000000004</v>
      </c>
      <c r="G993" s="18">
        <v>0.02</v>
      </c>
      <c r="H993" s="13"/>
      <c r="I993" s="13"/>
    </row>
    <row r="994" spans="1:9">
      <c r="A994" s="13" t="s">
        <v>1579</v>
      </c>
      <c r="B994" s="139" t="s">
        <v>171</v>
      </c>
      <c r="C994" s="139" t="s">
        <v>163</v>
      </c>
      <c r="D994" s="15">
        <v>10000000</v>
      </c>
      <c r="E994" s="93">
        <v>0.99192869640000003</v>
      </c>
      <c r="F994" s="18">
        <v>9919286.9600000009</v>
      </c>
      <c r="G994" s="18">
        <v>0.02</v>
      </c>
      <c r="H994" s="13"/>
      <c r="I994" s="13"/>
    </row>
    <row r="995" spans="1:9">
      <c r="A995" s="13" t="s">
        <v>1580</v>
      </c>
      <c r="B995" s="139" t="s">
        <v>373</v>
      </c>
      <c r="C995" s="139" t="s">
        <v>163</v>
      </c>
      <c r="D995" s="15">
        <v>10000000</v>
      </c>
      <c r="E995" s="93">
        <v>0.98661986989999995</v>
      </c>
      <c r="F995" s="151">
        <v>9866198.6999999993</v>
      </c>
      <c r="G995" s="18">
        <v>0.02</v>
      </c>
      <c r="H995" s="13"/>
      <c r="I995" s="13"/>
    </row>
    <row r="996" spans="1:9">
      <c r="A996" s="13" t="s">
        <v>1581</v>
      </c>
      <c r="B996" s="139" t="s">
        <v>173</v>
      </c>
      <c r="C996" s="139" t="s">
        <v>163</v>
      </c>
      <c r="D996" s="15">
        <v>10000000</v>
      </c>
      <c r="E996" s="93">
        <v>0.98049758519999997</v>
      </c>
      <c r="F996" s="18">
        <v>9804975.8499999996</v>
      </c>
      <c r="G996" s="18">
        <v>0.02</v>
      </c>
      <c r="H996" s="13"/>
      <c r="I996" s="13"/>
    </row>
    <row r="997" spans="1:9">
      <c r="A997" s="13" t="s">
        <v>1582</v>
      </c>
      <c r="B997" s="139" t="s">
        <v>628</v>
      </c>
      <c r="C997" s="139" t="s">
        <v>163</v>
      </c>
      <c r="D997" s="15">
        <v>10000000</v>
      </c>
      <c r="E997" s="93">
        <v>0.94530220119999997</v>
      </c>
      <c r="F997" s="18">
        <v>9453022.0099999998</v>
      </c>
      <c r="G997" s="18">
        <v>0.02</v>
      </c>
      <c r="H997" s="13"/>
      <c r="I997" s="13"/>
    </row>
    <row r="998" spans="1:9">
      <c r="A998" s="13" t="s">
        <v>1583</v>
      </c>
      <c r="B998" s="139" t="s">
        <v>169</v>
      </c>
      <c r="C998" s="139" t="s">
        <v>163</v>
      </c>
      <c r="D998" s="15">
        <v>10000000</v>
      </c>
      <c r="E998" s="93">
        <v>0.96257828209999996</v>
      </c>
      <c r="F998" s="18">
        <v>9625782.8200000003</v>
      </c>
      <c r="G998" s="18">
        <v>0.02</v>
      </c>
      <c r="H998" s="13"/>
      <c r="I998" s="13"/>
    </row>
    <row r="999" spans="1:9">
      <c r="A999" s="13" t="s">
        <v>1584</v>
      </c>
      <c r="B999" s="139" t="s">
        <v>505</v>
      </c>
      <c r="C999" s="139" t="s">
        <v>163</v>
      </c>
      <c r="D999" s="15">
        <v>10000000</v>
      </c>
      <c r="E999" s="93">
        <v>0.95674985040000005</v>
      </c>
      <c r="F999" s="151">
        <v>9567498.5</v>
      </c>
      <c r="G999" s="18">
        <v>0.02</v>
      </c>
      <c r="H999" s="13"/>
      <c r="I999" s="13"/>
    </row>
    <row r="1000" spans="1:9">
      <c r="A1000" s="13" t="s">
        <v>1585</v>
      </c>
      <c r="B1000" s="139" t="s">
        <v>193</v>
      </c>
      <c r="C1000" s="139" t="s">
        <v>163</v>
      </c>
      <c r="D1000" s="15">
        <v>10000000</v>
      </c>
      <c r="E1000" s="93">
        <v>0.95099157649999999</v>
      </c>
      <c r="F1000" s="18">
        <v>9509915.7699999996</v>
      </c>
      <c r="G1000" s="18">
        <v>0.02</v>
      </c>
      <c r="H1000" s="13"/>
      <c r="I1000" s="13"/>
    </row>
    <row r="1001" spans="1:9">
      <c r="A1001" s="13" t="s">
        <v>1586</v>
      </c>
      <c r="B1001" s="139" t="s">
        <v>589</v>
      </c>
      <c r="C1001" s="139" t="s">
        <v>163</v>
      </c>
      <c r="D1001" s="15">
        <v>10000000</v>
      </c>
      <c r="E1001" s="93">
        <v>0.99909671109999998</v>
      </c>
      <c r="F1001" s="18">
        <v>9990967.1099999994</v>
      </c>
      <c r="G1001" s="18">
        <v>0.02</v>
      </c>
      <c r="H1001" s="13"/>
      <c r="I1001" s="13"/>
    </row>
    <row r="1002" spans="1:9">
      <c r="A1002" s="13" t="s">
        <v>1587</v>
      </c>
      <c r="B1002" s="139" t="s">
        <v>607</v>
      </c>
      <c r="C1002" s="139" t="s">
        <v>163</v>
      </c>
      <c r="D1002" s="15">
        <v>10000000</v>
      </c>
      <c r="E1002" s="93">
        <v>0.97445081209999995</v>
      </c>
      <c r="F1002" s="18">
        <v>9744508.1199999992</v>
      </c>
      <c r="G1002" s="18">
        <v>0.02</v>
      </c>
      <c r="H1002" s="13"/>
      <c r="I1002" s="13"/>
    </row>
    <row r="1003" spans="1:9">
      <c r="A1003" s="13" t="s">
        <v>1588</v>
      </c>
      <c r="B1003" s="139" t="s">
        <v>425</v>
      </c>
      <c r="C1003" s="139" t="s">
        <v>163</v>
      </c>
      <c r="D1003" s="15">
        <v>10000000</v>
      </c>
      <c r="E1003" s="93">
        <v>0.99184790320000005</v>
      </c>
      <c r="F1003" s="18">
        <v>9918479.0299999993</v>
      </c>
      <c r="G1003" s="18">
        <v>0.02</v>
      </c>
      <c r="H1003" s="13"/>
      <c r="I1003" s="13"/>
    </row>
    <row r="1004" spans="1:9">
      <c r="A1004" s="13" t="s">
        <v>1589</v>
      </c>
      <c r="B1004" s="139" t="s">
        <v>405</v>
      </c>
      <c r="C1004" s="139" t="s">
        <v>163</v>
      </c>
      <c r="D1004" s="15">
        <v>10000000</v>
      </c>
      <c r="E1004" s="93">
        <v>0.96894095719999995</v>
      </c>
      <c r="F1004" s="18">
        <v>9689409.5700000003</v>
      </c>
      <c r="G1004" s="18">
        <v>0.02</v>
      </c>
      <c r="H1004" s="13"/>
      <c r="I1004" s="13"/>
    </row>
    <row r="1005" spans="1:9">
      <c r="A1005" s="13" t="s">
        <v>1590</v>
      </c>
      <c r="B1005" s="139" t="s">
        <v>503</v>
      </c>
      <c r="C1005" s="139" t="s">
        <v>163</v>
      </c>
      <c r="D1005" s="15">
        <v>10000000</v>
      </c>
      <c r="E1005" s="93">
        <v>0.96509792169999997</v>
      </c>
      <c r="F1005" s="18">
        <v>9650979.2200000007</v>
      </c>
      <c r="G1005" s="18">
        <v>0.02</v>
      </c>
      <c r="H1005" s="13"/>
      <c r="I1005" s="13"/>
    </row>
    <row r="1006" spans="1:9">
      <c r="A1006" s="13" t="s">
        <v>1591</v>
      </c>
      <c r="B1006" s="139" t="s">
        <v>569</v>
      </c>
      <c r="C1006" s="139" t="s">
        <v>163</v>
      </c>
      <c r="D1006" s="15">
        <v>10000000</v>
      </c>
      <c r="E1006" s="93">
        <v>0.98702002789999999</v>
      </c>
      <c r="F1006" s="18">
        <v>9870200.2799999993</v>
      </c>
      <c r="G1006" s="18">
        <v>0.02</v>
      </c>
      <c r="H1006" s="13"/>
      <c r="I1006" s="13"/>
    </row>
    <row r="1007" spans="1:9">
      <c r="A1007" s="13" t="s">
        <v>1592</v>
      </c>
      <c r="B1007" s="139" t="s">
        <v>388</v>
      </c>
      <c r="C1007" s="139" t="s">
        <v>163</v>
      </c>
      <c r="D1007" s="15">
        <v>10000000</v>
      </c>
      <c r="E1007" s="28">
        <v>0.98144666000000003</v>
      </c>
      <c r="F1007" s="151">
        <v>9814466.5999999996</v>
      </c>
      <c r="G1007" s="18">
        <v>0.02</v>
      </c>
      <c r="H1007" s="13"/>
      <c r="I1007" s="13"/>
    </row>
    <row r="1008" spans="1:9">
      <c r="A1008" s="13" t="s">
        <v>1593</v>
      </c>
      <c r="B1008" s="139" t="s">
        <v>1013</v>
      </c>
      <c r="C1008" s="139" t="s">
        <v>163</v>
      </c>
      <c r="D1008" s="15">
        <v>2500000</v>
      </c>
      <c r="E1008" s="93">
        <v>0.91556728109999996</v>
      </c>
      <c r="F1008" s="151">
        <v>2288918.2000000002</v>
      </c>
      <c r="G1008" s="18">
        <v>0.01</v>
      </c>
      <c r="H1008" s="13"/>
      <c r="I1008" s="13"/>
    </row>
    <row r="1009" spans="1:9">
      <c r="A1009" s="13" t="s">
        <v>1594</v>
      </c>
      <c r="B1009" s="139" t="s">
        <v>813</v>
      </c>
      <c r="C1009" s="139" t="s">
        <v>163</v>
      </c>
      <c r="D1009" s="15">
        <v>2500000</v>
      </c>
      <c r="E1009" s="93">
        <v>0.93491468020000001</v>
      </c>
      <c r="F1009" s="151">
        <v>2337286.7000000002</v>
      </c>
      <c r="G1009" s="18">
        <v>0.01</v>
      </c>
      <c r="H1009" s="13"/>
      <c r="I1009" s="13"/>
    </row>
    <row r="1010" spans="1:9">
      <c r="A1010" s="13" t="s">
        <v>1595</v>
      </c>
      <c r="B1010" s="139" t="s">
        <v>948</v>
      </c>
      <c r="C1010" s="139" t="s">
        <v>163</v>
      </c>
      <c r="D1010" s="15">
        <v>2500000</v>
      </c>
      <c r="E1010" s="93">
        <v>0.91179340890000005</v>
      </c>
      <c r="F1010" s="18">
        <v>2279483.52</v>
      </c>
      <c r="G1010" s="18">
        <v>0.01</v>
      </c>
      <c r="H1010" s="13"/>
      <c r="I1010" s="13"/>
    </row>
    <row r="1011" spans="1:9">
      <c r="A1011" s="13" t="s">
        <v>1596</v>
      </c>
      <c r="B1011" s="139" t="s">
        <v>860</v>
      </c>
      <c r="C1011" s="139" t="s">
        <v>163</v>
      </c>
      <c r="D1011" s="15">
        <v>2500000</v>
      </c>
      <c r="E1011" s="93">
        <v>0.93333694830000002</v>
      </c>
      <c r="F1011" s="18">
        <v>2333342.37</v>
      </c>
      <c r="G1011" s="18">
        <v>0.01</v>
      </c>
      <c r="H1011" s="13"/>
      <c r="I1011" s="13"/>
    </row>
    <row r="1012" spans="1:9">
      <c r="A1012" s="13" t="s">
        <v>1597</v>
      </c>
      <c r="B1012" s="139" t="s">
        <v>1072</v>
      </c>
      <c r="C1012" s="139" t="s">
        <v>163</v>
      </c>
      <c r="D1012" s="15">
        <v>2500000</v>
      </c>
      <c r="E1012" s="93">
        <v>0.90656208810000005</v>
      </c>
      <c r="F1012" s="18">
        <v>2266405.2200000002</v>
      </c>
      <c r="G1012" s="18">
        <v>0.01</v>
      </c>
      <c r="H1012" s="13"/>
      <c r="I1012" s="13"/>
    </row>
    <row r="1013" spans="1:9">
      <c r="A1013" s="13" t="s">
        <v>1598</v>
      </c>
      <c r="B1013" s="139" t="s">
        <v>594</v>
      </c>
      <c r="C1013" s="139" t="s">
        <v>163</v>
      </c>
      <c r="D1013" s="15">
        <v>2500000</v>
      </c>
      <c r="E1013" s="93">
        <v>0.92785623620000002</v>
      </c>
      <c r="F1013" s="18">
        <v>2319640.59</v>
      </c>
      <c r="G1013" s="18">
        <v>0.01</v>
      </c>
      <c r="H1013" s="13"/>
      <c r="I1013" s="13"/>
    </row>
    <row r="1014" spans="1:9">
      <c r="A1014" s="13" t="s">
        <v>1603</v>
      </c>
      <c r="B1014" s="139" t="s">
        <v>373</v>
      </c>
      <c r="C1014" s="139" t="s">
        <v>382</v>
      </c>
      <c r="D1014" s="15">
        <v>400000000</v>
      </c>
      <c r="E1014" s="93">
        <v>0.98542127209999997</v>
      </c>
      <c r="F1014" s="18">
        <v>394168508.83999997</v>
      </c>
      <c r="G1014" s="18">
        <v>0.89</v>
      </c>
      <c r="H1014" s="13"/>
      <c r="I1014" s="13"/>
    </row>
    <row r="1015" spans="1:9">
      <c r="A1015" s="13" t="s">
        <v>1604</v>
      </c>
      <c r="B1015" s="139" t="s">
        <v>523</v>
      </c>
      <c r="C1015" s="139" t="s">
        <v>382</v>
      </c>
      <c r="D1015" s="15">
        <v>80000000</v>
      </c>
      <c r="E1015" s="93">
        <v>0.97915605569999997</v>
      </c>
      <c r="F1015" s="18">
        <v>78332484.459999993</v>
      </c>
      <c r="G1015" s="18">
        <v>0.18</v>
      </c>
      <c r="H1015" s="13"/>
      <c r="I1015" s="13"/>
    </row>
    <row r="1016" spans="1:9">
      <c r="A1016" s="13" t="s">
        <v>1605</v>
      </c>
      <c r="B1016" s="139" t="s">
        <v>373</v>
      </c>
      <c r="C1016" s="139" t="s">
        <v>382</v>
      </c>
      <c r="D1016" s="15">
        <v>80000000</v>
      </c>
      <c r="E1016" s="93">
        <v>0.98502237270000004</v>
      </c>
      <c r="F1016" s="18">
        <v>78801789.819999993</v>
      </c>
      <c r="G1016" s="18">
        <v>0.18</v>
      </c>
      <c r="H1016" s="13"/>
      <c r="I1016" s="13"/>
    </row>
    <row r="1017" spans="1:9">
      <c r="A1017" s="13" t="s">
        <v>1606</v>
      </c>
      <c r="B1017" s="139" t="s">
        <v>489</v>
      </c>
      <c r="C1017" s="139" t="s">
        <v>382</v>
      </c>
      <c r="D1017" s="15">
        <v>10000000</v>
      </c>
      <c r="E1017" s="93">
        <v>0.96663141080000003</v>
      </c>
      <c r="F1017" s="18">
        <v>9666314.1099999994</v>
      </c>
      <c r="G1017" s="18">
        <v>0.02</v>
      </c>
      <c r="H1017" s="13"/>
      <c r="I1017" s="13"/>
    </row>
    <row r="1018" spans="1:9">
      <c r="A1018" s="13" t="s">
        <v>1607</v>
      </c>
      <c r="B1018" s="139" t="s">
        <v>491</v>
      </c>
      <c r="C1018" s="139" t="s">
        <v>382</v>
      </c>
      <c r="D1018" s="15">
        <v>10000000</v>
      </c>
      <c r="E1018" s="93">
        <v>0.96356920319999995</v>
      </c>
      <c r="F1018" s="18">
        <v>9635692.0299999993</v>
      </c>
      <c r="G1018" s="18">
        <v>0.02</v>
      </c>
      <c r="H1018" s="13"/>
      <c r="I1018" s="13"/>
    </row>
    <row r="1019" spans="1:9">
      <c r="A1019" s="13" t="s">
        <v>1608</v>
      </c>
      <c r="B1019" s="139" t="s">
        <v>493</v>
      </c>
      <c r="C1019" s="139" t="s">
        <v>382</v>
      </c>
      <c r="D1019" s="15">
        <v>10000000</v>
      </c>
      <c r="E1019" s="93">
        <v>0.95976876850000004</v>
      </c>
      <c r="F1019" s="18">
        <v>9597687.6899999995</v>
      </c>
      <c r="G1019" s="18">
        <v>0.02</v>
      </c>
      <c r="H1019" s="13"/>
      <c r="I1019" s="13"/>
    </row>
    <row r="1020" spans="1:9">
      <c r="A1020" s="13" t="s">
        <v>1609</v>
      </c>
      <c r="B1020" s="139" t="s">
        <v>414</v>
      </c>
      <c r="C1020" s="139" t="s">
        <v>382</v>
      </c>
      <c r="D1020" s="15">
        <v>10000000</v>
      </c>
      <c r="E1020" s="93">
        <v>0.97048669590000003</v>
      </c>
      <c r="F1020" s="18">
        <v>9704866.9600000009</v>
      </c>
      <c r="G1020" s="18">
        <v>0.02</v>
      </c>
      <c r="H1020" s="13"/>
      <c r="I1020" s="13"/>
    </row>
    <row r="1021" spans="1:9">
      <c r="A1021" s="13" t="s">
        <v>1610</v>
      </c>
      <c r="B1021" s="139" t="s">
        <v>489</v>
      </c>
      <c r="C1021" s="139" t="s">
        <v>382</v>
      </c>
      <c r="D1021" s="15">
        <v>3000000</v>
      </c>
      <c r="E1021" s="93">
        <v>0.96022315319999996</v>
      </c>
      <c r="F1021" s="18">
        <v>2880669.46</v>
      </c>
      <c r="G1021" s="18">
        <v>0.01</v>
      </c>
      <c r="H1021" s="13"/>
      <c r="I1021" s="13"/>
    </row>
    <row r="1022" spans="1:9">
      <c r="A1022" s="13" t="s">
        <v>1611</v>
      </c>
      <c r="B1022" s="139" t="s">
        <v>169</v>
      </c>
      <c r="C1022" s="139" t="s">
        <v>382</v>
      </c>
      <c r="D1022" s="15">
        <v>3750000</v>
      </c>
      <c r="E1022" s="93">
        <v>0.95931455440000002</v>
      </c>
      <c r="F1022" s="18">
        <v>3597429.58</v>
      </c>
      <c r="G1022" s="18">
        <v>0.01</v>
      </c>
      <c r="H1022" s="13"/>
      <c r="I1022" s="13"/>
    </row>
    <row r="1023" spans="1:9">
      <c r="A1023" s="13" t="s">
        <v>1612</v>
      </c>
      <c r="B1023" s="139" t="s">
        <v>503</v>
      </c>
      <c r="C1023" s="139" t="s">
        <v>382</v>
      </c>
      <c r="D1023" s="15">
        <v>5000000</v>
      </c>
      <c r="E1023" s="93">
        <v>0.95840790190000003</v>
      </c>
      <c r="F1023" s="18">
        <v>4792039.51</v>
      </c>
      <c r="G1023" s="18">
        <v>0.01</v>
      </c>
      <c r="H1023" s="13"/>
      <c r="I1023" s="13"/>
    </row>
    <row r="1024" spans="1:9">
      <c r="A1024" s="13" t="s">
        <v>1613</v>
      </c>
      <c r="B1024" s="139" t="s">
        <v>499</v>
      </c>
      <c r="C1024" s="139" t="s">
        <v>382</v>
      </c>
      <c r="D1024" s="15">
        <v>3000000</v>
      </c>
      <c r="E1024" s="93">
        <v>0.95389931439999998</v>
      </c>
      <c r="F1024" s="18">
        <v>2861697.94</v>
      </c>
      <c r="G1024" s="18">
        <v>0.01</v>
      </c>
      <c r="H1024" s="13"/>
      <c r="I1024" s="13"/>
    </row>
    <row r="1025" spans="1:9">
      <c r="A1025" s="13" t="s">
        <v>1614</v>
      </c>
      <c r="B1025" s="139" t="s">
        <v>505</v>
      </c>
      <c r="C1025" s="139" t="s">
        <v>382</v>
      </c>
      <c r="D1025" s="15">
        <v>5000000</v>
      </c>
      <c r="E1025" s="93">
        <v>0.95300263460000001</v>
      </c>
      <c r="F1025" s="18">
        <v>4765013.17</v>
      </c>
      <c r="G1025" s="18">
        <v>0.01</v>
      </c>
      <c r="H1025" s="13"/>
      <c r="I1025" s="13"/>
    </row>
    <row r="1026" spans="1:9">
      <c r="A1026" s="13" t="s">
        <v>1615</v>
      </c>
      <c r="B1026" s="139" t="s">
        <v>421</v>
      </c>
      <c r="C1026" s="139" t="s">
        <v>382</v>
      </c>
      <c r="D1026" s="15">
        <v>3750000</v>
      </c>
      <c r="E1026" s="93">
        <v>0.96387459750000004</v>
      </c>
      <c r="F1026" s="18">
        <v>3614529.74</v>
      </c>
      <c r="G1026" s="18">
        <v>0.01</v>
      </c>
      <c r="H1026" s="13"/>
      <c r="I1026" s="13"/>
    </row>
    <row r="1027" spans="1:9">
      <c r="A1027" s="13" t="s">
        <v>1616</v>
      </c>
      <c r="B1027" s="139" t="s">
        <v>795</v>
      </c>
      <c r="C1027" s="139" t="s">
        <v>382</v>
      </c>
      <c r="D1027" s="15">
        <v>22500000</v>
      </c>
      <c r="E1027" s="93">
        <v>0.91478706139999999</v>
      </c>
      <c r="F1027" s="18">
        <v>20582708.879999999</v>
      </c>
      <c r="G1027" s="18">
        <v>0.05</v>
      </c>
      <c r="H1027" s="13"/>
      <c r="I1027" s="13"/>
    </row>
    <row r="1028" spans="1:9">
      <c r="A1028" s="13" t="s">
        <v>1617</v>
      </c>
      <c r="B1028" s="139" t="s">
        <v>736</v>
      </c>
      <c r="C1028" s="139" t="s">
        <v>382</v>
      </c>
      <c r="D1028" s="15">
        <v>50000000</v>
      </c>
      <c r="E1028" s="93">
        <v>0.94608627329999995</v>
      </c>
      <c r="F1028" s="18">
        <v>47304313.670000002</v>
      </c>
      <c r="G1028" s="18">
        <v>0.11</v>
      </c>
      <c r="H1028" s="13"/>
      <c r="I1028" s="13"/>
    </row>
    <row r="1029" spans="1:9">
      <c r="A1029" s="13" t="s">
        <v>1618</v>
      </c>
      <c r="B1029" s="139" t="s">
        <v>813</v>
      </c>
      <c r="C1029" s="139" t="s">
        <v>382</v>
      </c>
      <c r="D1029" s="15">
        <v>100000000</v>
      </c>
      <c r="E1029" s="93">
        <v>0.93124139989999999</v>
      </c>
      <c r="F1029" s="18">
        <v>93124139.989999995</v>
      </c>
      <c r="G1029" s="18">
        <v>0.21</v>
      </c>
      <c r="H1029" s="13"/>
      <c r="I1029" s="13"/>
    </row>
    <row r="1030" spans="1:9">
      <c r="A1030" s="13" t="s">
        <v>1625</v>
      </c>
      <c r="B1030" s="139" t="s">
        <v>797</v>
      </c>
      <c r="C1030" s="139" t="s">
        <v>472</v>
      </c>
      <c r="D1030" s="15">
        <v>12500000</v>
      </c>
      <c r="E1030" s="93">
        <v>0.92707836170000002</v>
      </c>
      <c r="F1030" s="18">
        <v>11588479.52</v>
      </c>
      <c r="G1030" s="18">
        <v>0.03</v>
      </c>
      <c r="H1030" s="13"/>
      <c r="I1030" s="13"/>
    </row>
    <row r="1031" spans="1:9">
      <c r="A1031" s="13" t="s">
        <v>1626</v>
      </c>
      <c r="B1031" s="139" t="s">
        <v>982</v>
      </c>
      <c r="C1031" s="139" t="s">
        <v>472</v>
      </c>
      <c r="D1031" s="15">
        <v>12500000</v>
      </c>
      <c r="E1031" s="93">
        <v>0.92167069710000005</v>
      </c>
      <c r="F1031" s="18">
        <v>11520883.710000001</v>
      </c>
      <c r="G1031" s="18">
        <v>0.03</v>
      </c>
      <c r="H1031" s="13"/>
      <c r="I1031" s="13"/>
    </row>
    <row r="1032" spans="1:9">
      <c r="A1032" s="13" t="s">
        <v>1627</v>
      </c>
      <c r="B1032" s="139" t="s">
        <v>799</v>
      </c>
      <c r="C1032" s="139" t="s">
        <v>472</v>
      </c>
      <c r="D1032" s="15">
        <v>12500000</v>
      </c>
      <c r="E1032" s="93">
        <v>0.91632575260000004</v>
      </c>
      <c r="F1032" s="18">
        <v>11454071.91</v>
      </c>
      <c r="G1032" s="18">
        <v>0.03</v>
      </c>
      <c r="H1032" s="13"/>
      <c r="I1032" s="13"/>
    </row>
    <row r="1033" spans="1:9">
      <c r="A1033" s="13" t="s">
        <v>1628</v>
      </c>
      <c r="B1033" s="139" t="s">
        <v>1124</v>
      </c>
      <c r="C1033" s="139" t="s">
        <v>472</v>
      </c>
      <c r="D1033" s="15">
        <v>12500000</v>
      </c>
      <c r="E1033" s="93">
        <v>0.93254985739999996</v>
      </c>
      <c r="F1033" s="18">
        <v>11656873.220000001</v>
      </c>
      <c r="G1033" s="18">
        <v>0.03</v>
      </c>
      <c r="H1033" s="13"/>
      <c r="I1033" s="13"/>
    </row>
    <row r="1034" spans="1:9">
      <c r="A1034" s="13" t="s">
        <v>1629</v>
      </c>
      <c r="B1034" s="139" t="s">
        <v>1003</v>
      </c>
      <c r="C1034" s="139" t="s">
        <v>472</v>
      </c>
      <c r="D1034" s="15">
        <v>12500000</v>
      </c>
      <c r="E1034" s="93">
        <v>0.90212560159999999</v>
      </c>
      <c r="F1034" s="18">
        <v>11276570.02</v>
      </c>
      <c r="G1034" s="18">
        <v>0.03</v>
      </c>
      <c r="H1034" s="13"/>
      <c r="I1034" s="13"/>
    </row>
    <row r="1035" spans="1:9">
      <c r="A1035" s="13" t="s">
        <v>1630</v>
      </c>
      <c r="B1035" s="139" t="s">
        <v>1006</v>
      </c>
      <c r="C1035" s="139" t="s">
        <v>472</v>
      </c>
      <c r="D1035" s="15">
        <v>12500000</v>
      </c>
      <c r="E1035" s="93">
        <v>0.89627737939999996</v>
      </c>
      <c r="F1035" s="18">
        <v>11203467.24</v>
      </c>
      <c r="G1035" s="18">
        <v>0.03</v>
      </c>
      <c r="H1035" s="13"/>
      <c r="I1035" s="13"/>
    </row>
    <row r="1036" spans="1:9">
      <c r="A1036" s="13" t="s">
        <v>1631</v>
      </c>
      <c r="B1036" s="139" t="s">
        <v>1115</v>
      </c>
      <c r="C1036" s="139" t="s">
        <v>472</v>
      </c>
      <c r="D1036" s="15">
        <v>12500000</v>
      </c>
      <c r="E1036" s="93">
        <v>0.91254563450000004</v>
      </c>
      <c r="F1036" s="18">
        <v>11406820.43</v>
      </c>
      <c r="G1036" s="18">
        <v>0.03</v>
      </c>
      <c r="H1036" s="13"/>
      <c r="I1036" s="13"/>
    </row>
    <row r="1037" spans="1:9">
      <c r="A1037" s="13" t="s">
        <v>1632</v>
      </c>
      <c r="B1037" s="139" t="s">
        <v>1022</v>
      </c>
      <c r="C1037" s="139" t="s">
        <v>472</v>
      </c>
      <c r="D1037" s="15">
        <v>12500000</v>
      </c>
      <c r="E1037" s="93">
        <v>0.90730570050000003</v>
      </c>
      <c r="F1037" s="18">
        <v>11341321.26</v>
      </c>
      <c r="G1037" s="18">
        <v>0.03</v>
      </c>
      <c r="H1037" s="13"/>
      <c r="I1037" s="13"/>
    </row>
    <row r="1038" spans="1:9">
      <c r="A1038" s="13" t="s">
        <v>1637</v>
      </c>
      <c r="B1038" s="139" t="s">
        <v>1194</v>
      </c>
      <c r="C1038" s="139" t="s">
        <v>472</v>
      </c>
      <c r="D1038" s="15">
        <v>20000000</v>
      </c>
      <c r="E1038" s="93">
        <v>0.94149834320000003</v>
      </c>
      <c r="F1038" s="18">
        <v>18829966.859999999</v>
      </c>
      <c r="G1038" s="18">
        <v>0.04</v>
      </c>
      <c r="H1038" s="13"/>
      <c r="I1038" s="13"/>
    </row>
    <row r="1039" spans="1:9">
      <c r="A1039" s="13" t="s">
        <v>1638</v>
      </c>
      <c r="B1039" s="139" t="s">
        <v>628</v>
      </c>
      <c r="C1039" s="139" t="s">
        <v>472</v>
      </c>
      <c r="D1039" s="15">
        <v>20000000</v>
      </c>
      <c r="E1039" s="93">
        <v>0.94062481129999997</v>
      </c>
      <c r="F1039" s="18">
        <v>18812496.23</v>
      </c>
      <c r="G1039" s="18">
        <v>0.04</v>
      </c>
      <c r="H1039" s="13"/>
      <c r="I1039" s="13"/>
    </row>
    <row r="1040" spans="1:9">
      <c r="A1040" s="13" t="s">
        <v>1639</v>
      </c>
      <c r="B1040" s="139" t="s">
        <v>503</v>
      </c>
      <c r="C1040" s="139" t="s">
        <v>472</v>
      </c>
      <c r="D1040" s="15">
        <v>20000000</v>
      </c>
      <c r="E1040" s="93">
        <v>0.95840773359999998</v>
      </c>
      <c r="F1040" s="18">
        <v>19168154.670000002</v>
      </c>
      <c r="G1040" s="18">
        <v>0.04</v>
      </c>
      <c r="H1040" s="13"/>
      <c r="I1040" s="13"/>
    </row>
    <row r="1041" spans="1:9">
      <c r="A1041" s="13" t="s">
        <v>1640</v>
      </c>
      <c r="B1041" s="139" t="s">
        <v>696</v>
      </c>
      <c r="C1041" s="139" t="s">
        <v>472</v>
      </c>
      <c r="D1041" s="15">
        <v>20000000</v>
      </c>
      <c r="E1041" s="93">
        <v>0.9476582938</v>
      </c>
      <c r="F1041" s="18">
        <v>18953165.879999999</v>
      </c>
      <c r="G1041" s="18">
        <v>0.04</v>
      </c>
      <c r="H1041" s="13"/>
      <c r="I1041" s="13"/>
    </row>
    <row r="1042" spans="1:9">
      <c r="A1042" s="13" t="s">
        <v>1620</v>
      </c>
      <c r="B1042" s="139" t="s">
        <v>569</v>
      </c>
      <c r="C1042" s="139" t="s">
        <v>472</v>
      </c>
      <c r="D1042" s="15">
        <v>2000000</v>
      </c>
      <c r="E1042" s="154">
        <v>0.98616674800000004</v>
      </c>
      <c r="F1042" s="151">
        <v>1972333.5</v>
      </c>
      <c r="G1042" s="15">
        <v>0</v>
      </c>
      <c r="H1042" s="13"/>
      <c r="I1042" s="13"/>
    </row>
    <row r="1043" spans="1:9">
      <c r="A1043" s="13" t="s">
        <v>1621</v>
      </c>
      <c r="B1043" s="139" t="s">
        <v>638</v>
      </c>
      <c r="C1043" s="139" t="s">
        <v>472</v>
      </c>
      <c r="D1043" s="15">
        <v>2000000</v>
      </c>
      <c r="E1043" s="93">
        <v>0.97437282410000003</v>
      </c>
      <c r="F1043" s="18">
        <v>1948745.65</v>
      </c>
      <c r="G1043" s="15">
        <v>0</v>
      </c>
      <c r="H1043" s="13"/>
      <c r="I1043" s="13"/>
    </row>
    <row r="1044" spans="1:9">
      <c r="A1044" s="13" t="s">
        <v>1622</v>
      </c>
      <c r="B1044" s="139" t="s">
        <v>388</v>
      </c>
      <c r="C1044" s="139" t="s">
        <v>472</v>
      </c>
      <c r="D1044" s="15">
        <v>2000000</v>
      </c>
      <c r="E1044" s="93">
        <v>0.98023431579999998</v>
      </c>
      <c r="F1044" s="18">
        <v>1960468.63</v>
      </c>
      <c r="G1044" s="15">
        <v>0</v>
      </c>
      <c r="H1044" s="13"/>
      <c r="I1044" s="13"/>
    </row>
    <row r="1045" spans="1:9">
      <c r="A1045" s="13" t="s">
        <v>1633</v>
      </c>
      <c r="B1045" s="139" t="s">
        <v>414</v>
      </c>
      <c r="C1045" s="139" t="s">
        <v>472</v>
      </c>
      <c r="D1045" s="15">
        <v>10000000</v>
      </c>
      <c r="E1045" s="93">
        <v>0.97048674930000001</v>
      </c>
      <c r="F1045" s="18">
        <v>9704867.4900000002</v>
      </c>
      <c r="G1045" s="18">
        <v>0.02</v>
      </c>
      <c r="H1045" s="13"/>
      <c r="I1045" s="13"/>
    </row>
    <row r="1046" spans="1:9">
      <c r="A1046" s="13" t="s">
        <v>1634</v>
      </c>
      <c r="B1046" s="139" t="s">
        <v>862</v>
      </c>
      <c r="C1046" s="139" t="s">
        <v>472</v>
      </c>
      <c r="D1046" s="15">
        <v>10000000</v>
      </c>
      <c r="E1046" s="93">
        <v>0.96433304090000005</v>
      </c>
      <c r="F1046" s="18">
        <v>9643330.4100000001</v>
      </c>
      <c r="G1046" s="18">
        <v>0.02</v>
      </c>
      <c r="H1046" s="13"/>
      <c r="I1046" s="13"/>
    </row>
    <row r="1047" spans="1:9">
      <c r="A1047" s="13" t="s">
        <v>1635</v>
      </c>
      <c r="B1047" s="139" t="s">
        <v>346</v>
      </c>
      <c r="C1047" s="139" t="s">
        <v>472</v>
      </c>
      <c r="D1047" s="15">
        <v>10000000</v>
      </c>
      <c r="E1047" s="93">
        <v>0.9590122539</v>
      </c>
      <c r="F1047" s="18">
        <v>9590122.5399999991</v>
      </c>
      <c r="G1047" s="18">
        <v>0.02</v>
      </c>
      <c r="H1047" s="13"/>
      <c r="I1047" s="13"/>
    </row>
    <row r="1048" spans="1:9">
      <c r="A1048" s="13" t="s">
        <v>1636</v>
      </c>
      <c r="B1048" s="139" t="s">
        <v>1105</v>
      </c>
      <c r="C1048" s="139" t="s">
        <v>472</v>
      </c>
      <c r="D1048" s="15">
        <v>10000000</v>
      </c>
      <c r="E1048" s="93">
        <v>0.97203737329999995</v>
      </c>
      <c r="F1048" s="18">
        <v>9720373.7300000004</v>
      </c>
      <c r="G1048" s="18">
        <v>0.02</v>
      </c>
      <c r="H1048" s="13"/>
      <c r="I1048" s="13"/>
    </row>
    <row r="1049" spans="1:9">
      <c r="A1049" s="13" t="s">
        <v>1624</v>
      </c>
      <c r="B1049" s="139" t="s">
        <v>169</v>
      </c>
      <c r="C1049" s="139" t="s">
        <v>472</v>
      </c>
      <c r="D1049" s="15">
        <v>1000000000</v>
      </c>
      <c r="E1049" s="93">
        <v>0.96040001259999996</v>
      </c>
      <c r="F1049" s="151">
        <v>960400012.60000002</v>
      </c>
      <c r="G1049" s="18">
        <v>2.16</v>
      </c>
      <c r="H1049" s="13"/>
      <c r="I1049" s="13"/>
    </row>
    <row r="1050" spans="1:9">
      <c r="A1050" s="13" t="s">
        <v>1643</v>
      </c>
      <c r="B1050" s="139" t="s">
        <v>470</v>
      </c>
      <c r="C1050" s="139" t="s">
        <v>371</v>
      </c>
      <c r="D1050" s="15">
        <v>50000000</v>
      </c>
      <c r="E1050" s="93">
        <v>0.94854490709999995</v>
      </c>
      <c r="F1050" s="18">
        <v>47427245.359999999</v>
      </c>
      <c r="G1050" s="18">
        <v>0.11</v>
      </c>
      <c r="H1050" s="13"/>
      <c r="I1050" s="13"/>
    </row>
    <row r="1051" spans="1:9">
      <c r="A1051" s="13" t="s">
        <v>1644</v>
      </c>
      <c r="B1051" s="139" t="s">
        <v>193</v>
      </c>
      <c r="C1051" s="139" t="s">
        <v>371</v>
      </c>
      <c r="D1051" s="15">
        <v>50000000</v>
      </c>
      <c r="E1051" s="93">
        <v>0.95099154259999996</v>
      </c>
      <c r="F1051" s="18">
        <v>47549577.130000003</v>
      </c>
      <c r="G1051" s="18">
        <v>0.11</v>
      </c>
      <c r="H1051" s="13"/>
      <c r="I1051" s="13"/>
    </row>
    <row r="1052" spans="1:9">
      <c r="A1052" s="13" t="s">
        <v>1645</v>
      </c>
      <c r="B1052" s="139" t="s">
        <v>596</v>
      </c>
      <c r="C1052" s="139" t="s">
        <v>371</v>
      </c>
      <c r="D1052" s="18">
        <v>8756336.9900000002</v>
      </c>
      <c r="E1052" s="93">
        <v>0.96770779419999997</v>
      </c>
      <c r="F1052" s="18">
        <v>8473575.5500000007</v>
      </c>
      <c r="G1052" s="18">
        <v>0.02</v>
      </c>
      <c r="H1052" s="13"/>
      <c r="I1052" s="13"/>
    </row>
    <row r="1053" spans="1:9">
      <c r="A1053" s="13" t="s">
        <v>1646</v>
      </c>
      <c r="B1053" s="139" t="s">
        <v>477</v>
      </c>
      <c r="C1053" s="139" t="s">
        <v>371</v>
      </c>
      <c r="D1053" s="18">
        <v>8168237.8700000001</v>
      </c>
      <c r="E1053" s="93">
        <v>0.98582045090000003</v>
      </c>
      <c r="F1053" s="18">
        <v>8052415.9400000004</v>
      </c>
      <c r="G1053" s="18">
        <v>0.02</v>
      </c>
      <c r="H1053" s="13"/>
      <c r="I1053" s="13"/>
    </row>
    <row r="1054" spans="1:9">
      <c r="A1054" s="13" t="s">
        <v>1647</v>
      </c>
      <c r="B1054" s="139" t="s">
        <v>402</v>
      </c>
      <c r="C1054" s="139" t="s">
        <v>371</v>
      </c>
      <c r="D1054" s="15">
        <v>50000000</v>
      </c>
      <c r="E1054" s="93">
        <v>0.99563558870000002</v>
      </c>
      <c r="F1054" s="18">
        <v>49781779.439999998</v>
      </c>
      <c r="G1054" s="18">
        <v>0.11</v>
      </c>
      <c r="H1054" s="13"/>
      <c r="I1054" s="13"/>
    </row>
    <row r="1055" spans="1:9">
      <c r="A1055" s="13" t="s">
        <v>1648</v>
      </c>
      <c r="B1055" s="139" t="s">
        <v>171</v>
      </c>
      <c r="C1055" s="139" t="s">
        <v>371</v>
      </c>
      <c r="D1055" s="15">
        <v>80000000</v>
      </c>
      <c r="E1055" s="93">
        <v>0.99023343419999998</v>
      </c>
      <c r="F1055" s="18">
        <v>79218674.739999995</v>
      </c>
      <c r="G1055" s="18">
        <v>0.18</v>
      </c>
      <c r="H1055" s="13"/>
      <c r="I1055" s="13"/>
    </row>
    <row r="1056" spans="1:9">
      <c r="A1056" s="13" t="s">
        <v>1649</v>
      </c>
      <c r="B1056" s="139" t="s">
        <v>425</v>
      </c>
      <c r="C1056" s="139" t="s">
        <v>371</v>
      </c>
      <c r="D1056" s="15">
        <v>100000000</v>
      </c>
      <c r="E1056" s="154">
        <v>0.98915997899999997</v>
      </c>
      <c r="F1056" s="151">
        <v>98915997.900000006</v>
      </c>
      <c r="G1056" s="18">
        <v>0.22</v>
      </c>
      <c r="H1056" s="13"/>
      <c r="I1056" s="13"/>
    </row>
    <row r="1057" spans="1:9">
      <c r="A1057" s="13" t="s">
        <v>1650</v>
      </c>
      <c r="B1057" s="139" t="s">
        <v>548</v>
      </c>
      <c r="C1057" s="139" t="s">
        <v>371</v>
      </c>
      <c r="D1057" s="15">
        <v>100000000</v>
      </c>
      <c r="E1057" s="154">
        <v>0.98808884299999999</v>
      </c>
      <c r="F1057" s="151">
        <v>98808884.299999997</v>
      </c>
      <c r="G1057" s="18">
        <v>0.22</v>
      </c>
      <c r="H1057" s="13"/>
      <c r="I1057" s="13"/>
    </row>
    <row r="1058" spans="1:9">
      <c r="A1058" s="13" t="s">
        <v>1651</v>
      </c>
      <c r="B1058" s="139" t="s">
        <v>408</v>
      </c>
      <c r="C1058" s="139" t="s">
        <v>371</v>
      </c>
      <c r="D1058" s="15">
        <v>100000000</v>
      </c>
      <c r="E1058" s="93">
        <v>0.98488945750000001</v>
      </c>
      <c r="F1058" s="18">
        <v>98488945.75</v>
      </c>
      <c r="G1058" s="18">
        <v>0.22</v>
      </c>
      <c r="H1058" s="13"/>
      <c r="I1058" s="13"/>
    </row>
    <row r="1059" spans="1:9">
      <c r="A1059" s="13" t="s">
        <v>1652</v>
      </c>
      <c r="B1059" s="139" t="s">
        <v>523</v>
      </c>
      <c r="C1059" s="139" t="s">
        <v>371</v>
      </c>
      <c r="D1059" s="15">
        <v>2000000</v>
      </c>
      <c r="E1059" s="93">
        <v>0.98192198369999995</v>
      </c>
      <c r="F1059" s="18">
        <v>1963843.97</v>
      </c>
      <c r="G1059" s="15">
        <v>0</v>
      </c>
      <c r="H1059" s="13"/>
      <c r="I1059" s="13"/>
    </row>
    <row r="1060" spans="1:9">
      <c r="A1060" s="13" t="s">
        <v>1653</v>
      </c>
      <c r="B1060" s="139" t="s">
        <v>388</v>
      </c>
      <c r="C1060" s="139" t="s">
        <v>371</v>
      </c>
      <c r="D1060" s="15">
        <v>2000000</v>
      </c>
      <c r="E1060" s="93">
        <v>0.98023418679999996</v>
      </c>
      <c r="F1060" s="18">
        <v>1960468.37</v>
      </c>
      <c r="G1060" s="15">
        <v>0</v>
      </c>
      <c r="H1060" s="13"/>
      <c r="I1060" s="13"/>
    </row>
    <row r="1061" spans="1:9">
      <c r="A1061" s="13" t="s">
        <v>1654</v>
      </c>
      <c r="B1061" s="139" t="s">
        <v>443</v>
      </c>
      <c r="C1061" s="139" t="s">
        <v>371</v>
      </c>
      <c r="D1061" s="15">
        <v>2000000</v>
      </c>
      <c r="E1061" s="154">
        <v>0.979392649</v>
      </c>
      <c r="F1061" s="151">
        <v>1958785.3</v>
      </c>
      <c r="G1061" s="15">
        <v>0</v>
      </c>
      <c r="H1061" s="13"/>
      <c r="I1061" s="13"/>
    </row>
    <row r="1062" spans="1:9">
      <c r="A1062" s="13" t="s">
        <v>1655</v>
      </c>
      <c r="B1062" s="139" t="s">
        <v>425</v>
      </c>
      <c r="C1062" s="139" t="s">
        <v>371</v>
      </c>
      <c r="D1062" s="18">
        <v>2300554.7599999998</v>
      </c>
      <c r="E1062" s="93">
        <v>0.99157844169999998</v>
      </c>
      <c r="F1062" s="151">
        <v>2281180.5</v>
      </c>
      <c r="G1062" s="18">
        <v>0.01</v>
      </c>
      <c r="H1062" s="13"/>
      <c r="I1062" s="13"/>
    </row>
    <row r="1063" spans="1:9">
      <c r="A1063" s="13" t="s">
        <v>1658</v>
      </c>
      <c r="B1063" s="139" t="s">
        <v>503</v>
      </c>
      <c r="C1063" s="139" t="s">
        <v>391</v>
      </c>
      <c r="D1063" s="15">
        <v>50000000</v>
      </c>
      <c r="E1063" s="154">
        <v>0.95619836300000005</v>
      </c>
      <c r="F1063" s="18">
        <v>47809918.149999999</v>
      </c>
      <c r="G1063" s="18">
        <v>0.11</v>
      </c>
      <c r="H1063" s="13"/>
      <c r="I1063" s="13"/>
    </row>
    <row r="1064" spans="1:9">
      <c r="A1064" s="13" t="s">
        <v>1659</v>
      </c>
      <c r="B1064" s="139" t="s">
        <v>813</v>
      </c>
      <c r="C1064" s="139" t="s">
        <v>391</v>
      </c>
      <c r="D1064" s="15">
        <v>50000000</v>
      </c>
      <c r="E1064" s="93">
        <v>0.92578511080000003</v>
      </c>
      <c r="F1064" s="18">
        <v>46289255.539999999</v>
      </c>
      <c r="G1064" s="151">
        <v>0.1</v>
      </c>
      <c r="H1064" s="13"/>
      <c r="I1064" s="13"/>
    </row>
    <row r="1065" spans="1:9">
      <c r="A1065" s="13" t="s">
        <v>1660</v>
      </c>
      <c r="B1065" s="139" t="s">
        <v>607</v>
      </c>
      <c r="C1065" s="139" t="s">
        <v>391</v>
      </c>
      <c r="D1065" s="15">
        <v>3000000</v>
      </c>
      <c r="E1065" s="93">
        <v>0.97219274369999997</v>
      </c>
      <c r="F1065" s="18">
        <v>2916578.23</v>
      </c>
      <c r="G1065" s="18">
        <v>0.01</v>
      </c>
      <c r="H1065" s="13"/>
      <c r="I1065" s="13"/>
    </row>
    <row r="1066" spans="1:9">
      <c r="A1066" s="13" t="s">
        <v>1661</v>
      </c>
      <c r="B1066" s="139" t="s">
        <v>610</v>
      </c>
      <c r="C1066" s="139" t="s">
        <v>391</v>
      </c>
      <c r="D1066" s="15">
        <v>4000000</v>
      </c>
      <c r="E1066" s="154">
        <v>0.96571079699999995</v>
      </c>
      <c r="F1066" s="18">
        <v>3862843.19</v>
      </c>
      <c r="G1066" s="18">
        <v>0.01</v>
      </c>
      <c r="H1066" s="13"/>
      <c r="I1066" s="13"/>
    </row>
    <row r="1067" spans="1:9">
      <c r="A1067" s="13" t="s">
        <v>1662</v>
      </c>
      <c r="B1067" s="139" t="s">
        <v>602</v>
      </c>
      <c r="C1067" s="139" t="s">
        <v>391</v>
      </c>
      <c r="D1067" s="15">
        <v>3000000</v>
      </c>
      <c r="E1067" s="93">
        <v>0.97312591479999999</v>
      </c>
      <c r="F1067" s="18">
        <v>2919377.74</v>
      </c>
      <c r="G1067" s="18">
        <v>0.01</v>
      </c>
      <c r="H1067" s="13"/>
      <c r="I1067" s="13"/>
    </row>
    <row r="1068" spans="1:9">
      <c r="A1068" s="13" t="s">
        <v>1663</v>
      </c>
      <c r="B1068" s="139" t="s">
        <v>193</v>
      </c>
      <c r="C1068" s="139" t="s">
        <v>391</v>
      </c>
      <c r="D1068" s="15">
        <v>100000000</v>
      </c>
      <c r="E1068" s="93">
        <v>0.94398201960000006</v>
      </c>
      <c r="F1068" s="18">
        <v>94398201.959999993</v>
      </c>
      <c r="G1068" s="18">
        <v>0.21</v>
      </c>
      <c r="H1068" s="13"/>
      <c r="I1068" s="13"/>
    </row>
    <row r="1069" spans="1:9">
      <c r="A1069" s="13" t="s">
        <v>1664</v>
      </c>
      <c r="B1069" s="139" t="s">
        <v>193</v>
      </c>
      <c r="C1069" s="139" t="s">
        <v>391</v>
      </c>
      <c r="D1069" s="15">
        <v>1082000000</v>
      </c>
      <c r="E1069" s="93">
        <v>0.94398201960000006</v>
      </c>
      <c r="F1069" s="18">
        <v>1021388545.21</v>
      </c>
      <c r="G1069" s="18">
        <v>2.29</v>
      </c>
      <c r="H1069" s="13"/>
      <c r="I1069" s="13"/>
    </row>
    <row r="1070" spans="1:9">
      <c r="A1070" s="13" t="s">
        <v>1665</v>
      </c>
      <c r="B1070" s="139" t="s">
        <v>596</v>
      </c>
      <c r="C1070" s="139" t="s">
        <v>391</v>
      </c>
      <c r="D1070" s="18">
        <v>5882352.9299999997</v>
      </c>
      <c r="E1070" s="93">
        <v>0.9458900576</v>
      </c>
      <c r="F1070" s="18">
        <v>5564059.1500000004</v>
      </c>
      <c r="G1070" s="18">
        <v>0.01</v>
      </c>
      <c r="H1070" s="13"/>
      <c r="I1070" s="13"/>
    </row>
    <row r="1071" spans="1:9">
      <c r="A1071" s="13" t="s">
        <v>1666</v>
      </c>
      <c r="B1071" s="139" t="s">
        <v>875</v>
      </c>
      <c r="C1071" s="139" t="s">
        <v>391</v>
      </c>
      <c r="D1071" s="18">
        <v>5882352.9299999997</v>
      </c>
      <c r="E1071" s="93">
        <v>0.94500835719999998</v>
      </c>
      <c r="F1071" s="18">
        <v>5558872.6799999997</v>
      </c>
      <c r="G1071" s="18">
        <v>0.01</v>
      </c>
      <c r="H1071" s="13"/>
      <c r="I1071" s="13"/>
    </row>
    <row r="1072" spans="1:9">
      <c r="A1072" s="13" t="s">
        <v>1667</v>
      </c>
      <c r="B1072" s="139" t="s">
        <v>346</v>
      </c>
      <c r="C1072" s="139" t="s">
        <v>391</v>
      </c>
      <c r="D1072" s="18">
        <v>5882352.9299999997</v>
      </c>
      <c r="E1072" s="93">
        <v>0.9512144749</v>
      </c>
      <c r="F1072" s="18">
        <v>5595379.25</v>
      </c>
      <c r="G1072" s="18">
        <v>0.01</v>
      </c>
      <c r="H1072" s="13"/>
      <c r="I1072" s="13"/>
    </row>
    <row r="1073" spans="1:9">
      <c r="A1073" s="13" t="s">
        <v>1668</v>
      </c>
      <c r="B1073" s="139" t="s">
        <v>410</v>
      </c>
      <c r="C1073" s="139" t="s">
        <v>391</v>
      </c>
      <c r="D1073" s="18">
        <v>5882352.9299999997</v>
      </c>
      <c r="E1073" s="93">
        <v>0.95032308809999999</v>
      </c>
      <c r="F1073" s="151">
        <v>5590135.7999999998</v>
      </c>
      <c r="G1073" s="18">
        <v>0.01</v>
      </c>
      <c r="H1073" s="13"/>
      <c r="I1073" s="13"/>
    </row>
    <row r="1074" spans="1:9">
      <c r="A1074" s="13" t="s">
        <v>1669</v>
      </c>
      <c r="B1074" s="139" t="s">
        <v>696</v>
      </c>
      <c r="C1074" s="139" t="s">
        <v>391</v>
      </c>
      <c r="D1074" s="18">
        <v>5882352.9299999997</v>
      </c>
      <c r="E1074" s="93">
        <v>0.94765814230000001</v>
      </c>
      <c r="F1074" s="18">
        <v>5574459.6500000004</v>
      </c>
      <c r="G1074" s="18">
        <v>0.01</v>
      </c>
      <c r="H1074" s="13"/>
      <c r="I1074" s="13"/>
    </row>
    <row r="1075" spans="1:9">
      <c r="A1075" s="13" t="s">
        <v>1670</v>
      </c>
      <c r="B1075" s="139" t="s">
        <v>835</v>
      </c>
      <c r="C1075" s="139" t="s">
        <v>391</v>
      </c>
      <c r="D1075" s="15">
        <v>25000000</v>
      </c>
      <c r="E1075" s="154">
        <v>0.92320928499999999</v>
      </c>
      <c r="F1075" s="18">
        <v>23080232.129999999</v>
      </c>
      <c r="G1075" s="18">
        <v>0.05</v>
      </c>
      <c r="H1075" s="13"/>
      <c r="I1075" s="13"/>
    </row>
    <row r="1076" spans="1:9">
      <c r="A1076" s="13" t="s">
        <v>1671</v>
      </c>
      <c r="B1076" s="139" t="s">
        <v>193</v>
      </c>
      <c r="C1076" s="139" t="s">
        <v>391</v>
      </c>
      <c r="D1076" s="18">
        <v>5882352.9299999997</v>
      </c>
      <c r="E1076" s="154">
        <v>0.94677340499999996</v>
      </c>
      <c r="F1076" s="18">
        <v>5569255.3099999996</v>
      </c>
      <c r="G1076" s="18">
        <v>0.01</v>
      </c>
      <c r="H1076" s="13"/>
      <c r="I1076" s="13"/>
    </row>
    <row r="1077" spans="1:9">
      <c r="A1077" s="13" t="s">
        <v>1672</v>
      </c>
      <c r="B1077" s="139" t="s">
        <v>169</v>
      </c>
      <c r="C1077" s="139" t="s">
        <v>391</v>
      </c>
      <c r="D1077" s="15">
        <v>20000000</v>
      </c>
      <c r="E1077" s="154">
        <v>0.95931471700000004</v>
      </c>
      <c r="F1077" s="18">
        <v>19186294.34</v>
      </c>
      <c r="G1077" s="18">
        <v>0.04</v>
      </c>
      <c r="H1077" s="13"/>
      <c r="I1077" s="13"/>
    </row>
    <row r="1078" spans="1:9">
      <c r="A1078" s="13" t="s">
        <v>1709</v>
      </c>
      <c r="B1078" s="139" t="s">
        <v>173</v>
      </c>
      <c r="C1078" s="139" t="s">
        <v>514</v>
      </c>
      <c r="D1078" s="15">
        <v>300000000</v>
      </c>
      <c r="E1078" s="93">
        <v>0.97934010029999996</v>
      </c>
      <c r="F1078" s="18">
        <v>293802030.08999997</v>
      </c>
      <c r="G1078" s="18">
        <v>0.66</v>
      </c>
      <c r="H1078" s="13"/>
      <c r="I1078" s="13"/>
    </row>
    <row r="1079" spans="1:9">
      <c r="A1079" s="13" t="s">
        <v>1710</v>
      </c>
      <c r="B1079" s="139" t="s">
        <v>638</v>
      </c>
      <c r="C1079" s="139" t="s">
        <v>514</v>
      </c>
      <c r="D1079" s="15">
        <v>75000000</v>
      </c>
      <c r="E1079" s="93">
        <v>0.97203740009999995</v>
      </c>
      <c r="F1079" s="18">
        <v>72902805.010000005</v>
      </c>
      <c r="G1079" s="18">
        <v>0.16</v>
      </c>
      <c r="H1079" s="13"/>
      <c r="I1079" s="13"/>
    </row>
    <row r="1080" spans="1:9">
      <c r="A1080" s="13" t="s">
        <v>1711</v>
      </c>
      <c r="B1080" s="139" t="s">
        <v>505</v>
      </c>
      <c r="C1080" s="139" t="s">
        <v>514</v>
      </c>
      <c r="D1080" s="15">
        <v>75000000</v>
      </c>
      <c r="E1080" s="93">
        <v>0.95424836980000005</v>
      </c>
      <c r="F1080" s="18">
        <v>71568627.739999995</v>
      </c>
      <c r="G1080" s="18">
        <v>0.16</v>
      </c>
      <c r="H1080" s="13"/>
      <c r="I1080" s="13"/>
    </row>
    <row r="1081" spans="1:9">
      <c r="A1081" s="13" t="s">
        <v>1682</v>
      </c>
      <c r="B1081" s="139" t="s">
        <v>797</v>
      </c>
      <c r="C1081" s="139" t="s">
        <v>514</v>
      </c>
      <c r="D1081" s="18">
        <v>16005575.67</v>
      </c>
      <c r="E1081" s="93">
        <v>0.92707852560000004</v>
      </c>
      <c r="F1081" s="18">
        <v>14838425.49</v>
      </c>
      <c r="G1081" s="18">
        <v>0.03</v>
      </c>
      <c r="H1081" s="13"/>
      <c r="I1081" s="13"/>
    </row>
    <row r="1082" spans="1:9">
      <c r="A1082" s="13" t="s">
        <v>1683</v>
      </c>
      <c r="B1082" s="139" t="s">
        <v>797</v>
      </c>
      <c r="C1082" s="139" t="s">
        <v>514</v>
      </c>
      <c r="D1082" s="18">
        <v>12080215.710000001</v>
      </c>
      <c r="E1082" s="93">
        <v>0.92707852560000004</v>
      </c>
      <c r="F1082" s="18">
        <v>11199308.57</v>
      </c>
      <c r="G1082" s="18">
        <v>0.03</v>
      </c>
      <c r="H1082" s="13"/>
      <c r="I1082" s="13"/>
    </row>
    <row r="1083" spans="1:9">
      <c r="A1083" s="13" t="s">
        <v>1684</v>
      </c>
      <c r="B1083" s="139" t="s">
        <v>1148</v>
      </c>
      <c r="C1083" s="139" t="s">
        <v>514</v>
      </c>
      <c r="D1083" s="18">
        <v>16005575.68</v>
      </c>
      <c r="E1083" s="93">
        <v>0.92243934179999998</v>
      </c>
      <c r="F1083" s="151">
        <v>14764172.699999999</v>
      </c>
      <c r="G1083" s="18">
        <v>0.03</v>
      </c>
      <c r="H1083" s="13"/>
      <c r="I1083" s="13"/>
    </row>
    <row r="1084" spans="1:9">
      <c r="A1084" s="13" t="s">
        <v>1685</v>
      </c>
      <c r="B1084" s="139" t="s">
        <v>835</v>
      </c>
      <c r="C1084" s="139" t="s">
        <v>514</v>
      </c>
      <c r="D1084" s="18">
        <v>16005575.68</v>
      </c>
      <c r="E1084" s="93">
        <v>0.92320935380000002</v>
      </c>
      <c r="F1084" s="18">
        <v>14776497.18</v>
      </c>
      <c r="G1084" s="18">
        <v>0.03</v>
      </c>
      <c r="H1084" s="13"/>
      <c r="I1084" s="13"/>
    </row>
    <row r="1085" spans="1:9">
      <c r="A1085" s="13" t="s">
        <v>1686</v>
      </c>
      <c r="B1085" s="139" t="s">
        <v>1206</v>
      </c>
      <c r="C1085" s="139" t="s">
        <v>514</v>
      </c>
      <c r="D1085" s="18">
        <v>16005575.68</v>
      </c>
      <c r="E1085" s="93">
        <v>0.92398065090000003</v>
      </c>
      <c r="F1085" s="18">
        <v>14788842.23</v>
      </c>
      <c r="G1085" s="18">
        <v>0.03</v>
      </c>
      <c r="H1085" s="13"/>
      <c r="I1085" s="13"/>
    </row>
    <row r="1086" spans="1:9">
      <c r="A1086" s="13" t="s">
        <v>1687</v>
      </c>
      <c r="B1086" s="139" t="s">
        <v>777</v>
      </c>
      <c r="C1086" s="139" t="s">
        <v>514</v>
      </c>
      <c r="D1086" s="18">
        <v>16005575.68</v>
      </c>
      <c r="E1086" s="93">
        <v>0.92630204930000004</v>
      </c>
      <c r="F1086" s="18">
        <v>14825997.550000001</v>
      </c>
      <c r="G1086" s="18">
        <v>0.03</v>
      </c>
      <c r="H1086" s="13"/>
      <c r="I1086" s="13"/>
    </row>
    <row r="1087" spans="1:9">
      <c r="A1087" s="13" t="s">
        <v>1673</v>
      </c>
      <c r="B1087" s="139" t="s">
        <v>799</v>
      </c>
      <c r="C1087" s="139" t="s">
        <v>514</v>
      </c>
      <c r="D1087" s="18">
        <v>16005575.68</v>
      </c>
      <c r="E1087" s="93">
        <v>0.9163256689</v>
      </c>
      <c r="F1087" s="18">
        <v>14666319.84</v>
      </c>
      <c r="G1087" s="18">
        <v>0.03</v>
      </c>
      <c r="H1087" s="13"/>
      <c r="I1087" s="13"/>
    </row>
    <row r="1088" spans="1:9">
      <c r="A1088" s="13" t="s">
        <v>1674</v>
      </c>
      <c r="B1088" s="139" t="s">
        <v>795</v>
      </c>
      <c r="C1088" s="139" t="s">
        <v>514</v>
      </c>
      <c r="D1088" s="18">
        <v>16005575.68</v>
      </c>
      <c r="E1088" s="93">
        <v>0.91708550550000001</v>
      </c>
      <c r="F1088" s="18">
        <v>14678481.460000001</v>
      </c>
      <c r="G1088" s="18">
        <v>0.03</v>
      </c>
      <c r="H1088" s="13"/>
      <c r="I1088" s="13"/>
    </row>
    <row r="1089" spans="1:9">
      <c r="A1089" s="13" t="s">
        <v>1675</v>
      </c>
      <c r="B1089" s="139" t="s">
        <v>801</v>
      </c>
      <c r="C1089" s="139" t="s">
        <v>514</v>
      </c>
      <c r="D1089" s="18">
        <v>16005575.68</v>
      </c>
      <c r="E1089" s="93">
        <v>0.91784660179999999</v>
      </c>
      <c r="F1089" s="18">
        <v>14690663.25</v>
      </c>
      <c r="G1089" s="18">
        <v>0.03</v>
      </c>
      <c r="H1089" s="13"/>
      <c r="I1089" s="13"/>
    </row>
    <row r="1090" spans="1:9">
      <c r="A1090" s="13" t="s">
        <v>1676</v>
      </c>
      <c r="B1090" s="139" t="s">
        <v>1008</v>
      </c>
      <c r="C1090" s="139" t="s">
        <v>514</v>
      </c>
      <c r="D1090" s="18">
        <v>16005575.68</v>
      </c>
      <c r="E1090" s="93">
        <v>0.91860896110000001</v>
      </c>
      <c r="F1090" s="18">
        <v>14702865.25</v>
      </c>
      <c r="G1090" s="18">
        <v>0.03</v>
      </c>
      <c r="H1090" s="13"/>
      <c r="I1090" s="13"/>
    </row>
    <row r="1091" spans="1:9">
      <c r="A1091" s="13" t="s">
        <v>1677</v>
      </c>
      <c r="B1091" s="139" t="s">
        <v>1209</v>
      </c>
      <c r="C1091" s="139" t="s">
        <v>514</v>
      </c>
      <c r="D1091" s="18">
        <v>16005575.68</v>
      </c>
      <c r="E1091" s="154">
        <v>0.92090341200000003</v>
      </c>
      <c r="F1091" s="18">
        <v>14739589.25</v>
      </c>
      <c r="G1091" s="18">
        <v>0.03</v>
      </c>
      <c r="H1091" s="13"/>
      <c r="I1091" s="13"/>
    </row>
    <row r="1092" spans="1:9">
      <c r="A1092" s="13" t="s">
        <v>1678</v>
      </c>
      <c r="B1092" s="139" t="s">
        <v>982</v>
      </c>
      <c r="C1092" s="139" t="s">
        <v>514</v>
      </c>
      <c r="D1092" s="18">
        <v>16005575.68</v>
      </c>
      <c r="E1092" s="93">
        <v>0.92167086119999997</v>
      </c>
      <c r="F1092" s="18">
        <v>14751872.720000001</v>
      </c>
      <c r="G1092" s="18">
        <v>0.03</v>
      </c>
      <c r="H1092" s="13"/>
      <c r="I1092" s="13"/>
    </row>
    <row r="1093" spans="1:9">
      <c r="A1093" s="13" t="s">
        <v>1679</v>
      </c>
      <c r="B1093" s="139" t="s">
        <v>797</v>
      </c>
      <c r="C1093" s="139" t="s">
        <v>514</v>
      </c>
      <c r="D1093" s="18">
        <v>15230335.939999999</v>
      </c>
      <c r="E1093" s="93">
        <v>0.92707852560000004</v>
      </c>
      <c r="F1093" s="18">
        <v>14119717.390000001</v>
      </c>
      <c r="G1093" s="18">
        <v>0.03</v>
      </c>
      <c r="H1093" s="13"/>
      <c r="I1093" s="13"/>
    </row>
    <row r="1094" spans="1:9">
      <c r="A1094" s="13" t="s">
        <v>1689</v>
      </c>
      <c r="B1094" s="139" t="s">
        <v>809</v>
      </c>
      <c r="C1094" s="139" t="s">
        <v>514</v>
      </c>
      <c r="D1094" s="15">
        <v>3900000</v>
      </c>
      <c r="E1094" s="93">
        <v>0.93808647990000005</v>
      </c>
      <c r="F1094" s="18">
        <v>3658537.27</v>
      </c>
      <c r="G1094" s="18">
        <v>0.01</v>
      </c>
      <c r="H1094" s="13"/>
      <c r="I1094" s="13"/>
    </row>
    <row r="1095" spans="1:9">
      <c r="A1095" s="13" t="s">
        <v>1690</v>
      </c>
      <c r="B1095" s="139" t="s">
        <v>736</v>
      </c>
      <c r="C1095" s="139" t="s">
        <v>514</v>
      </c>
      <c r="D1095" s="15">
        <v>3900000</v>
      </c>
      <c r="E1095" s="93">
        <v>0.9444949856</v>
      </c>
      <c r="F1095" s="18">
        <v>3683530.44</v>
      </c>
      <c r="G1095" s="18">
        <v>0.01</v>
      </c>
      <c r="H1095" s="13"/>
      <c r="I1095" s="13"/>
    </row>
    <row r="1096" spans="1:9">
      <c r="A1096" s="13" t="s">
        <v>1691</v>
      </c>
      <c r="B1096" s="139" t="s">
        <v>860</v>
      </c>
      <c r="C1096" s="139" t="s">
        <v>514</v>
      </c>
      <c r="D1096" s="15">
        <v>3900000</v>
      </c>
      <c r="E1096" s="93">
        <v>0.93333675790000004</v>
      </c>
      <c r="F1096" s="18">
        <v>3640013.36</v>
      </c>
      <c r="G1096" s="18">
        <v>0.01</v>
      </c>
      <c r="H1096" s="13"/>
      <c r="I1096" s="13"/>
    </row>
    <row r="1097" spans="1:9">
      <c r="A1097" s="13" t="s">
        <v>1692</v>
      </c>
      <c r="B1097" s="139" t="s">
        <v>594</v>
      </c>
      <c r="C1097" s="139" t="s">
        <v>514</v>
      </c>
      <c r="D1097" s="151">
        <v>3812810.4</v>
      </c>
      <c r="E1097" s="93">
        <v>0.92785605559999995</v>
      </c>
      <c r="F1097" s="18">
        <v>3537739.22</v>
      </c>
      <c r="G1097" s="18">
        <v>0.01</v>
      </c>
      <c r="H1097" s="13"/>
      <c r="I1097" s="13"/>
    </row>
    <row r="1098" spans="1:9">
      <c r="A1098" s="13" t="s">
        <v>1720</v>
      </c>
      <c r="B1098" s="139" t="s">
        <v>193</v>
      </c>
      <c r="C1098" s="139" t="s">
        <v>514</v>
      </c>
      <c r="D1098" s="18">
        <v>6747533.79</v>
      </c>
      <c r="E1098" s="153">
        <v>0.95099140000000004</v>
      </c>
      <c r="F1098" s="18">
        <v>6416846.6100000003</v>
      </c>
      <c r="G1098" s="18">
        <v>0.01</v>
      </c>
      <c r="H1098" s="13"/>
      <c r="I1098" s="13"/>
    </row>
    <row r="1099" spans="1:9">
      <c r="A1099" s="13" t="s">
        <v>1681</v>
      </c>
      <c r="B1099" s="139" t="s">
        <v>405</v>
      </c>
      <c r="C1099" s="139" t="s">
        <v>514</v>
      </c>
      <c r="D1099" s="18">
        <v>24746871.309999999</v>
      </c>
      <c r="E1099" s="93">
        <v>0.9659406734</v>
      </c>
      <c r="F1099" s="18">
        <v>23904009.539999999</v>
      </c>
      <c r="G1099" s="18">
        <v>0.05</v>
      </c>
      <c r="H1099" s="13"/>
      <c r="I1099" s="13"/>
    </row>
    <row r="1100" spans="1:9">
      <c r="A1100" s="13" t="s">
        <v>1694</v>
      </c>
      <c r="B1100" s="139" t="s">
        <v>795</v>
      </c>
      <c r="C1100" s="139" t="s">
        <v>514</v>
      </c>
      <c r="D1100" s="15">
        <v>3424300</v>
      </c>
      <c r="E1100" s="93">
        <v>0.91708550550000001</v>
      </c>
      <c r="F1100" s="151">
        <v>3140375.9</v>
      </c>
      <c r="G1100" s="18">
        <v>0.01</v>
      </c>
      <c r="H1100" s="13"/>
      <c r="I1100" s="13"/>
    </row>
    <row r="1101" spans="1:9">
      <c r="A1101" s="13" t="s">
        <v>1719</v>
      </c>
      <c r="B1101" s="139" t="s">
        <v>414</v>
      </c>
      <c r="C1101" s="139" t="s">
        <v>514</v>
      </c>
      <c r="D1101" s="18">
        <v>3696352.34</v>
      </c>
      <c r="E1101" s="93">
        <v>0.96763089369999999</v>
      </c>
      <c r="F1101" s="18">
        <v>3576704.72</v>
      </c>
      <c r="G1101" s="18">
        <v>0.01</v>
      </c>
      <c r="H1101" s="13"/>
      <c r="I1101" s="13"/>
    </row>
    <row r="1102" spans="1:9">
      <c r="A1102" s="13" t="s">
        <v>1696</v>
      </c>
      <c r="B1102" s="139" t="s">
        <v>1008</v>
      </c>
      <c r="C1102" s="139" t="s">
        <v>514</v>
      </c>
      <c r="D1102" s="15">
        <v>1524900</v>
      </c>
      <c r="E1102" s="93">
        <v>0.91860896110000001</v>
      </c>
      <c r="F1102" s="151">
        <v>1400786.8</v>
      </c>
      <c r="G1102" s="15">
        <v>0</v>
      </c>
      <c r="H1102" s="13"/>
      <c r="I1102" s="13"/>
    </row>
    <row r="1103" spans="1:9">
      <c r="A1103" s="13" t="s">
        <v>1712</v>
      </c>
      <c r="B1103" s="139" t="s">
        <v>1008</v>
      </c>
      <c r="C1103" s="139" t="s">
        <v>514</v>
      </c>
      <c r="D1103" s="18">
        <v>2333401.2200000002</v>
      </c>
      <c r="E1103" s="93">
        <v>0.9118619335</v>
      </c>
      <c r="F1103" s="18">
        <v>2127739.75</v>
      </c>
      <c r="G1103" s="15">
        <v>0</v>
      </c>
      <c r="H1103" s="13"/>
      <c r="I1103" s="13"/>
    </row>
    <row r="1104" spans="1:9">
      <c r="A1104" s="13" t="s">
        <v>1713</v>
      </c>
      <c r="B1104" s="139" t="s">
        <v>835</v>
      </c>
      <c r="C1104" s="139" t="s">
        <v>514</v>
      </c>
      <c r="D1104" s="18">
        <v>2333401.2200000002</v>
      </c>
      <c r="E1104" s="93">
        <v>0.91680913789999996</v>
      </c>
      <c r="F1104" s="18">
        <v>2139283.56</v>
      </c>
      <c r="G1104" s="15">
        <v>0</v>
      </c>
      <c r="H1104" s="13"/>
      <c r="I1104" s="13"/>
    </row>
    <row r="1105" spans="1:9">
      <c r="A1105" s="13" t="s">
        <v>1714</v>
      </c>
      <c r="B1105" s="139" t="s">
        <v>1148</v>
      </c>
      <c r="C1105" s="139" t="s">
        <v>514</v>
      </c>
      <c r="D1105" s="18">
        <v>2333401.2200000002</v>
      </c>
      <c r="E1105" s="93">
        <v>0.91598079089999995</v>
      </c>
      <c r="F1105" s="18">
        <v>2137350.69</v>
      </c>
      <c r="G1105" s="15">
        <v>0</v>
      </c>
      <c r="H1105" s="13"/>
      <c r="I1105" s="13"/>
    </row>
    <row r="1106" spans="1:9">
      <c r="A1106" s="13" t="s">
        <v>1715</v>
      </c>
      <c r="B1106" s="139" t="s">
        <v>982</v>
      </c>
      <c r="C1106" s="139" t="s">
        <v>514</v>
      </c>
      <c r="D1106" s="18">
        <v>2333401.2200000002</v>
      </c>
      <c r="E1106" s="93">
        <v>0.91515420309999995</v>
      </c>
      <c r="F1106" s="18">
        <v>2135421.9300000002</v>
      </c>
      <c r="G1106" s="15">
        <v>0</v>
      </c>
      <c r="H1106" s="13"/>
      <c r="I1106" s="13"/>
    </row>
    <row r="1107" spans="1:9">
      <c r="A1107" s="13" t="s">
        <v>1716</v>
      </c>
      <c r="B1107" s="139" t="s">
        <v>1209</v>
      </c>
      <c r="C1107" s="139" t="s">
        <v>514</v>
      </c>
      <c r="D1107" s="18">
        <v>2333401.2200000002</v>
      </c>
      <c r="E1107" s="93">
        <v>0.91432883789999997</v>
      </c>
      <c r="F1107" s="18">
        <v>2133496.0299999998</v>
      </c>
      <c r="G1107" s="15">
        <v>0</v>
      </c>
      <c r="H1107" s="13"/>
      <c r="I1107" s="13"/>
    </row>
    <row r="1108" spans="1:9">
      <c r="A1108" s="13" t="s">
        <v>1717</v>
      </c>
      <c r="B1108" s="139" t="s">
        <v>1206</v>
      </c>
      <c r="C1108" s="139" t="s">
        <v>514</v>
      </c>
      <c r="D1108" s="18">
        <v>2333401.2200000002</v>
      </c>
      <c r="E1108" s="93">
        <v>0.91763899130000004</v>
      </c>
      <c r="F1108" s="18">
        <v>2141219.94</v>
      </c>
      <c r="G1108" s="15">
        <v>0</v>
      </c>
      <c r="H1108" s="13"/>
      <c r="I1108" s="13"/>
    </row>
    <row r="1109" spans="1:9">
      <c r="A1109" s="13" t="s">
        <v>1698</v>
      </c>
      <c r="B1109" s="139" t="s">
        <v>797</v>
      </c>
      <c r="C1109" s="139" t="s">
        <v>514</v>
      </c>
      <c r="D1109" s="18">
        <v>2067824.35</v>
      </c>
      <c r="E1109" s="93">
        <v>0.92097318770000003</v>
      </c>
      <c r="F1109" s="18">
        <v>1904410.78</v>
      </c>
      <c r="G1109" s="15">
        <v>0</v>
      </c>
      <c r="H1109" s="13"/>
      <c r="I1109" s="13"/>
    </row>
    <row r="1110" spans="1:9">
      <c r="A1110" s="13" t="s">
        <v>1699</v>
      </c>
      <c r="B1110" s="139" t="s">
        <v>777</v>
      </c>
      <c r="C1110" s="139" t="s">
        <v>514</v>
      </c>
      <c r="D1110" s="18">
        <v>2067824.35</v>
      </c>
      <c r="E1110" s="93">
        <v>0.92013730360000001</v>
      </c>
      <c r="F1110" s="18">
        <v>1902682.32</v>
      </c>
      <c r="G1110" s="15">
        <v>0</v>
      </c>
      <c r="H1110" s="13"/>
      <c r="I1110" s="13"/>
    </row>
    <row r="1111" spans="1:9">
      <c r="A1111" s="13" t="s">
        <v>1700</v>
      </c>
      <c r="B1111" s="139" t="s">
        <v>1206</v>
      </c>
      <c r="C1111" s="139" t="s">
        <v>514</v>
      </c>
      <c r="D1111" s="18">
        <v>2067824.35</v>
      </c>
      <c r="E1111" s="93">
        <v>0.91763899130000004</v>
      </c>
      <c r="F1111" s="18">
        <v>1897516.25</v>
      </c>
      <c r="G1111" s="15">
        <v>0</v>
      </c>
      <c r="H1111" s="13"/>
      <c r="I1111" s="13"/>
    </row>
    <row r="1112" spans="1:9">
      <c r="A1112" s="13" t="s">
        <v>1701</v>
      </c>
      <c r="B1112" s="139" t="s">
        <v>835</v>
      </c>
      <c r="C1112" s="139" t="s">
        <v>514</v>
      </c>
      <c r="D1112" s="18">
        <v>2067824.35</v>
      </c>
      <c r="E1112" s="93">
        <v>0.91680913789999996</v>
      </c>
      <c r="F1112" s="18">
        <v>1895800.26</v>
      </c>
      <c r="G1112" s="15">
        <v>0</v>
      </c>
      <c r="H1112" s="13"/>
      <c r="I1112" s="13"/>
    </row>
    <row r="1113" spans="1:9">
      <c r="A1113" s="13" t="s">
        <v>1703</v>
      </c>
      <c r="B1113" s="139" t="s">
        <v>193</v>
      </c>
      <c r="C1113" s="139" t="s">
        <v>514</v>
      </c>
      <c r="D1113" s="15">
        <v>13000000</v>
      </c>
      <c r="E1113" s="153">
        <v>0.95099140000000004</v>
      </c>
      <c r="F1113" s="151">
        <v>12362888.199999999</v>
      </c>
      <c r="G1113" s="18">
        <v>0.03</v>
      </c>
      <c r="H1113" s="13"/>
      <c r="I1113" s="13"/>
    </row>
    <row r="1114" spans="1:9">
      <c r="A1114" s="13" t="s">
        <v>1704</v>
      </c>
      <c r="B1114" s="139" t="s">
        <v>193</v>
      </c>
      <c r="C1114" s="139" t="s">
        <v>514</v>
      </c>
      <c r="D1114" s="15">
        <v>13000000</v>
      </c>
      <c r="E1114" s="153">
        <v>0.95099140000000004</v>
      </c>
      <c r="F1114" s="151">
        <v>12362888.199999999</v>
      </c>
      <c r="G1114" s="18">
        <v>0.03</v>
      </c>
      <c r="H1114" s="13"/>
      <c r="I1114" s="13"/>
    </row>
    <row r="1115" spans="1:9">
      <c r="A1115" s="13" t="s">
        <v>1705</v>
      </c>
      <c r="B1115" s="139" t="s">
        <v>193</v>
      </c>
      <c r="C1115" s="139" t="s">
        <v>514</v>
      </c>
      <c r="D1115" s="15">
        <v>13000000</v>
      </c>
      <c r="E1115" s="153">
        <v>0.95099140000000004</v>
      </c>
      <c r="F1115" s="151">
        <v>12362888.199999999</v>
      </c>
      <c r="G1115" s="18">
        <v>0.03</v>
      </c>
      <c r="H1115" s="13"/>
      <c r="I1115" s="13"/>
    </row>
    <row r="1116" spans="1:9">
      <c r="A1116" s="13" t="s">
        <v>1707</v>
      </c>
      <c r="B1116" s="139" t="s">
        <v>477</v>
      </c>
      <c r="C1116" s="139" t="s">
        <v>514</v>
      </c>
      <c r="D1116" s="18">
        <v>9676723.3300000001</v>
      </c>
      <c r="E1116" s="154">
        <v>0.977897036</v>
      </c>
      <c r="F1116" s="18">
        <v>9462839.0600000005</v>
      </c>
      <c r="G1116" s="18">
        <v>0.02</v>
      </c>
      <c r="H1116" s="13"/>
      <c r="I1116" s="13"/>
    </row>
    <row r="1117" spans="1:9">
      <c r="A1117" s="13" t="s">
        <v>1722</v>
      </c>
      <c r="B1117" s="139" t="s">
        <v>607</v>
      </c>
      <c r="C1117" s="139" t="s">
        <v>429</v>
      </c>
      <c r="D1117" s="15">
        <v>300000000</v>
      </c>
      <c r="E1117" s="93">
        <v>0.97294416539999995</v>
      </c>
      <c r="F1117" s="18">
        <v>291883249.62</v>
      </c>
      <c r="G1117" s="18">
        <v>0.66</v>
      </c>
      <c r="H1117" s="13"/>
      <c r="I1117" s="13"/>
    </row>
    <row r="1118" spans="1:9">
      <c r="A1118" s="13" t="s">
        <v>1723</v>
      </c>
      <c r="B1118" s="139" t="s">
        <v>610</v>
      </c>
      <c r="C1118" s="139" t="s">
        <v>429</v>
      </c>
      <c r="D1118" s="15">
        <v>300000000</v>
      </c>
      <c r="E1118" s="93">
        <v>0.96940404449999995</v>
      </c>
      <c r="F1118" s="18">
        <v>290821213.35000002</v>
      </c>
      <c r="G1118" s="18">
        <v>0.65</v>
      </c>
      <c r="H1118" s="13"/>
      <c r="I1118" s="13"/>
    </row>
    <row r="1119" spans="1:9">
      <c r="A1119" s="13" t="s">
        <v>1724</v>
      </c>
      <c r="B1119" s="139" t="s">
        <v>736</v>
      </c>
      <c r="C1119" s="139" t="s">
        <v>429</v>
      </c>
      <c r="D1119" s="15">
        <v>10000000</v>
      </c>
      <c r="E1119" s="93">
        <v>0.94928482719999996</v>
      </c>
      <c r="F1119" s="18">
        <v>9492848.2699999996</v>
      </c>
      <c r="G1119" s="18">
        <v>0.02</v>
      </c>
      <c r="H1119" s="13"/>
      <c r="I1119" s="13"/>
    </row>
    <row r="1120" spans="1:9">
      <c r="A1120" s="13" t="s">
        <v>1725</v>
      </c>
      <c r="B1120" s="139" t="s">
        <v>809</v>
      </c>
      <c r="C1120" s="139" t="s">
        <v>429</v>
      </c>
      <c r="D1120" s="15">
        <v>10000000</v>
      </c>
      <c r="E1120" s="93">
        <v>0.94339645429999996</v>
      </c>
      <c r="F1120" s="18">
        <v>9433964.5399999991</v>
      </c>
      <c r="G1120" s="18">
        <v>0.02</v>
      </c>
      <c r="H1120" s="13"/>
      <c r="I1120" s="13"/>
    </row>
    <row r="1121" spans="1:9">
      <c r="A1121" s="13" t="s">
        <v>1726</v>
      </c>
      <c r="B1121" s="139" t="s">
        <v>1206</v>
      </c>
      <c r="C1121" s="139" t="s">
        <v>429</v>
      </c>
      <c r="D1121" s="15">
        <v>30000000</v>
      </c>
      <c r="E1121" s="93">
        <v>0.91974299069999998</v>
      </c>
      <c r="F1121" s="18">
        <v>27592289.719999999</v>
      </c>
      <c r="G1121" s="18">
        <v>0.06</v>
      </c>
      <c r="H1121" s="13"/>
      <c r="I1121" s="13"/>
    </row>
    <row r="1122" spans="1:9">
      <c r="A1122" s="13" t="s">
        <v>1727</v>
      </c>
      <c r="B1122" s="139" t="s">
        <v>1062</v>
      </c>
      <c r="C1122" s="139" t="s">
        <v>335</v>
      </c>
      <c r="D1122" s="18">
        <v>9478811.3499999996</v>
      </c>
      <c r="E1122" s="93">
        <v>0.87740399670000002</v>
      </c>
      <c r="F1122" s="18">
        <v>8316746.96</v>
      </c>
      <c r="G1122" s="18">
        <v>0.02</v>
      </c>
      <c r="H1122" s="13"/>
      <c r="I1122" s="13"/>
    </row>
    <row r="1123" spans="1:9">
      <c r="A1123" s="13" t="s">
        <v>1728</v>
      </c>
      <c r="B1123" s="139" t="s">
        <v>1080</v>
      </c>
      <c r="C1123" s="139" t="s">
        <v>335</v>
      </c>
      <c r="D1123" s="15">
        <v>20000000</v>
      </c>
      <c r="E1123" s="93">
        <v>0.90552743869999996</v>
      </c>
      <c r="F1123" s="18">
        <v>18110548.77</v>
      </c>
      <c r="G1123" s="18">
        <v>0.04</v>
      </c>
      <c r="H1123" s="13"/>
      <c r="I1123" s="13"/>
    </row>
    <row r="1124" spans="1:9">
      <c r="A1124" s="13" t="s">
        <v>1729</v>
      </c>
      <c r="B1124" s="139" t="s">
        <v>948</v>
      </c>
      <c r="C1124" s="139" t="s">
        <v>335</v>
      </c>
      <c r="D1124" s="15">
        <v>9000000</v>
      </c>
      <c r="E1124" s="93">
        <v>0.92917895360000002</v>
      </c>
      <c r="F1124" s="18">
        <v>8362610.5800000001</v>
      </c>
      <c r="G1124" s="18">
        <v>0.02</v>
      </c>
      <c r="H1124" s="13"/>
      <c r="I1124" s="13"/>
    </row>
    <row r="1125" spans="1:9">
      <c r="A1125" s="13" t="s">
        <v>1730</v>
      </c>
      <c r="B1125" s="139" t="s">
        <v>952</v>
      </c>
      <c r="C1125" s="139" t="s">
        <v>335</v>
      </c>
      <c r="D1125" s="15">
        <v>9000000</v>
      </c>
      <c r="E1125" s="93">
        <v>0.9236765831</v>
      </c>
      <c r="F1125" s="18">
        <v>8313089.25</v>
      </c>
      <c r="G1125" s="18">
        <v>0.02</v>
      </c>
      <c r="H1125" s="13"/>
      <c r="I1125" s="13"/>
    </row>
    <row r="1126" spans="1:9">
      <c r="A1126" s="13" t="s">
        <v>1731</v>
      </c>
      <c r="B1126" s="139" t="s">
        <v>795</v>
      </c>
      <c r="C1126" s="139" t="s">
        <v>335</v>
      </c>
      <c r="D1126" s="15">
        <v>9000000</v>
      </c>
      <c r="E1126" s="154">
        <v>0.93350401299999997</v>
      </c>
      <c r="F1126" s="18">
        <v>8401536.1199999992</v>
      </c>
      <c r="G1126" s="18">
        <v>0.02</v>
      </c>
      <c r="H1126" s="13"/>
      <c r="I1126" s="13"/>
    </row>
    <row r="1127" spans="1:9">
      <c r="A1127" s="13" t="s">
        <v>1732</v>
      </c>
      <c r="B1127" s="139" t="s">
        <v>952</v>
      </c>
      <c r="C1127" s="139" t="s">
        <v>335</v>
      </c>
      <c r="D1127" s="15">
        <v>9000000</v>
      </c>
      <c r="E1127" s="93">
        <v>0.9236765831</v>
      </c>
      <c r="F1127" s="18">
        <v>8313089.25</v>
      </c>
      <c r="G1127" s="18">
        <v>0.02</v>
      </c>
      <c r="H1127" s="13"/>
      <c r="I1127" s="13"/>
    </row>
    <row r="1128" spans="1:9">
      <c r="A1128" s="13" t="s">
        <v>1733</v>
      </c>
      <c r="B1128" s="139" t="s">
        <v>1011</v>
      </c>
      <c r="C1128" s="139" t="s">
        <v>335</v>
      </c>
      <c r="D1128" s="15">
        <v>2000000</v>
      </c>
      <c r="E1128" s="93">
        <v>0.90413693449999999</v>
      </c>
      <c r="F1128" s="18">
        <v>1808273.87</v>
      </c>
      <c r="G1128" s="15">
        <v>0</v>
      </c>
      <c r="H1128" s="13"/>
      <c r="I1128" s="13"/>
    </row>
    <row r="1129" spans="1:9">
      <c r="A1129" s="13" t="s">
        <v>1734</v>
      </c>
      <c r="B1129" s="139" t="s">
        <v>1015</v>
      </c>
      <c r="C1129" s="139" t="s">
        <v>335</v>
      </c>
      <c r="D1129" s="15">
        <v>2000000</v>
      </c>
      <c r="E1129" s="93">
        <v>0.90078986159999996</v>
      </c>
      <c r="F1129" s="18">
        <v>1801579.72</v>
      </c>
      <c r="G1129" s="15">
        <v>0</v>
      </c>
      <c r="H1129" s="13"/>
      <c r="I1129" s="13"/>
    </row>
    <row r="1130" spans="1:9">
      <c r="A1130" s="13" t="s">
        <v>1735</v>
      </c>
      <c r="B1130" s="139" t="s">
        <v>638</v>
      </c>
      <c r="C1130" s="139" t="s">
        <v>335</v>
      </c>
      <c r="D1130" s="15">
        <v>8970000</v>
      </c>
      <c r="E1130" s="93">
        <v>0.97359296669999995</v>
      </c>
      <c r="F1130" s="18">
        <v>8733128.9100000001</v>
      </c>
      <c r="G1130" s="18">
        <v>0.02</v>
      </c>
      <c r="H1130" s="13"/>
      <c r="I1130" s="13"/>
    </row>
    <row r="1131" spans="1:9">
      <c r="A1131" s="13" t="s">
        <v>1736</v>
      </c>
      <c r="B1131" s="139" t="s">
        <v>638</v>
      </c>
      <c r="C1131" s="139" t="s">
        <v>335</v>
      </c>
      <c r="D1131" s="15">
        <v>7821000</v>
      </c>
      <c r="E1131" s="93">
        <v>0.97359296510000004</v>
      </c>
      <c r="F1131" s="18">
        <v>7614470.5800000001</v>
      </c>
      <c r="G1131" s="18">
        <v>0.02</v>
      </c>
      <c r="H1131" s="13"/>
      <c r="I1131" s="13"/>
    </row>
    <row r="1132" spans="1:9">
      <c r="A1132" s="13" t="s">
        <v>1737</v>
      </c>
      <c r="B1132" s="139" t="s">
        <v>1064</v>
      </c>
      <c r="C1132" s="139" t="s">
        <v>335</v>
      </c>
      <c r="D1132" s="15">
        <v>35000000</v>
      </c>
      <c r="E1132" s="93">
        <v>0.88972320059999999</v>
      </c>
      <c r="F1132" s="18">
        <v>31140312.02</v>
      </c>
      <c r="G1132" s="18">
        <v>7.0000000000000007E-2</v>
      </c>
      <c r="H1132" s="13"/>
      <c r="I1132" s="13"/>
    </row>
    <row r="1133" spans="1:9">
      <c r="A1133" s="13" t="s">
        <v>1738</v>
      </c>
      <c r="B1133" s="139" t="s">
        <v>896</v>
      </c>
      <c r="C1133" s="139" t="s">
        <v>335</v>
      </c>
      <c r="D1133" s="15">
        <v>35000000</v>
      </c>
      <c r="E1133" s="93">
        <v>0.88596552620000002</v>
      </c>
      <c r="F1133" s="18">
        <v>31008793.420000002</v>
      </c>
      <c r="G1133" s="18">
        <v>7.0000000000000007E-2</v>
      </c>
      <c r="H1133" s="13"/>
      <c r="I1133" s="13"/>
    </row>
    <row r="1134" spans="1:9">
      <c r="A1134" s="13" t="s">
        <v>1739</v>
      </c>
      <c r="B1134" s="139" t="s">
        <v>1062</v>
      </c>
      <c r="C1134" s="139" t="s">
        <v>335</v>
      </c>
      <c r="D1134" s="15">
        <v>30000000</v>
      </c>
      <c r="E1134" s="93">
        <v>0.88100424789999998</v>
      </c>
      <c r="F1134" s="18">
        <v>26430127.440000001</v>
      </c>
      <c r="G1134" s="18">
        <v>0.06</v>
      </c>
      <c r="H1134" s="13"/>
      <c r="I1134" s="13"/>
    </row>
    <row r="1135" spans="1:9">
      <c r="A1135" s="13" t="s">
        <v>1740</v>
      </c>
      <c r="B1135" s="139" t="s">
        <v>388</v>
      </c>
      <c r="C1135" s="139" t="s">
        <v>335</v>
      </c>
      <c r="D1135" s="18">
        <v>1695872.63</v>
      </c>
      <c r="E1135" s="93">
        <v>0.98755424280000004</v>
      </c>
      <c r="F1135" s="18">
        <v>1674766.21</v>
      </c>
      <c r="G1135" s="15">
        <v>0</v>
      </c>
      <c r="H1135" s="13"/>
      <c r="I1135" s="13"/>
    </row>
    <row r="1136" spans="1:9">
      <c r="A1136" s="13" t="s">
        <v>1741</v>
      </c>
      <c r="B1136" s="139" t="s">
        <v>493</v>
      </c>
      <c r="C1136" s="139" t="s">
        <v>335</v>
      </c>
      <c r="D1136" s="15">
        <v>2500000</v>
      </c>
      <c r="E1136" s="93">
        <v>0.97281454389999999</v>
      </c>
      <c r="F1136" s="18">
        <v>2432036.36</v>
      </c>
      <c r="G1136" s="18">
        <v>0.01</v>
      </c>
      <c r="H1136" s="13"/>
      <c r="I1136" s="13"/>
    </row>
    <row r="1137" spans="1:9">
      <c r="A1137" s="13" t="s">
        <v>1742</v>
      </c>
      <c r="B1137" s="139" t="s">
        <v>491</v>
      </c>
      <c r="C1137" s="139" t="s">
        <v>335</v>
      </c>
      <c r="D1137" s="15">
        <v>2500000</v>
      </c>
      <c r="E1137" s="93">
        <v>0.97541431769999998</v>
      </c>
      <c r="F1137" s="18">
        <v>2438535.79</v>
      </c>
      <c r="G1137" s="18">
        <v>0.01</v>
      </c>
      <c r="H1137" s="13"/>
      <c r="I1137" s="13"/>
    </row>
    <row r="1138" spans="1:9">
      <c r="A1138" s="13" t="s">
        <v>1743</v>
      </c>
      <c r="B1138" s="139" t="s">
        <v>503</v>
      </c>
      <c r="C1138" s="139" t="s">
        <v>335</v>
      </c>
      <c r="D1138" s="15">
        <v>2500000</v>
      </c>
      <c r="E1138" s="28">
        <v>0.97645802999999998</v>
      </c>
      <c r="F1138" s="18">
        <v>2441145.08</v>
      </c>
      <c r="G1138" s="18">
        <v>0.01</v>
      </c>
      <c r="H1138" s="13"/>
      <c r="I1138" s="13"/>
    </row>
    <row r="1139" spans="1:9">
      <c r="A1139" s="13" t="s">
        <v>1744</v>
      </c>
      <c r="B1139" s="139" t="s">
        <v>809</v>
      </c>
      <c r="C1139" s="139" t="s">
        <v>335</v>
      </c>
      <c r="D1139" s="15">
        <v>2500000</v>
      </c>
      <c r="E1139" s="93">
        <v>0.96153849849999995</v>
      </c>
      <c r="F1139" s="18">
        <v>2403846.25</v>
      </c>
      <c r="G1139" s="18">
        <v>0.01</v>
      </c>
      <c r="H1139" s="13"/>
      <c r="I1139" s="13"/>
    </row>
    <row r="1140" spans="1:9">
      <c r="A1140" s="13" t="s">
        <v>1745</v>
      </c>
      <c r="B1140" s="139" t="s">
        <v>489</v>
      </c>
      <c r="C1140" s="139" t="s">
        <v>335</v>
      </c>
      <c r="D1140" s="15">
        <v>2500000</v>
      </c>
      <c r="E1140" s="93">
        <v>0.97750413260000002</v>
      </c>
      <c r="F1140" s="18">
        <v>2443760.33</v>
      </c>
      <c r="G1140" s="18">
        <v>0.01</v>
      </c>
      <c r="H1140" s="13"/>
      <c r="I1140" s="13"/>
    </row>
    <row r="1141" spans="1:9">
      <c r="A1141" s="13" t="s">
        <v>1746</v>
      </c>
      <c r="B1141" s="139" t="s">
        <v>809</v>
      </c>
      <c r="C1141" s="139" t="s">
        <v>335</v>
      </c>
      <c r="D1141" s="15">
        <v>2500000</v>
      </c>
      <c r="E1141" s="93">
        <v>0.96153849849999995</v>
      </c>
      <c r="F1141" s="18">
        <v>2403846.25</v>
      </c>
      <c r="G1141" s="18">
        <v>0.01</v>
      </c>
      <c r="H1141" s="13"/>
      <c r="I1141" s="13"/>
    </row>
    <row r="1142" spans="1:9">
      <c r="A1142" s="13" t="s">
        <v>1747</v>
      </c>
      <c r="B1142" s="139" t="s">
        <v>414</v>
      </c>
      <c r="C1142" s="139" t="s">
        <v>335</v>
      </c>
      <c r="D1142" s="15">
        <v>2500000</v>
      </c>
      <c r="E1142" s="93">
        <v>0.98012890919999995</v>
      </c>
      <c r="F1142" s="18">
        <v>2450322.27</v>
      </c>
      <c r="G1142" s="18">
        <v>0.01</v>
      </c>
      <c r="H1142" s="13"/>
      <c r="I1142" s="13"/>
    </row>
    <row r="1143" spans="1:9">
      <c r="A1143" s="13" t="s">
        <v>1748</v>
      </c>
      <c r="B1143" s="139" t="s">
        <v>412</v>
      </c>
      <c r="C1143" s="139" t="s">
        <v>335</v>
      </c>
      <c r="D1143" s="15">
        <v>2500000</v>
      </c>
      <c r="E1143" s="93">
        <v>0.96458788129999995</v>
      </c>
      <c r="F1143" s="151">
        <v>2411469.7000000002</v>
      </c>
      <c r="G1143" s="18">
        <v>0.01</v>
      </c>
      <c r="H1143" s="13"/>
      <c r="I1143" s="13"/>
    </row>
    <row r="1144" spans="1:9">
      <c r="A1144" s="13" t="s">
        <v>1749</v>
      </c>
      <c r="B1144" s="139" t="s">
        <v>632</v>
      </c>
      <c r="C1144" s="139" t="s">
        <v>335</v>
      </c>
      <c r="D1144" s="15">
        <v>2500000</v>
      </c>
      <c r="E1144" s="93">
        <v>0.9590122297</v>
      </c>
      <c r="F1144" s="18">
        <v>2397530.5699999998</v>
      </c>
      <c r="G1144" s="18">
        <v>0.01</v>
      </c>
      <c r="H1144" s="13"/>
      <c r="I1144" s="13"/>
    </row>
    <row r="1145" spans="1:9">
      <c r="A1145" s="13" t="s">
        <v>1750</v>
      </c>
      <c r="B1145" s="139" t="s">
        <v>860</v>
      </c>
      <c r="C1145" s="139" t="s">
        <v>335</v>
      </c>
      <c r="D1145" s="15">
        <v>2500000</v>
      </c>
      <c r="E1145" s="93">
        <v>0.9585084988</v>
      </c>
      <c r="F1145" s="18">
        <v>2396271.25</v>
      </c>
      <c r="G1145" s="18">
        <v>0.01</v>
      </c>
      <c r="H1145" s="13"/>
      <c r="I1145" s="13"/>
    </row>
    <row r="1146" spans="1:9">
      <c r="A1146" s="13" t="s">
        <v>1751</v>
      </c>
      <c r="B1146" s="139" t="s">
        <v>191</v>
      </c>
      <c r="C1146" s="139" t="s">
        <v>335</v>
      </c>
      <c r="D1146" s="15">
        <v>2500000</v>
      </c>
      <c r="E1146" s="93">
        <v>0.95549754170000001</v>
      </c>
      <c r="F1146" s="18">
        <v>2388743.85</v>
      </c>
      <c r="G1146" s="18">
        <v>0.01</v>
      </c>
      <c r="H1146" s="13"/>
      <c r="I1146" s="13"/>
    </row>
    <row r="1147" spans="1:9">
      <c r="A1147" s="13" t="s">
        <v>1752</v>
      </c>
      <c r="B1147" s="139" t="s">
        <v>477</v>
      </c>
      <c r="C1147" s="139" t="s">
        <v>335</v>
      </c>
      <c r="D1147" s="15">
        <v>2500000</v>
      </c>
      <c r="E1147" s="93">
        <v>0.98648654710000006</v>
      </c>
      <c r="F1147" s="18">
        <v>2466216.37</v>
      </c>
      <c r="G1147" s="18">
        <v>0.01</v>
      </c>
      <c r="H1147" s="13"/>
      <c r="I1147" s="13"/>
    </row>
    <row r="1148" spans="1:9">
      <c r="A1148" s="13" t="s">
        <v>1753</v>
      </c>
      <c r="B1148" s="139" t="s">
        <v>596</v>
      </c>
      <c r="C1148" s="139" t="s">
        <v>335</v>
      </c>
      <c r="D1148" s="15">
        <v>2500000</v>
      </c>
      <c r="E1148" s="93">
        <v>0.96919814640000002</v>
      </c>
      <c r="F1148" s="18">
        <v>2422995.37</v>
      </c>
      <c r="G1148" s="18">
        <v>0.01</v>
      </c>
      <c r="H1148" s="13"/>
      <c r="I1148" s="13"/>
    </row>
    <row r="1149" spans="1:9">
      <c r="A1149" s="13" t="s">
        <v>1754</v>
      </c>
      <c r="B1149" s="139" t="s">
        <v>638</v>
      </c>
      <c r="C1149" s="139" t="s">
        <v>335</v>
      </c>
      <c r="D1149" s="15">
        <v>2500000</v>
      </c>
      <c r="E1149" s="154">
        <v>0.98382749800000002</v>
      </c>
      <c r="F1149" s="18">
        <v>2459568.75</v>
      </c>
      <c r="G1149" s="18">
        <v>0.01</v>
      </c>
      <c r="H1149" s="13"/>
      <c r="I1149" s="13"/>
    </row>
    <row r="1150" spans="1:9">
      <c r="A1150" s="13" t="s">
        <v>1755</v>
      </c>
      <c r="B1150" s="139" t="s">
        <v>1194</v>
      </c>
      <c r="C1150" s="139" t="s">
        <v>335</v>
      </c>
      <c r="D1150" s="15">
        <v>2500000</v>
      </c>
      <c r="E1150" s="93">
        <v>0.96663135590000004</v>
      </c>
      <c r="F1150" s="18">
        <v>2416578.39</v>
      </c>
      <c r="G1150" s="18">
        <v>0.01</v>
      </c>
      <c r="H1150" s="13"/>
      <c r="I1150" s="13"/>
    </row>
    <row r="1151" spans="1:9">
      <c r="A1151" s="13" t="s">
        <v>1756</v>
      </c>
      <c r="B1151" s="139" t="s">
        <v>1105</v>
      </c>
      <c r="C1151" s="139" t="s">
        <v>335</v>
      </c>
      <c r="D1151" s="15">
        <v>2500000</v>
      </c>
      <c r="E1151" s="93">
        <v>0.9811828963</v>
      </c>
      <c r="F1151" s="18">
        <v>2452957.2400000002</v>
      </c>
      <c r="G1151" s="18">
        <v>0.01</v>
      </c>
      <c r="H1151" s="13"/>
      <c r="I1151" s="13"/>
    </row>
    <row r="1152" spans="1:9">
      <c r="A1152" s="13" t="s">
        <v>1757</v>
      </c>
      <c r="B1152" s="139" t="s">
        <v>736</v>
      </c>
      <c r="C1152" s="139" t="s">
        <v>335</v>
      </c>
      <c r="D1152" s="15">
        <v>2500000</v>
      </c>
      <c r="E1152" s="93">
        <v>0.96560854029999998</v>
      </c>
      <c r="F1152" s="18">
        <v>2414021.35</v>
      </c>
      <c r="G1152" s="18">
        <v>0.01</v>
      </c>
      <c r="H1152" s="13"/>
      <c r="I1152" s="13"/>
    </row>
    <row r="1153" spans="1:9">
      <c r="A1153" s="13" t="s">
        <v>1758</v>
      </c>
      <c r="B1153" s="139" t="s">
        <v>414</v>
      </c>
      <c r="C1153" s="139" t="s">
        <v>335</v>
      </c>
      <c r="D1153" s="15">
        <v>2500000</v>
      </c>
      <c r="E1153" s="93">
        <v>0.98012890919999995</v>
      </c>
      <c r="F1153" s="18">
        <v>2450322.27</v>
      </c>
      <c r="G1153" s="18">
        <v>0.01</v>
      </c>
      <c r="H1153" s="13"/>
      <c r="I1153" s="13"/>
    </row>
    <row r="1154" spans="1:9">
      <c r="A1154" s="13" t="s">
        <v>1759</v>
      </c>
      <c r="B1154" s="139" t="s">
        <v>346</v>
      </c>
      <c r="C1154" s="139" t="s">
        <v>335</v>
      </c>
      <c r="D1154" s="15">
        <v>2500000</v>
      </c>
      <c r="E1154" s="93">
        <v>0.97229622010000005</v>
      </c>
      <c r="F1154" s="18">
        <v>2430740.5499999998</v>
      </c>
      <c r="G1154" s="18">
        <v>0.01</v>
      </c>
      <c r="H1154" s="13"/>
      <c r="I1154" s="13"/>
    </row>
    <row r="1155" spans="1:9">
      <c r="A1155" s="13" t="s">
        <v>1760</v>
      </c>
      <c r="B1155" s="139" t="s">
        <v>193</v>
      </c>
      <c r="C1155" s="139" t="s">
        <v>335</v>
      </c>
      <c r="D1155" s="15">
        <v>2500000</v>
      </c>
      <c r="E1155" s="93">
        <v>0.96971316959999998</v>
      </c>
      <c r="F1155" s="18">
        <v>2424282.92</v>
      </c>
      <c r="G1155" s="18">
        <v>0.01</v>
      </c>
      <c r="H1155" s="13"/>
      <c r="I1155" s="13"/>
    </row>
    <row r="1156" spans="1:9">
      <c r="A1156" s="13" t="s">
        <v>1761</v>
      </c>
      <c r="B1156" s="139" t="s">
        <v>860</v>
      </c>
      <c r="C1156" s="139" t="s">
        <v>335</v>
      </c>
      <c r="D1156" s="151">
        <v>169949.7</v>
      </c>
      <c r="E1156" s="93">
        <v>0.95061994429999996</v>
      </c>
      <c r="F1156" s="18">
        <v>161557.57</v>
      </c>
      <c r="G1156" s="15">
        <v>0</v>
      </c>
      <c r="H1156" s="13"/>
      <c r="I1156" s="13"/>
    </row>
    <row r="1157" spans="1:9">
      <c r="A1157" s="13" t="s">
        <v>1762</v>
      </c>
      <c r="B1157" s="139" t="s">
        <v>948</v>
      </c>
      <c r="C1157" s="139" t="s">
        <v>335</v>
      </c>
      <c r="D1157" s="18">
        <v>685765.71</v>
      </c>
      <c r="E1157" s="93">
        <v>0.93426863920000003</v>
      </c>
      <c r="F1157" s="151">
        <v>640689.4</v>
      </c>
      <c r="G1157" s="15">
        <v>0</v>
      </c>
      <c r="H1157" s="13"/>
      <c r="I1157" s="13"/>
    </row>
    <row r="1158" spans="1:9">
      <c r="A1158" s="13" t="s">
        <v>1763</v>
      </c>
      <c r="B1158" s="139" t="s">
        <v>499</v>
      </c>
      <c r="C1158" s="139" t="s">
        <v>335</v>
      </c>
      <c r="D1158" s="18">
        <v>1068909.47</v>
      </c>
      <c r="E1158" s="93">
        <v>0.96878664150000005</v>
      </c>
      <c r="F1158" s="18">
        <v>1035545.22</v>
      </c>
      <c r="G1158" s="15">
        <v>0</v>
      </c>
      <c r="H1158" s="13"/>
      <c r="I1158" s="13"/>
    </row>
    <row r="1159" spans="1:9">
      <c r="A1159" s="13" t="s">
        <v>1764</v>
      </c>
      <c r="B1159" s="139" t="s">
        <v>499</v>
      </c>
      <c r="C1159" s="139" t="s">
        <v>335</v>
      </c>
      <c r="D1159" s="18">
        <v>505653.95</v>
      </c>
      <c r="E1159" s="93">
        <v>0.96878665289999999</v>
      </c>
      <c r="F1159" s="151">
        <v>489870.8</v>
      </c>
      <c r="G1159" s="15">
        <v>0</v>
      </c>
      <c r="H1159" s="13"/>
      <c r="I1159" s="13"/>
    </row>
    <row r="1160" spans="1:9">
      <c r="A1160" s="13" t="s">
        <v>1765</v>
      </c>
      <c r="B1160" s="139" t="s">
        <v>860</v>
      </c>
      <c r="C1160" s="139" t="s">
        <v>335</v>
      </c>
      <c r="D1160" s="151">
        <v>169949.7</v>
      </c>
      <c r="E1160" s="93">
        <v>0.95061994429999996</v>
      </c>
      <c r="F1160" s="18">
        <v>161557.57</v>
      </c>
      <c r="G1160" s="15">
        <v>0</v>
      </c>
      <c r="H1160" s="13"/>
      <c r="I1160" s="13"/>
    </row>
    <row r="1161" spans="1:9">
      <c r="A1161" s="13" t="s">
        <v>1766</v>
      </c>
      <c r="B1161" s="139" t="s">
        <v>948</v>
      </c>
      <c r="C1161" s="139" t="s">
        <v>335</v>
      </c>
      <c r="D1161" s="18">
        <v>535280.22</v>
      </c>
      <c r="E1161" s="93">
        <v>0.93426863159999995</v>
      </c>
      <c r="F1161" s="18">
        <v>500095.52</v>
      </c>
      <c r="G1161" s="15">
        <v>0</v>
      </c>
      <c r="H1161" s="13"/>
      <c r="I1161" s="13"/>
    </row>
    <row r="1162" spans="1:9">
      <c r="A1162" s="13" t="s">
        <v>1767</v>
      </c>
      <c r="B1162" s="139" t="s">
        <v>948</v>
      </c>
      <c r="C1162" s="139" t="s">
        <v>335</v>
      </c>
      <c r="D1162" s="18">
        <v>535280.22</v>
      </c>
      <c r="E1162" s="93">
        <v>0.93426863159999995</v>
      </c>
      <c r="F1162" s="18">
        <v>500095.52</v>
      </c>
      <c r="G1162" s="15">
        <v>0</v>
      </c>
      <c r="H1162" s="13"/>
      <c r="I1162" s="13"/>
    </row>
    <row r="1163" spans="1:9">
      <c r="A1163" s="13" t="s">
        <v>1768</v>
      </c>
      <c r="B1163" s="139" t="s">
        <v>948</v>
      </c>
      <c r="C1163" s="139" t="s">
        <v>335</v>
      </c>
      <c r="D1163" s="18">
        <v>689115.82</v>
      </c>
      <c r="E1163" s="93">
        <v>0.9342686469</v>
      </c>
      <c r="F1163" s="151">
        <v>643819.30000000005</v>
      </c>
      <c r="G1163" s="15">
        <v>0</v>
      </c>
      <c r="H1163" s="13"/>
      <c r="I1163" s="13"/>
    </row>
    <row r="1164" spans="1:9">
      <c r="A1164" s="13" t="s">
        <v>1769</v>
      </c>
      <c r="B1164" s="139" t="s">
        <v>948</v>
      </c>
      <c r="C1164" s="139" t="s">
        <v>335</v>
      </c>
      <c r="D1164" s="18">
        <v>2688265.68</v>
      </c>
      <c r="E1164" s="93">
        <v>0.93426863670000004</v>
      </c>
      <c r="F1164" s="18">
        <v>2511562.31</v>
      </c>
      <c r="G1164" s="18">
        <v>0.01</v>
      </c>
      <c r="H1164" s="13"/>
      <c r="I1164" s="13"/>
    </row>
    <row r="1165" spans="1:9">
      <c r="A1165" s="13" t="s">
        <v>1770</v>
      </c>
      <c r="B1165" s="139" t="s">
        <v>499</v>
      </c>
      <c r="C1165" s="139" t="s">
        <v>335</v>
      </c>
      <c r="D1165" s="151">
        <v>8802443.9000000004</v>
      </c>
      <c r="E1165" s="93">
        <v>0.96878665159999999</v>
      </c>
      <c r="F1165" s="18">
        <v>8527690.1500000004</v>
      </c>
      <c r="G1165" s="18">
        <v>0.02</v>
      </c>
      <c r="H1165" s="13"/>
      <c r="I1165" s="13"/>
    </row>
    <row r="1166" spans="1:9">
      <c r="A1166" s="13" t="s">
        <v>1771</v>
      </c>
      <c r="B1166" s="139" t="s">
        <v>499</v>
      </c>
      <c r="C1166" s="139" t="s">
        <v>335</v>
      </c>
      <c r="D1166" s="18">
        <v>970094.59</v>
      </c>
      <c r="E1166" s="93">
        <v>0.96878666170000005</v>
      </c>
      <c r="F1166" s="151">
        <v>939814.7</v>
      </c>
      <c r="G1166" s="15">
        <v>0</v>
      </c>
      <c r="H1166" s="13"/>
      <c r="I1166" s="13"/>
    </row>
    <row r="1167" spans="1:9">
      <c r="A1167" s="13" t="s">
        <v>1772</v>
      </c>
      <c r="B1167" s="139" t="s">
        <v>499</v>
      </c>
      <c r="C1167" s="139" t="s">
        <v>335</v>
      </c>
      <c r="D1167" s="151">
        <v>1044096.2</v>
      </c>
      <c r="E1167" s="93">
        <v>0.96878665289999999</v>
      </c>
      <c r="F1167" s="18">
        <v>1011506.46</v>
      </c>
      <c r="G1167" s="15">
        <v>0</v>
      </c>
      <c r="H1167" s="13"/>
      <c r="I1167" s="13"/>
    </row>
    <row r="1168" spans="1:9">
      <c r="A1168" s="13" t="s">
        <v>1773</v>
      </c>
      <c r="B1168" s="139" t="s">
        <v>499</v>
      </c>
      <c r="C1168" s="139" t="s">
        <v>335</v>
      </c>
      <c r="D1168" s="18">
        <v>3745855.84</v>
      </c>
      <c r="E1168" s="93">
        <v>0.96878664910000001</v>
      </c>
      <c r="F1168" s="18">
        <v>3628935.13</v>
      </c>
      <c r="G1168" s="18">
        <v>0.01</v>
      </c>
      <c r="H1168" s="13"/>
      <c r="I1168" s="13"/>
    </row>
    <row r="1169" spans="1:9">
      <c r="A1169" s="13" t="s">
        <v>1774</v>
      </c>
      <c r="B1169" s="139" t="s">
        <v>499</v>
      </c>
      <c r="C1169" s="139" t="s">
        <v>335</v>
      </c>
      <c r="D1169" s="18">
        <v>128742.88</v>
      </c>
      <c r="E1169" s="93">
        <v>0.96878674490000005</v>
      </c>
      <c r="F1169" s="151">
        <v>124724.4</v>
      </c>
      <c r="G1169" s="15">
        <v>0</v>
      </c>
      <c r="H1169" s="13"/>
      <c r="I1169" s="13"/>
    </row>
    <row r="1170" spans="1:9">
      <c r="A1170" s="13" t="s">
        <v>1775</v>
      </c>
      <c r="B1170" s="139" t="s">
        <v>499</v>
      </c>
      <c r="C1170" s="139" t="s">
        <v>335</v>
      </c>
      <c r="D1170" s="18">
        <v>84170.31</v>
      </c>
      <c r="E1170" s="93">
        <v>0.96878677010000003</v>
      </c>
      <c r="F1170" s="18">
        <v>81543.08</v>
      </c>
      <c r="G1170" s="15">
        <v>0</v>
      </c>
      <c r="H1170" s="13"/>
      <c r="I1170" s="13"/>
    </row>
    <row r="1171" spans="1:9">
      <c r="A1171" s="13" t="s">
        <v>1776</v>
      </c>
      <c r="B1171" s="139" t="s">
        <v>499</v>
      </c>
      <c r="C1171" s="139" t="s">
        <v>335</v>
      </c>
      <c r="D1171" s="151">
        <v>1044096.2</v>
      </c>
      <c r="E1171" s="93">
        <v>0.96878665289999999</v>
      </c>
      <c r="F1171" s="18">
        <v>1011506.46</v>
      </c>
      <c r="G1171" s="15">
        <v>0</v>
      </c>
      <c r="H1171" s="13"/>
      <c r="I1171" s="13"/>
    </row>
    <row r="1172" spans="1:9">
      <c r="A1172" s="13" t="s">
        <v>1777</v>
      </c>
      <c r="B1172" s="139" t="s">
        <v>860</v>
      </c>
      <c r="C1172" s="139" t="s">
        <v>335</v>
      </c>
      <c r="D1172" s="18">
        <v>2382065.5699999998</v>
      </c>
      <c r="E1172" s="93">
        <v>0.95061997750000005</v>
      </c>
      <c r="F1172" s="18">
        <v>2264439.12</v>
      </c>
      <c r="G1172" s="18">
        <v>0.01</v>
      </c>
      <c r="H1172" s="13"/>
      <c r="I1172" s="13"/>
    </row>
    <row r="1173" spans="1:9">
      <c r="A1173" s="13" t="s">
        <v>1778</v>
      </c>
      <c r="B1173" s="139" t="s">
        <v>596</v>
      </c>
      <c r="C1173" s="139" t="s">
        <v>335</v>
      </c>
      <c r="D1173" s="18">
        <v>1484637.46</v>
      </c>
      <c r="E1173" s="93">
        <v>0.96326407839999995</v>
      </c>
      <c r="F1173" s="18">
        <v>1430097.93</v>
      </c>
      <c r="G1173" s="15">
        <v>0</v>
      </c>
      <c r="H1173" s="13"/>
      <c r="I1173" s="13"/>
    </row>
    <row r="1174" spans="1:9">
      <c r="A1174" s="13" t="s">
        <v>1779</v>
      </c>
      <c r="B1174" s="139" t="s">
        <v>493</v>
      </c>
      <c r="C1174" s="139" t="s">
        <v>335</v>
      </c>
      <c r="D1174" s="15">
        <v>100000000</v>
      </c>
      <c r="E1174" s="93">
        <v>0.95976867070000005</v>
      </c>
      <c r="F1174" s="18">
        <v>95976867.069999993</v>
      </c>
      <c r="G1174" s="18">
        <v>0.22</v>
      </c>
      <c r="H1174" s="13"/>
      <c r="I1174" s="13"/>
    </row>
    <row r="1175" spans="1:9">
      <c r="A1175" s="13" t="s">
        <v>1780</v>
      </c>
      <c r="B1175" s="139" t="s">
        <v>410</v>
      </c>
      <c r="C1175" s="139" t="s">
        <v>335</v>
      </c>
      <c r="D1175" s="15">
        <v>100000000</v>
      </c>
      <c r="E1175" s="93">
        <v>0.95825693229999998</v>
      </c>
      <c r="F1175" s="18">
        <v>95825693.230000004</v>
      </c>
      <c r="G1175" s="18">
        <v>0.22</v>
      </c>
      <c r="H1175" s="13"/>
      <c r="I1175" s="13"/>
    </row>
    <row r="1176" spans="1:9">
      <c r="A1176" s="13" t="s">
        <v>1781</v>
      </c>
      <c r="B1176" s="139" t="s">
        <v>346</v>
      </c>
      <c r="C1176" s="139" t="s">
        <v>335</v>
      </c>
      <c r="D1176" s="15">
        <v>100000000</v>
      </c>
      <c r="E1176" s="93">
        <v>0.9590120888</v>
      </c>
      <c r="F1176" s="18">
        <v>95901208.879999995</v>
      </c>
      <c r="G1176" s="18">
        <v>0.22</v>
      </c>
      <c r="H1176" s="13"/>
      <c r="I1176" s="13"/>
    </row>
    <row r="1177" spans="1:9">
      <c r="A1177" s="13" t="s">
        <v>1782</v>
      </c>
      <c r="B1177" s="139" t="s">
        <v>491</v>
      </c>
      <c r="C1177" s="139" t="s">
        <v>335</v>
      </c>
      <c r="D1177" s="18">
        <v>2429673.98</v>
      </c>
      <c r="E1177" s="93">
        <v>0.96007170770000005</v>
      </c>
      <c r="F1177" s="18">
        <v>2332661.25</v>
      </c>
      <c r="G1177" s="18">
        <v>0.01</v>
      </c>
      <c r="H1177" s="13"/>
      <c r="I1177" s="13"/>
    </row>
    <row r="1178" spans="1:9">
      <c r="A1178" s="13" t="s">
        <v>1783</v>
      </c>
      <c r="B1178" s="139" t="s">
        <v>493</v>
      </c>
      <c r="C1178" s="139" t="s">
        <v>335</v>
      </c>
      <c r="D1178" s="18">
        <v>1573636.95</v>
      </c>
      <c r="E1178" s="93">
        <v>0.95592286950000005</v>
      </c>
      <c r="F1178" s="18">
        <v>1504275.55</v>
      </c>
      <c r="G1178" s="15">
        <v>0</v>
      </c>
      <c r="H1178" s="13"/>
      <c r="I1178" s="13"/>
    </row>
    <row r="1179" spans="1:9">
      <c r="A1179" s="13" t="s">
        <v>1784</v>
      </c>
      <c r="B1179" s="139" t="s">
        <v>421</v>
      </c>
      <c r="C1179" s="139" t="s">
        <v>335</v>
      </c>
      <c r="D1179" s="18">
        <v>1449874.22</v>
      </c>
      <c r="E1179" s="93">
        <v>0.96678518079999998</v>
      </c>
      <c r="F1179" s="18">
        <v>1401716.91</v>
      </c>
      <c r="G1179" s="15">
        <v>0</v>
      </c>
      <c r="H1179" s="13"/>
      <c r="I1179" s="13"/>
    </row>
    <row r="1180" spans="1:9">
      <c r="A1180" s="13" t="s">
        <v>1785</v>
      </c>
      <c r="B1180" s="139" t="s">
        <v>489</v>
      </c>
      <c r="C1180" s="139" t="s">
        <v>335</v>
      </c>
      <c r="D1180" s="15">
        <v>2890000</v>
      </c>
      <c r="E1180" s="93">
        <v>0.96341675559999995</v>
      </c>
      <c r="F1180" s="18">
        <v>2784274.42</v>
      </c>
      <c r="G1180" s="18">
        <v>0.01</v>
      </c>
      <c r="H1180" s="13"/>
      <c r="I1180" s="13"/>
    </row>
    <row r="1181" spans="1:9">
      <c r="A1181" s="13" t="s">
        <v>1786</v>
      </c>
      <c r="B1181" s="139" t="s">
        <v>169</v>
      </c>
      <c r="C1181" s="139" t="s">
        <v>335</v>
      </c>
      <c r="D1181" s="15">
        <v>1000000</v>
      </c>
      <c r="E1181" s="93">
        <v>0.96257824489999999</v>
      </c>
      <c r="F1181" s="18">
        <v>962578.24</v>
      </c>
      <c r="G1181" s="15">
        <v>0</v>
      </c>
      <c r="H1181" s="13"/>
      <c r="I1181" s="13"/>
    </row>
    <row r="1182" spans="1:9">
      <c r="A1182" s="13" t="s">
        <v>1787</v>
      </c>
      <c r="B1182" s="139" t="s">
        <v>505</v>
      </c>
      <c r="C1182" s="139" t="s">
        <v>335</v>
      </c>
      <c r="D1182" s="18">
        <v>1215528.29</v>
      </c>
      <c r="E1182" s="93">
        <v>0.9567498203</v>
      </c>
      <c r="F1182" s="18">
        <v>1162956.47</v>
      </c>
      <c r="G1182" s="15">
        <v>0</v>
      </c>
      <c r="H1182" s="13"/>
      <c r="I1182" s="13"/>
    </row>
    <row r="1183" spans="1:9">
      <c r="A1183" s="13" t="s">
        <v>1788</v>
      </c>
      <c r="B1183" s="139" t="s">
        <v>405</v>
      </c>
      <c r="C1183" s="139" t="s">
        <v>335</v>
      </c>
      <c r="D1183" s="15">
        <v>1151000</v>
      </c>
      <c r="E1183" s="154">
        <v>0.96594081600000004</v>
      </c>
      <c r="F1183" s="18">
        <v>1111797.8799999999</v>
      </c>
      <c r="G1183" s="15">
        <v>0</v>
      </c>
      <c r="H1183" s="13"/>
      <c r="I1183" s="13"/>
    </row>
    <row r="1184" spans="1:9">
      <c r="A1184" s="13" t="s">
        <v>1789</v>
      </c>
      <c r="B1184" s="139" t="s">
        <v>503</v>
      </c>
      <c r="C1184" s="139" t="s">
        <v>335</v>
      </c>
      <c r="D1184" s="15">
        <v>1666000</v>
      </c>
      <c r="E1184" s="93">
        <v>0.96174119469999997</v>
      </c>
      <c r="F1184" s="18">
        <v>1602260.83</v>
      </c>
      <c r="G1184" s="15">
        <v>0</v>
      </c>
      <c r="H1184" s="13"/>
      <c r="I1184" s="13"/>
    </row>
    <row r="1185" spans="1:9">
      <c r="A1185" s="13" t="s">
        <v>1790</v>
      </c>
      <c r="B1185" s="139" t="s">
        <v>493</v>
      </c>
      <c r="C1185" s="139" t="s">
        <v>335</v>
      </c>
      <c r="D1185" s="18">
        <v>1103671.3799999999</v>
      </c>
      <c r="E1185" s="93">
        <v>0.95592286309999996</v>
      </c>
      <c r="F1185" s="18">
        <v>1055024.71</v>
      </c>
      <c r="G1185" s="15">
        <v>0</v>
      </c>
      <c r="H1185" s="13"/>
      <c r="I1185" s="13"/>
    </row>
    <row r="1186" spans="1:9">
      <c r="A1186" s="13" t="s">
        <v>1791</v>
      </c>
      <c r="B1186" s="139" t="s">
        <v>189</v>
      </c>
      <c r="C1186" s="139" t="s">
        <v>335</v>
      </c>
      <c r="D1186" s="15">
        <v>3000000</v>
      </c>
      <c r="E1186" s="93">
        <v>0.93888273850000004</v>
      </c>
      <c r="F1186" s="18">
        <v>2816648.22</v>
      </c>
      <c r="G1186" s="18">
        <v>0.01</v>
      </c>
      <c r="H1186" s="13"/>
      <c r="I1186" s="13"/>
    </row>
    <row r="1187" spans="1:9">
      <c r="A1187" s="13" t="s">
        <v>1792</v>
      </c>
      <c r="B1187" s="139" t="s">
        <v>632</v>
      </c>
      <c r="C1187" s="139" t="s">
        <v>335</v>
      </c>
      <c r="D1187" s="15">
        <v>3000000</v>
      </c>
      <c r="E1187" s="93">
        <v>0.93412522109999996</v>
      </c>
      <c r="F1187" s="18">
        <v>2802375.66</v>
      </c>
      <c r="G1187" s="18">
        <v>0.01</v>
      </c>
      <c r="H1187" s="13"/>
      <c r="I1187" s="13"/>
    </row>
    <row r="1188" spans="1:9">
      <c r="A1188" s="13" t="s">
        <v>1793</v>
      </c>
      <c r="B1188" s="139" t="s">
        <v>505</v>
      </c>
      <c r="C1188" s="139" t="s">
        <v>335</v>
      </c>
      <c r="D1188" s="15">
        <v>3000000</v>
      </c>
      <c r="E1188" s="154">
        <v>0.95674981400000003</v>
      </c>
      <c r="F1188" s="18">
        <v>2870249.44</v>
      </c>
      <c r="G1188" s="18">
        <v>0.01</v>
      </c>
      <c r="H1188" s="13"/>
      <c r="I1188" s="13"/>
    </row>
    <row r="1189" spans="1:9">
      <c r="A1189" s="13" t="s">
        <v>1794</v>
      </c>
      <c r="B1189" s="139" t="s">
        <v>191</v>
      </c>
      <c r="C1189" s="139" t="s">
        <v>335</v>
      </c>
      <c r="D1189" s="15">
        <v>3000000</v>
      </c>
      <c r="E1189" s="93">
        <v>0.92863527869999996</v>
      </c>
      <c r="F1189" s="18">
        <v>2785905.84</v>
      </c>
      <c r="G1189" s="18">
        <v>0.01</v>
      </c>
      <c r="H1189" s="13"/>
      <c r="I1189" s="13"/>
    </row>
    <row r="1190" spans="1:9">
      <c r="A1190" s="13" t="s">
        <v>1795</v>
      </c>
      <c r="B1190" s="139" t="s">
        <v>193</v>
      </c>
      <c r="C1190" s="139" t="s">
        <v>335</v>
      </c>
      <c r="D1190" s="15">
        <v>3000000</v>
      </c>
      <c r="E1190" s="93">
        <v>0.95099153979999995</v>
      </c>
      <c r="F1190" s="18">
        <v>2852974.62</v>
      </c>
      <c r="G1190" s="18">
        <v>0.01</v>
      </c>
      <c r="H1190" s="13"/>
      <c r="I1190" s="13"/>
    </row>
    <row r="1191" spans="1:9">
      <c r="A1191" s="13" t="s">
        <v>1796</v>
      </c>
      <c r="B1191" s="139" t="s">
        <v>628</v>
      </c>
      <c r="C1191" s="139" t="s">
        <v>335</v>
      </c>
      <c r="D1191" s="15">
        <v>3000000</v>
      </c>
      <c r="E1191" s="93">
        <v>0.94530216040000004</v>
      </c>
      <c r="F1191" s="18">
        <v>2835906.48</v>
      </c>
      <c r="G1191" s="18">
        <v>0.01</v>
      </c>
      <c r="H1191" s="13"/>
      <c r="I1191" s="13"/>
    </row>
    <row r="1192" spans="1:9">
      <c r="A1192" s="13" t="s">
        <v>1797</v>
      </c>
      <c r="B1192" s="139" t="s">
        <v>414</v>
      </c>
      <c r="C1192" s="139" t="s">
        <v>335</v>
      </c>
      <c r="D1192" s="151">
        <v>1077577.5</v>
      </c>
      <c r="E1192" s="93">
        <v>0.96763079780000005</v>
      </c>
      <c r="F1192" s="18">
        <v>1042697.18</v>
      </c>
      <c r="G1192" s="15">
        <v>0</v>
      </c>
      <c r="H1192" s="13"/>
      <c r="I1192" s="13"/>
    </row>
    <row r="1193" spans="1:9">
      <c r="A1193" s="13" t="s">
        <v>1798</v>
      </c>
      <c r="B1193" s="139" t="s">
        <v>470</v>
      </c>
      <c r="C1193" s="139" t="s">
        <v>335</v>
      </c>
      <c r="D1193" s="15">
        <v>1701000</v>
      </c>
      <c r="E1193" s="93">
        <v>0.94854490410000003</v>
      </c>
      <c r="F1193" s="18">
        <v>1613474.88</v>
      </c>
      <c r="G1193" s="15">
        <v>0</v>
      </c>
      <c r="H1193" s="13"/>
      <c r="I1193" s="13"/>
    </row>
    <row r="1194" spans="1:9">
      <c r="A1194" s="13" t="s">
        <v>1799</v>
      </c>
      <c r="B1194" s="139" t="s">
        <v>419</v>
      </c>
      <c r="C1194" s="139" t="s">
        <v>335</v>
      </c>
      <c r="D1194" s="15">
        <v>1701000</v>
      </c>
      <c r="E1194" s="93">
        <v>0.93968045739999995</v>
      </c>
      <c r="F1194" s="18">
        <v>1598396.46</v>
      </c>
      <c r="G1194" s="15">
        <v>0</v>
      </c>
      <c r="H1194" s="13"/>
      <c r="I1194" s="13"/>
    </row>
    <row r="1195" spans="1:9">
      <c r="A1195" s="13" t="s">
        <v>1800</v>
      </c>
      <c r="B1195" s="139" t="s">
        <v>421</v>
      </c>
      <c r="C1195" s="139" t="s">
        <v>335</v>
      </c>
      <c r="D1195" s="15">
        <v>1701000</v>
      </c>
      <c r="E1195" s="93">
        <v>0.9667851905</v>
      </c>
      <c r="F1195" s="18">
        <v>1644501.61</v>
      </c>
      <c r="G1195" s="15">
        <v>0</v>
      </c>
      <c r="H1195" s="13"/>
      <c r="I1195" s="13"/>
    </row>
    <row r="1196" spans="1:9">
      <c r="A1196" s="13" t="s">
        <v>1801</v>
      </c>
      <c r="B1196" s="139" t="s">
        <v>780</v>
      </c>
      <c r="C1196" s="139" t="s">
        <v>335</v>
      </c>
      <c r="D1196" s="18">
        <v>1698044.02</v>
      </c>
      <c r="E1196" s="93">
        <v>0.93729160219999996</v>
      </c>
      <c r="F1196" s="151">
        <v>1591562.4</v>
      </c>
      <c r="G1196" s="15">
        <v>0</v>
      </c>
      <c r="H1196" s="13"/>
      <c r="I1196" s="13"/>
    </row>
    <row r="1197" spans="1:9">
      <c r="A1197" s="13" t="s">
        <v>1802</v>
      </c>
      <c r="B1197" s="139" t="s">
        <v>503</v>
      </c>
      <c r="C1197" s="139" t="s">
        <v>335</v>
      </c>
      <c r="D1197" s="15">
        <v>1701000</v>
      </c>
      <c r="E1197" s="93">
        <v>0.96174120360000004</v>
      </c>
      <c r="F1197" s="18">
        <v>1635921.79</v>
      </c>
      <c r="G1197" s="15">
        <v>0</v>
      </c>
      <c r="H1197" s="13"/>
      <c r="I1197" s="13"/>
    </row>
    <row r="1198" spans="1:9">
      <c r="A1198" s="13" t="s">
        <v>1803</v>
      </c>
      <c r="B1198" s="139" t="s">
        <v>493</v>
      </c>
      <c r="C1198" s="139" t="s">
        <v>335</v>
      </c>
      <c r="D1198" s="15">
        <v>1701000</v>
      </c>
      <c r="E1198" s="93">
        <v>0.95592286820000005</v>
      </c>
      <c r="F1198" s="151">
        <v>1626024.8</v>
      </c>
      <c r="G1198" s="15">
        <v>0</v>
      </c>
      <c r="H1198" s="13"/>
      <c r="I1198" s="13"/>
    </row>
    <row r="1199" spans="1:9">
      <c r="A1199" s="13" t="s">
        <v>1804</v>
      </c>
      <c r="B1199" s="139" t="s">
        <v>503</v>
      </c>
      <c r="C1199" s="139" t="s">
        <v>335</v>
      </c>
      <c r="D1199" s="15">
        <v>2300000</v>
      </c>
      <c r="E1199" s="93">
        <v>0.9617411924</v>
      </c>
      <c r="F1199" s="18">
        <v>2212004.7400000002</v>
      </c>
      <c r="G1199" s="15">
        <v>0</v>
      </c>
      <c r="H1199" s="13"/>
      <c r="I1199" s="13"/>
    </row>
    <row r="1200" spans="1:9">
      <c r="A1200" s="13" t="s">
        <v>1805</v>
      </c>
      <c r="B1200" s="139" t="s">
        <v>493</v>
      </c>
      <c r="C1200" s="139" t="s">
        <v>335</v>
      </c>
      <c r="D1200" s="15">
        <v>2300000</v>
      </c>
      <c r="E1200" s="93">
        <v>0.95592286820000005</v>
      </c>
      <c r="F1200" s="151">
        <v>2198622.6</v>
      </c>
      <c r="G1200" s="15">
        <v>0</v>
      </c>
      <c r="H1200" s="13"/>
      <c r="I1200" s="13"/>
    </row>
    <row r="1201" spans="1:9">
      <c r="A1201" s="13" t="s">
        <v>1806</v>
      </c>
      <c r="B1201" s="139" t="s">
        <v>489</v>
      </c>
      <c r="C1201" s="139" t="s">
        <v>335</v>
      </c>
      <c r="D1201" s="15">
        <v>1000000</v>
      </c>
      <c r="E1201" s="93">
        <v>0.9634167428</v>
      </c>
      <c r="F1201" s="18">
        <v>963416.74</v>
      </c>
      <c r="G1201" s="15">
        <v>0</v>
      </c>
      <c r="H1201" s="13"/>
      <c r="I1201" s="13"/>
    </row>
    <row r="1202" spans="1:9">
      <c r="A1202" s="13" t="s">
        <v>1807</v>
      </c>
      <c r="B1202" s="139" t="s">
        <v>875</v>
      </c>
      <c r="C1202" s="139" t="s">
        <v>335</v>
      </c>
      <c r="D1202" s="15">
        <v>1319000</v>
      </c>
      <c r="E1202" s="154">
        <v>0.94935887799999996</v>
      </c>
      <c r="F1202" s="18">
        <v>1252204.3600000001</v>
      </c>
      <c r="G1202" s="15">
        <v>0</v>
      </c>
      <c r="H1202" s="13"/>
      <c r="I1202" s="13"/>
    </row>
    <row r="1203" spans="1:9">
      <c r="A1203" s="13" t="s">
        <v>1808</v>
      </c>
      <c r="B1203" s="139" t="s">
        <v>405</v>
      </c>
      <c r="C1203" s="139" t="s">
        <v>335</v>
      </c>
      <c r="D1203" s="18">
        <v>1317268.23</v>
      </c>
      <c r="E1203" s="154">
        <v>0.96594080599999999</v>
      </c>
      <c r="F1203" s="18">
        <v>1272403.1399999999</v>
      </c>
      <c r="G1203" s="15">
        <v>0</v>
      </c>
      <c r="H1203" s="13"/>
      <c r="I1203" s="13"/>
    </row>
    <row r="1204" spans="1:9">
      <c r="A1204" s="13" t="s">
        <v>1809</v>
      </c>
      <c r="B1204" s="139" t="s">
        <v>493</v>
      </c>
      <c r="C1204" s="139" t="s">
        <v>335</v>
      </c>
      <c r="D1204" s="15">
        <v>1318130</v>
      </c>
      <c r="E1204" s="93">
        <v>0.95592286309999996</v>
      </c>
      <c r="F1204" s="151">
        <v>1260030.6000000001</v>
      </c>
      <c r="G1204" s="15">
        <v>0</v>
      </c>
      <c r="H1204" s="13"/>
      <c r="I1204" s="13"/>
    </row>
    <row r="1205" spans="1:9">
      <c r="A1205" s="13" t="s">
        <v>1810</v>
      </c>
      <c r="B1205" s="139" t="s">
        <v>795</v>
      </c>
      <c r="C1205" s="139" t="s">
        <v>335</v>
      </c>
      <c r="D1205" s="15">
        <v>40000000</v>
      </c>
      <c r="E1205" s="154">
        <v>0.91708564599999998</v>
      </c>
      <c r="F1205" s="18">
        <v>36683425.840000004</v>
      </c>
      <c r="G1205" s="18">
        <v>0.08</v>
      </c>
      <c r="H1205" s="13"/>
      <c r="I1205" s="13"/>
    </row>
    <row r="1206" spans="1:9">
      <c r="A1206" s="13" t="s">
        <v>1811</v>
      </c>
      <c r="B1206" s="139" t="s">
        <v>799</v>
      </c>
      <c r="C1206" s="139" t="s">
        <v>335</v>
      </c>
      <c r="D1206" s="15">
        <v>40000000</v>
      </c>
      <c r="E1206" s="93">
        <v>0.91632580829999999</v>
      </c>
      <c r="F1206" s="18">
        <v>36653032.329999998</v>
      </c>
      <c r="G1206" s="18">
        <v>0.08</v>
      </c>
      <c r="H1206" s="13"/>
      <c r="I1206" s="13"/>
    </row>
    <row r="1207" spans="1:9">
      <c r="A1207" s="13" t="s">
        <v>1812</v>
      </c>
      <c r="B1207" s="139" t="s">
        <v>169</v>
      </c>
      <c r="C1207" s="139" t="s">
        <v>335</v>
      </c>
      <c r="D1207" s="18">
        <v>1583767.68</v>
      </c>
      <c r="E1207" s="93">
        <v>0.96257824390000002</v>
      </c>
      <c r="F1207" s="18">
        <v>1524500.31</v>
      </c>
      <c r="G1207" s="15">
        <v>0</v>
      </c>
      <c r="H1207" s="13"/>
      <c r="I1207" s="13"/>
    </row>
    <row r="1208" spans="1:9">
      <c r="A1208" s="13" t="s">
        <v>1813</v>
      </c>
      <c r="B1208" s="139" t="s">
        <v>421</v>
      </c>
      <c r="C1208" s="139" t="s">
        <v>335</v>
      </c>
      <c r="D1208" s="151">
        <v>1918075.9</v>
      </c>
      <c r="E1208" s="93">
        <v>0.96678518079999998</v>
      </c>
      <c r="F1208" s="18">
        <v>1854367.36</v>
      </c>
      <c r="G1208" s="15">
        <v>0</v>
      </c>
      <c r="H1208" s="13"/>
      <c r="I1208" s="13"/>
    </row>
    <row r="1209" spans="1:9">
      <c r="A1209" s="13" t="s">
        <v>1814</v>
      </c>
      <c r="B1209" s="139" t="s">
        <v>489</v>
      </c>
      <c r="C1209" s="139" t="s">
        <v>335</v>
      </c>
      <c r="D1209" s="18">
        <v>1039967.56</v>
      </c>
      <c r="E1209" s="93">
        <v>0.96341675130000004</v>
      </c>
      <c r="F1209" s="18">
        <v>1001922.17</v>
      </c>
      <c r="G1209" s="15">
        <v>0</v>
      </c>
      <c r="H1209" s="13"/>
      <c r="I1209" s="13"/>
    </row>
    <row r="1210" spans="1:9">
      <c r="A1210" s="13" t="s">
        <v>1815</v>
      </c>
      <c r="B1210" s="139" t="s">
        <v>862</v>
      </c>
      <c r="C1210" s="139" t="s">
        <v>335</v>
      </c>
      <c r="D1210" s="15">
        <v>2387682</v>
      </c>
      <c r="E1210" s="93">
        <v>0.96090584720000005</v>
      </c>
      <c r="F1210" s="151">
        <v>2294337.6</v>
      </c>
      <c r="G1210" s="18">
        <v>0.01</v>
      </c>
      <c r="H1210" s="13"/>
      <c r="I1210" s="13"/>
    </row>
    <row r="1211" spans="1:9">
      <c r="A1211" s="13" t="s">
        <v>1816</v>
      </c>
      <c r="B1211" s="139" t="s">
        <v>169</v>
      </c>
      <c r="C1211" s="139" t="s">
        <v>335</v>
      </c>
      <c r="D1211" s="15">
        <v>1100000</v>
      </c>
      <c r="E1211" s="93">
        <v>0.96257824709999995</v>
      </c>
      <c r="F1211" s="18">
        <v>1058836.07</v>
      </c>
      <c r="G1211" s="15">
        <v>0</v>
      </c>
      <c r="H1211" s="13"/>
      <c r="I1211" s="13"/>
    </row>
    <row r="1212" spans="1:9">
      <c r="A1212" s="13" t="s">
        <v>1817</v>
      </c>
      <c r="B1212" s="139" t="s">
        <v>491</v>
      </c>
      <c r="C1212" s="139" t="s">
        <v>335</v>
      </c>
      <c r="D1212" s="151">
        <v>1134249.7</v>
      </c>
      <c r="E1212" s="154">
        <v>0.960071703</v>
      </c>
      <c r="F1212" s="18">
        <v>1088961.04</v>
      </c>
      <c r="G1212" s="15">
        <v>0</v>
      </c>
      <c r="H1212" s="13"/>
      <c r="I1212" s="13"/>
    </row>
    <row r="1213" spans="1:9">
      <c r="A1213" s="13" t="s">
        <v>1818</v>
      </c>
      <c r="B1213" s="139" t="s">
        <v>503</v>
      </c>
      <c r="C1213" s="139" t="s">
        <v>335</v>
      </c>
      <c r="D1213" s="151">
        <v>1211666.8</v>
      </c>
      <c r="E1213" s="93">
        <v>0.96174119469999997</v>
      </c>
      <c r="F1213" s="18">
        <v>1165309.8799999999</v>
      </c>
      <c r="G1213" s="15">
        <v>0</v>
      </c>
      <c r="H1213" s="13"/>
      <c r="I1213" s="13"/>
    </row>
    <row r="1214" spans="1:9">
      <c r="A1214" s="13" t="s">
        <v>1819</v>
      </c>
      <c r="B1214" s="139" t="s">
        <v>503</v>
      </c>
      <c r="C1214" s="139" t="s">
        <v>335</v>
      </c>
      <c r="D1214" s="18">
        <v>2368425.38</v>
      </c>
      <c r="E1214" s="93">
        <v>0.96174119690000004</v>
      </c>
      <c r="F1214" s="18">
        <v>2277812.2599999998</v>
      </c>
      <c r="G1214" s="18">
        <v>0.01</v>
      </c>
      <c r="H1214" s="13"/>
      <c r="I1214" s="13"/>
    </row>
    <row r="1215" spans="1:9">
      <c r="A1215" s="13" t="s">
        <v>1820</v>
      </c>
      <c r="B1215" s="139" t="s">
        <v>499</v>
      </c>
      <c r="C1215" s="139" t="s">
        <v>335</v>
      </c>
      <c r="D1215" s="18">
        <v>1041333.16</v>
      </c>
      <c r="E1215" s="154">
        <v>0.95757819899999996</v>
      </c>
      <c r="F1215" s="18">
        <v>997157.93</v>
      </c>
      <c r="G1215" s="15">
        <v>0</v>
      </c>
      <c r="H1215" s="13"/>
      <c r="I1215" s="13"/>
    </row>
    <row r="1216" spans="1:9">
      <c r="A1216" s="13" t="s">
        <v>1844</v>
      </c>
      <c r="B1216" s="139" t="s">
        <v>493</v>
      </c>
      <c r="C1216" s="139" t="s">
        <v>389</v>
      </c>
      <c r="D1216" s="15">
        <v>1450000</v>
      </c>
      <c r="E1216" s="154">
        <v>0.95592282100000003</v>
      </c>
      <c r="F1216" s="18">
        <v>1386088.09</v>
      </c>
      <c r="G1216" s="15">
        <v>0</v>
      </c>
      <c r="H1216" s="13"/>
      <c r="I1216" s="13"/>
    </row>
    <row r="1217" spans="1:9">
      <c r="A1217" s="13" t="s">
        <v>1845</v>
      </c>
      <c r="B1217" s="139" t="s">
        <v>1013</v>
      </c>
      <c r="C1217" s="139" t="s">
        <v>389</v>
      </c>
      <c r="D1217" s="15">
        <v>10000000</v>
      </c>
      <c r="E1217" s="93">
        <v>0.92264917390000001</v>
      </c>
      <c r="F1217" s="18">
        <v>9226491.7400000002</v>
      </c>
      <c r="G1217" s="18">
        <v>0.02</v>
      </c>
      <c r="H1217" s="13"/>
      <c r="I1217" s="13"/>
    </row>
    <row r="1218" spans="1:9">
      <c r="A1218" s="13" t="s">
        <v>1846</v>
      </c>
      <c r="B1218" s="139" t="s">
        <v>1108</v>
      </c>
      <c r="C1218" s="139" t="s">
        <v>389</v>
      </c>
      <c r="D1218" s="15">
        <v>10000000</v>
      </c>
      <c r="E1218" s="93">
        <v>0.91777727180000002</v>
      </c>
      <c r="F1218" s="18">
        <v>9177772.7200000007</v>
      </c>
      <c r="G1218" s="18">
        <v>0.02</v>
      </c>
      <c r="H1218" s="13"/>
      <c r="I1218" s="13"/>
    </row>
    <row r="1219" spans="1:9">
      <c r="A1219" s="13" t="s">
        <v>1847</v>
      </c>
      <c r="B1219" s="139" t="s">
        <v>860</v>
      </c>
      <c r="C1219" s="139" t="s">
        <v>389</v>
      </c>
      <c r="D1219" s="15">
        <v>10000000</v>
      </c>
      <c r="E1219" s="93">
        <v>0.93902763450000004</v>
      </c>
      <c r="F1219" s="18">
        <v>9390276.3499999996</v>
      </c>
      <c r="G1219" s="18">
        <v>0.02</v>
      </c>
      <c r="H1219" s="13"/>
      <c r="I1219" s="13"/>
    </row>
    <row r="1220" spans="1:9">
      <c r="A1220" s="13" t="s">
        <v>1848</v>
      </c>
      <c r="B1220" s="139" t="s">
        <v>952</v>
      </c>
      <c r="C1220" s="139" t="s">
        <v>389</v>
      </c>
      <c r="D1220" s="15">
        <v>10000000</v>
      </c>
      <c r="E1220" s="93">
        <v>0.91295654979999996</v>
      </c>
      <c r="F1220" s="151">
        <v>9129565.5</v>
      </c>
      <c r="G1220" s="18">
        <v>0.02</v>
      </c>
      <c r="H1220" s="13"/>
      <c r="I1220" s="13"/>
    </row>
    <row r="1221" spans="1:9">
      <c r="A1221" s="13" t="s">
        <v>1849</v>
      </c>
      <c r="B1221" s="139" t="s">
        <v>893</v>
      </c>
      <c r="C1221" s="139" t="s">
        <v>389</v>
      </c>
      <c r="D1221" s="15">
        <v>25000000</v>
      </c>
      <c r="E1221" s="93">
        <v>0.9013906008</v>
      </c>
      <c r="F1221" s="18">
        <v>22534765.02</v>
      </c>
      <c r="G1221" s="18">
        <v>0.05</v>
      </c>
      <c r="H1221" s="13"/>
      <c r="I1221" s="13"/>
    </row>
    <row r="1222" spans="1:9">
      <c r="A1222" s="13" t="s">
        <v>1850</v>
      </c>
      <c r="B1222" s="139" t="s">
        <v>489</v>
      </c>
      <c r="C1222" s="139" t="s">
        <v>389</v>
      </c>
      <c r="D1222" s="15">
        <v>100000000</v>
      </c>
      <c r="E1222" s="93">
        <v>0.96128538470000002</v>
      </c>
      <c r="F1222" s="18">
        <v>96128538.469999999</v>
      </c>
      <c r="G1222" s="18">
        <v>0.22</v>
      </c>
      <c r="H1222" s="13"/>
      <c r="I1222" s="13"/>
    </row>
    <row r="1223" spans="1:9">
      <c r="A1223" s="13" t="s">
        <v>1851</v>
      </c>
      <c r="B1223" s="139" t="s">
        <v>193</v>
      </c>
      <c r="C1223" s="139" t="s">
        <v>389</v>
      </c>
      <c r="D1223" s="15">
        <v>776145000</v>
      </c>
      <c r="E1223" s="93">
        <v>0.97265902739999999</v>
      </c>
      <c r="F1223" s="18">
        <v>754924440.82000005</v>
      </c>
      <c r="G1223" s="151">
        <v>1.7</v>
      </c>
      <c r="H1223" s="13"/>
      <c r="I1223" s="13"/>
    </row>
    <row r="1224" spans="1:9">
      <c r="A1224" s="13" t="s">
        <v>1874</v>
      </c>
      <c r="B1224" s="139" t="s">
        <v>412</v>
      </c>
      <c r="C1224" s="139" t="s">
        <v>175</v>
      </c>
      <c r="D1224" s="15">
        <v>10000000</v>
      </c>
      <c r="E1224" s="93">
        <v>0.9478057647</v>
      </c>
      <c r="F1224" s="18">
        <v>9478057.6500000004</v>
      </c>
      <c r="G1224" s="18">
        <v>0.02</v>
      </c>
      <c r="H1224" s="13"/>
      <c r="I1224" s="13"/>
    </row>
    <row r="1225" spans="1:9">
      <c r="A1225" s="13" t="s">
        <v>1875</v>
      </c>
      <c r="B1225" s="139" t="s">
        <v>795</v>
      </c>
      <c r="C1225" s="139" t="s">
        <v>175</v>
      </c>
      <c r="D1225" s="15">
        <v>10000000</v>
      </c>
      <c r="E1225" s="93">
        <v>0.92405086449999996</v>
      </c>
      <c r="F1225" s="18">
        <v>9240508.6500000004</v>
      </c>
      <c r="G1225" s="18">
        <v>0.02</v>
      </c>
      <c r="H1225" s="13"/>
      <c r="I1225" s="13"/>
    </row>
    <row r="1226" spans="1:9">
      <c r="A1226" s="13" t="s">
        <v>1876</v>
      </c>
      <c r="B1226" s="139" t="s">
        <v>948</v>
      </c>
      <c r="C1226" s="139" t="s">
        <v>175</v>
      </c>
      <c r="D1226" s="15">
        <v>10000000</v>
      </c>
      <c r="E1226" s="93">
        <v>0.91916394850000005</v>
      </c>
      <c r="F1226" s="18">
        <v>9191639.4900000002</v>
      </c>
      <c r="G1226" s="18">
        <v>0.02</v>
      </c>
      <c r="H1226" s="13"/>
      <c r="I1226" s="13"/>
    </row>
    <row r="1227" spans="1:9">
      <c r="A1227" s="13" t="s">
        <v>1877</v>
      </c>
      <c r="B1227" s="139" t="s">
        <v>468</v>
      </c>
      <c r="C1227" s="139" t="s">
        <v>175</v>
      </c>
      <c r="D1227" s="15">
        <v>10000000</v>
      </c>
      <c r="E1227" s="93">
        <v>0.93758031330000002</v>
      </c>
      <c r="F1227" s="18">
        <v>9375803.1300000008</v>
      </c>
      <c r="G1227" s="18">
        <v>0.02</v>
      </c>
      <c r="H1227" s="13"/>
      <c r="I1227" s="13"/>
    </row>
    <row r="1228" spans="1:9">
      <c r="A1228" s="13" t="s">
        <v>1878</v>
      </c>
      <c r="B1228" s="139" t="s">
        <v>1072</v>
      </c>
      <c r="C1228" s="139" t="s">
        <v>175</v>
      </c>
      <c r="D1228" s="15">
        <v>10000000</v>
      </c>
      <c r="E1228" s="154">
        <v>0.91432868599999995</v>
      </c>
      <c r="F1228" s="18">
        <v>9143286.8599999994</v>
      </c>
      <c r="G1228" s="18">
        <v>0.02</v>
      </c>
      <c r="H1228" s="13"/>
      <c r="I1228" s="13"/>
    </row>
    <row r="1229" spans="1:9">
      <c r="A1229" s="13" t="s">
        <v>1879</v>
      </c>
      <c r="B1229" s="139" t="s">
        <v>594</v>
      </c>
      <c r="C1229" s="139" t="s">
        <v>175</v>
      </c>
      <c r="D1229" s="15">
        <v>10000000</v>
      </c>
      <c r="E1229" s="93">
        <v>0.93398177149999995</v>
      </c>
      <c r="F1229" s="18">
        <v>9339817.7200000007</v>
      </c>
      <c r="G1229" s="18">
        <v>0.02</v>
      </c>
      <c r="H1229" s="13"/>
      <c r="I1229" s="13"/>
    </row>
    <row r="1230" spans="1:9">
      <c r="A1230" s="13" t="s">
        <v>1880</v>
      </c>
      <c r="B1230" s="139" t="s">
        <v>421</v>
      </c>
      <c r="C1230" s="139" t="s">
        <v>175</v>
      </c>
      <c r="D1230" s="15">
        <v>10000000</v>
      </c>
      <c r="E1230" s="93">
        <v>0.9697133013</v>
      </c>
      <c r="F1230" s="18">
        <v>9697133.0099999998</v>
      </c>
      <c r="G1230" s="18">
        <v>0.02</v>
      </c>
      <c r="H1230" s="13"/>
      <c r="I1230" s="13"/>
    </row>
    <row r="1231" spans="1:9">
      <c r="A1231" s="13" t="s">
        <v>1881</v>
      </c>
      <c r="B1231" s="139" t="s">
        <v>780</v>
      </c>
      <c r="C1231" s="139" t="s">
        <v>175</v>
      </c>
      <c r="D1231" s="15">
        <v>10000000</v>
      </c>
      <c r="E1231" s="93">
        <v>0.94266530910000002</v>
      </c>
      <c r="F1231" s="18">
        <v>9426653.0899999999</v>
      </c>
      <c r="G1231" s="18">
        <v>0.02</v>
      </c>
      <c r="H1231" s="13"/>
      <c r="I1231" s="13"/>
    </row>
    <row r="1232" spans="1:9">
      <c r="A1232" s="13" t="s">
        <v>1882</v>
      </c>
      <c r="B1232" s="139" t="s">
        <v>505</v>
      </c>
      <c r="C1232" s="139" t="s">
        <v>175</v>
      </c>
      <c r="D1232" s="15">
        <v>10000000</v>
      </c>
      <c r="E1232" s="93">
        <v>0.96052647879999997</v>
      </c>
      <c r="F1232" s="18">
        <v>9605264.7899999991</v>
      </c>
      <c r="G1232" s="18">
        <v>0.02</v>
      </c>
      <c r="H1232" s="13"/>
      <c r="I1232" s="13"/>
    </row>
    <row r="1233" spans="1:9">
      <c r="A1233" s="13" t="s">
        <v>1883</v>
      </c>
      <c r="B1233" s="139" t="s">
        <v>696</v>
      </c>
      <c r="C1233" s="139" t="s">
        <v>175</v>
      </c>
      <c r="D1233" s="15">
        <v>10000000</v>
      </c>
      <c r="E1233" s="93">
        <v>0.95599790750000002</v>
      </c>
      <c r="F1233" s="18">
        <v>9559979.0800000001</v>
      </c>
      <c r="G1233" s="18">
        <v>0.02</v>
      </c>
      <c r="H1233" s="13"/>
      <c r="I1233" s="13"/>
    </row>
    <row r="1234" spans="1:9">
      <c r="A1234" s="13" t="s">
        <v>1884</v>
      </c>
      <c r="B1234" s="139" t="s">
        <v>875</v>
      </c>
      <c r="C1234" s="139" t="s">
        <v>175</v>
      </c>
      <c r="D1234" s="18">
        <v>1718406.99</v>
      </c>
      <c r="E1234" s="93">
        <v>0.94645409079999998</v>
      </c>
      <c r="F1234" s="18">
        <v>1626393.33</v>
      </c>
      <c r="G1234" s="15">
        <v>0</v>
      </c>
      <c r="H1234" s="13"/>
      <c r="I1234" s="13"/>
    </row>
    <row r="1235" spans="1:9">
      <c r="A1235" s="13" t="s">
        <v>1885</v>
      </c>
      <c r="B1235" s="139" t="s">
        <v>470</v>
      </c>
      <c r="C1235" s="139" t="s">
        <v>175</v>
      </c>
      <c r="D1235" s="15">
        <v>4104000</v>
      </c>
      <c r="E1235" s="93">
        <v>0.94559611359999995</v>
      </c>
      <c r="F1235" s="18">
        <v>3880726.45</v>
      </c>
      <c r="G1235" s="18">
        <v>0.01</v>
      </c>
      <c r="H1235" s="13"/>
      <c r="I1235" s="13"/>
    </row>
    <row r="1236" spans="1:9">
      <c r="A1236" s="13" t="s">
        <v>1886</v>
      </c>
      <c r="B1236" s="139" t="s">
        <v>596</v>
      </c>
      <c r="C1236" s="139" t="s">
        <v>175</v>
      </c>
      <c r="D1236" s="15">
        <v>2000000</v>
      </c>
      <c r="E1236" s="93">
        <v>0.94731390979999996</v>
      </c>
      <c r="F1236" s="18">
        <v>1894627.82</v>
      </c>
      <c r="G1236" s="15">
        <v>0</v>
      </c>
      <c r="H1236" s="13"/>
      <c r="I1236" s="13"/>
    </row>
    <row r="1237" spans="1:9">
      <c r="A1237" s="13" t="s">
        <v>1887</v>
      </c>
      <c r="B1237" s="139" t="s">
        <v>470</v>
      </c>
      <c r="C1237" s="139" t="s">
        <v>175</v>
      </c>
      <c r="D1237" s="15">
        <v>5500000</v>
      </c>
      <c r="E1237" s="93">
        <v>0.94559611509999997</v>
      </c>
      <c r="F1237" s="18">
        <v>5200778.63</v>
      </c>
      <c r="G1237" s="18">
        <v>0.01</v>
      </c>
      <c r="H1237" s="13"/>
      <c r="I1237" s="13"/>
    </row>
    <row r="1238" spans="1:9">
      <c r="A1238" s="13" t="s">
        <v>1888</v>
      </c>
      <c r="B1238" s="139" t="s">
        <v>596</v>
      </c>
      <c r="C1238" s="139" t="s">
        <v>175</v>
      </c>
      <c r="D1238" s="15">
        <v>346128566</v>
      </c>
      <c r="E1238" s="93">
        <v>0.97219269939999997</v>
      </c>
      <c r="F1238" s="18">
        <v>336503664.92000002</v>
      </c>
      <c r="G1238" s="18">
        <v>0.76</v>
      </c>
      <c r="H1238" s="13"/>
      <c r="I1238" s="13"/>
    </row>
    <row r="1239" spans="1:9">
      <c r="A1239" s="13" t="s">
        <v>1889</v>
      </c>
      <c r="B1239" s="139" t="s">
        <v>1890</v>
      </c>
      <c r="C1239" s="139" t="s">
        <v>175</v>
      </c>
      <c r="D1239" s="15">
        <v>15000000</v>
      </c>
      <c r="E1239" s="93">
        <v>0.84280064629999996</v>
      </c>
      <c r="F1239" s="18">
        <v>12642009.689999999</v>
      </c>
      <c r="G1239" s="18">
        <v>0.03</v>
      </c>
      <c r="H1239" s="13"/>
      <c r="I1239" s="13"/>
    </row>
    <row r="1240" spans="1:9">
      <c r="A1240" s="13" t="s">
        <v>1891</v>
      </c>
      <c r="B1240" s="139" t="s">
        <v>1890</v>
      </c>
      <c r="C1240" s="139" t="s">
        <v>175</v>
      </c>
      <c r="D1240" s="15">
        <v>15000000</v>
      </c>
      <c r="E1240" s="93">
        <v>0.84280064629999996</v>
      </c>
      <c r="F1240" s="18">
        <v>12642009.689999999</v>
      </c>
      <c r="G1240" s="18">
        <v>0.03</v>
      </c>
      <c r="H1240" s="13"/>
      <c r="I1240" s="13"/>
    </row>
    <row r="1241" spans="1:9">
      <c r="A1241" s="13" t="s">
        <v>1892</v>
      </c>
      <c r="B1241" s="139" t="s">
        <v>332</v>
      </c>
      <c r="C1241" s="139" t="s">
        <v>175</v>
      </c>
      <c r="D1241" s="15">
        <v>15000000</v>
      </c>
      <c r="E1241" s="93">
        <v>0.84208114710000004</v>
      </c>
      <c r="F1241" s="18">
        <v>12631217.210000001</v>
      </c>
      <c r="G1241" s="18">
        <v>0.03</v>
      </c>
      <c r="H1241" s="13"/>
      <c r="I1241" s="13"/>
    </row>
    <row r="1242" spans="1:9">
      <c r="A1242" s="13" t="s">
        <v>1893</v>
      </c>
      <c r="B1242" s="139" t="s">
        <v>1894</v>
      </c>
      <c r="C1242" s="139" t="s">
        <v>175</v>
      </c>
      <c r="D1242" s="15">
        <v>15000000</v>
      </c>
      <c r="E1242" s="93">
        <v>0.8413628782</v>
      </c>
      <c r="F1242" s="18">
        <v>12620443.17</v>
      </c>
      <c r="G1242" s="18">
        <v>0.03</v>
      </c>
      <c r="H1242" s="13"/>
      <c r="I1242" s="13"/>
    </row>
    <row r="1243" spans="1:9">
      <c r="A1243" s="13" t="s">
        <v>1895</v>
      </c>
      <c r="B1243" s="139" t="s">
        <v>1115</v>
      </c>
      <c r="C1243" s="139" t="s">
        <v>175</v>
      </c>
      <c r="D1243" s="18">
        <v>17106704.170000002</v>
      </c>
      <c r="E1243" s="93">
        <v>0.91254570950000002</v>
      </c>
      <c r="F1243" s="18">
        <v>15610649.49</v>
      </c>
      <c r="G1243" s="18">
        <v>0.04</v>
      </c>
      <c r="H1243" s="13"/>
      <c r="I1243" s="13"/>
    </row>
    <row r="1244" spans="1:9">
      <c r="A1244" s="13" t="s">
        <v>1896</v>
      </c>
      <c r="B1244" s="139" t="s">
        <v>1064</v>
      </c>
      <c r="C1244" s="139" t="s">
        <v>175</v>
      </c>
      <c r="D1244" s="18">
        <v>5448062.4299999997</v>
      </c>
      <c r="E1244" s="93">
        <v>0.8763927749</v>
      </c>
      <c r="F1244" s="18">
        <v>4774642.55</v>
      </c>
      <c r="G1244" s="18">
        <v>0.01</v>
      </c>
      <c r="H1244" s="13"/>
      <c r="I1244" s="13"/>
    </row>
    <row r="1245" spans="1:9">
      <c r="A1245" s="13" t="s">
        <v>1897</v>
      </c>
      <c r="B1245" s="139" t="s">
        <v>1084</v>
      </c>
      <c r="C1245" s="139" t="s">
        <v>175</v>
      </c>
      <c r="D1245" s="18">
        <v>6500236.5700000003</v>
      </c>
      <c r="E1245" s="93">
        <v>0.88764591439999996</v>
      </c>
      <c r="F1245" s="18">
        <v>5769908.4299999997</v>
      </c>
      <c r="G1245" s="18">
        <v>0.01</v>
      </c>
      <c r="H1245" s="13"/>
      <c r="I1245" s="13"/>
    </row>
    <row r="1246" spans="1:9">
      <c r="A1246" s="13" t="s">
        <v>1898</v>
      </c>
      <c r="B1246" s="139" t="s">
        <v>1899</v>
      </c>
      <c r="C1246" s="139" t="s">
        <v>175</v>
      </c>
      <c r="D1246" s="18">
        <v>5448062.4299999997</v>
      </c>
      <c r="E1246" s="154">
        <v>0.86609888199999996</v>
      </c>
      <c r="F1246" s="18">
        <v>4718560.78</v>
      </c>
      <c r="G1246" s="18">
        <v>0.01</v>
      </c>
      <c r="H1246" s="13"/>
      <c r="I1246" s="13"/>
    </row>
    <row r="1247" spans="1:9">
      <c r="A1247" s="13" t="s">
        <v>1900</v>
      </c>
      <c r="B1247" s="139" t="s">
        <v>898</v>
      </c>
      <c r="C1247" s="139" t="s">
        <v>175</v>
      </c>
      <c r="D1247" s="151">
        <v>7261808.2000000002</v>
      </c>
      <c r="E1247" s="93">
        <v>0.89482734890000004</v>
      </c>
      <c r="F1247" s="18">
        <v>6498064.5800000001</v>
      </c>
      <c r="G1247" s="18">
        <v>0.01</v>
      </c>
      <c r="H1247" s="13"/>
      <c r="I1247" s="13"/>
    </row>
    <row r="1248" spans="1:9">
      <c r="A1248" s="13" t="s">
        <v>1901</v>
      </c>
      <c r="B1248" s="139" t="s">
        <v>1115</v>
      </c>
      <c r="C1248" s="139" t="s">
        <v>175</v>
      </c>
      <c r="D1248" s="18">
        <v>5134985.93</v>
      </c>
      <c r="E1248" s="93">
        <v>0.91254570950000002</v>
      </c>
      <c r="F1248" s="18">
        <v>4685909.38</v>
      </c>
      <c r="G1248" s="18">
        <v>0.01</v>
      </c>
      <c r="H1248" s="13"/>
      <c r="I1248" s="13"/>
    </row>
    <row r="1249" spans="1:9">
      <c r="A1249" s="13" t="s">
        <v>1902</v>
      </c>
      <c r="B1249" s="139" t="s">
        <v>1011</v>
      </c>
      <c r="C1249" s="139" t="s">
        <v>175</v>
      </c>
      <c r="D1249" s="18">
        <v>5134985.93</v>
      </c>
      <c r="E1249" s="93">
        <v>0.8955516872</v>
      </c>
      <c r="F1249" s="18">
        <v>4598645.3099999996</v>
      </c>
      <c r="G1249" s="18">
        <v>0.01</v>
      </c>
      <c r="H1249" s="13"/>
      <c r="I1249" s="13"/>
    </row>
    <row r="1250" spans="1:9">
      <c r="A1250" s="13" t="s">
        <v>1903</v>
      </c>
      <c r="B1250" s="139" t="s">
        <v>952</v>
      </c>
      <c r="C1250" s="139" t="s">
        <v>175</v>
      </c>
      <c r="D1250" s="18">
        <v>3772034.12</v>
      </c>
      <c r="E1250" s="93">
        <v>0.90507850329999995</v>
      </c>
      <c r="F1250" s="15">
        <v>3413987</v>
      </c>
      <c r="G1250" s="18">
        <v>0.01</v>
      </c>
      <c r="H1250" s="13"/>
      <c r="I1250" s="13"/>
    </row>
    <row r="1251" spans="1:9">
      <c r="A1251" s="13" t="s">
        <v>1904</v>
      </c>
      <c r="B1251" s="139" t="s">
        <v>1905</v>
      </c>
      <c r="C1251" s="139" t="s">
        <v>175</v>
      </c>
      <c r="D1251" s="151">
        <v>1655023.2</v>
      </c>
      <c r="E1251" s="93">
        <v>0.88198357709999997</v>
      </c>
      <c r="F1251" s="18">
        <v>1459703.28</v>
      </c>
      <c r="G1251" s="15">
        <v>0</v>
      </c>
      <c r="H1251" s="13"/>
      <c r="I1251" s="13"/>
    </row>
    <row r="1252" spans="1:9">
      <c r="A1252" s="13" t="s">
        <v>1906</v>
      </c>
      <c r="B1252" s="139" t="s">
        <v>1905</v>
      </c>
      <c r="C1252" s="139" t="s">
        <v>175</v>
      </c>
      <c r="D1252" s="18">
        <v>3772034.12</v>
      </c>
      <c r="E1252" s="93">
        <v>0.88198357390000004</v>
      </c>
      <c r="F1252" s="18">
        <v>3326872.13</v>
      </c>
      <c r="G1252" s="18">
        <v>0.01</v>
      </c>
      <c r="H1252" s="13"/>
      <c r="I1252" s="13"/>
    </row>
    <row r="1253" spans="1:9">
      <c r="A1253" s="13" t="s">
        <v>1907</v>
      </c>
      <c r="B1253" s="139" t="s">
        <v>898</v>
      </c>
      <c r="C1253" s="139" t="s">
        <v>175</v>
      </c>
      <c r="D1253" s="15">
        <v>7190687</v>
      </c>
      <c r="E1253" s="93">
        <v>0.89482735170000005</v>
      </c>
      <c r="F1253" s="18">
        <v>6434423.4100000001</v>
      </c>
      <c r="G1253" s="18">
        <v>0.01</v>
      </c>
      <c r="H1253" s="13"/>
      <c r="I1253" s="13"/>
    </row>
    <row r="1254" spans="1:9">
      <c r="A1254" s="13" t="s">
        <v>1908</v>
      </c>
      <c r="B1254" s="139" t="s">
        <v>948</v>
      </c>
      <c r="C1254" s="139" t="s">
        <v>175</v>
      </c>
      <c r="D1254" s="18">
        <v>6625114.5199999996</v>
      </c>
      <c r="E1254" s="93">
        <v>0.91179337230000002</v>
      </c>
      <c r="F1254" s="18">
        <v>6040735.5099999998</v>
      </c>
      <c r="G1254" s="18">
        <v>0.01</v>
      </c>
      <c r="H1254" s="13"/>
      <c r="I1254" s="13"/>
    </row>
    <row r="1255" spans="1:9">
      <c r="A1255" s="13" t="s">
        <v>1909</v>
      </c>
      <c r="B1255" s="139" t="s">
        <v>171</v>
      </c>
      <c r="C1255" s="139" t="s">
        <v>175</v>
      </c>
      <c r="D1255" s="151">
        <v>5387427.5</v>
      </c>
      <c r="E1255" s="93">
        <v>0.99265721630000003</v>
      </c>
      <c r="F1255" s="18">
        <v>5347868.79</v>
      </c>
      <c r="G1255" s="18">
        <v>0.01</v>
      </c>
      <c r="H1255" s="13"/>
      <c r="I1255" s="13"/>
    </row>
    <row r="1256" spans="1:9">
      <c r="A1256" s="13" t="s">
        <v>1910</v>
      </c>
      <c r="B1256" s="139" t="s">
        <v>433</v>
      </c>
      <c r="C1256" s="139" t="s">
        <v>175</v>
      </c>
      <c r="D1256" s="18">
        <v>6343009.7599999998</v>
      </c>
      <c r="E1256" s="93">
        <v>0.99754036479999997</v>
      </c>
      <c r="F1256" s="18">
        <v>6327408.2699999996</v>
      </c>
      <c r="G1256" s="18">
        <v>0.01</v>
      </c>
      <c r="H1256" s="13"/>
      <c r="I1256" s="13"/>
    </row>
    <row r="1257" spans="1:9">
      <c r="A1257" s="13" t="s">
        <v>1911</v>
      </c>
      <c r="B1257" s="139" t="s">
        <v>408</v>
      </c>
      <c r="C1257" s="139" t="s">
        <v>175</v>
      </c>
      <c r="D1257" s="15">
        <v>10000000</v>
      </c>
      <c r="E1257" s="93">
        <v>0.98862415810000004</v>
      </c>
      <c r="F1257" s="18">
        <v>9886241.5800000001</v>
      </c>
      <c r="G1257" s="18">
        <v>0.02</v>
      </c>
      <c r="H1257" s="13"/>
      <c r="I1257" s="13"/>
    </row>
    <row r="1258" spans="1:9">
      <c r="A1258" s="13" t="s">
        <v>1912</v>
      </c>
      <c r="B1258" s="139" t="s">
        <v>569</v>
      </c>
      <c r="C1258" s="139" t="s">
        <v>175</v>
      </c>
      <c r="D1258" s="18">
        <v>7247198.9699999997</v>
      </c>
      <c r="E1258" s="93">
        <v>0.98702021790000005</v>
      </c>
      <c r="F1258" s="18">
        <v>7153131.9100000001</v>
      </c>
      <c r="G1258" s="18">
        <v>0.02</v>
      </c>
      <c r="H1258" s="13"/>
      <c r="I1258" s="13"/>
    </row>
    <row r="1259" spans="1:9">
      <c r="A1259" s="13" t="s">
        <v>1926</v>
      </c>
      <c r="B1259" s="139" t="s">
        <v>875</v>
      </c>
      <c r="C1259" s="139" t="s">
        <v>369</v>
      </c>
      <c r="D1259" s="15">
        <v>20000000</v>
      </c>
      <c r="E1259" s="154">
        <v>0.94213013300000004</v>
      </c>
      <c r="F1259" s="18">
        <v>18842602.66</v>
      </c>
      <c r="G1259" s="18">
        <v>0.04</v>
      </c>
      <c r="H1259" s="13"/>
      <c r="I1259" s="13"/>
    </row>
    <row r="1260" spans="1:9">
      <c r="A1260" s="13" t="s">
        <v>1927</v>
      </c>
      <c r="B1260" s="139" t="s">
        <v>813</v>
      </c>
      <c r="C1260" s="139" t="s">
        <v>369</v>
      </c>
      <c r="D1260" s="15">
        <v>10000000</v>
      </c>
      <c r="E1260" s="93">
        <v>0.93491472269999998</v>
      </c>
      <c r="F1260" s="18">
        <v>9349147.2300000004</v>
      </c>
      <c r="G1260" s="18">
        <v>0.02</v>
      </c>
      <c r="H1260" s="13"/>
      <c r="I1260" s="13"/>
    </row>
    <row r="1261" spans="1:9">
      <c r="A1261" s="13" t="s">
        <v>1928</v>
      </c>
      <c r="B1261" s="139" t="s">
        <v>886</v>
      </c>
      <c r="C1261" s="139" t="s">
        <v>369</v>
      </c>
      <c r="D1261" s="15">
        <v>10000000</v>
      </c>
      <c r="E1261" s="93">
        <v>0.92941552650000003</v>
      </c>
      <c r="F1261" s="18">
        <v>9294155.2699999996</v>
      </c>
      <c r="G1261" s="18">
        <v>0.02</v>
      </c>
      <c r="H1261" s="13"/>
      <c r="I1261" s="13"/>
    </row>
    <row r="1262" spans="1:9">
      <c r="A1262" s="13" t="s">
        <v>1929</v>
      </c>
      <c r="B1262" s="139" t="s">
        <v>596</v>
      </c>
      <c r="C1262" s="139" t="s">
        <v>369</v>
      </c>
      <c r="D1262" s="15">
        <v>100000000</v>
      </c>
      <c r="E1262" s="93">
        <v>0.95594800889999998</v>
      </c>
      <c r="F1262" s="18">
        <v>95594800.890000001</v>
      </c>
      <c r="G1262" s="18">
        <v>0.21</v>
      </c>
      <c r="H1262" s="13"/>
      <c r="I1262" s="13"/>
    </row>
    <row r="1263" spans="1:9">
      <c r="A1263" s="13" t="s">
        <v>1930</v>
      </c>
      <c r="B1263" s="139" t="s">
        <v>875</v>
      </c>
      <c r="C1263" s="139" t="s">
        <v>369</v>
      </c>
      <c r="D1263" s="15">
        <v>100000000</v>
      </c>
      <c r="E1263" s="93">
        <v>0.95522243169999999</v>
      </c>
      <c r="F1263" s="18">
        <v>95522243.170000002</v>
      </c>
      <c r="G1263" s="18">
        <v>0.21</v>
      </c>
      <c r="H1263" s="13"/>
      <c r="I1263" s="13"/>
    </row>
    <row r="1264" spans="1:9">
      <c r="A1264" s="13" t="s">
        <v>1931</v>
      </c>
      <c r="B1264" s="139" t="s">
        <v>1194</v>
      </c>
      <c r="C1264" s="139" t="s">
        <v>369</v>
      </c>
      <c r="D1264" s="15">
        <v>100000000</v>
      </c>
      <c r="E1264" s="93">
        <v>0.95233134549999998</v>
      </c>
      <c r="F1264" s="18">
        <v>95233134.549999997</v>
      </c>
      <c r="G1264" s="18">
        <v>0.21</v>
      </c>
      <c r="H1264" s="13"/>
      <c r="I1264" s="13"/>
    </row>
    <row r="1265" spans="1:9">
      <c r="A1265" s="13" t="s">
        <v>1932</v>
      </c>
      <c r="B1265" s="139" t="s">
        <v>628</v>
      </c>
      <c r="C1265" s="139" t="s">
        <v>369</v>
      </c>
      <c r="D1265" s="15">
        <v>100000000</v>
      </c>
      <c r="E1265" s="154">
        <v>0.95161124500000005</v>
      </c>
      <c r="F1265" s="151">
        <v>95161124.5</v>
      </c>
      <c r="G1265" s="18">
        <v>0.21</v>
      </c>
      <c r="H1265" s="13"/>
      <c r="I1265" s="13"/>
    </row>
    <row r="1266" spans="1:9">
      <c r="A1266" s="13" t="s">
        <v>1933</v>
      </c>
      <c r="B1266" s="139" t="s">
        <v>412</v>
      </c>
      <c r="C1266" s="139" t="s">
        <v>369</v>
      </c>
      <c r="D1266" s="15">
        <v>100000000</v>
      </c>
      <c r="E1266" s="93">
        <v>0.94945770480000002</v>
      </c>
      <c r="F1266" s="18">
        <v>94945770.480000004</v>
      </c>
      <c r="G1266" s="18">
        <v>0.21</v>
      </c>
      <c r="H1266" s="13"/>
      <c r="I1266" s="13"/>
    </row>
    <row r="1267" spans="1:9">
      <c r="A1267" s="13" t="s">
        <v>1934</v>
      </c>
      <c r="B1267" s="139" t="s">
        <v>499</v>
      </c>
      <c r="C1267" s="139" t="s">
        <v>369</v>
      </c>
      <c r="D1267" s="15">
        <v>100000000</v>
      </c>
      <c r="E1267" s="93">
        <v>0.96252740930000003</v>
      </c>
      <c r="F1267" s="18">
        <v>96252740.930000007</v>
      </c>
      <c r="G1267" s="18">
        <v>0.22</v>
      </c>
      <c r="H1267" s="13"/>
      <c r="I1267" s="13"/>
    </row>
    <row r="1268" spans="1:9">
      <c r="A1268" s="13" t="s">
        <v>1935</v>
      </c>
      <c r="B1268" s="139" t="s">
        <v>505</v>
      </c>
      <c r="C1268" s="139" t="s">
        <v>369</v>
      </c>
      <c r="D1268" s="15">
        <v>100000000</v>
      </c>
      <c r="E1268" s="93">
        <v>0.96179205820000002</v>
      </c>
      <c r="F1268" s="18">
        <v>96179205.819999993</v>
      </c>
      <c r="G1268" s="18">
        <v>0.22</v>
      </c>
      <c r="H1268" s="13"/>
      <c r="I1268" s="13"/>
    </row>
    <row r="1269" spans="1:9">
      <c r="A1269" s="13" t="s">
        <v>1936</v>
      </c>
      <c r="B1269" s="139" t="s">
        <v>346</v>
      </c>
      <c r="C1269" s="139" t="s">
        <v>369</v>
      </c>
      <c r="D1269" s="15">
        <v>100000000</v>
      </c>
      <c r="E1269" s="93">
        <v>0.96032423560000002</v>
      </c>
      <c r="F1269" s="18">
        <v>96032423.560000002</v>
      </c>
      <c r="G1269" s="18">
        <v>0.22</v>
      </c>
      <c r="H1269" s="13"/>
      <c r="I1269" s="13"/>
    </row>
    <row r="1270" spans="1:9">
      <c r="A1270" s="13" t="s">
        <v>1937</v>
      </c>
      <c r="B1270" s="139" t="s">
        <v>696</v>
      </c>
      <c r="C1270" s="139" t="s">
        <v>369</v>
      </c>
      <c r="D1270" s="15">
        <v>100000000</v>
      </c>
      <c r="E1270" s="93">
        <v>0.95740223170000005</v>
      </c>
      <c r="F1270" s="18">
        <v>95740223.170000002</v>
      </c>
      <c r="G1270" s="18">
        <v>0.22</v>
      </c>
      <c r="H1270" s="13"/>
      <c r="I1270" s="13"/>
    </row>
    <row r="1271" spans="1:9">
      <c r="A1271" s="13" t="s">
        <v>1938</v>
      </c>
      <c r="B1271" s="139" t="s">
        <v>736</v>
      </c>
      <c r="C1271" s="139" t="s">
        <v>369</v>
      </c>
      <c r="D1271" s="15">
        <v>100000000</v>
      </c>
      <c r="E1271" s="93">
        <v>0.95089247529999998</v>
      </c>
      <c r="F1271" s="18">
        <v>95089247.530000001</v>
      </c>
      <c r="G1271" s="18">
        <v>0.21</v>
      </c>
      <c r="H1271" s="13"/>
      <c r="I1271" s="13"/>
    </row>
    <row r="1272" spans="1:9">
      <c r="A1272" s="13" t="s">
        <v>1939</v>
      </c>
      <c r="B1272" s="139" t="s">
        <v>1940</v>
      </c>
      <c r="C1272" s="139" t="s">
        <v>369</v>
      </c>
      <c r="D1272" s="15">
        <v>15000000</v>
      </c>
      <c r="E1272" s="93">
        <v>0.83354283549999997</v>
      </c>
      <c r="F1272" s="18">
        <v>12503142.529999999</v>
      </c>
      <c r="G1272" s="18">
        <v>0.03</v>
      </c>
      <c r="H1272" s="13"/>
      <c r="I1272" s="13"/>
    </row>
    <row r="1273" spans="1:9">
      <c r="A1273" s="13" t="s">
        <v>1941</v>
      </c>
      <c r="B1273" s="139" t="s">
        <v>594</v>
      </c>
      <c r="C1273" s="139" t="s">
        <v>369</v>
      </c>
      <c r="D1273" s="15">
        <v>50000000</v>
      </c>
      <c r="E1273" s="93">
        <v>0.92785603530000005</v>
      </c>
      <c r="F1273" s="18">
        <v>46392801.770000003</v>
      </c>
      <c r="G1273" s="151">
        <v>0.1</v>
      </c>
      <c r="H1273" s="13"/>
      <c r="I1273" s="13"/>
    </row>
    <row r="1274" spans="1:9">
      <c r="A1274" s="13" t="s">
        <v>1942</v>
      </c>
      <c r="B1274" s="139" t="s">
        <v>989</v>
      </c>
      <c r="C1274" s="139" t="s">
        <v>369</v>
      </c>
      <c r="D1274" s="15">
        <v>2200000</v>
      </c>
      <c r="E1274" s="93">
        <v>0.94368906529999996</v>
      </c>
      <c r="F1274" s="18">
        <v>2076115.94</v>
      </c>
      <c r="G1274" s="15">
        <v>0</v>
      </c>
      <c r="H1274" s="13"/>
      <c r="I1274" s="13"/>
    </row>
    <row r="1275" spans="1:9">
      <c r="A1275" s="13" t="s">
        <v>1943</v>
      </c>
      <c r="B1275" s="139" t="s">
        <v>813</v>
      </c>
      <c r="C1275" s="139" t="s">
        <v>369</v>
      </c>
      <c r="D1275" s="15">
        <v>2200000</v>
      </c>
      <c r="E1275" s="93">
        <v>0.93491472450000002</v>
      </c>
      <c r="F1275" s="18">
        <v>2056812.39</v>
      </c>
      <c r="G1275" s="15">
        <v>0</v>
      </c>
      <c r="H1275" s="13"/>
      <c r="I1275" s="13"/>
    </row>
    <row r="1276" spans="1:9">
      <c r="A1276" s="13" t="s">
        <v>1944</v>
      </c>
      <c r="B1276" s="139" t="s">
        <v>797</v>
      </c>
      <c r="C1276" s="139" t="s">
        <v>369</v>
      </c>
      <c r="D1276" s="15">
        <v>2200000</v>
      </c>
      <c r="E1276" s="93">
        <v>0.92707851939999997</v>
      </c>
      <c r="F1276" s="18">
        <v>2039572.74</v>
      </c>
      <c r="G1276" s="15">
        <v>0</v>
      </c>
      <c r="H1276" s="13"/>
      <c r="I1276" s="13"/>
    </row>
    <row r="1277" spans="1:9">
      <c r="A1277" s="13" t="s">
        <v>1945</v>
      </c>
      <c r="B1277" s="139" t="s">
        <v>860</v>
      </c>
      <c r="C1277" s="139" t="s">
        <v>369</v>
      </c>
      <c r="D1277" s="15">
        <v>2200000</v>
      </c>
      <c r="E1277" s="93">
        <v>0.93333700860000002</v>
      </c>
      <c r="F1277" s="18">
        <v>2053341.42</v>
      </c>
      <c r="G1277" s="15">
        <v>0</v>
      </c>
      <c r="H1277" s="13"/>
      <c r="I1277" s="13"/>
    </row>
    <row r="1278" spans="1:9">
      <c r="A1278" s="13" t="s">
        <v>1946</v>
      </c>
      <c r="B1278" s="139" t="s">
        <v>1124</v>
      </c>
      <c r="C1278" s="139" t="s">
        <v>369</v>
      </c>
      <c r="D1278" s="15">
        <v>2200000</v>
      </c>
      <c r="E1278" s="93">
        <v>0.93255001179999997</v>
      </c>
      <c r="F1278" s="18">
        <v>2051610.03</v>
      </c>
      <c r="G1278" s="15">
        <v>0</v>
      </c>
      <c r="H1278" s="13"/>
      <c r="I1278" s="13"/>
    </row>
    <row r="1279" spans="1:9">
      <c r="A1279" s="13" t="s">
        <v>1947</v>
      </c>
      <c r="B1279" s="139" t="s">
        <v>468</v>
      </c>
      <c r="C1279" s="139" t="s">
        <v>369</v>
      </c>
      <c r="D1279" s="15">
        <v>2200000</v>
      </c>
      <c r="E1279" s="154">
        <v>0.931764339</v>
      </c>
      <c r="F1279" s="18">
        <v>2049881.55</v>
      </c>
      <c r="G1279" s="15">
        <v>0</v>
      </c>
      <c r="H1279" s="13"/>
      <c r="I1279" s="13"/>
    </row>
    <row r="1280" spans="1:9">
      <c r="A1280" s="13" t="s">
        <v>1948</v>
      </c>
      <c r="B1280" s="139" t="s">
        <v>886</v>
      </c>
      <c r="C1280" s="139" t="s">
        <v>369</v>
      </c>
      <c r="D1280" s="15">
        <v>2200000</v>
      </c>
      <c r="E1280" s="93">
        <v>0.92941552059999999</v>
      </c>
      <c r="F1280" s="18">
        <v>2044714.15</v>
      </c>
      <c r="G1280" s="15">
        <v>0</v>
      </c>
      <c r="H1280" s="13"/>
      <c r="I1280" s="13"/>
    </row>
    <row r="1281" spans="1:9">
      <c r="A1281" s="13" t="s">
        <v>1949</v>
      </c>
      <c r="B1281" s="139" t="s">
        <v>191</v>
      </c>
      <c r="C1281" s="139" t="s">
        <v>369</v>
      </c>
      <c r="D1281" s="15">
        <v>2200000</v>
      </c>
      <c r="E1281" s="93">
        <v>0.92863512410000004</v>
      </c>
      <c r="F1281" s="18">
        <v>2042997.27</v>
      </c>
      <c r="G1281" s="15">
        <v>0</v>
      </c>
      <c r="H1281" s="13"/>
      <c r="I1281" s="13"/>
    </row>
    <row r="1282" spans="1:9">
      <c r="A1282" s="13" t="s">
        <v>1950</v>
      </c>
      <c r="B1282" s="139" t="s">
        <v>594</v>
      </c>
      <c r="C1282" s="139" t="s">
        <v>369</v>
      </c>
      <c r="D1282" s="15">
        <v>2200000</v>
      </c>
      <c r="E1282" s="93">
        <v>0.92785603530000005</v>
      </c>
      <c r="F1282" s="18">
        <v>2041283.28</v>
      </c>
      <c r="G1282" s="15">
        <v>0</v>
      </c>
      <c r="H1282" s="13"/>
      <c r="I1282" s="13"/>
    </row>
    <row r="1283" spans="1:9">
      <c r="A1283" s="13" t="s">
        <v>1951</v>
      </c>
      <c r="B1283" s="139" t="s">
        <v>736</v>
      </c>
      <c r="C1283" s="139" t="s">
        <v>369</v>
      </c>
      <c r="D1283" s="15">
        <v>2000000</v>
      </c>
      <c r="E1283" s="93">
        <v>0.94449499029999995</v>
      </c>
      <c r="F1283" s="18">
        <v>1888989.98</v>
      </c>
      <c r="G1283" s="15">
        <v>0</v>
      </c>
      <c r="H1283" s="13"/>
      <c r="I1283" s="13"/>
    </row>
    <row r="1284" spans="1:9">
      <c r="A1284" s="13" t="s">
        <v>1952</v>
      </c>
      <c r="B1284" s="139" t="s">
        <v>412</v>
      </c>
      <c r="C1284" s="139" t="s">
        <v>369</v>
      </c>
      <c r="D1284" s="15">
        <v>2200000</v>
      </c>
      <c r="E1284" s="93">
        <v>0.94288452649999999</v>
      </c>
      <c r="F1284" s="18">
        <v>2074345.96</v>
      </c>
      <c r="G1284" s="15">
        <v>0</v>
      </c>
      <c r="H1284" s="13"/>
      <c r="I1284" s="13"/>
    </row>
    <row r="1285" spans="1:9">
      <c r="A1285" s="13" t="s">
        <v>1953</v>
      </c>
      <c r="B1285" s="139" t="s">
        <v>419</v>
      </c>
      <c r="C1285" s="139" t="s">
        <v>369</v>
      </c>
      <c r="D1285" s="15">
        <v>2200000</v>
      </c>
      <c r="E1285" s="93">
        <v>0.93968030280000003</v>
      </c>
      <c r="F1285" s="18">
        <v>2067296.67</v>
      </c>
      <c r="G1285" s="15">
        <v>0</v>
      </c>
      <c r="H1285" s="13"/>
      <c r="I1285" s="13"/>
    </row>
    <row r="1286" spans="1:9">
      <c r="A1286" s="13" t="s">
        <v>1954</v>
      </c>
      <c r="B1286" s="139" t="s">
        <v>189</v>
      </c>
      <c r="C1286" s="139" t="s">
        <v>369</v>
      </c>
      <c r="D1286" s="15">
        <v>2200000</v>
      </c>
      <c r="E1286" s="93">
        <v>0.93888284629999996</v>
      </c>
      <c r="F1286" s="18">
        <v>2065542.26</v>
      </c>
      <c r="G1286" s="15">
        <v>0</v>
      </c>
      <c r="H1286" s="13"/>
      <c r="I1286" s="13"/>
    </row>
    <row r="1287" spans="1:9">
      <c r="A1287" s="13" t="s">
        <v>1955</v>
      </c>
      <c r="B1287" s="139" t="s">
        <v>809</v>
      </c>
      <c r="C1287" s="139" t="s">
        <v>369</v>
      </c>
      <c r="D1287" s="15">
        <v>2200000</v>
      </c>
      <c r="E1287" s="93">
        <v>0.93808647820000002</v>
      </c>
      <c r="F1287" s="18">
        <v>2063790.25</v>
      </c>
      <c r="G1287" s="15">
        <v>0</v>
      </c>
      <c r="H1287" s="13"/>
      <c r="I1287" s="13"/>
    </row>
    <row r="1288" spans="1:9">
      <c r="A1288" s="13" t="s">
        <v>1956</v>
      </c>
      <c r="B1288" s="139" t="s">
        <v>780</v>
      </c>
      <c r="C1288" s="139" t="s">
        <v>369</v>
      </c>
      <c r="D1288" s="15">
        <v>2200000</v>
      </c>
      <c r="E1288" s="93">
        <v>0.93729145260000002</v>
      </c>
      <c r="F1288" s="151">
        <v>2062041.2</v>
      </c>
      <c r="G1288" s="15">
        <v>0</v>
      </c>
      <c r="H1288" s="13"/>
      <c r="I1288" s="13"/>
    </row>
    <row r="1289" spans="1:9">
      <c r="A1289" s="13" t="s">
        <v>1957</v>
      </c>
      <c r="B1289" s="139" t="s">
        <v>632</v>
      </c>
      <c r="C1289" s="139" t="s">
        <v>369</v>
      </c>
      <c r="D1289" s="15">
        <v>2200000</v>
      </c>
      <c r="E1289" s="93">
        <v>0.93412506630000003</v>
      </c>
      <c r="F1289" s="18">
        <v>2055075.15</v>
      </c>
      <c r="G1289" s="15">
        <v>0</v>
      </c>
      <c r="H1289" s="13"/>
      <c r="I1289" s="13"/>
    </row>
    <row r="1290" spans="1:9">
      <c r="A1290" s="13" t="s">
        <v>1958</v>
      </c>
      <c r="B1290" s="139" t="s">
        <v>989</v>
      </c>
      <c r="C1290" s="139" t="s">
        <v>369</v>
      </c>
      <c r="D1290" s="15">
        <v>31000000</v>
      </c>
      <c r="E1290" s="93">
        <v>0.96847811660000005</v>
      </c>
      <c r="F1290" s="18">
        <v>30022821.609999999</v>
      </c>
      <c r="G1290" s="18">
        <v>7.0000000000000007E-2</v>
      </c>
      <c r="H1290" s="13"/>
      <c r="I1290" s="13"/>
    </row>
    <row r="1291" spans="1:9">
      <c r="A1291" s="13" t="s">
        <v>2001</v>
      </c>
      <c r="B1291" s="139" t="s">
        <v>607</v>
      </c>
      <c r="C1291" s="139" t="s">
        <v>394</v>
      </c>
      <c r="D1291" s="15">
        <v>319651714</v>
      </c>
      <c r="E1291" s="93">
        <v>0.98052404390000003</v>
      </c>
      <c r="F1291" s="18">
        <v>313426191.25</v>
      </c>
      <c r="G1291" s="151">
        <v>0.7</v>
      </c>
      <c r="H1291" s="13"/>
      <c r="I1291" s="13"/>
    </row>
    <row r="1292" spans="1:9">
      <c r="A1292" s="13" t="s">
        <v>1961</v>
      </c>
      <c r="B1292" s="139" t="s">
        <v>871</v>
      </c>
      <c r="C1292" s="139" t="s">
        <v>394</v>
      </c>
      <c r="D1292" s="15">
        <v>10000000</v>
      </c>
      <c r="E1292" s="93">
        <v>0.92792681249999998</v>
      </c>
      <c r="F1292" s="18">
        <v>9279268.1300000008</v>
      </c>
      <c r="G1292" s="18">
        <v>0.02</v>
      </c>
      <c r="H1292" s="13"/>
      <c r="I1292" s="13"/>
    </row>
    <row r="1293" spans="1:9">
      <c r="A1293" s="13" t="s">
        <v>1962</v>
      </c>
      <c r="B1293" s="139" t="s">
        <v>948</v>
      </c>
      <c r="C1293" s="139" t="s">
        <v>394</v>
      </c>
      <c r="D1293" s="15">
        <v>10000000</v>
      </c>
      <c r="E1293" s="93">
        <v>0.92665478069999996</v>
      </c>
      <c r="F1293" s="18">
        <v>9266547.8100000005</v>
      </c>
      <c r="G1293" s="18">
        <v>0.02</v>
      </c>
      <c r="H1293" s="13"/>
      <c r="I1293" s="13"/>
    </row>
    <row r="1294" spans="1:9">
      <c r="A1294" s="13" t="s">
        <v>1964</v>
      </c>
      <c r="B1294" s="139" t="s">
        <v>1963</v>
      </c>
      <c r="C1294" s="139" t="s">
        <v>394</v>
      </c>
      <c r="D1294" s="15">
        <v>8000000</v>
      </c>
      <c r="E1294" s="93">
        <v>0.92601996139999998</v>
      </c>
      <c r="F1294" s="18">
        <v>7408159.6900000004</v>
      </c>
      <c r="G1294" s="18">
        <v>0.02</v>
      </c>
      <c r="H1294" s="13"/>
      <c r="I1294" s="13"/>
    </row>
    <row r="1295" spans="1:9">
      <c r="A1295" s="13" t="s">
        <v>1965</v>
      </c>
      <c r="B1295" s="139" t="s">
        <v>948</v>
      </c>
      <c r="C1295" s="139" t="s">
        <v>394</v>
      </c>
      <c r="D1295" s="15">
        <v>10000000</v>
      </c>
      <c r="E1295" s="93">
        <v>0.92665478069999996</v>
      </c>
      <c r="F1295" s="18">
        <v>9266547.8100000005</v>
      </c>
      <c r="G1295" s="18">
        <v>0.02</v>
      </c>
      <c r="H1295" s="13"/>
      <c r="I1295" s="13"/>
    </row>
    <row r="1296" spans="1:9">
      <c r="A1296" s="13" t="s">
        <v>1966</v>
      </c>
      <c r="B1296" s="139" t="s">
        <v>871</v>
      </c>
      <c r="C1296" s="139" t="s">
        <v>394</v>
      </c>
      <c r="D1296" s="15">
        <v>10000000</v>
      </c>
      <c r="E1296" s="93">
        <v>0.92792681249999998</v>
      </c>
      <c r="F1296" s="18">
        <v>9279268.1300000008</v>
      </c>
      <c r="G1296" s="18">
        <v>0.02</v>
      </c>
      <c r="H1296" s="13"/>
      <c r="I1296" s="13"/>
    </row>
    <row r="1297" spans="1:9">
      <c r="A1297" s="13" t="s">
        <v>1967</v>
      </c>
      <c r="B1297" s="139" t="s">
        <v>1115</v>
      </c>
      <c r="C1297" s="139" t="s">
        <v>394</v>
      </c>
      <c r="D1297" s="15">
        <v>5000000</v>
      </c>
      <c r="E1297" s="93">
        <v>0.92729047220000005</v>
      </c>
      <c r="F1297" s="18">
        <v>4636452.3600000003</v>
      </c>
      <c r="G1297" s="18">
        <v>0.01</v>
      </c>
      <c r="H1297" s="13"/>
      <c r="I1297" s="13"/>
    </row>
    <row r="1298" spans="1:9">
      <c r="A1298" s="13" t="s">
        <v>1968</v>
      </c>
      <c r="B1298" s="139" t="s">
        <v>948</v>
      </c>
      <c r="C1298" s="139" t="s">
        <v>394</v>
      </c>
      <c r="D1298" s="15">
        <v>5000000</v>
      </c>
      <c r="E1298" s="93">
        <v>0.92665478320000005</v>
      </c>
      <c r="F1298" s="18">
        <v>4633273.92</v>
      </c>
      <c r="G1298" s="18">
        <v>0.01</v>
      </c>
      <c r="H1298" s="13"/>
      <c r="I1298" s="13"/>
    </row>
    <row r="1299" spans="1:9">
      <c r="A1299" s="13" t="s">
        <v>1969</v>
      </c>
      <c r="B1299" s="139" t="s">
        <v>1963</v>
      </c>
      <c r="C1299" s="139" t="s">
        <v>394</v>
      </c>
      <c r="D1299" s="15">
        <v>5000000</v>
      </c>
      <c r="E1299" s="93">
        <v>0.92601996139999998</v>
      </c>
      <c r="F1299" s="18">
        <v>4630099.8099999996</v>
      </c>
      <c r="G1299" s="18">
        <v>0.01</v>
      </c>
      <c r="H1299" s="13"/>
      <c r="I1299" s="13"/>
    </row>
    <row r="1300" spans="1:9">
      <c r="A1300" s="13" t="s">
        <v>1970</v>
      </c>
      <c r="B1300" s="139" t="s">
        <v>948</v>
      </c>
      <c r="C1300" s="139" t="s">
        <v>394</v>
      </c>
      <c r="D1300" s="15">
        <v>5000000</v>
      </c>
      <c r="E1300" s="93">
        <v>0.92665478320000005</v>
      </c>
      <c r="F1300" s="18">
        <v>4633273.92</v>
      </c>
      <c r="G1300" s="18">
        <v>0.01</v>
      </c>
      <c r="H1300" s="13"/>
      <c r="I1300" s="13"/>
    </row>
    <row r="1301" spans="1:9">
      <c r="A1301" s="13" t="s">
        <v>1971</v>
      </c>
      <c r="B1301" s="139" t="s">
        <v>860</v>
      </c>
      <c r="C1301" s="139" t="s">
        <v>394</v>
      </c>
      <c r="D1301" s="15">
        <v>100000000</v>
      </c>
      <c r="E1301" s="93">
        <v>0.94672413349999995</v>
      </c>
      <c r="F1301" s="18">
        <v>94672413.349999994</v>
      </c>
      <c r="G1301" s="18">
        <v>0.21</v>
      </c>
      <c r="H1301" s="13"/>
      <c r="I1301" s="13"/>
    </row>
    <row r="1302" spans="1:9">
      <c r="A1302" s="13" t="s">
        <v>1972</v>
      </c>
      <c r="B1302" s="139" t="s">
        <v>1108</v>
      </c>
      <c r="C1302" s="139" t="s">
        <v>394</v>
      </c>
      <c r="D1302" s="15">
        <v>5000000</v>
      </c>
      <c r="E1302" s="93">
        <v>0.92538600770000001</v>
      </c>
      <c r="F1302" s="18">
        <v>4626930.04</v>
      </c>
      <c r="G1302" s="18">
        <v>0.01</v>
      </c>
      <c r="H1302" s="13"/>
      <c r="I1302" s="13"/>
    </row>
    <row r="1303" spans="1:9">
      <c r="A1303" s="13" t="s">
        <v>1974</v>
      </c>
      <c r="B1303" s="139" t="s">
        <v>1973</v>
      </c>
      <c r="C1303" s="139" t="s">
        <v>394</v>
      </c>
      <c r="D1303" s="15">
        <v>5000000</v>
      </c>
      <c r="E1303" s="93">
        <v>0.92348957509999996</v>
      </c>
      <c r="F1303" s="18">
        <v>4617447.88</v>
      </c>
      <c r="G1303" s="18">
        <v>0.01</v>
      </c>
      <c r="H1303" s="13"/>
      <c r="I1303" s="13"/>
    </row>
    <row r="1304" spans="1:9">
      <c r="A1304" s="13" t="s">
        <v>1975</v>
      </c>
      <c r="B1304" s="139" t="s">
        <v>871</v>
      </c>
      <c r="C1304" s="139" t="s">
        <v>394</v>
      </c>
      <c r="D1304" s="15">
        <v>5000000</v>
      </c>
      <c r="E1304" s="93">
        <v>0.92792681249999998</v>
      </c>
      <c r="F1304" s="18">
        <v>4639634.0599999996</v>
      </c>
      <c r="G1304" s="18">
        <v>0.01</v>
      </c>
      <c r="H1304" s="13"/>
      <c r="I1304" s="13"/>
    </row>
    <row r="1305" spans="1:9">
      <c r="A1305" s="13" t="s">
        <v>1976</v>
      </c>
      <c r="B1305" s="139" t="s">
        <v>1022</v>
      </c>
      <c r="C1305" s="139" t="s">
        <v>394</v>
      </c>
      <c r="D1305" s="15">
        <v>5000000</v>
      </c>
      <c r="E1305" s="93">
        <v>0.92285930429999996</v>
      </c>
      <c r="F1305" s="18">
        <v>4614296.5199999996</v>
      </c>
      <c r="G1305" s="18">
        <v>0.01</v>
      </c>
      <c r="H1305" s="13"/>
      <c r="I1305" s="13"/>
    </row>
    <row r="1306" spans="1:9">
      <c r="A1306" s="13" t="s">
        <v>1977</v>
      </c>
      <c r="B1306" s="139" t="s">
        <v>191</v>
      </c>
      <c r="C1306" s="139" t="s">
        <v>394</v>
      </c>
      <c r="D1306" s="15">
        <v>120000000</v>
      </c>
      <c r="E1306" s="93">
        <v>0.94290894569999995</v>
      </c>
      <c r="F1306" s="18">
        <v>113149073.48</v>
      </c>
      <c r="G1306" s="18">
        <v>0.25</v>
      </c>
      <c r="H1306" s="13"/>
      <c r="I1306" s="13"/>
    </row>
    <row r="1307" spans="1:9">
      <c r="A1307" s="13" t="s">
        <v>1978</v>
      </c>
      <c r="B1307" s="139" t="s">
        <v>886</v>
      </c>
      <c r="C1307" s="139" t="s">
        <v>394</v>
      </c>
      <c r="D1307" s="15">
        <v>27000000</v>
      </c>
      <c r="E1307" s="93">
        <v>0.94354274660000004</v>
      </c>
      <c r="F1307" s="18">
        <v>25475654.16</v>
      </c>
      <c r="G1307" s="18">
        <v>0.06</v>
      </c>
      <c r="H1307" s="13"/>
      <c r="I1307" s="13"/>
    </row>
    <row r="1308" spans="1:9">
      <c r="A1308" s="13" t="s">
        <v>2023</v>
      </c>
      <c r="B1308" s="139" t="s">
        <v>610</v>
      </c>
      <c r="C1308" s="139" t="s">
        <v>394</v>
      </c>
      <c r="D1308" s="15">
        <v>90000000</v>
      </c>
      <c r="E1308" s="93">
        <v>0.96571066920000004</v>
      </c>
      <c r="F1308" s="18">
        <v>86913960.230000004</v>
      </c>
      <c r="G1308" s="151">
        <v>0.2</v>
      </c>
      <c r="H1308" s="13"/>
      <c r="I1308" s="13"/>
    </row>
    <row r="1309" spans="1:9">
      <c r="A1309" s="13" t="s">
        <v>2024</v>
      </c>
      <c r="B1309" s="139" t="s">
        <v>610</v>
      </c>
      <c r="C1309" s="139" t="s">
        <v>394</v>
      </c>
      <c r="D1309" s="15">
        <v>210000000</v>
      </c>
      <c r="E1309" s="93">
        <v>0.96571066920000004</v>
      </c>
      <c r="F1309" s="18">
        <v>202799240.53</v>
      </c>
      <c r="G1309" s="18">
        <v>0.46</v>
      </c>
      <c r="H1309" s="13"/>
      <c r="I1309" s="13"/>
    </row>
    <row r="1310" spans="1:9">
      <c r="A1310" s="13" t="s">
        <v>2025</v>
      </c>
      <c r="B1310" s="139" t="s">
        <v>505</v>
      </c>
      <c r="C1310" s="139" t="s">
        <v>394</v>
      </c>
      <c r="D1310" s="15">
        <v>128000000</v>
      </c>
      <c r="E1310" s="154">
        <v>0.94805201699999997</v>
      </c>
      <c r="F1310" s="18">
        <v>121350658.18000001</v>
      </c>
      <c r="G1310" s="18">
        <v>0.27</v>
      </c>
      <c r="H1310" s="13"/>
      <c r="I1310" s="13"/>
    </row>
    <row r="1311" spans="1:9">
      <c r="A1311" s="13" t="s">
        <v>1995</v>
      </c>
      <c r="B1311" s="139" t="s">
        <v>607</v>
      </c>
      <c r="C1311" s="139" t="s">
        <v>394</v>
      </c>
      <c r="D1311" s="18">
        <v>9040891.3100000005</v>
      </c>
      <c r="E1311" s="93">
        <v>0.96770805689999995</v>
      </c>
      <c r="F1311" s="18">
        <v>8748943.3599999994</v>
      </c>
      <c r="G1311" s="18">
        <v>0.02</v>
      </c>
      <c r="H1311" s="13"/>
      <c r="I1311" s="13"/>
    </row>
    <row r="1312" spans="1:9">
      <c r="A1312" s="13" t="s">
        <v>2028</v>
      </c>
      <c r="B1312" s="139" t="s">
        <v>408</v>
      </c>
      <c r="C1312" s="139" t="s">
        <v>394</v>
      </c>
      <c r="D1312" s="18">
        <v>6645581.25</v>
      </c>
      <c r="E1312" s="93">
        <v>0.9875006932</v>
      </c>
      <c r="F1312" s="18">
        <v>6562516.0899999999</v>
      </c>
      <c r="G1312" s="18">
        <v>0.01</v>
      </c>
      <c r="H1312" s="13"/>
      <c r="I1312" s="13"/>
    </row>
    <row r="1313" spans="1:9">
      <c r="A1313" s="13" t="s">
        <v>2067</v>
      </c>
      <c r="B1313" s="139" t="s">
        <v>875</v>
      </c>
      <c r="C1313" s="139" t="s">
        <v>394</v>
      </c>
      <c r="D1313" s="15">
        <v>20000000</v>
      </c>
      <c r="E1313" s="154">
        <v>0.94213022199999996</v>
      </c>
      <c r="F1313" s="18">
        <v>18842604.440000001</v>
      </c>
      <c r="G1313" s="18">
        <v>0.04</v>
      </c>
      <c r="H1313" s="13"/>
      <c r="I1313" s="13"/>
    </row>
    <row r="1314" spans="1:9">
      <c r="A1314" s="13" t="s">
        <v>2068</v>
      </c>
      <c r="B1314" s="139" t="s">
        <v>470</v>
      </c>
      <c r="C1314" s="139" t="s">
        <v>394</v>
      </c>
      <c r="D1314" s="15">
        <v>20000000</v>
      </c>
      <c r="E1314" s="93">
        <v>0.94120695470000004</v>
      </c>
      <c r="F1314" s="18">
        <v>18824139.09</v>
      </c>
      <c r="G1314" s="18">
        <v>0.04</v>
      </c>
      <c r="H1314" s="13"/>
      <c r="I1314" s="13"/>
    </row>
    <row r="1315" spans="1:9">
      <c r="A1315" s="13" t="s">
        <v>2069</v>
      </c>
      <c r="B1315" s="139" t="s">
        <v>470</v>
      </c>
      <c r="C1315" s="139" t="s">
        <v>394</v>
      </c>
      <c r="D1315" s="15">
        <v>20000000</v>
      </c>
      <c r="E1315" s="93">
        <v>0.94120695470000004</v>
      </c>
      <c r="F1315" s="18">
        <v>18824139.09</v>
      </c>
      <c r="G1315" s="18">
        <v>0.04</v>
      </c>
      <c r="H1315" s="13"/>
      <c r="I1315" s="13"/>
    </row>
    <row r="1316" spans="1:9">
      <c r="A1316" s="13" t="s">
        <v>2070</v>
      </c>
      <c r="B1316" s="139" t="s">
        <v>1194</v>
      </c>
      <c r="C1316" s="139" t="s">
        <v>394</v>
      </c>
      <c r="D1316" s="15">
        <v>20000000</v>
      </c>
      <c r="E1316" s="93">
        <v>0.93844829190000001</v>
      </c>
      <c r="F1316" s="18">
        <v>18768965.84</v>
      </c>
      <c r="G1316" s="18">
        <v>0.04</v>
      </c>
      <c r="H1316" s="13"/>
      <c r="I1316" s="13"/>
    </row>
    <row r="1317" spans="1:9">
      <c r="A1317" s="13" t="s">
        <v>1987</v>
      </c>
      <c r="B1317" s="139" t="s">
        <v>193</v>
      </c>
      <c r="C1317" s="139" t="s">
        <v>394</v>
      </c>
      <c r="D1317" s="15">
        <v>60000000</v>
      </c>
      <c r="E1317" s="93">
        <v>0.94120690309999999</v>
      </c>
      <c r="F1317" s="18">
        <v>56472414.189999998</v>
      </c>
      <c r="G1317" s="18">
        <v>0.13</v>
      </c>
      <c r="H1317" s="13"/>
      <c r="I1317" s="13"/>
    </row>
    <row r="1318" spans="1:9">
      <c r="A1318" s="13" t="s">
        <v>2030</v>
      </c>
      <c r="B1318" s="139" t="s">
        <v>410</v>
      </c>
      <c r="C1318" s="139" t="s">
        <v>394</v>
      </c>
      <c r="D1318" s="18">
        <v>2662911.02</v>
      </c>
      <c r="E1318" s="93">
        <v>0.95559754949999998</v>
      </c>
      <c r="F1318" s="18">
        <v>2544671.25</v>
      </c>
      <c r="G1318" s="18">
        <v>0.01</v>
      </c>
      <c r="H1318" s="13"/>
      <c r="I1318" s="13"/>
    </row>
    <row r="1319" spans="1:9">
      <c r="A1319" s="13" t="s">
        <v>2031</v>
      </c>
      <c r="B1319" s="139" t="s">
        <v>696</v>
      </c>
      <c r="C1319" s="139" t="s">
        <v>394</v>
      </c>
      <c r="D1319" s="18">
        <v>5606107.5899999999</v>
      </c>
      <c r="E1319" s="93">
        <v>0.95320186790000005</v>
      </c>
      <c r="F1319" s="18">
        <v>5343752.2300000004</v>
      </c>
      <c r="G1319" s="18">
        <v>0.01</v>
      </c>
      <c r="H1319" s="13"/>
      <c r="I1319" s="13"/>
    </row>
    <row r="1320" spans="1:9">
      <c r="A1320" s="13" t="s">
        <v>2033</v>
      </c>
      <c r="B1320" s="139" t="s">
        <v>596</v>
      </c>
      <c r="C1320" s="139" t="s">
        <v>394</v>
      </c>
      <c r="D1320" s="15">
        <v>1000000</v>
      </c>
      <c r="E1320" s="93">
        <v>0.95161122119999997</v>
      </c>
      <c r="F1320" s="18">
        <v>951611.22</v>
      </c>
      <c r="G1320" s="15">
        <v>0</v>
      </c>
      <c r="H1320" s="13"/>
      <c r="I1320" s="13"/>
    </row>
    <row r="1321" spans="1:9">
      <c r="A1321" s="13" t="s">
        <v>1988</v>
      </c>
      <c r="B1321" s="139" t="s">
        <v>795</v>
      </c>
      <c r="C1321" s="139" t="s">
        <v>394</v>
      </c>
      <c r="D1321" s="15">
        <v>10000000</v>
      </c>
      <c r="E1321" s="154">
        <v>0.91939559800000004</v>
      </c>
      <c r="F1321" s="18">
        <v>9193955.9800000004</v>
      </c>
      <c r="G1321" s="18">
        <v>0.02</v>
      </c>
      <c r="H1321" s="13"/>
      <c r="I1321" s="13"/>
    </row>
    <row r="1322" spans="1:9">
      <c r="A1322" s="13" t="s">
        <v>1989</v>
      </c>
      <c r="B1322" s="139" t="s">
        <v>799</v>
      </c>
      <c r="C1322" s="139" t="s">
        <v>394</v>
      </c>
      <c r="D1322" s="15">
        <v>10000000</v>
      </c>
      <c r="E1322" s="93">
        <v>0.91865504909999995</v>
      </c>
      <c r="F1322" s="18">
        <v>9186550.4900000002</v>
      </c>
      <c r="G1322" s="18">
        <v>0.02</v>
      </c>
      <c r="H1322" s="13"/>
      <c r="I1322" s="13"/>
    </row>
    <row r="1323" spans="1:9">
      <c r="A1323" s="13" t="s">
        <v>1990</v>
      </c>
      <c r="B1323" s="139" t="s">
        <v>1013</v>
      </c>
      <c r="C1323" s="139" t="s">
        <v>394</v>
      </c>
      <c r="D1323" s="15">
        <v>10000000</v>
      </c>
      <c r="E1323" s="93">
        <v>0.9179159522</v>
      </c>
      <c r="F1323" s="18">
        <v>9179159.5199999996</v>
      </c>
      <c r="G1323" s="18">
        <v>0.02</v>
      </c>
      <c r="H1323" s="13"/>
      <c r="I1323" s="13"/>
    </row>
    <row r="1324" spans="1:9">
      <c r="A1324" s="13" t="s">
        <v>1991</v>
      </c>
      <c r="B1324" s="139" t="s">
        <v>871</v>
      </c>
      <c r="C1324" s="139" t="s">
        <v>394</v>
      </c>
      <c r="D1324" s="15">
        <v>10000000</v>
      </c>
      <c r="E1324" s="93">
        <v>0.91570500359999996</v>
      </c>
      <c r="F1324" s="18">
        <v>9157050.0399999991</v>
      </c>
      <c r="G1324" s="18">
        <v>0.02</v>
      </c>
      <c r="H1324" s="13"/>
      <c r="I1324" s="13"/>
    </row>
    <row r="1325" spans="1:9">
      <c r="A1325" s="13" t="s">
        <v>1992</v>
      </c>
      <c r="B1325" s="139" t="s">
        <v>871</v>
      </c>
      <c r="C1325" s="139" t="s">
        <v>394</v>
      </c>
      <c r="D1325" s="15">
        <v>10000000</v>
      </c>
      <c r="E1325" s="93">
        <v>0.91570500359999996</v>
      </c>
      <c r="F1325" s="18">
        <v>9157050.0399999991</v>
      </c>
      <c r="G1325" s="18">
        <v>0.02</v>
      </c>
      <c r="H1325" s="13"/>
      <c r="I1325" s="13"/>
    </row>
    <row r="1326" spans="1:9">
      <c r="A1326" s="13" t="s">
        <v>1993</v>
      </c>
      <c r="B1326" s="139" t="s">
        <v>871</v>
      </c>
      <c r="C1326" s="139" t="s">
        <v>394</v>
      </c>
      <c r="D1326" s="15">
        <v>40000000</v>
      </c>
      <c r="E1326" s="93">
        <v>0.91570500359999996</v>
      </c>
      <c r="F1326" s="18">
        <v>36628200.140000001</v>
      </c>
      <c r="G1326" s="18">
        <v>0.08</v>
      </c>
      <c r="H1326" s="13"/>
      <c r="I1326" s="13"/>
    </row>
    <row r="1327" spans="1:9">
      <c r="A1327" s="13" t="s">
        <v>1994</v>
      </c>
      <c r="B1327" s="139" t="s">
        <v>1115</v>
      </c>
      <c r="C1327" s="139" t="s">
        <v>394</v>
      </c>
      <c r="D1327" s="15">
        <v>40000000</v>
      </c>
      <c r="E1327" s="93">
        <v>0.91497064380000004</v>
      </c>
      <c r="F1327" s="18">
        <v>36598825.75</v>
      </c>
      <c r="G1327" s="18">
        <v>0.08</v>
      </c>
      <c r="H1327" s="13"/>
      <c r="I1327" s="13"/>
    </row>
    <row r="1328" spans="1:9">
      <c r="A1328" s="13" t="s">
        <v>2035</v>
      </c>
      <c r="B1328" s="139" t="s">
        <v>193</v>
      </c>
      <c r="C1328" s="139" t="s">
        <v>394</v>
      </c>
      <c r="D1328" s="151">
        <v>1341865.8</v>
      </c>
      <c r="E1328" s="93">
        <v>0.9524058768</v>
      </c>
      <c r="F1328" s="18">
        <v>1278000.8700000001</v>
      </c>
      <c r="G1328" s="15">
        <v>0</v>
      </c>
      <c r="H1328" s="13"/>
      <c r="I1328" s="13"/>
    </row>
    <row r="1329" spans="1:9">
      <c r="A1329" s="13" t="s">
        <v>2037</v>
      </c>
      <c r="B1329" s="139" t="s">
        <v>493</v>
      </c>
      <c r="C1329" s="139" t="s">
        <v>394</v>
      </c>
      <c r="D1329" s="18">
        <v>1204873.98</v>
      </c>
      <c r="E1329" s="93">
        <v>0.95720155169999999</v>
      </c>
      <c r="F1329" s="18">
        <v>1153307.24</v>
      </c>
      <c r="G1329" s="15">
        <v>0</v>
      </c>
      <c r="H1329" s="13"/>
      <c r="I1329" s="13"/>
    </row>
    <row r="1330" spans="1:9">
      <c r="A1330" s="13" t="s">
        <v>2039</v>
      </c>
      <c r="B1330" s="139" t="s">
        <v>596</v>
      </c>
      <c r="C1330" s="139" t="s">
        <v>394</v>
      </c>
      <c r="D1330" s="15">
        <v>5000000</v>
      </c>
      <c r="E1330" s="93">
        <v>0.95161122409999999</v>
      </c>
      <c r="F1330" s="18">
        <v>4758056.12</v>
      </c>
      <c r="G1330" s="18">
        <v>0.01</v>
      </c>
      <c r="H1330" s="13"/>
      <c r="I1330" s="13"/>
    </row>
    <row r="1331" spans="1:9">
      <c r="A1331" s="13" t="s">
        <v>2040</v>
      </c>
      <c r="B1331" s="139" t="s">
        <v>795</v>
      </c>
      <c r="C1331" s="139" t="s">
        <v>394</v>
      </c>
      <c r="D1331" s="15">
        <v>13000000</v>
      </c>
      <c r="E1331" s="154">
        <v>0.91939559800000004</v>
      </c>
      <c r="F1331" s="18">
        <v>11952142.77</v>
      </c>
      <c r="G1331" s="18">
        <v>0.03</v>
      </c>
      <c r="H1331" s="13"/>
      <c r="I1331" s="13"/>
    </row>
    <row r="1332" spans="1:9">
      <c r="A1332" s="13" t="s">
        <v>2041</v>
      </c>
      <c r="B1332" s="139" t="s">
        <v>809</v>
      </c>
      <c r="C1332" s="139" t="s">
        <v>394</v>
      </c>
      <c r="D1332" s="15">
        <v>13000000</v>
      </c>
      <c r="E1332" s="93">
        <v>0.93984986609999999</v>
      </c>
      <c r="F1332" s="18">
        <v>12218048.26</v>
      </c>
      <c r="G1332" s="18">
        <v>0.03</v>
      </c>
      <c r="H1332" s="13"/>
      <c r="I1332" s="13"/>
    </row>
    <row r="1333" spans="1:9">
      <c r="A1333" s="13" t="s">
        <v>2042</v>
      </c>
      <c r="B1333" s="139" t="s">
        <v>493</v>
      </c>
      <c r="C1333" s="139" t="s">
        <v>394</v>
      </c>
      <c r="D1333" s="15">
        <v>5000000</v>
      </c>
      <c r="E1333" s="93">
        <v>0.95720155419999997</v>
      </c>
      <c r="F1333" s="18">
        <v>4786007.7699999996</v>
      </c>
      <c r="G1333" s="18">
        <v>0.01</v>
      </c>
      <c r="H1333" s="13"/>
      <c r="I1333" s="13"/>
    </row>
    <row r="1334" spans="1:9">
      <c r="A1334" s="13" t="s">
        <v>2043</v>
      </c>
      <c r="B1334" s="139" t="s">
        <v>594</v>
      </c>
      <c r="C1334" s="139" t="s">
        <v>394</v>
      </c>
      <c r="D1334" s="15">
        <v>13000000</v>
      </c>
      <c r="E1334" s="93">
        <v>0.9298890125</v>
      </c>
      <c r="F1334" s="18">
        <v>12088557.16</v>
      </c>
      <c r="G1334" s="18">
        <v>0.03</v>
      </c>
      <c r="H1334" s="13"/>
      <c r="I1334" s="13"/>
    </row>
    <row r="1335" spans="1:9">
      <c r="A1335" s="13" t="s">
        <v>2045</v>
      </c>
      <c r="B1335" s="139" t="s">
        <v>809</v>
      </c>
      <c r="C1335" s="139" t="s">
        <v>394</v>
      </c>
      <c r="D1335" s="15">
        <v>1000000</v>
      </c>
      <c r="E1335" s="154">
        <v>0.93984985899999995</v>
      </c>
      <c r="F1335" s="18">
        <v>939849.86</v>
      </c>
      <c r="G1335" s="15">
        <v>0</v>
      </c>
      <c r="H1335" s="13"/>
      <c r="I1335" s="13"/>
    </row>
    <row r="1336" spans="1:9">
      <c r="A1336" s="13" t="s">
        <v>2046</v>
      </c>
      <c r="B1336" s="139" t="s">
        <v>801</v>
      </c>
      <c r="C1336" s="139" t="s">
        <v>394</v>
      </c>
      <c r="D1336" s="15">
        <v>1000000</v>
      </c>
      <c r="E1336" s="93">
        <v>0.92013734030000005</v>
      </c>
      <c r="F1336" s="18">
        <v>920137.34</v>
      </c>
      <c r="G1336" s="15">
        <v>0</v>
      </c>
      <c r="H1336" s="13"/>
      <c r="I1336" s="13"/>
    </row>
    <row r="1337" spans="1:9">
      <c r="A1337" s="13" t="s">
        <v>2047</v>
      </c>
      <c r="B1337" s="139" t="s">
        <v>1115</v>
      </c>
      <c r="C1337" s="139" t="s">
        <v>394</v>
      </c>
      <c r="D1337" s="15">
        <v>1000000</v>
      </c>
      <c r="E1337" s="93">
        <v>0.91497064380000004</v>
      </c>
      <c r="F1337" s="18">
        <v>914970.64</v>
      </c>
      <c r="G1337" s="15">
        <v>0</v>
      </c>
      <c r="H1337" s="13"/>
      <c r="I1337" s="13"/>
    </row>
    <row r="1338" spans="1:9">
      <c r="A1338" s="13" t="s">
        <v>2048</v>
      </c>
      <c r="B1338" s="139" t="s">
        <v>632</v>
      </c>
      <c r="C1338" s="139" t="s">
        <v>394</v>
      </c>
      <c r="D1338" s="15">
        <v>1000000</v>
      </c>
      <c r="E1338" s="93">
        <v>0.93599357750000001</v>
      </c>
      <c r="F1338" s="18">
        <v>935993.58</v>
      </c>
      <c r="G1338" s="15">
        <v>0</v>
      </c>
      <c r="H1338" s="13"/>
      <c r="I1338" s="13"/>
    </row>
    <row r="1339" spans="1:9">
      <c r="A1339" s="13" t="s">
        <v>2049</v>
      </c>
      <c r="B1339" s="139" t="s">
        <v>860</v>
      </c>
      <c r="C1339" s="139" t="s">
        <v>394</v>
      </c>
      <c r="D1339" s="15">
        <v>1000000</v>
      </c>
      <c r="E1339" s="154">
        <v>0.93522605599999997</v>
      </c>
      <c r="F1339" s="18">
        <v>935226.06</v>
      </c>
      <c r="G1339" s="15">
        <v>0</v>
      </c>
      <c r="H1339" s="13"/>
      <c r="I1339" s="13"/>
    </row>
    <row r="1340" spans="1:9">
      <c r="A1340" s="13" t="s">
        <v>2050</v>
      </c>
      <c r="B1340" s="139" t="s">
        <v>1022</v>
      </c>
      <c r="C1340" s="139" t="s">
        <v>394</v>
      </c>
      <c r="D1340" s="151">
        <v>1008513.5</v>
      </c>
      <c r="E1340" s="93">
        <v>0.90986164540000003</v>
      </c>
      <c r="F1340" s="18">
        <v>917607.75</v>
      </c>
      <c r="G1340" s="15">
        <v>0</v>
      </c>
      <c r="H1340" s="13"/>
      <c r="I1340" s="13"/>
    </row>
    <row r="1341" spans="1:9">
      <c r="A1341" s="13" t="s">
        <v>2051</v>
      </c>
      <c r="B1341" s="139" t="s">
        <v>594</v>
      </c>
      <c r="C1341" s="139" t="s">
        <v>394</v>
      </c>
      <c r="D1341" s="15">
        <v>1000000</v>
      </c>
      <c r="E1341" s="93">
        <v>0.92988901049999995</v>
      </c>
      <c r="F1341" s="18">
        <v>929889.01</v>
      </c>
      <c r="G1341" s="15">
        <v>0</v>
      </c>
      <c r="H1341" s="13"/>
      <c r="I1341" s="13"/>
    </row>
    <row r="1342" spans="1:9">
      <c r="A1342" s="13" t="s">
        <v>2052</v>
      </c>
      <c r="B1342" s="139" t="s">
        <v>780</v>
      </c>
      <c r="C1342" s="139" t="s">
        <v>394</v>
      </c>
      <c r="D1342" s="15">
        <v>1000000</v>
      </c>
      <c r="E1342" s="93">
        <v>0.93907601090000004</v>
      </c>
      <c r="F1342" s="18">
        <v>939076.01</v>
      </c>
      <c r="G1342" s="15">
        <v>0</v>
      </c>
      <c r="H1342" s="13"/>
      <c r="I1342" s="13"/>
    </row>
    <row r="1343" spans="1:9">
      <c r="A1343" s="13" t="s">
        <v>2053</v>
      </c>
      <c r="B1343" s="139" t="s">
        <v>860</v>
      </c>
      <c r="C1343" s="139" t="s">
        <v>394</v>
      </c>
      <c r="D1343" s="15">
        <v>1000000</v>
      </c>
      <c r="E1343" s="154">
        <v>0.93522605599999997</v>
      </c>
      <c r="F1343" s="18">
        <v>935226.06</v>
      </c>
      <c r="G1343" s="15">
        <v>0</v>
      </c>
      <c r="H1343" s="13"/>
      <c r="I1343" s="13"/>
    </row>
    <row r="1344" spans="1:9">
      <c r="A1344" s="13" t="s">
        <v>2054</v>
      </c>
      <c r="B1344" s="139" t="s">
        <v>1209</v>
      </c>
      <c r="C1344" s="139" t="s">
        <v>394</v>
      </c>
      <c r="D1344" s="15">
        <v>1000000</v>
      </c>
      <c r="E1344" s="93">
        <v>0.92311606719999995</v>
      </c>
      <c r="F1344" s="18">
        <v>923116.07</v>
      </c>
      <c r="G1344" s="15">
        <v>0</v>
      </c>
      <c r="H1344" s="13"/>
      <c r="I1344" s="13"/>
    </row>
    <row r="1345" spans="1:9">
      <c r="A1345" s="13" t="s">
        <v>2055</v>
      </c>
      <c r="B1345" s="139" t="s">
        <v>799</v>
      </c>
      <c r="C1345" s="139" t="s">
        <v>394</v>
      </c>
      <c r="D1345" s="15">
        <v>1000000</v>
      </c>
      <c r="E1345" s="93">
        <v>0.91865505150000004</v>
      </c>
      <c r="F1345" s="18">
        <v>918655.05</v>
      </c>
      <c r="G1345" s="15">
        <v>0</v>
      </c>
      <c r="H1345" s="13"/>
      <c r="I1345" s="13"/>
    </row>
    <row r="1346" spans="1:9">
      <c r="A1346" s="13" t="s">
        <v>2056</v>
      </c>
      <c r="B1346" s="139" t="s">
        <v>1963</v>
      </c>
      <c r="C1346" s="139" t="s">
        <v>394</v>
      </c>
      <c r="D1346" s="15">
        <v>1000000</v>
      </c>
      <c r="E1346" s="93">
        <v>0.91350493440000002</v>
      </c>
      <c r="F1346" s="18">
        <v>913504.93</v>
      </c>
      <c r="G1346" s="15">
        <v>0</v>
      </c>
      <c r="H1346" s="13"/>
      <c r="I1346" s="13"/>
    </row>
    <row r="1347" spans="1:9">
      <c r="A1347" s="13" t="s">
        <v>2057</v>
      </c>
      <c r="B1347" s="139" t="s">
        <v>191</v>
      </c>
      <c r="C1347" s="139" t="s">
        <v>394</v>
      </c>
      <c r="D1347" s="15">
        <v>1000000</v>
      </c>
      <c r="E1347" s="93">
        <v>0.93064778810000004</v>
      </c>
      <c r="F1347" s="18">
        <v>930647.79</v>
      </c>
      <c r="G1347" s="15">
        <v>0</v>
      </c>
      <c r="H1347" s="13"/>
      <c r="I1347" s="13"/>
    </row>
    <row r="1348" spans="1:9">
      <c r="A1348" s="13" t="s">
        <v>2059</v>
      </c>
      <c r="B1348" s="139" t="s">
        <v>346</v>
      </c>
      <c r="C1348" s="139" t="s">
        <v>394</v>
      </c>
      <c r="D1348" s="15">
        <v>27063960</v>
      </c>
      <c r="E1348" s="93">
        <v>0.95639887889999997</v>
      </c>
      <c r="F1348" s="15">
        <v>25883941</v>
      </c>
      <c r="G1348" s="18">
        <v>0.06</v>
      </c>
      <c r="H1348" s="13"/>
      <c r="I1348" s="13"/>
    </row>
    <row r="1349" spans="1:9">
      <c r="A1349" s="13" t="s">
        <v>2061</v>
      </c>
      <c r="B1349" s="139" t="s">
        <v>346</v>
      </c>
      <c r="C1349" s="139" t="s">
        <v>394</v>
      </c>
      <c r="D1349" s="18">
        <v>1084567.1200000001</v>
      </c>
      <c r="E1349" s="93">
        <v>0.95639887629999998</v>
      </c>
      <c r="F1349" s="18">
        <v>1037278.77</v>
      </c>
      <c r="G1349" s="15">
        <v>0</v>
      </c>
      <c r="H1349" s="13"/>
      <c r="I1349" s="13"/>
    </row>
    <row r="1350" spans="1:9">
      <c r="A1350" s="13" t="s">
        <v>2071</v>
      </c>
      <c r="B1350" s="139" t="s">
        <v>410</v>
      </c>
      <c r="C1350" s="139" t="s">
        <v>394</v>
      </c>
      <c r="D1350" s="15">
        <v>2700000</v>
      </c>
      <c r="E1350" s="93">
        <v>0.95559754819999998</v>
      </c>
      <c r="F1350" s="18">
        <v>2580113.38</v>
      </c>
      <c r="G1350" s="18">
        <v>0.01</v>
      </c>
      <c r="H1350" s="13"/>
      <c r="I1350" s="13"/>
    </row>
    <row r="1351" spans="1:9">
      <c r="A1351" s="13" t="s">
        <v>2072</v>
      </c>
      <c r="B1351" s="139" t="s">
        <v>696</v>
      </c>
      <c r="C1351" s="139" t="s">
        <v>394</v>
      </c>
      <c r="D1351" s="18">
        <v>2885565.11</v>
      </c>
      <c r="E1351" s="93">
        <v>0.95320186790000005</v>
      </c>
      <c r="F1351" s="18">
        <v>2750526.05</v>
      </c>
      <c r="G1351" s="18">
        <v>0.01</v>
      </c>
      <c r="H1351" s="13"/>
      <c r="I1351" s="13"/>
    </row>
    <row r="1352" spans="1:9">
      <c r="A1352" s="13" t="s">
        <v>2062</v>
      </c>
      <c r="B1352" s="139" t="s">
        <v>736</v>
      </c>
      <c r="C1352" s="139" t="s">
        <v>394</v>
      </c>
      <c r="D1352" s="18">
        <v>2899135.68</v>
      </c>
      <c r="E1352" s="93">
        <v>0.94608607730000005</v>
      </c>
      <c r="F1352" s="151">
        <v>2742831.9</v>
      </c>
      <c r="G1352" s="18">
        <v>0.01</v>
      </c>
      <c r="H1352" s="13"/>
      <c r="I1352" s="13"/>
    </row>
    <row r="1353" spans="1:9">
      <c r="A1353" s="13" t="s">
        <v>2003</v>
      </c>
      <c r="B1353" s="139" t="s">
        <v>503</v>
      </c>
      <c r="C1353" s="139" t="s">
        <v>394</v>
      </c>
      <c r="D1353" s="18">
        <v>5188161.21</v>
      </c>
      <c r="E1353" s="93">
        <v>0.96285767570000003</v>
      </c>
      <c r="F1353" s="18">
        <v>4995460.84</v>
      </c>
      <c r="G1353" s="18">
        <v>0.01</v>
      </c>
      <c r="H1353" s="13"/>
      <c r="I1353" s="13"/>
    </row>
    <row r="1354" spans="1:9">
      <c r="A1354" s="13" t="s">
        <v>1998</v>
      </c>
      <c r="B1354" s="139" t="s">
        <v>795</v>
      </c>
      <c r="C1354" s="139" t="s">
        <v>394</v>
      </c>
      <c r="D1354" s="18">
        <v>15355310.449999999</v>
      </c>
      <c r="E1354" s="154">
        <v>0.91939559800000004</v>
      </c>
      <c r="F1354" s="18">
        <v>14117604.83</v>
      </c>
      <c r="G1354" s="18">
        <v>0.03</v>
      </c>
      <c r="H1354" s="13"/>
      <c r="I1354" s="13"/>
    </row>
    <row r="1355" spans="1:9">
      <c r="A1355" s="13" t="s">
        <v>1999</v>
      </c>
      <c r="B1355" s="139" t="s">
        <v>799</v>
      </c>
      <c r="C1355" s="139" t="s">
        <v>394</v>
      </c>
      <c r="D1355" s="18">
        <v>15355310.449999999</v>
      </c>
      <c r="E1355" s="93">
        <v>0.91865504909999995</v>
      </c>
      <c r="F1355" s="18">
        <v>14106233.48</v>
      </c>
      <c r="G1355" s="18">
        <v>0.03</v>
      </c>
      <c r="H1355" s="13"/>
      <c r="I1355" s="13"/>
    </row>
    <row r="1356" spans="1:9">
      <c r="A1356" s="13" t="s">
        <v>2000</v>
      </c>
      <c r="B1356" s="139" t="s">
        <v>1013</v>
      </c>
      <c r="C1356" s="139" t="s">
        <v>394</v>
      </c>
      <c r="D1356" s="18">
        <v>15355310.449999999</v>
      </c>
      <c r="E1356" s="93">
        <v>0.9179159522</v>
      </c>
      <c r="F1356" s="18">
        <v>14094884.41</v>
      </c>
      <c r="G1356" s="18">
        <v>0.03</v>
      </c>
      <c r="H1356" s="13"/>
      <c r="I1356" s="13"/>
    </row>
    <row r="1357" spans="1:9">
      <c r="A1357" s="13" t="s">
        <v>1979</v>
      </c>
      <c r="B1357" s="139" t="s">
        <v>871</v>
      </c>
      <c r="C1357" s="139" t="s">
        <v>394</v>
      </c>
      <c r="D1357" s="18">
        <v>15355310.449999999</v>
      </c>
      <c r="E1357" s="93">
        <v>0.91570500359999996</v>
      </c>
      <c r="F1357" s="18">
        <v>14060934.609999999</v>
      </c>
      <c r="G1357" s="18">
        <v>0.03</v>
      </c>
      <c r="H1357" s="13"/>
      <c r="I1357" s="13"/>
    </row>
    <row r="1358" spans="1:9">
      <c r="A1358" s="13" t="s">
        <v>1980</v>
      </c>
      <c r="B1358" s="139" t="s">
        <v>1115</v>
      </c>
      <c r="C1358" s="139" t="s">
        <v>394</v>
      </c>
      <c r="D1358" s="18">
        <v>15355310.449999999</v>
      </c>
      <c r="E1358" s="93">
        <v>0.91497064380000004</v>
      </c>
      <c r="F1358" s="18">
        <v>14049658.289999999</v>
      </c>
      <c r="G1358" s="18">
        <v>0.03</v>
      </c>
      <c r="H1358" s="13"/>
      <c r="I1358" s="13"/>
    </row>
    <row r="1359" spans="1:9">
      <c r="A1359" s="13" t="s">
        <v>1981</v>
      </c>
      <c r="B1359" s="139" t="s">
        <v>948</v>
      </c>
      <c r="C1359" s="139" t="s">
        <v>394</v>
      </c>
      <c r="D1359" s="18">
        <v>15355310.449999999</v>
      </c>
      <c r="E1359" s="93">
        <v>0.91423720230000005</v>
      </c>
      <c r="F1359" s="18">
        <v>14038396.07</v>
      </c>
      <c r="G1359" s="18">
        <v>0.03</v>
      </c>
      <c r="H1359" s="13"/>
      <c r="I1359" s="13"/>
    </row>
    <row r="1360" spans="1:9">
      <c r="A1360" s="13" t="s">
        <v>1982</v>
      </c>
      <c r="B1360" s="139" t="s">
        <v>1963</v>
      </c>
      <c r="C1360" s="139" t="s">
        <v>394</v>
      </c>
      <c r="D1360" s="18">
        <v>15355310.449999999</v>
      </c>
      <c r="E1360" s="93">
        <v>0.9135049368</v>
      </c>
      <c r="F1360" s="151">
        <v>14027151.9</v>
      </c>
      <c r="G1360" s="18">
        <v>0.03</v>
      </c>
      <c r="H1360" s="13"/>
      <c r="I1360" s="13"/>
    </row>
    <row r="1361" spans="1:9">
      <c r="A1361" s="13" t="s">
        <v>1983</v>
      </c>
      <c r="B1361" s="139" t="s">
        <v>1008</v>
      </c>
      <c r="C1361" s="139" t="s">
        <v>394</v>
      </c>
      <c r="D1361" s="18">
        <v>15355310.449999999</v>
      </c>
      <c r="E1361" s="93">
        <v>0.92088002170000005</v>
      </c>
      <c r="F1361" s="18">
        <v>14140398.619999999</v>
      </c>
      <c r="G1361" s="18">
        <v>0.03</v>
      </c>
      <c r="H1361" s="13"/>
      <c r="I1361" s="13"/>
    </row>
    <row r="1362" spans="1:9">
      <c r="A1362" s="13" t="s">
        <v>1984</v>
      </c>
      <c r="B1362" s="139" t="s">
        <v>801</v>
      </c>
      <c r="C1362" s="139" t="s">
        <v>394</v>
      </c>
      <c r="D1362" s="18">
        <v>15355310.449999999</v>
      </c>
      <c r="E1362" s="93">
        <v>0.92013734030000005</v>
      </c>
      <c r="F1362" s="18">
        <v>14128994.52</v>
      </c>
      <c r="G1362" s="18">
        <v>0.03</v>
      </c>
      <c r="H1362" s="13"/>
      <c r="I1362" s="13"/>
    </row>
    <row r="1363" spans="1:9">
      <c r="A1363" s="13" t="s">
        <v>1985</v>
      </c>
      <c r="B1363" s="139" t="s">
        <v>1209</v>
      </c>
      <c r="C1363" s="139" t="s">
        <v>394</v>
      </c>
      <c r="D1363" s="18">
        <v>15355310.449999999</v>
      </c>
      <c r="E1363" s="93">
        <v>0.92311606049999995</v>
      </c>
      <c r="F1363" s="18">
        <v>14174733.689999999</v>
      </c>
      <c r="G1363" s="18">
        <v>0.03</v>
      </c>
      <c r="H1363" s="13"/>
      <c r="I1363" s="13"/>
    </row>
    <row r="1364" spans="1:9">
      <c r="A1364" s="13" t="s">
        <v>2005</v>
      </c>
      <c r="B1364" s="139" t="s">
        <v>470</v>
      </c>
      <c r="C1364" s="139" t="s">
        <v>394</v>
      </c>
      <c r="D1364" s="18">
        <v>3847875.41</v>
      </c>
      <c r="E1364" s="93">
        <v>0.95002615420000003</v>
      </c>
      <c r="F1364" s="18">
        <v>3655582.28</v>
      </c>
      <c r="G1364" s="18">
        <v>0.01</v>
      </c>
      <c r="H1364" s="13"/>
      <c r="I1364" s="13"/>
    </row>
    <row r="1365" spans="1:9">
      <c r="A1365" s="13" t="s">
        <v>2007</v>
      </c>
      <c r="B1365" s="139" t="s">
        <v>470</v>
      </c>
      <c r="C1365" s="139" t="s">
        <v>394</v>
      </c>
      <c r="D1365" s="15">
        <v>3300000</v>
      </c>
      <c r="E1365" s="93">
        <v>0.95002615420000003</v>
      </c>
      <c r="F1365" s="18">
        <v>3135086.31</v>
      </c>
      <c r="G1365" s="18">
        <v>0.01</v>
      </c>
      <c r="H1365" s="13"/>
      <c r="I1365" s="13"/>
    </row>
    <row r="1366" spans="1:9">
      <c r="A1366" s="13" t="s">
        <v>2008</v>
      </c>
      <c r="B1366" s="139" t="s">
        <v>736</v>
      </c>
      <c r="C1366" s="139" t="s">
        <v>394</v>
      </c>
      <c r="D1366" s="15">
        <v>3300000</v>
      </c>
      <c r="E1366" s="93">
        <v>0.94608608049999998</v>
      </c>
      <c r="F1366" s="18">
        <v>3122084.07</v>
      </c>
      <c r="G1366" s="18">
        <v>0.01</v>
      </c>
      <c r="H1366" s="13"/>
      <c r="I1366" s="13"/>
    </row>
    <row r="1367" spans="1:9">
      <c r="A1367" s="13" t="s">
        <v>2009</v>
      </c>
      <c r="B1367" s="139" t="s">
        <v>419</v>
      </c>
      <c r="C1367" s="139" t="s">
        <v>394</v>
      </c>
      <c r="D1367" s="15">
        <v>3300000</v>
      </c>
      <c r="E1367" s="93">
        <v>0.94140113339999998</v>
      </c>
      <c r="F1367" s="18">
        <v>3106623.74</v>
      </c>
      <c r="G1367" s="18">
        <v>0.01</v>
      </c>
      <c r="H1367" s="13"/>
      <c r="I1367" s="13"/>
    </row>
    <row r="1368" spans="1:9">
      <c r="A1368" s="13" t="s">
        <v>2010</v>
      </c>
      <c r="B1368" s="139" t="s">
        <v>780</v>
      </c>
      <c r="C1368" s="139" t="s">
        <v>394</v>
      </c>
      <c r="D1368" s="18">
        <v>3090647.25</v>
      </c>
      <c r="E1368" s="93">
        <v>0.9390760145</v>
      </c>
      <c r="F1368" s="151">
        <v>2902352.7</v>
      </c>
      <c r="G1368" s="18">
        <v>0.01</v>
      </c>
      <c r="H1368" s="13"/>
      <c r="I1368" s="13"/>
    </row>
    <row r="1369" spans="1:9">
      <c r="A1369" s="13" t="s">
        <v>2012</v>
      </c>
      <c r="B1369" s="139" t="s">
        <v>503</v>
      </c>
      <c r="C1369" s="139" t="s">
        <v>394</v>
      </c>
      <c r="D1369" s="15">
        <v>1050000</v>
      </c>
      <c r="E1369" s="93">
        <v>0.96285767789999999</v>
      </c>
      <c r="F1369" s="18">
        <v>1011000.56</v>
      </c>
      <c r="G1369" s="15">
        <v>0</v>
      </c>
      <c r="H1369" s="13"/>
      <c r="I1369" s="13"/>
    </row>
    <row r="1370" spans="1:9">
      <c r="A1370" s="13" t="s">
        <v>2013</v>
      </c>
      <c r="B1370" s="139" t="s">
        <v>505</v>
      </c>
      <c r="C1370" s="139" t="s">
        <v>394</v>
      </c>
      <c r="D1370" s="18">
        <v>1062257.1599999999</v>
      </c>
      <c r="E1370" s="93">
        <v>0.9580053047</v>
      </c>
      <c r="F1370" s="18">
        <v>1017647.99</v>
      </c>
      <c r="G1370" s="15">
        <v>0</v>
      </c>
      <c r="H1370" s="13"/>
      <c r="I1370" s="13"/>
    </row>
    <row r="1371" spans="1:9">
      <c r="A1371" s="13" t="s">
        <v>2014</v>
      </c>
      <c r="B1371" s="139" t="s">
        <v>493</v>
      </c>
      <c r="C1371" s="139" t="s">
        <v>394</v>
      </c>
      <c r="D1371" s="15">
        <v>1050000</v>
      </c>
      <c r="E1371" s="93">
        <v>0.95720155679999996</v>
      </c>
      <c r="F1371" s="18">
        <v>1005061.63</v>
      </c>
      <c r="G1371" s="15">
        <v>0</v>
      </c>
      <c r="H1371" s="13"/>
      <c r="I1371" s="13"/>
    </row>
    <row r="1372" spans="1:9">
      <c r="A1372" s="13" t="s">
        <v>2026</v>
      </c>
      <c r="B1372" s="139" t="s">
        <v>493</v>
      </c>
      <c r="C1372" s="139" t="s">
        <v>394</v>
      </c>
      <c r="D1372" s="18">
        <v>1177029.06</v>
      </c>
      <c r="E1372" s="93">
        <v>0.95720155039999999</v>
      </c>
      <c r="F1372" s="18">
        <v>1126654.04</v>
      </c>
      <c r="G1372" s="15">
        <v>0</v>
      </c>
      <c r="H1372" s="13"/>
      <c r="I1372" s="13"/>
    </row>
    <row r="1373" spans="1:9">
      <c r="A1373" s="13" t="s">
        <v>2016</v>
      </c>
      <c r="B1373" s="139" t="s">
        <v>193</v>
      </c>
      <c r="C1373" s="139" t="s">
        <v>394</v>
      </c>
      <c r="D1373" s="15">
        <v>2000000</v>
      </c>
      <c r="E1373" s="93">
        <v>0.95240588110000002</v>
      </c>
      <c r="F1373" s="18">
        <v>1904811.76</v>
      </c>
      <c r="G1373" s="15">
        <v>0</v>
      </c>
      <c r="H1373" s="13"/>
      <c r="I1373" s="13"/>
    </row>
    <row r="1374" spans="1:9">
      <c r="A1374" s="13" t="s">
        <v>2064</v>
      </c>
      <c r="B1374" s="139" t="s">
        <v>596</v>
      </c>
      <c r="C1374" s="139" t="s">
        <v>394</v>
      </c>
      <c r="D1374" s="18">
        <v>1017218.53</v>
      </c>
      <c r="E1374" s="93">
        <v>0.95161122259999997</v>
      </c>
      <c r="F1374" s="18">
        <v>967996.57</v>
      </c>
      <c r="G1374" s="15">
        <v>0</v>
      </c>
      <c r="H1374" s="13"/>
      <c r="I1374" s="13"/>
    </row>
    <row r="1375" spans="1:9">
      <c r="A1375" s="13" t="s">
        <v>2018</v>
      </c>
      <c r="B1375" s="139" t="s">
        <v>596</v>
      </c>
      <c r="C1375" s="139" t="s">
        <v>394</v>
      </c>
      <c r="D1375" s="18">
        <v>2046492.39</v>
      </c>
      <c r="E1375" s="93">
        <v>0.95161122409999999</v>
      </c>
      <c r="F1375" s="18">
        <v>1947465.13</v>
      </c>
      <c r="G1375" s="15">
        <v>0</v>
      </c>
      <c r="H1375" s="13"/>
      <c r="I1375" s="13"/>
    </row>
    <row r="1376" spans="1:9">
      <c r="A1376" s="13" t="s">
        <v>2020</v>
      </c>
      <c r="B1376" s="139" t="s">
        <v>503</v>
      </c>
      <c r="C1376" s="139" t="s">
        <v>394</v>
      </c>
      <c r="D1376" s="18">
        <v>1982063.64</v>
      </c>
      <c r="E1376" s="93">
        <v>0.96285767460000005</v>
      </c>
      <c r="F1376" s="18">
        <v>1908445.19</v>
      </c>
      <c r="G1376" s="15">
        <v>0</v>
      </c>
      <c r="H1376" s="13"/>
      <c r="I1376" s="13"/>
    </row>
    <row r="1377" spans="1:9">
      <c r="A1377" s="13" t="s">
        <v>2066</v>
      </c>
      <c r="B1377" s="139" t="s">
        <v>596</v>
      </c>
      <c r="C1377" s="139" t="s">
        <v>394</v>
      </c>
      <c r="D1377" s="18">
        <v>1110641.67</v>
      </c>
      <c r="E1377" s="93">
        <v>0.95161121979999996</v>
      </c>
      <c r="F1377" s="18">
        <v>1056899.07</v>
      </c>
      <c r="G1377" s="15">
        <v>0</v>
      </c>
      <c r="H1377" s="13"/>
      <c r="I1377" s="13"/>
    </row>
    <row r="1378" spans="1:9">
      <c r="A1378" s="13" t="s">
        <v>2021</v>
      </c>
      <c r="B1378" s="139" t="s">
        <v>982</v>
      </c>
      <c r="C1378" s="139" t="s">
        <v>394</v>
      </c>
      <c r="D1378" s="15">
        <v>50000000</v>
      </c>
      <c r="E1378" s="93">
        <v>0.92386356089999999</v>
      </c>
      <c r="F1378" s="18">
        <v>46193178.049999997</v>
      </c>
      <c r="G1378" s="151">
        <v>0.1</v>
      </c>
      <c r="H1378" s="13"/>
      <c r="I1378" s="13"/>
    </row>
    <row r="1379" spans="1:9">
      <c r="A1379" s="13" t="s">
        <v>2022</v>
      </c>
      <c r="B1379" s="139" t="s">
        <v>799</v>
      </c>
      <c r="C1379" s="139" t="s">
        <v>394</v>
      </c>
      <c r="D1379" s="15">
        <v>50000000</v>
      </c>
      <c r="E1379" s="93">
        <v>0.91865504909999995</v>
      </c>
      <c r="F1379" s="18">
        <v>45932752.460000001</v>
      </c>
      <c r="G1379" s="151">
        <v>0.1</v>
      </c>
      <c r="H1379" s="13"/>
      <c r="I1379" s="13"/>
    </row>
    <row r="1380" spans="1:9">
      <c r="A1380" s="13" t="s">
        <v>2073</v>
      </c>
      <c r="B1380" s="139" t="s">
        <v>860</v>
      </c>
      <c r="C1380" s="139" t="s">
        <v>361</v>
      </c>
      <c r="D1380" s="18">
        <v>16545572.09</v>
      </c>
      <c r="E1380" s="154">
        <v>0.94286022400000002</v>
      </c>
      <c r="F1380" s="18">
        <v>15600161.810000001</v>
      </c>
      <c r="G1380" s="18">
        <v>0.04</v>
      </c>
      <c r="H1380" s="13"/>
      <c r="I1380" s="13"/>
    </row>
    <row r="1381" spans="1:9">
      <c r="A1381" s="13" t="s">
        <v>2074</v>
      </c>
      <c r="B1381" s="139" t="s">
        <v>1115</v>
      </c>
      <c r="C1381" s="139" t="s">
        <v>361</v>
      </c>
      <c r="D1381" s="15">
        <v>10000000</v>
      </c>
      <c r="E1381" s="93">
        <v>0.92479987009999998</v>
      </c>
      <c r="F1381" s="151">
        <v>9247998.6999999993</v>
      </c>
      <c r="G1381" s="18">
        <v>0.02</v>
      </c>
      <c r="H1381" s="13"/>
      <c r="I1381" s="13"/>
    </row>
    <row r="1382" spans="1:9">
      <c r="A1382" s="13" t="s">
        <v>2075</v>
      </c>
      <c r="B1382" s="139" t="s">
        <v>171</v>
      </c>
      <c r="C1382" s="139" t="s">
        <v>361</v>
      </c>
      <c r="D1382" s="18">
        <v>12826949.49</v>
      </c>
      <c r="E1382" s="93">
        <v>0.99144388920000004</v>
      </c>
      <c r="F1382" s="18">
        <v>12717200.689999999</v>
      </c>
      <c r="G1382" s="18">
        <v>0.03</v>
      </c>
      <c r="H1382" s="13"/>
      <c r="I1382" s="13"/>
    </row>
    <row r="1383" spans="1:9">
      <c r="A1383" s="13" t="s">
        <v>2076</v>
      </c>
      <c r="B1383" s="139" t="s">
        <v>736</v>
      </c>
      <c r="C1383" s="139" t="s">
        <v>361</v>
      </c>
      <c r="D1383" s="15">
        <v>10000000</v>
      </c>
      <c r="E1383" s="93">
        <v>0.94928488170000003</v>
      </c>
      <c r="F1383" s="18">
        <v>9492848.8200000003</v>
      </c>
      <c r="G1383" s="18">
        <v>0.02</v>
      </c>
      <c r="H1383" s="13"/>
      <c r="I1383" s="13"/>
    </row>
    <row r="1384" spans="1:9">
      <c r="A1384" s="13" t="s">
        <v>2077</v>
      </c>
      <c r="B1384" s="139" t="s">
        <v>503</v>
      </c>
      <c r="C1384" s="139" t="s">
        <v>361</v>
      </c>
      <c r="D1384" s="15">
        <v>10000000</v>
      </c>
      <c r="E1384" s="93">
        <v>0.96509786440000001</v>
      </c>
      <c r="F1384" s="18">
        <v>9650978.6400000006</v>
      </c>
      <c r="G1384" s="18">
        <v>0.02</v>
      </c>
      <c r="H1384" s="13"/>
      <c r="I1384" s="13"/>
    </row>
    <row r="1385" spans="1:9">
      <c r="A1385" s="13" t="s">
        <v>2078</v>
      </c>
      <c r="B1385" s="139" t="s">
        <v>468</v>
      </c>
      <c r="C1385" s="139" t="s">
        <v>361</v>
      </c>
      <c r="D1385" s="15">
        <v>10000000</v>
      </c>
      <c r="E1385" s="154">
        <v>0.93758052199999997</v>
      </c>
      <c r="F1385" s="18">
        <v>9375805.2200000007</v>
      </c>
      <c r="G1385" s="18">
        <v>0.02</v>
      </c>
      <c r="H1385" s="13"/>
      <c r="I1385" s="13"/>
    </row>
    <row r="1386" spans="1:9">
      <c r="A1386" s="13" t="s">
        <v>2079</v>
      </c>
      <c r="B1386" s="139" t="s">
        <v>610</v>
      </c>
      <c r="C1386" s="139" t="s">
        <v>361</v>
      </c>
      <c r="D1386" s="15">
        <v>10000000</v>
      </c>
      <c r="E1386" s="93">
        <v>0.97126139109999998</v>
      </c>
      <c r="F1386" s="18">
        <v>9712613.9100000001</v>
      </c>
      <c r="G1386" s="18">
        <v>0.02</v>
      </c>
      <c r="H1386" s="13"/>
      <c r="I1386" s="13"/>
    </row>
    <row r="1387" spans="1:9">
      <c r="A1387" s="13" t="s">
        <v>2080</v>
      </c>
      <c r="B1387" s="139" t="s">
        <v>780</v>
      </c>
      <c r="C1387" s="139" t="s">
        <v>361</v>
      </c>
      <c r="D1387" s="15">
        <v>10000000</v>
      </c>
      <c r="E1387" s="93">
        <v>0.94266552169999995</v>
      </c>
      <c r="F1387" s="18">
        <v>9426655.2200000007</v>
      </c>
      <c r="G1387" s="18">
        <v>0.02</v>
      </c>
      <c r="H1387" s="13"/>
      <c r="I1387" s="13"/>
    </row>
    <row r="1388" spans="1:9">
      <c r="A1388" s="13" t="s">
        <v>2081</v>
      </c>
      <c r="B1388" s="139" t="s">
        <v>493</v>
      </c>
      <c r="C1388" s="139" t="s">
        <v>361</v>
      </c>
      <c r="D1388" s="15">
        <v>10000000</v>
      </c>
      <c r="E1388" s="93">
        <v>0.95976865779999998</v>
      </c>
      <c r="F1388" s="18">
        <v>9597686.5800000001</v>
      </c>
      <c r="G1388" s="18">
        <v>0.02</v>
      </c>
      <c r="H1388" s="13"/>
      <c r="I1388" s="13"/>
    </row>
    <row r="1389" spans="1:9">
      <c r="A1389" s="13" t="s">
        <v>2082</v>
      </c>
      <c r="B1389" s="139" t="s">
        <v>948</v>
      </c>
      <c r="C1389" s="139" t="s">
        <v>361</v>
      </c>
      <c r="D1389" s="15">
        <v>10000000</v>
      </c>
      <c r="E1389" s="93">
        <v>0.91423727580000003</v>
      </c>
      <c r="F1389" s="18">
        <v>9142372.7599999998</v>
      </c>
      <c r="G1389" s="18">
        <v>0.02</v>
      </c>
      <c r="H1389" s="13"/>
      <c r="I1389" s="13"/>
    </row>
    <row r="1390" spans="1:9">
      <c r="A1390" s="13" t="s">
        <v>2083</v>
      </c>
      <c r="B1390" s="139" t="s">
        <v>896</v>
      </c>
      <c r="C1390" s="139" t="s">
        <v>361</v>
      </c>
      <c r="D1390" s="15">
        <v>15000000</v>
      </c>
      <c r="E1390" s="93">
        <v>0.87563592609999996</v>
      </c>
      <c r="F1390" s="18">
        <v>13134538.890000001</v>
      </c>
      <c r="G1390" s="18">
        <v>0.03</v>
      </c>
      <c r="H1390" s="13"/>
      <c r="I1390" s="13"/>
    </row>
    <row r="1391" spans="1:9">
      <c r="A1391" s="13" t="s">
        <v>2084</v>
      </c>
      <c r="B1391" s="139" t="s">
        <v>1115</v>
      </c>
      <c r="C1391" s="139" t="s">
        <v>361</v>
      </c>
      <c r="D1391" s="15">
        <v>10000000</v>
      </c>
      <c r="E1391" s="93">
        <v>0.91497045659999998</v>
      </c>
      <c r="F1391" s="18">
        <v>9149704.5700000003</v>
      </c>
      <c r="G1391" s="18">
        <v>0.02</v>
      </c>
      <c r="H1391" s="13"/>
      <c r="I1391" s="13"/>
    </row>
    <row r="1392" spans="1:9">
      <c r="A1392" s="13" t="s">
        <v>2085</v>
      </c>
      <c r="B1392" s="139" t="s">
        <v>1088</v>
      </c>
      <c r="C1392" s="139" t="s">
        <v>361</v>
      </c>
      <c r="D1392" s="15">
        <v>15000000</v>
      </c>
      <c r="E1392" s="93">
        <v>0.88859674749999995</v>
      </c>
      <c r="F1392" s="18">
        <v>13328951.210000001</v>
      </c>
      <c r="G1392" s="18">
        <v>0.03</v>
      </c>
      <c r="H1392" s="13"/>
      <c r="I1392" s="13"/>
    </row>
    <row r="1393" spans="1:9">
      <c r="A1393" s="13" t="s">
        <v>2092</v>
      </c>
      <c r="B1393" s="139" t="s">
        <v>1194</v>
      </c>
      <c r="C1393" s="139" t="s">
        <v>516</v>
      </c>
      <c r="D1393" s="15">
        <v>20000000</v>
      </c>
      <c r="E1393" s="93">
        <v>0.93844833750000001</v>
      </c>
      <c r="F1393" s="18">
        <v>18768966.75</v>
      </c>
      <c r="G1393" s="18">
        <v>0.04</v>
      </c>
      <c r="H1393" s="13"/>
      <c r="I1393" s="13"/>
    </row>
    <row r="1394" spans="1:9">
      <c r="A1394" s="13" t="s">
        <v>2093</v>
      </c>
      <c r="B1394" s="139" t="s">
        <v>628</v>
      </c>
      <c r="C1394" s="139" t="s">
        <v>516</v>
      </c>
      <c r="D1394" s="15">
        <v>20000000</v>
      </c>
      <c r="E1394" s="93">
        <v>0.93753226290000002</v>
      </c>
      <c r="F1394" s="18">
        <v>18750645.260000002</v>
      </c>
      <c r="G1394" s="18">
        <v>0.04</v>
      </c>
      <c r="H1394" s="13"/>
      <c r="I1394" s="13"/>
    </row>
    <row r="1395" spans="1:9">
      <c r="A1395" s="13" t="s">
        <v>2094</v>
      </c>
      <c r="B1395" s="139" t="s">
        <v>736</v>
      </c>
      <c r="C1395" s="139" t="s">
        <v>516</v>
      </c>
      <c r="D1395" s="15">
        <v>42000000</v>
      </c>
      <c r="E1395" s="93">
        <v>0.93661797530000002</v>
      </c>
      <c r="F1395" s="18">
        <v>39337954.960000001</v>
      </c>
      <c r="G1395" s="18">
        <v>0.09</v>
      </c>
      <c r="H1395" s="13"/>
      <c r="I1395" s="13"/>
    </row>
    <row r="1396" spans="1:9">
      <c r="A1396" s="13" t="s">
        <v>2095</v>
      </c>
      <c r="B1396" s="139" t="s">
        <v>1011</v>
      </c>
      <c r="C1396" s="139" t="s">
        <v>516</v>
      </c>
      <c r="D1396" s="15">
        <v>25000000</v>
      </c>
      <c r="E1396" s="93">
        <v>0.89555185729999998</v>
      </c>
      <c r="F1396" s="18">
        <v>22388796.43</v>
      </c>
      <c r="G1396" s="18">
        <v>0.05</v>
      </c>
      <c r="H1396" s="13"/>
      <c r="I1396" s="13"/>
    </row>
    <row r="1397" spans="1:9">
      <c r="A1397" s="13" t="s">
        <v>2096</v>
      </c>
      <c r="B1397" s="139" t="s">
        <v>193</v>
      </c>
      <c r="C1397" s="139" t="s">
        <v>516</v>
      </c>
      <c r="D1397" s="18">
        <v>24341349.530000001</v>
      </c>
      <c r="E1397" s="93">
        <v>0.94817520840000002</v>
      </c>
      <c r="F1397" s="18">
        <v>23079864.16</v>
      </c>
      <c r="G1397" s="18">
        <v>0.05</v>
      </c>
      <c r="H1397" s="13"/>
      <c r="I1397" s="13"/>
    </row>
    <row r="1398" spans="1:9">
      <c r="A1398" s="13" t="s">
        <v>2097</v>
      </c>
      <c r="B1398" s="139" t="s">
        <v>875</v>
      </c>
      <c r="C1398" s="139" t="s">
        <v>516</v>
      </c>
      <c r="D1398" s="15">
        <v>25000000</v>
      </c>
      <c r="E1398" s="93">
        <v>0.93926946659999999</v>
      </c>
      <c r="F1398" s="18">
        <v>23481736.670000002</v>
      </c>
      <c r="G1398" s="18">
        <v>0.05</v>
      </c>
      <c r="H1398" s="13"/>
      <c r="I1398" s="13"/>
    </row>
    <row r="1399" spans="1:9">
      <c r="A1399" s="13" t="s">
        <v>2098</v>
      </c>
      <c r="B1399" s="139" t="s">
        <v>628</v>
      </c>
      <c r="C1399" s="139" t="s">
        <v>516</v>
      </c>
      <c r="D1399" s="15">
        <v>25000000</v>
      </c>
      <c r="E1399" s="93">
        <v>0.93445996769999995</v>
      </c>
      <c r="F1399" s="18">
        <v>23361499.190000001</v>
      </c>
      <c r="G1399" s="18">
        <v>0.05</v>
      </c>
      <c r="H1399" s="13"/>
      <c r="I1399" s="13"/>
    </row>
    <row r="1400" spans="1:9">
      <c r="A1400" s="13"/>
      <c r="B1400" s="13"/>
      <c r="C1400" s="13" t="s">
        <v>28</v>
      </c>
      <c r="D1400" s="13" t="s">
        <v>28</v>
      </c>
      <c r="E1400" s="13" t="s">
        <v>28</v>
      </c>
      <c r="F1400" s="18">
        <v>35494860161.769997</v>
      </c>
      <c r="G1400" s="18">
        <v>79.73</v>
      </c>
      <c r="H1400" s="13"/>
      <c r="I1400" s="13"/>
    </row>
    <row r="1401" spans="1:9">
      <c r="A1401" s="13" t="s">
        <v>28</v>
      </c>
      <c r="B1401" s="13"/>
      <c r="C1401" s="13"/>
      <c r="D1401" s="13"/>
      <c r="E1401" s="13"/>
      <c r="F1401" s="13"/>
      <c r="G1401" s="13"/>
      <c r="H1401" s="13"/>
      <c r="I1401" s="13"/>
    </row>
    <row r="1402" spans="1:9">
      <c r="A1402" s="13" t="s">
        <v>125</v>
      </c>
      <c r="B1402" s="13"/>
      <c r="C1402" s="13"/>
      <c r="D1402" s="13"/>
      <c r="E1402" s="13"/>
      <c r="F1402" s="13"/>
      <c r="G1402" s="13"/>
      <c r="H1402" s="13"/>
      <c r="I1402" s="13"/>
    </row>
    <row r="1403" spans="1:9">
      <c r="A1403" s="14" t="s">
        <v>9</v>
      </c>
      <c r="B1403" s="14" t="s">
        <v>98</v>
      </c>
      <c r="C1403" s="14" t="s">
        <v>16</v>
      </c>
      <c r="D1403" s="14" t="s">
        <v>100</v>
      </c>
      <c r="E1403" s="14" t="s">
        <v>32</v>
      </c>
      <c r="F1403" s="14" t="s">
        <v>101</v>
      </c>
      <c r="G1403" s="14" t="s">
        <v>4</v>
      </c>
      <c r="H1403" s="14"/>
      <c r="I1403" s="14"/>
    </row>
    <row r="1404" spans="1:9">
      <c r="A1404" s="13" t="s">
        <v>347</v>
      </c>
      <c r="B1404" s="139" t="s">
        <v>348</v>
      </c>
      <c r="C1404" s="139" t="s">
        <v>146</v>
      </c>
      <c r="D1404" s="15">
        <v>20856</v>
      </c>
      <c r="E1404" s="93">
        <v>1241.9246227981</v>
      </c>
      <c r="F1404" s="18">
        <v>25901584.890000001</v>
      </c>
      <c r="G1404" s="18">
        <v>0.06</v>
      </c>
      <c r="H1404" s="13"/>
      <c r="I1404" s="13"/>
    </row>
    <row r="1405" spans="1:9">
      <c r="A1405" s="13" t="s">
        <v>349</v>
      </c>
      <c r="B1405" s="139" t="s">
        <v>350</v>
      </c>
      <c r="C1405" s="139" t="s">
        <v>146</v>
      </c>
      <c r="D1405" s="15">
        <v>20856</v>
      </c>
      <c r="E1405" s="93">
        <v>1297.8349386161001</v>
      </c>
      <c r="F1405" s="18">
        <v>27067645.050000001</v>
      </c>
      <c r="G1405" s="18">
        <v>0.06</v>
      </c>
      <c r="H1405" s="13"/>
      <c r="I1405" s="13"/>
    </row>
    <row r="1406" spans="1:9">
      <c r="A1406" s="13" t="s">
        <v>351</v>
      </c>
      <c r="B1406" s="139" t="s">
        <v>352</v>
      </c>
      <c r="C1406" s="139" t="s">
        <v>146</v>
      </c>
      <c r="D1406" s="15">
        <v>20856</v>
      </c>
      <c r="E1406" s="93">
        <v>1190.9054910804</v>
      </c>
      <c r="F1406" s="18">
        <v>24837526.460000001</v>
      </c>
      <c r="G1406" s="18">
        <v>0.06</v>
      </c>
      <c r="H1406" s="13"/>
      <c r="I1406" s="13"/>
    </row>
    <row r="1407" spans="1:9">
      <c r="A1407" s="13" t="s">
        <v>353</v>
      </c>
      <c r="B1407" s="139" t="s">
        <v>354</v>
      </c>
      <c r="C1407" s="139" t="s">
        <v>146</v>
      </c>
      <c r="D1407" s="15">
        <v>13904</v>
      </c>
      <c r="E1407" s="93">
        <v>1358.6675826633</v>
      </c>
      <c r="F1407" s="18">
        <v>18890914.530000001</v>
      </c>
      <c r="G1407" s="18">
        <v>0.04</v>
      </c>
      <c r="H1407" s="13"/>
      <c r="I1407" s="13"/>
    </row>
    <row r="1408" spans="1:9">
      <c r="A1408" s="13" t="s">
        <v>476</v>
      </c>
      <c r="B1408" s="139" t="s">
        <v>477</v>
      </c>
      <c r="C1408" s="139" t="s">
        <v>259</v>
      </c>
      <c r="D1408" s="15">
        <v>50000</v>
      </c>
      <c r="E1408" s="93">
        <v>1435.5651217436</v>
      </c>
      <c r="F1408" s="18">
        <v>71778262.689999998</v>
      </c>
      <c r="G1408" s="18">
        <v>0.16</v>
      </c>
      <c r="H1408" s="13"/>
      <c r="I1408" s="13"/>
    </row>
    <row r="1409" spans="1:9">
      <c r="A1409" s="13" t="s">
        <v>536</v>
      </c>
      <c r="B1409" s="139" t="s">
        <v>477</v>
      </c>
      <c r="C1409" s="139" t="s">
        <v>311</v>
      </c>
      <c r="D1409" s="15">
        <v>50000</v>
      </c>
      <c r="E1409" s="93">
        <v>1435.5653806144001</v>
      </c>
      <c r="F1409" s="18">
        <v>71778262.689999998</v>
      </c>
      <c r="G1409" s="18">
        <v>0.16</v>
      </c>
      <c r="H1409" s="13"/>
      <c r="I1409" s="13"/>
    </row>
    <row r="1410" spans="1:9">
      <c r="A1410" s="13" t="s">
        <v>595</v>
      </c>
      <c r="B1410" s="139" t="s">
        <v>596</v>
      </c>
      <c r="C1410" s="139" t="s">
        <v>368</v>
      </c>
      <c r="D1410" s="15">
        <v>50000</v>
      </c>
      <c r="E1410" s="93">
        <v>1427.2543638362999</v>
      </c>
      <c r="F1410" s="151">
        <v>71362725.299999997</v>
      </c>
      <c r="G1410" s="18">
        <v>0.16</v>
      </c>
      <c r="H1410" s="13"/>
      <c r="I1410" s="13"/>
    </row>
    <row r="1411" spans="1:9">
      <c r="A1411" s="13" t="s">
        <v>691</v>
      </c>
      <c r="B1411" s="139" t="s">
        <v>477</v>
      </c>
      <c r="C1411" s="139" t="s">
        <v>231</v>
      </c>
      <c r="D1411" s="15">
        <v>50000</v>
      </c>
      <c r="E1411" s="93">
        <v>1436.5425375489001</v>
      </c>
      <c r="F1411" s="18">
        <v>71827131.590000004</v>
      </c>
      <c r="G1411" s="18">
        <v>0.16</v>
      </c>
      <c r="H1411" s="13"/>
      <c r="I1411" s="13"/>
    </row>
    <row r="1412" spans="1:9">
      <c r="A1412" s="13" t="s">
        <v>692</v>
      </c>
      <c r="B1412" s="139" t="s">
        <v>596</v>
      </c>
      <c r="C1412" s="139" t="s">
        <v>231</v>
      </c>
      <c r="D1412" s="15">
        <v>50000</v>
      </c>
      <c r="E1412" s="93">
        <v>1425.0183014813001</v>
      </c>
      <c r="F1412" s="18">
        <v>71250909.340000004</v>
      </c>
      <c r="G1412" s="18">
        <v>0.16</v>
      </c>
      <c r="H1412" s="13"/>
      <c r="I1412" s="13"/>
    </row>
    <row r="1413" spans="1:9">
      <c r="A1413" s="13" t="s">
        <v>895</v>
      </c>
      <c r="B1413" s="139" t="s">
        <v>896</v>
      </c>
      <c r="C1413" s="139" t="s">
        <v>378</v>
      </c>
      <c r="D1413" s="15">
        <v>18230</v>
      </c>
      <c r="E1413" s="93">
        <v>1395.8357093022</v>
      </c>
      <c r="F1413" s="18">
        <v>25446082.260000002</v>
      </c>
      <c r="G1413" s="18">
        <v>0.06</v>
      </c>
      <c r="H1413" s="13"/>
      <c r="I1413" s="13"/>
    </row>
    <row r="1414" spans="1:9">
      <c r="A1414" s="13" t="s">
        <v>897</v>
      </c>
      <c r="B1414" s="139" t="s">
        <v>898</v>
      </c>
      <c r="C1414" s="139" t="s">
        <v>378</v>
      </c>
      <c r="D1414" s="15">
        <v>18230</v>
      </c>
      <c r="E1414" s="93">
        <v>1405.3535398007</v>
      </c>
      <c r="F1414" s="18">
        <v>25619602.25</v>
      </c>
      <c r="G1414" s="18">
        <v>0.06</v>
      </c>
      <c r="H1414" s="13"/>
      <c r="I1414" s="13"/>
    </row>
    <row r="1415" spans="1:9">
      <c r="A1415" s="13" t="s">
        <v>899</v>
      </c>
      <c r="B1415" s="139" t="s">
        <v>900</v>
      </c>
      <c r="C1415" s="139" t="s">
        <v>378</v>
      </c>
      <c r="D1415" s="15">
        <v>18230</v>
      </c>
      <c r="E1415" s="93">
        <v>1387.3182865504</v>
      </c>
      <c r="F1415" s="18">
        <v>25290817.629999999</v>
      </c>
      <c r="G1415" s="18">
        <v>0.06</v>
      </c>
      <c r="H1415" s="13"/>
      <c r="I1415" s="13"/>
    </row>
    <row r="1416" spans="1:9">
      <c r="A1416" s="13" t="s">
        <v>901</v>
      </c>
      <c r="B1416" s="139" t="s">
        <v>902</v>
      </c>
      <c r="C1416" s="139" t="s">
        <v>378</v>
      </c>
      <c r="D1416" s="15">
        <v>18230</v>
      </c>
      <c r="E1416" s="154">
        <v>1336.431651695</v>
      </c>
      <c r="F1416" s="18">
        <v>24363146.93</v>
      </c>
      <c r="G1416" s="18">
        <v>0.05</v>
      </c>
      <c r="H1416" s="13"/>
      <c r="I1416" s="13"/>
    </row>
    <row r="1417" spans="1:9">
      <c r="A1417" s="13" t="s">
        <v>903</v>
      </c>
      <c r="B1417" s="139" t="s">
        <v>904</v>
      </c>
      <c r="C1417" s="139" t="s">
        <v>378</v>
      </c>
      <c r="D1417" s="15">
        <v>18230</v>
      </c>
      <c r="E1417" s="93">
        <v>1361.2621864733001</v>
      </c>
      <c r="F1417" s="18">
        <v>24815816.579999998</v>
      </c>
      <c r="G1417" s="18">
        <v>0.06</v>
      </c>
      <c r="H1417" s="13"/>
      <c r="I1417" s="13"/>
    </row>
    <row r="1418" spans="1:9">
      <c r="A1418" s="13" t="s">
        <v>905</v>
      </c>
      <c r="B1418" s="139" t="s">
        <v>906</v>
      </c>
      <c r="C1418" s="139" t="s">
        <v>378</v>
      </c>
      <c r="D1418" s="15">
        <v>18230</v>
      </c>
      <c r="E1418" s="93">
        <v>1345.1551060625</v>
      </c>
      <c r="F1418" s="18">
        <v>24522184.039999999</v>
      </c>
      <c r="G1418" s="18">
        <v>0.06</v>
      </c>
      <c r="H1418" s="13"/>
      <c r="I1418" s="13"/>
    </row>
    <row r="1419" spans="1:9">
      <c r="A1419" s="13" t="s">
        <v>907</v>
      </c>
      <c r="B1419" s="139" t="s">
        <v>908</v>
      </c>
      <c r="C1419" s="139" t="s">
        <v>378</v>
      </c>
      <c r="D1419" s="15">
        <v>18230</v>
      </c>
      <c r="E1419" s="93">
        <v>1353.4396158364</v>
      </c>
      <c r="F1419" s="18">
        <v>24673199.190000001</v>
      </c>
      <c r="G1419" s="18">
        <v>0.06</v>
      </c>
      <c r="H1419" s="13"/>
      <c r="I1419" s="13"/>
    </row>
    <row r="1420" spans="1:9">
      <c r="A1420" s="13" t="s">
        <v>909</v>
      </c>
      <c r="B1420" s="139" t="s">
        <v>910</v>
      </c>
      <c r="C1420" s="139" t="s">
        <v>378</v>
      </c>
      <c r="D1420" s="15">
        <v>18230</v>
      </c>
      <c r="E1420" s="93">
        <v>1378.9096069949001</v>
      </c>
      <c r="F1420" s="18">
        <v>25137518.75</v>
      </c>
      <c r="G1420" s="18">
        <v>0.06</v>
      </c>
      <c r="H1420" s="13"/>
      <c r="I1420" s="13"/>
    </row>
    <row r="1421" spans="1:9">
      <c r="A1421" s="13" t="s">
        <v>911</v>
      </c>
      <c r="B1421" s="139" t="s">
        <v>912</v>
      </c>
      <c r="C1421" s="139" t="s">
        <v>378</v>
      </c>
      <c r="D1421" s="15">
        <v>18230</v>
      </c>
      <c r="E1421" s="93">
        <v>1369.7421510206</v>
      </c>
      <c r="F1421" s="18">
        <v>24970401.870000001</v>
      </c>
      <c r="G1421" s="18">
        <v>0.06</v>
      </c>
      <c r="H1421" s="13"/>
      <c r="I1421" s="13"/>
    </row>
    <row r="1422" spans="1:9">
      <c r="A1422" s="13" t="s">
        <v>1179</v>
      </c>
      <c r="B1422" s="139" t="s">
        <v>596</v>
      </c>
      <c r="C1422" s="139" t="s">
        <v>431</v>
      </c>
      <c r="D1422" s="15">
        <v>100000</v>
      </c>
      <c r="E1422" s="154">
        <v>1429.4970862949999</v>
      </c>
      <c r="F1422" s="18">
        <v>142949704.06</v>
      </c>
      <c r="G1422" s="18">
        <v>0.32</v>
      </c>
      <c r="H1422" s="13"/>
      <c r="I1422" s="13"/>
    </row>
    <row r="1423" spans="1:9">
      <c r="A1423" s="13" t="s">
        <v>1180</v>
      </c>
      <c r="B1423" s="139" t="s">
        <v>797</v>
      </c>
      <c r="C1423" s="139" t="s">
        <v>431</v>
      </c>
      <c r="D1423" s="15">
        <v>100000</v>
      </c>
      <c r="E1423" s="93">
        <v>1421.6771474382001</v>
      </c>
      <c r="F1423" s="18">
        <v>142167714.99000001</v>
      </c>
      <c r="G1423" s="18">
        <v>0.32</v>
      </c>
      <c r="H1423" s="13"/>
      <c r="I1423" s="13"/>
    </row>
    <row r="1424" spans="1:9">
      <c r="A1424" s="13" t="s">
        <v>1553</v>
      </c>
      <c r="B1424" s="139" t="s">
        <v>891</v>
      </c>
      <c r="C1424" s="139" t="s">
        <v>471</v>
      </c>
      <c r="D1424" s="15">
        <v>50000</v>
      </c>
      <c r="E1424" s="93">
        <v>1413.1471945336</v>
      </c>
      <c r="F1424" s="18">
        <v>70657356.760000005</v>
      </c>
      <c r="G1424" s="18">
        <v>0.16</v>
      </c>
      <c r="H1424" s="13"/>
      <c r="I1424" s="13"/>
    </row>
    <row r="1425" spans="1:9">
      <c r="A1425" s="13" t="s">
        <v>1569</v>
      </c>
      <c r="B1425" s="139" t="s">
        <v>477</v>
      </c>
      <c r="C1425" s="139" t="s">
        <v>390</v>
      </c>
      <c r="D1425" s="15">
        <v>100000</v>
      </c>
      <c r="E1425" s="93">
        <v>1435.5649919468999</v>
      </c>
      <c r="F1425" s="18">
        <v>143556496.47999999</v>
      </c>
      <c r="G1425" s="18">
        <v>0.32</v>
      </c>
      <c r="H1425" s="13"/>
      <c r="I1425" s="13"/>
    </row>
    <row r="1426" spans="1:9">
      <c r="A1426" s="13" t="s">
        <v>1599</v>
      </c>
      <c r="B1426" s="139" t="s">
        <v>477</v>
      </c>
      <c r="C1426" s="139" t="s">
        <v>163</v>
      </c>
      <c r="D1426" s="15">
        <v>25000</v>
      </c>
      <c r="E1426" s="93">
        <v>1435.5656384732999</v>
      </c>
      <c r="F1426" s="18">
        <v>35889138.57</v>
      </c>
      <c r="G1426" s="18">
        <v>0.08</v>
      </c>
      <c r="H1426" s="13"/>
      <c r="I1426" s="13"/>
    </row>
    <row r="1427" spans="1:9">
      <c r="A1427" s="13" t="s">
        <v>1600</v>
      </c>
      <c r="B1427" s="139" t="s">
        <v>596</v>
      </c>
      <c r="C1427" s="139" t="s">
        <v>163</v>
      </c>
      <c r="D1427" s="15">
        <v>25000</v>
      </c>
      <c r="E1427" s="154">
        <v>1422.788489026</v>
      </c>
      <c r="F1427" s="18">
        <v>35569705.68</v>
      </c>
      <c r="G1427" s="18">
        <v>0.08</v>
      </c>
      <c r="H1427" s="13"/>
      <c r="I1427" s="13"/>
    </row>
    <row r="1428" spans="1:9">
      <c r="A1428" s="13" t="s">
        <v>1601</v>
      </c>
      <c r="B1428" s="139" t="s">
        <v>797</v>
      </c>
      <c r="C1428" s="139" t="s">
        <v>163</v>
      </c>
      <c r="D1428" s="15">
        <v>25000</v>
      </c>
      <c r="E1428" s="93">
        <v>1415.0427091899001</v>
      </c>
      <c r="F1428" s="18">
        <v>35376065.75</v>
      </c>
      <c r="G1428" s="18">
        <v>0.08</v>
      </c>
      <c r="H1428" s="13"/>
      <c r="I1428" s="13"/>
    </row>
    <row r="1429" spans="1:9">
      <c r="A1429" s="13" t="s">
        <v>1602</v>
      </c>
      <c r="B1429" s="139" t="s">
        <v>891</v>
      </c>
      <c r="C1429" s="139" t="s">
        <v>163</v>
      </c>
      <c r="D1429" s="15">
        <v>25000</v>
      </c>
      <c r="E1429" s="93">
        <v>1404.1958482107</v>
      </c>
      <c r="F1429" s="18">
        <v>35104894.68</v>
      </c>
      <c r="G1429" s="18">
        <v>0.08</v>
      </c>
      <c r="H1429" s="13"/>
      <c r="I1429" s="13"/>
    </row>
    <row r="1430" spans="1:9">
      <c r="A1430" s="13" t="s">
        <v>1852</v>
      </c>
      <c r="B1430" s="139" t="s">
        <v>797</v>
      </c>
      <c r="C1430" s="139" t="s">
        <v>389</v>
      </c>
      <c r="D1430" s="15">
        <v>40000</v>
      </c>
      <c r="E1430" s="154">
        <v>1411.748076284</v>
      </c>
      <c r="F1430" s="18">
        <v>56469925.390000001</v>
      </c>
      <c r="G1430" s="18">
        <v>0.13</v>
      </c>
      <c r="H1430" s="13"/>
      <c r="I1430" s="13"/>
    </row>
    <row r="1431" spans="1:9">
      <c r="A1431" s="13" t="s">
        <v>1997</v>
      </c>
      <c r="B1431" s="139" t="s">
        <v>1996</v>
      </c>
      <c r="C1431" s="139" t="s">
        <v>394</v>
      </c>
      <c r="D1431" s="15">
        <v>500000</v>
      </c>
      <c r="E1431" s="93">
        <v>1399.6873778187</v>
      </c>
      <c r="F1431" s="18">
        <v>699843694.69000006</v>
      </c>
      <c r="G1431" s="18">
        <v>1.57</v>
      </c>
      <c r="H1431" s="13"/>
      <c r="I1431" s="13"/>
    </row>
    <row r="1432" spans="1:9">
      <c r="A1432" s="13"/>
      <c r="B1432" s="13"/>
      <c r="C1432" s="13" t="s">
        <v>28</v>
      </c>
      <c r="D1432" s="13" t="s">
        <v>28</v>
      </c>
      <c r="E1432" s="13" t="s">
        <v>28</v>
      </c>
      <c r="F1432" s="18">
        <v>2077118429.0899999</v>
      </c>
      <c r="G1432" s="18">
        <v>4.67</v>
      </c>
      <c r="H1432" s="13"/>
      <c r="I1432" s="13"/>
    </row>
    <row r="1433" spans="1:9">
      <c r="A1433" s="13" t="s">
        <v>28</v>
      </c>
      <c r="B1433" s="13"/>
      <c r="C1433" s="13"/>
      <c r="D1433" s="13"/>
      <c r="E1433" s="13"/>
      <c r="F1433" s="13"/>
      <c r="G1433" s="13"/>
      <c r="H1433" s="13"/>
      <c r="I1433" s="13"/>
    </row>
    <row r="1434" spans="1:9">
      <c r="A1434" s="13" t="s">
        <v>7</v>
      </c>
      <c r="B1434" s="13"/>
      <c r="C1434" s="13"/>
      <c r="D1434" s="13"/>
      <c r="E1434" s="13"/>
      <c r="F1434" s="13"/>
      <c r="G1434" s="13"/>
      <c r="H1434" s="13"/>
      <c r="I1434" s="13"/>
    </row>
    <row r="1435" spans="1:9">
      <c r="A1435" s="14" t="s">
        <v>8</v>
      </c>
      <c r="B1435" s="14" t="s">
        <v>2</v>
      </c>
      <c r="C1435" s="14" t="s">
        <v>4</v>
      </c>
      <c r="D1435" s="14"/>
      <c r="E1435" s="14"/>
      <c r="F1435" s="14"/>
      <c r="G1435" s="14"/>
      <c r="H1435" s="14"/>
      <c r="I1435" s="14"/>
    </row>
    <row r="1436" spans="1:9">
      <c r="A1436" s="13" t="s">
        <v>88</v>
      </c>
      <c r="B1436" s="18">
        <v>1967599.86</v>
      </c>
      <c r="C1436" s="15">
        <v>0</v>
      </c>
      <c r="D1436" s="13"/>
      <c r="E1436" s="13"/>
      <c r="F1436" s="13"/>
      <c r="G1436" s="13"/>
      <c r="H1436" s="13"/>
      <c r="I1436" s="13"/>
    </row>
    <row r="1437" spans="1:9">
      <c r="A1437" s="13" t="s">
        <v>28</v>
      </c>
      <c r="B1437" s="18">
        <v>1967599.86</v>
      </c>
      <c r="C1437" s="15">
        <v>0</v>
      </c>
      <c r="D1437" s="13"/>
      <c r="E1437" s="13"/>
      <c r="F1437" s="13"/>
      <c r="G1437" s="13"/>
      <c r="H1437" s="13"/>
      <c r="I1437" s="13"/>
    </row>
    <row r="1438" spans="1:9">
      <c r="A1438" s="13" t="s">
        <v>28</v>
      </c>
      <c r="B1438" s="13"/>
      <c r="C1438" s="13"/>
      <c r="D1438" s="13"/>
      <c r="E1438" s="13"/>
      <c r="F1438" s="13"/>
      <c r="G1438" s="13"/>
      <c r="H1438" s="13"/>
      <c r="I1438" s="13"/>
    </row>
    <row r="1439" spans="1:9">
      <c r="A1439" s="13" t="s">
        <v>2099</v>
      </c>
      <c r="B1439" s="13"/>
      <c r="C1439" s="13"/>
      <c r="D1439" s="13"/>
      <c r="E1439" s="13"/>
      <c r="F1439" s="13"/>
      <c r="G1439" s="13"/>
      <c r="H1439" s="13"/>
      <c r="I1439" s="13"/>
    </row>
    <row r="1440" spans="1:9">
      <c r="A1440" s="13" t="s">
        <v>28</v>
      </c>
      <c r="B1440" s="13"/>
      <c r="C1440" s="13"/>
      <c r="D1440" s="13"/>
      <c r="E1440" s="13"/>
      <c r="F1440" s="13"/>
      <c r="G1440" s="13"/>
      <c r="H1440" s="13"/>
      <c r="I1440" s="13"/>
    </row>
    <row r="1441" spans="1:9">
      <c r="A1441" s="13" t="s">
        <v>126</v>
      </c>
      <c r="B1441" s="13"/>
      <c r="C1441" s="13"/>
      <c r="D1441" s="13"/>
      <c r="E1441" s="13"/>
      <c r="F1441" s="13"/>
      <c r="G1441" s="13"/>
      <c r="H1441" s="13"/>
      <c r="I1441" s="13"/>
    </row>
    <row r="1442" spans="1:9">
      <c r="A1442" s="13" t="s">
        <v>537</v>
      </c>
      <c r="B1442" s="13"/>
      <c r="C1442" s="13"/>
      <c r="D1442" s="13"/>
      <c r="E1442" s="13"/>
      <c r="F1442" s="13"/>
      <c r="G1442" s="13"/>
      <c r="H1442" s="13"/>
      <c r="I1442" s="13"/>
    </row>
    <row r="1443" spans="1:9">
      <c r="A1443" s="14" t="s">
        <v>8</v>
      </c>
      <c r="B1443" s="14" t="s">
        <v>127</v>
      </c>
      <c r="C1443" s="14" t="s">
        <v>128</v>
      </c>
      <c r="D1443" s="14"/>
      <c r="E1443" s="14"/>
      <c r="F1443" s="14"/>
      <c r="G1443" s="14"/>
      <c r="H1443" s="14"/>
      <c r="I1443" s="14"/>
    </row>
    <row r="1444" spans="1:9">
      <c r="A1444" s="13" t="s">
        <v>327</v>
      </c>
      <c r="B1444" s="15">
        <v>300000000</v>
      </c>
      <c r="C1444" s="15">
        <v>289996527</v>
      </c>
      <c r="D1444" s="13"/>
      <c r="E1444" s="13"/>
      <c r="F1444" s="13"/>
      <c r="G1444" s="13"/>
      <c r="H1444" s="13"/>
      <c r="I1444" s="13"/>
    </row>
    <row r="1445" spans="1:9">
      <c r="A1445" s="13" t="s">
        <v>1433</v>
      </c>
      <c r="B1445" s="15">
        <v>200000000</v>
      </c>
      <c r="C1445" s="15">
        <v>234052744</v>
      </c>
      <c r="D1445" s="13"/>
      <c r="E1445" s="13"/>
      <c r="F1445" s="13"/>
      <c r="G1445" s="13"/>
      <c r="H1445" s="13"/>
      <c r="I1445" s="13"/>
    </row>
    <row r="1446" spans="1:9">
      <c r="A1446" s="13" t="s">
        <v>28</v>
      </c>
      <c r="B1446" s="13"/>
      <c r="C1446" s="13"/>
      <c r="D1446" s="13"/>
      <c r="E1446" s="13"/>
      <c r="F1446" s="13"/>
      <c r="G1446" s="13"/>
      <c r="H1446" s="13"/>
      <c r="I1446" s="13"/>
    </row>
    <row r="1447" spans="1:9">
      <c r="A1447" s="13" t="s">
        <v>12</v>
      </c>
      <c r="B1447" s="13"/>
      <c r="C1447" s="13"/>
      <c r="D1447" s="13"/>
      <c r="E1447" s="13"/>
      <c r="F1447" s="13"/>
      <c r="G1447" s="13"/>
      <c r="H1447" s="13"/>
      <c r="I1447" s="13"/>
    </row>
    <row r="1448" spans="1:9">
      <c r="A1448" s="13" t="s">
        <v>20</v>
      </c>
      <c r="B1448" s="13"/>
      <c r="C1448" s="13"/>
      <c r="D1448" s="13"/>
      <c r="E1448" s="13"/>
      <c r="F1448" s="13"/>
      <c r="G1448" s="13"/>
      <c r="H1448" s="13"/>
      <c r="I1448" s="13"/>
    </row>
    <row r="1449" spans="1:9">
      <c r="A1449" s="14" t="s">
        <v>9</v>
      </c>
      <c r="B1449" s="14" t="s">
        <v>30</v>
      </c>
      <c r="C1449" s="14" t="s">
        <v>25</v>
      </c>
      <c r="D1449" s="14" t="s">
        <v>21</v>
      </c>
      <c r="E1449" s="14"/>
      <c r="F1449" s="14"/>
      <c r="G1449" s="14"/>
      <c r="H1449" s="14"/>
      <c r="I1449" s="14"/>
    </row>
    <row r="1450" spans="1:9">
      <c r="A1450" s="13" t="s">
        <v>31</v>
      </c>
      <c r="B1450" s="139" t="s">
        <v>516</v>
      </c>
      <c r="C1450" s="18">
        <v>1403.49</v>
      </c>
      <c r="D1450" s="13" t="s">
        <v>28</v>
      </c>
      <c r="E1450" s="13"/>
      <c r="F1450" s="13"/>
      <c r="G1450" s="13"/>
      <c r="H1450" s="13"/>
      <c r="I1450" s="13"/>
    </row>
    <row r="1451" spans="1:9">
      <c r="A1451" s="13" t="s">
        <v>13</v>
      </c>
      <c r="B1451" s="139" t="s">
        <v>361</v>
      </c>
      <c r="C1451" s="18">
        <v>1399.76</v>
      </c>
      <c r="D1451" s="18">
        <v>0.27</v>
      </c>
      <c r="E1451" s="13"/>
      <c r="F1451" s="13"/>
      <c r="G1451" s="13"/>
      <c r="H1451" s="13"/>
      <c r="I1451" s="13"/>
    </row>
    <row r="1452" spans="1:9">
      <c r="A1452" s="13" t="s">
        <v>0</v>
      </c>
      <c r="B1452" s="139" t="s">
        <v>335</v>
      </c>
      <c r="C1452" s="152">
        <v>1393.7460000000001</v>
      </c>
      <c r="D1452" s="151">
        <v>0.7</v>
      </c>
      <c r="E1452" s="13"/>
      <c r="F1452" s="13"/>
      <c r="G1452" s="13"/>
      <c r="H1452" s="13"/>
      <c r="I1452" s="13"/>
    </row>
    <row r="1453" spans="1:9">
      <c r="A1453" s="13" t="s">
        <v>40</v>
      </c>
      <c r="B1453" s="139" t="s">
        <v>146</v>
      </c>
      <c r="C1453" s="152">
        <v>1231.2270000000001</v>
      </c>
      <c r="D1453" s="18">
        <v>13.99</v>
      </c>
      <c r="E1453" s="13"/>
      <c r="F1453" s="13"/>
      <c r="G1453" s="13"/>
      <c r="H1453" s="13"/>
      <c r="I1453" s="13"/>
    </row>
    <row r="1454" spans="1:9">
      <c r="A1454" s="13" t="s">
        <v>5</v>
      </c>
      <c r="B1454" s="139" t="s">
        <v>89</v>
      </c>
      <c r="C1454" s="15">
        <v>1000</v>
      </c>
      <c r="D1454" s="18">
        <v>40.35</v>
      </c>
      <c r="E1454" s="13"/>
      <c r="F1454" s="13"/>
      <c r="G1454" s="13"/>
      <c r="H1454" s="13"/>
      <c r="I1454" s="13"/>
    </row>
    <row r="1455" spans="1:9">
      <c r="A1455" s="13" t="s">
        <v>28</v>
      </c>
      <c r="B1455" s="13"/>
      <c r="C1455" s="13"/>
      <c r="D1455" s="13"/>
      <c r="E1455" s="13"/>
      <c r="F1455" s="13"/>
      <c r="G1455" s="13"/>
      <c r="H1455" s="13"/>
      <c r="I1455" s="13"/>
    </row>
    <row r="1456" spans="1:9">
      <c r="A1456" s="13" t="s">
        <v>23</v>
      </c>
      <c r="B1456" s="13"/>
      <c r="C1456" s="13"/>
      <c r="D1456" s="13"/>
      <c r="E1456" s="13"/>
      <c r="F1456" s="13"/>
      <c r="G1456" s="13"/>
      <c r="H1456" s="13"/>
      <c r="I1456" s="13"/>
    </row>
    <row r="1457" spans="1:9">
      <c r="A1457" s="14" t="s">
        <v>9</v>
      </c>
      <c r="B1457" s="14" t="s">
        <v>30</v>
      </c>
      <c r="C1457" s="14" t="s">
        <v>25</v>
      </c>
      <c r="D1457" s="14" t="s">
        <v>21</v>
      </c>
      <c r="E1457" s="14"/>
      <c r="F1457" s="14"/>
      <c r="G1457" s="14"/>
      <c r="H1457" s="14"/>
      <c r="I1457" s="14"/>
    </row>
    <row r="1458" spans="1:9">
      <c r="A1458" s="13" t="s">
        <v>31</v>
      </c>
      <c r="B1458" s="139" t="s">
        <v>516</v>
      </c>
      <c r="C1458" s="152">
        <v>1681.7619999999999</v>
      </c>
      <c r="D1458" s="13" t="s">
        <v>28</v>
      </c>
      <c r="E1458" s="13"/>
      <c r="F1458" s="13"/>
      <c r="G1458" s="13"/>
      <c r="H1458" s="13"/>
      <c r="I1458" s="13"/>
    </row>
    <row r="1459" spans="1:9">
      <c r="A1459" s="13" t="s">
        <v>13</v>
      </c>
      <c r="B1459" s="139" t="s">
        <v>361</v>
      </c>
      <c r="C1459" s="152">
        <v>1677.2929999999999</v>
      </c>
      <c r="D1459" s="18">
        <v>0.27</v>
      </c>
      <c r="E1459" s="13"/>
      <c r="F1459" s="13"/>
      <c r="G1459" s="13"/>
      <c r="H1459" s="13"/>
      <c r="I1459" s="13"/>
    </row>
    <row r="1460" spans="1:9">
      <c r="A1460" s="13" t="s">
        <v>0</v>
      </c>
      <c r="B1460" s="139" t="s">
        <v>335</v>
      </c>
      <c r="C1460" s="152">
        <v>1670.086</v>
      </c>
      <c r="D1460" s="151">
        <v>0.7</v>
      </c>
      <c r="E1460" s="13"/>
      <c r="F1460" s="13"/>
      <c r="G1460" s="13"/>
      <c r="H1460" s="13"/>
      <c r="I1460" s="13"/>
    </row>
    <row r="1461" spans="1:9">
      <c r="A1461" s="13" t="s">
        <v>40</v>
      </c>
      <c r="B1461" s="139" t="s">
        <v>146</v>
      </c>
      <c r="C1461" s="152">
        <v>1475.3389999999999</v>
      </c>
      <c r="D1461" s="18">
        <v>13.99</v>
      </c>
      <c r="E1461" s="13"/>
      <c r="F1461" s="13"/>
      <c r="G1461" s="13"/>
      <c r="H1461" s="13"/>
      <c r="I1461" s="13"/>
    </row>
    <row r="1462" spans="1:9">
      <c r="A1462" s="13" t="s">
        <v>5</v>
      </c>
      <c r="B1462" s="139" t="s">
        <v>89</v>
      </c>
      <c r="C1462" s="15">
        <v>1000</v>
      </c>
      <c r="D1462" s="18">
        <v>68.180000000000007</v>
      </c>
      <c r="E1462" s="13"/>
      <c r="F1462" s="13"/>
      <c r="G1462" s="13"/>
      <c r="H1462" s="13"/>
      <c r="I1462" s="13"/>
    </row>
    <row r="1463" spans="1:9">
      <c r="A1463" s="13" t="s">
        <v>28</v>
      </c>
      <c r="B1463" s="13"/>
      <c r="C1463" s="13"/>
      <c r="D1463" s="13"/>
      <c r="E1463" s="13"/>
      <c r="F1463" s="13"/>
      <c r="G1463" s="13"/>
      <c r="H1463" s="13"/>
      <c r="I1463" s="13"/>
    </row>
    <row r="1464" spans="1:9">
      <c r="A1464" s="13" t="s">
        <v>22</v>
      </c>
      <c r="B1464" s="13"/>
      <c r="C1464" s="13"/>
      <c r="D1464" s="13"/>
      <c r="E1464" s="13"/>
      <c r="F1464" s="13"/>
      <c r="G1464" s="13"/>
      <c r="H1464" s="13"/>
      <c r="I1464" s="13"/>
    </row>
    <row r="1465" spans="1:9">
      <c r="A1465" s="14" t="s">
        <v>9</v>
      </c>
      <c r="B1465" s="14" t="s">
        <v>30</v>
      </c>
      <c r="C1465" s="14" t="s">
        <v>25</v>
      </c>
      <c r="D1465" s="14" t="s">
        <v>21</v>
      </c>
      <c r="E1465" s="14"/>
      <c r="F1465" s="14"/>
      <c r="G1465" s="14"/>
      <c r="H1465" s="14"/>
      <c r="I1465" s="14"/>
    </row>
    <row r="1466" spans="1:9">
      <c r="A1466" s="13" t="s">
        <v>31</v>
      </c>
      <c r="B1466" s="139" t="s">
        <v>516</v>
      </c>
      <c r="C1466" s="18">
        <v>1694.25</v>
      </c>
      <c r="D1466" s="13" t="s">
        <v>28</v>
      </c>
      <c r="E1466" s="13"/>
      <c r="F1466" s="13"/>
      <c r="G1466" s="13"/>
      <c r="H1466" s="13"/>
      <c r="I1466" s="13"/>
    </row>
    <row r="1467" spans="1:9">
      <c r="A1467" s="13" t="s">
        <v>13</v>
      </c>
      <c r="B1467" s="139" t="s">
        <v>361</v>
      </c>
      <c r="C1467" s="152">
        <v>1689.748</v>
      </c>
      <c r="D1467" s="18">
        <v>0.27</v>
      </c>
      <c r="E1467" s="13"/>
      <c r="F1467" s="13"/>
      <c r="G1467" s="13"/>
      <c r="H1467" s="13"/>
      <c r="I1467" s="13"/>
    </row>
    <row r="1468" spans="1:9">
      <c r="A1468" s="13" t="s">
        <v>0</v>
      </c>
      <c r="B1468" s="139" t="s">
        <v>335</v>
      </c>
      <c r="C1468" s="152">
        <v>1682.4880000000001</v>
      </c>
      <c r="D1468" s="151">
        <v>0.7</v>
      </c>
      <c r="E1468" s="13"/>
      <c r="F1468" s="13"/>
      <c r="G1468" s="13"/>
      <c r="H1468" s="13"/>
      <c r="I1468" s="13"/>
    </row>
    <row r="1469" spans="1:9">
      <c r="A1469" s="13" t="s">
        <v>40</v>
      </c>
      <c r="B1469" s="139" t="s">
        <v>146</v>
      </c>
      <c r="C1469" s="151">
        <v>1486.3</v>
      </c>
      <c r="D1469" s="18">
        <v>13.99</v>
      </c>
      <c r="E1469" s="13"/>
      <c r="F1469" s="13"/>
      <c r="G1469" s="13"/>
      <c r="H1469" s="13"/>
      <c r="I1469" s="13"/>
    </row>
    <row r="1470" spans="1:9">
      <c r="A1470" s="13" t="s">
        <v>5</v>
      </c>
      <c r="B1470" s="139" t="s">
        <v>89</v>
      </c>
      <c r="C1470" s="15">
        <v>1000</v>
      </c>
      <c r="D1470" s="18">
        <v>69.430000000000007</v>
      </c>
      <c r="E1470" s="13"/>
      <c r="F1470" s="13"/>
      <c r="G1470" s="13"/>
      <c r="H1470" s="13"/>
      <c r="I1470" s="13"/>
    </row>
    <row r="1471" spans="1:9">
      <c r="A1471" s="13" t="s">
        <v>28</v>
      </c>
      <c r="B1471" s="13"/>
      <c r="C1471" s="13"/>
      <c r="D1471" s="13"/>
      <c r="E1471" s="13"/>
      <c r="F1471" s="13"/>
      <c r="G1471" s="13"/>
      <c r="H1471" s="13"/>
      <c r="I1471" s="13"/>
    </row>
    <row r="1472" spans="1:9">
      <c r="A1472" s="13" t="s">
        <v>267</v>
      </c>
      <c r="B1472" s="13"/>
      <c r="C1472" s="13"/>
      <c r="D1472" s="13"/>
      <c r="E1472" s="13"/>
      <c r="F1472" s="13"/>
      <c r="G1472" s="13"/>
      <c r="H1472" s="13"/>
      <c r="I1472" s="13"/>
    </row>
    <row r="1473" spans="1:9">
      <c r="A1473" s="14" t="s">
        <v>9</v>
      </c>
      <c r="B1473" s="14" t="s">
        <v>30</v>
      </c>
      <c r="C1473" s="14" t="s">
        <v>25</v>
      </c>
      <c r="D1473" s="14" t="s">
        <v>21</v>
      </c>
      <c r="E1473" s="14"/>
      <c r="F1473" s="14"/>
      <c r="G1473" s="14"/>
      <c r="H1473" s="14"/>
      <c r="I1473" s="14"/>
    </row>
    <row r="1474" spans="1:9">
      <c r="A1474" s="13" t="s">
        <v>31</v>
      </c>
      <c r="B1474" s="139" t="s">
        <v>516</v>
      </c>
      <c r="C1474" s="152">
        <v>1102.4880000000001</v>
      </c>
      <c r="D1474" s="13" t="s">
        <v>28</v>
      </c>
      <c r="E1474" s="13"/>
      <c r="F1474" s="13"/>
      <c r="G1474" s="13"/>
      <c r="H1474" s="13"/>
      <c r="I1474" s="13"/>
    </row>
    <row r="1475" spans="1:9">
      <c r="A1475" s="13" t="s">
        <v>13</v>
      </c>
      <c r="B1475" s="139" t="s">
        <v>361</v>
      </c>
      <c r="C1475" s="152">
        <v>1102.4880000000001</v>
      </c>
      <c r="D1475" s="15">
        <v>0</v>
      </c>
      <c r="E1475" s="13"/>
      <c r="F1475" s="13"/>
      <c r="G1475" s="13"/>
      <c r="H1475" s="13"/>
      <c r="I1475" s="13"/>
    </row>
    <row r="1476" spans="1:9">
      <c r="A1476" s="13" t="s">
        <v>0</v>
      </c>
      <c r="B1476" s="139" t="s">
        <v>335</v>
      </c>
      <c r="C1476" s="152">
        <v>1102.4880000000001</v>
      </c>
      <c r="D1476" s="15">
        <v>0</v>
      </c>
      <c r="E1476" s="13"/>
      <c r="F1476" s="13"/>
      <c r="G1476" s="13"/>
      <c r="H1476" s="13"/>
      <c r="I1476" s="13"/>
    </row>
    <row r="1477" spans="1:9">
      <c r="A1477" s="13" t="s">
        <v>40</v>
      </c>
      <c r="B1477" s="139" t="s">
        <v>146</v>
      </c>
      <c r="C1477" s="18">
        <v>1047.33</v>
      </c>
      <c r="D1477" s="18">
        <v>5.27</v>
      </c>
      <c r="E1477" s="13"/>
      <c r="F1477" s="13"/>
      <c r="G1477" s="13"/>
      <c r="H1477" s="13"/>
      <c r="I1477" s="13"/>
    </row>
    <row r="1478" spans="1:9">
      <c r="A1478" s="13" t="s">
        <v>5</v>
      </c>
      <c r="B1478" s="139" t="s">
        <v>136</v>
      </c>
      <c r="C1478" s="15">
        <v>1000</v>
      </c>
      <c r="D1478" s="18">
        <v>10.25</v>
      </c>
      <c r="E1478" s="13"/>
      <c r="F1478" s="13"/>
      <c r="G1478" s="13"/>
      <c r="H1478" s="13"/>
      <c r="I1478" s="13"/>
    </row>
    <row r="1479" spans="1:9">
      <c r="A1479" s="13" t="s">
        <v>28</v>
      </c>
      <c r="B1479" s="13"/>
      <c r="C1479" s="13"/>
      <c r="D1479" s="13"/>
      <c r="E1479" s="13"/>
      <c r="F1479" s="13"/>
      <c r="G1479" s="13"/>
      <c r="H1479" s="13"/>
      <c r="I1479" s="13"/>
    </row>
    <row r="1480" spans="1:9">
      <c r="A1480" s="13" t="s">
        <v>12</v>
      </c>
      <c r="B1480" s="13"/>
      <c r="C1480" s="13"/>
      <c r="D1480" s="13"/>
      <c r="E1480" s="13"/>
      <c r="F1480" s="13"/>
      <c r="G1480" s="13"/>
      <c r="H1480" s="13"/>
      <c r="I1480" s="13"/>
    </row>
    <row r="1481" spans="1:9">
      <c r="A1481" s="13"/>
      <c r="B1481" s="13"/>
      <c r="C1481" s="13"/>
      <c r="D1481" s="13"/>
      <c r="E1481" s="13"/>
      <c r="F1481" s="13"/>
      <c r="G1481" s="13"/>
      <c r="H1481" s="13"/>
      <c r="I1481" s="13"/>
    </row>
    <row r="1482" spans="1:9">
      <c r="A1482" s="13" t="s">
        <v>1853</v>
      </c>
      <c r="B1482" s="15">
        <v>0</v>
      </c>
      <c r="C1482" s="15">
        <v>0</v>
      </c>
      <c r="D1482" s="13"/>
      <c r="E1482" s="13"/>
      <c r="F1482" s="13"/>
      <c r="G1482" s="13"/>
      <c r="H1482" s="13"/>
      <c r="I1482" s="13"/>
    </row>
    <row r="1483" spans="1:9">
      <c r="A1483" s="13" t="s">
        <v>1854</v>
      </c>
      <c r="B1483" s="18">
        <v>131352846.91</v>
      </c>
      <c r="C1483" s="15">
        <v>1</v>
      </c>
      <c r="D1483" s="13"/>
      <c r="E1483" s="13"/>
      <c r="F1483" s="13"/>
      <c r="G1483" s="13"/>
      <c r="H1483" s="13"/>
      <c r="I1483" s="13"/>
    </row>
    <row r="1484" spans="1:9">
      <c r="A1484" s="13" t="s">
        <v>1855</v>
      </c>
      <c r="B1484" s="155">
        <v>3706530151.5566878</v>
      </c>
      <c r="C1484" s="13" t="s">
        <v>28</v>
      </c>
      <c r="D1484" s="13"/>
      <c r="E1484" s="13"/>
      <c r="F1484" s="13"/>
      <c r="G1484" s="13"/>
      <c r="H1484" s="13"/>
      <c r="I1484" s="13"/>
    </row>
    <row r="1485" spans="1:9">
      <c r="A1485" s="13" t="s">
        <v>1856</v>
      </c>
      <c r="B1485" s="15">
        <v>0</v>
      </c>
      <c r="C1485" s="15">
        <v>0</v>
      </c>
      <c r="D1485" s="13"/>
      <c r="E1485" s="13"/>
      <c r="F1485" s="13"/>
      <c r="G1485" s="13"/>
      <c r="H1485" s="13"/>
      <c r="I1485" s="13"/>
    </row>
    <row r="1486" spans="1:9">
      <c r="A1486" s="13" t="s">
        <v>80</v>
      </c>
      <c r="B1486" s="15">
        <v>0</v>
      </c>
      <c r="C1486" s="15">
        <v>0</v>
      </c>
      <c r="D1486" s="13"/>
      <c r="E1486" s="13"/>
      <c r="F1486" s="13"/>
      <c r="G1486" s="13"/>
      <c r="H1486" s="13"/>
      <c r="I1486" s="13"/>
    </row>
    <row r="1487" spans="1:9">
      <c r="A1487" s="13" t="s">
        <v>1857</v>
      </c>
      <c r="B1487" s="155">
        <v>3138492560.6562481</v>
      </c>
      <c r="C1487" s="13" t="s">
        <v>28</v>
      </c>
      <c r="D1487" s="13"/>
      <c r="E1487" s="13"/>
      <c r="F1487" s="13"/>
      <c r="G1487" s="13"/>
      <c r="H1487" s="13"/>
      <c r="I1487" s="13"/>
    </row>
    <row r="1488" spans="1:9">
      <c r="A1488" s="13" t="s">
        <v>1858</v>
      </c>
      <c r="B1488" s="15">
        <v>0</v>
      </c>
      <c r="C1488" s="15">
        <v>0</v>
      </c>
      <c r="D1488" s="13"/>
      <c r="E1488" s="13"/>
      <c r="F1488" s="13"/>
      <c r="G1488" s="13"/>
      <c r="H1488" s="13"/>
      <c r="I1488" s="13"/>
    </row>
    <row r="1489" spans="1:9">
      <c r="A1489" s="13" t="s">
        <v>1859</v>
      </c>
      <c r="B1489" s="15">
        <v>227000000</v>
      </c>
      <c r="C1489" s="15">
        <v>1</v>
      </c>
      <c r="D1489" s="13"/>
      <c r="E1489" s="13"/>
      <c r="F1489" s="13"/>
      <c r="G1489" s="13"/>
      <c r="H1489" s="13"/>
      <c r="I1489" s="13"/>
    </row>
    <row r="1490" spans="1:9">
      <c r="A1490" s="13" t="s">
        <v>1860</v>
      </c>
      <c r="B1490" s="155">
        <v>20089458134.185204</v>
      </c>
      <c r="C1490" s="13" t="s">
        <v>28</v>
      </c>
      <c r="D1490" s="13"/>
      <c r="E1490" s="13"/>
      <c r="F1490" s="13"/>
      <c r="G1490" s="13"/>
      <c r="H1490" s="13"/>
      <c r="I1490" s="13"/>
    </row>
    <row r="1491" spans="1:9">
      <c r="A1491" s="13" t="s">
        <v>1861</v>
      </c>
      <c r="B1491" s="15">
        <v>0</v>
      </c>
      <c r="C1491" s="15">
        <v>0</v>
      </c>
      <c r="D1491" s="13"/>
      <c r="E1491" s="13"/>
      <c r="F1491" s="13"/>
      <c r="G1491" s="13"/>
      <c r="H1491" s="13"/>
      <c r="I1491" s="13"/>
    </row>
    <row r="1492" spans="1:9">
      <c r="A1492" s="13" t="s">
        <v>1862</v>
      </c>
      <c r="B1492" s="15">
        <v>0</v>
      </c>
      <c r="C1492" s="15">
        <v>0</v>
      </c>
      <c r="D1492" s="13"/>
      <c r="E1492" s="13"/>
      <c r="F1492" s="13"/>
      <c r="G1492" s="13"/>
      <c r="H1492" s="13"/>
      <c r="I1492" s="13"/>
    </row>
    <row r="1493" spans="1:9">
      <c r="A1493" s="13" t="s">
        <v>1863</v>
      </c>
      <c r="B1493" s="15">
        <v>0</v>
      </c>
      <c r="C1493" s="13" t="s">
        <v>28</v>
      </c>
      <c r="D1493" s="13"/>
      <c r="E1493" s="13"/>
      <c r="F1493" s="13"/>
      <c r="G1493" s="13"/>
      <c r="H1493" s="13"/>
      <c r="I1493" s="13"/>
    </row>
    <row r="1494" spans="1:9">
      <c r="A1494" s="13" t="s">
        <v>28</v>
      </c>
      <c r="B1494" s="13"/>
      <c r="C1494" s="13"/>
      <c r="D1494" s="13"/>
      <c r="E1494" s="13"/>
      <c r="F1494" s="13"/>
      <c r="G1494" s="13"/>
      <c r="H1494" s="13"/>
      <c r="I1494" s="13"/>
    </row>
    <row r="1495" spans="1:9">
      <c r="A1495" s="13" t="s">
        <v>12</v>
      </c>
      <c r="B1495" s="13"/>
      <c r="C1495" s="13"/>
      <c r="D1495" s="13"/>
      <c r="E1495" s="13"/>
      <c r="F1495" s="13"/>
      <c r="G1495" s="13"/>
      <c r="H1495" s="13"/>
      <c r="I1495" s="13"/>
    </row>
    <row r="1496" spans="1:9">
      <c r="A1496" s="13"/>
      <c r="B1496" s="13"/>
      <c r="C1496" s="13"/>
      <c r="D1496" s="13"/>
      <c r="E1496" s="13"/>
      <c r="F1496" s="13"/>
      <c r="G1496" s="13"/>
      <c r="H1496" s="13"/>
      <c r="I1496" s="13"/>
    </row>
    <row r="1497" spans="1:9">
      <c r="A1497" s="13" t="s">
        <v>1864</v>
      </c>
      <c r="B1497" s="13" t="s">
        <v>28</v>
      </c>
      <c r="C1497" s="15">
        <v>4</v>
      </c>
      <c r="D1497" s="13"/>
      <c r="E1497" s="13"/>
      <c r="F1497" s="13"/>
      <c r="G1497" s="13"/>
      <c r="H1497" s="13"/>
      <c r="I1497" s="13"/>
    </row>
    <row r="1498" spans="1:9">
      <c r="A1498" s="13" t="s">
        <v>28</v>
      </c>
      <c r="B1498" s="13"/>
      <c r="C1498" s="13"/>
      <c r="D1498" s="13"/>
      <c r="E1498" s="13"/>
      <c r="F1498" s="13"/>
      <c r="G1498" s="13"/>
      <c r="H1498" s="13"/>
      <c r="I1498" s="13"/>
    </row>
    <row r="1499" spans="1:9">
      <c r="A1499" s="13" t="s">
        <v>2100</v>
      </c>
      <c r="B1499" s="13"/>
      <c r="C1499" s="13"/>
      <c r="D1499" s="13"/>
      <c r="E1499" s="13"/>
      <c r="F1499" s="13"/>
      <c r="G1499" s="13"/>
      <c r="H1499" s="13"/>
      <c r="I1499" s="13"/>
    </row>
    <row r="1500" spans="1:9">
      <c r="A1500" s="13" t="s">
        <v>12</v>
      </c>
      <c r="B1500" s="13"/>
      <c r="C1500" s="13"/>
      <c r="D1500" s="13"/>
      <c r="E1500" s="13"/>
      <c r="F1500" s="13"/>
      <c r="G1500" s="13"/>
      <c r="H1500" s="13"/>
      <c r="I1500" s="13"/>
    </row>
    <row r="1501" spans="1:9">
      <c r="A1501" s="13" t="s">
        <v>1865</v>
      </c>
      <c r="B1501" s="13"/>
      <c r="C1501" s="13"/>
      <c r="D1501" s="13"/>
      <c r="E1501" s="13"/>
      <c r="F1501" s="13"/>
      <c r="G1501" s="13"/>
      <c r="H1501" s="13"/>
      <c r="I1501" s="13"/>
    </row>
    <row r="1502" spans="1:9">
      <c r="A1502" s="13" t="s">
        <v>1866</v>
      </c>
      <c r="B1502" s="13"/>
      <c r="C1502" s="13"/>
      <c r="D1502" s="13"/>
      <c r="E1502" s="13"/>
      <c r="F1502" s="13"/>
      <c r="G1502" s="13"/>
      <c r="H1502" s="13"/>
      <c r="I1502" s="13"/>
    </row>
    <row r="1503" spans="1:9">
      <c r="A1503" s="13" t="s">
        <v>1867</v>
      </c>
      <c r="B1503" s="13"/>
      <c r="C1503" s="13"/>
      <c r="D1503" s="13"/>
      <c r="E1503" s="13"/>
      <c r="F1503" s="13"/>
      <c r="G1503" s="13"/>
      <c r="H1503" s="13"/>
      <c r="I1503" s="13"/>
    </row>
    <row r="1504" spans="1:9">
      <c r="A1504" s="13" t="s">
        <v>1868</v>
      </c>
      <c r="B1504" s="13"/>
      <c r="C1504" s="13"/>
      <c r="D1504" s="13"/>
      <c r="E1504" s="13"/>
      <c r="F1504" s="13"/>
      <c r="G1504" s="13"/>
      <c r="H1504" s="13"/>
      <c r="I1504" s="13"/>
    </row>
    <row r="1505" spans="1:9">
      <c r="A1505" s="13" t="s">
        <v>1869</v>
      </c>
      <c r="B1505" s="13"/>
      <c r="C1505" s="13"/>
      <c r="D1505" s="13"/>
      <c r="E1505" s="13"/>
      <c r="F1505" s="13"/>
      <c r="G1505" s="13"/>
      <c r="H1505" s="13"/>
      <c r="I1505" s="13"/>
    </row>
    <row r="1506" spans="1:9">
      <c r="A1506" s="13" t="s">
        <v>1870</v>
      </c>
      <c r="B1506" s="13"/>
      <c r="C1506" s="13"/>
      <c r="D1506" s="13"/>
      <c r="E1506" s="13"/>
      <c r="F1506" s="13"/>
      <c r="G1506" s="13"/>
      <c r="H1506" s="13"/>
      <c r="I1506" s="13"/>
    </row>
  </sheetData>
  <pageMargins left="0.70866141732283472" right="0.70866141732283472" top="0.74803149606299213" bottom="0.74803149606299213" header="0.31496062992125984" footer="0.31496062992125984"/>
  <pageSetup paperSize="9" scale="10"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61F5-350A-4847-8699-CC7867D64663}">
  <sheetPr codeName="Hoja2"/>
  <dimension ref="A1:AP26"/>
  <sheetViews>
    <sheetView workbookViewId="0">
      <selection activeCell="H11" sqref="H11"/>
    </sheetView>
  </sheetViews>
  <sheetFormatPr baseColWidth="10" defaultColWidth="11.42578125" defaultRowHeight="15"/>
  <cols>
    <col min="1" max="1" width="20.5703125" style="67" customWidth="1"/>
    <col min="2" max="2" width="41.42578125" style="67" bestFit="1" customWidth="1"/>
    <col min="3" max="3" width="24.5703125" style="67" bestFit="1" customWidth="1"/>
    <col min="4" max="4" width="20.42578125" style="67" bestFit="1" customWidth="1"/>
    <col min="5" max="5" width="24.140625" style="67" bestFit="1" customWidth="1"/>
    <col min="6" max="6" width="24.140625" style="67" customWidth="1"/>
    <col min="7" max="7" width="20.7109375" style="67" bestFit="1" customWidth="1"/>
    <col min="8" max="8" width="26.7109375" style="67" bestFit="1" customWidth="1"/>
    <col min="9" max="9" width="20.85546875" style="67" bestFit="1" customWidth="1"/>
    <col min="10" max="10" width="19" style="67" bestFit="1" customWidth="1"/>
    <col min="11" max="11" width="20.140625" style="67" bestFit="1" customWidth="1"/>
    <col min="12" max="12" width="19.140625" style="67" bestFit="1" customWidth="1"/>
    <col min="13" max="13" width="18.28515625" style="67" bestFit="1" customWidth="1"/>
    <col min="14" max="16384" width="11.42578125" style="67"/>
  </cols>
  <sheetData>
    <row r="1" spans="1:42" customFormat="1">
      <c r="A1" s="92" t="s">
        <v>34</v>
      </c>
      <c r="B1" s="128">
        <v>0.75</v>
      </c>
      <c r="C1" s="67" t="s">
        <v>35</v>
      </c>
      <c r="D1" s="127">
        <f>+B1*(VLOOKUP($E$1,'GESTION MOMENTUM'!$A$8:$B$32,2,0))</f>
        <v>33387630642.412502</v>
      </c>
      <c r="E1" s="66" t="s">
        <v>29</v>
      </c>
      <c r="F1" s="66"/>
      <c r="G1" s="67" t="s">
        <v>44</v>
      </c>
      <c r="H1" s="12" t="s">
        <v>46</v>
      </c>
      <c r="I1" t="s">
        <v>45</v>
      </c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</row>
    <row r="2" spans="1:42" customFormat="1">
      <c r="A2" s="92" t="s">
        <v>36</v>
      </c>
      <c r="B2" s="128">
        <v>0.05</v>
      </c>
      <c r="C2" s="67" t="s">
        <v>37</v>
      </c>
      <c r="D2" s="127">
        <f>+B2*(VLOOKUP($E$1,'GESTION MOMENTUM'!$A$8:$B$32,2,0))</f>
        <v>2225842042.8275003</v>
      </c>
      <c r="E2" s="67"/>
      <c r="F2" s="67"/>
      <c r="G2" s="83">
        <f>VLOOKUP(E1,'GESTION MOMENTUM'!A8:B32,2,0)</f>
        <v>44516840856.550003</v>
      </c>
      <c r="H2" s="22">
        <v>-2E-3</v>
      </c>
      <c r="I2" s="23">
        <f>+G2*(1+H2)</f>
        <v>44427807174.836906</v>
      </c>
      <c r="K2" s="11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</row>
    <row r="3" spans="1:42" customFormat="1">
      <c r="A3" s="92" t="s">
        <v>36</v>
      </c>
      <c r="B3" s="128">
        <v>0.2</v>
      </c>
      <c r="C3" s="67" t="s">
        <v>77</v>
      </c>
      <c r="D3" s="127">
        <f>+B3*(VLOOKUP($E$1,'GESTION MOMENTUM'!$A$8:$B$32,2,0))</f>
        <v>8903368171.3100014</v>
      </c>
      <c r="E3" s="67"/>
      <c r="F3" s="67"/>
      <c r="G3" s="67" t="s">
        <v>37</v>
      </c>
      <c r="H3" s="25">
        <v>0.05</v>
      </c>
      <c r="I3" s="26">
        <f>+I2*H3</f>
        <v>2221390358.7418456</v>
      </c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</row>
    <row r="4" spans="1:42" customFormat="1">
      <c r="A4" s="92" t="s">
        <v>36</v>
      </c>
      <c r="B4" s="128">
        <v>0.2</v>
      </c>
      <c r="C4" s="67" t="s">
        <v>38</v>
      </c>
      <c r="D4" s="127">
        <f>+B4*(VLOOKUP($E$1,'GESTION MOMENTUM'!$A$8:$B$32,2,0))</f>
        <v>8903368171.3100014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</row>
    <row r="5" spans="1:42" customFormat="1">
      <c r="A5" s="92" t="s">
        <v>36</v>
      </c>
      <c r="B5" s="128">
        <v>0.25</v>
      </c>
      <c r="C5" s="67" t="s">
        <v>43</v>
      </c>
      <c r="D5" s="127">
        <f>+B5*(VLOOKUP($E$1,'GESTION MOMENTUM'!$A$8:$B$32,2,0))</f>
        <v>11129210214.137501</v>
      </c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7"/>
    </row>
    <row r="6" spans="1:42" customFormat="1">
      <c r="A6" s="67"/>
      <c r="B6" s="126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</row>
    <row r="7" spans="1:42" customFormat="1">
      <c r="A7" s="67"/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</row>
    <row r="8" spans="1:42" customFormat="1">
      <c r="A8" s="67"/>
      <c r="B8" s="118" t="s">
        <v>460</v>
      </c>
      <c r="C8" s="119"/>
      <c r="D8" s="119"/>
      <c r="E8" s="119"/>
      <c r="F8" s="120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7"/>
    </row>
    <row r="9" spans="1:42" customFormat="1">
      <c r="A9" s="78"/>
      <c r="B9" s="121" t="s">
        <v>455</v>
      </c>
      <c r="C9" s="121" t="s">
        <v>456</v>
      </c>
      <c r="D9" s="121" t="s">
        <v>32</v>
      </c>
      <c r="E9" s="121" t="s">
        <v>457</v>
      </c>
      <c r="F9" s="121" t="s">
        <v>123</v>
      </c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</row>
    <row r="10" spans="1:42" customFormat="1">
      <c r="A10" s="67"/>
      <c r="B10" s="13" t="s">
        <v>1433</v>
      </c>
      <c r="C10" s="115">
        <v>200000000</v>
      </c>
      <c r="D10" s="132">
        <f>+VLOOKUP(B10,'GESTION MOMENTUM'!A:D,4,0)</f>
        <v>1.1702999999999999</v>
      </c>
      <c r="E10" s="133">
        <v>0.85</v>
      </c>
      <c r="F10" s="134">
        <f>C10*D10*E10</f>
        <v>198950999.99999997</v>
      </c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</row>
    <row r="11" spans="1:42" customFormat="1">
      <c r="A11" s="67"/>
      <c r="B11" s="131" t="s">
        <v>327</v>
      </c>
      <c r="C11" s="115">
        <v>300000000</v>
      </c>
      <c r="D11" s="132">
        <f>+VLOOKUP(B11,'GESTION MOMENTUM'!A:D,4,0)</f>
        <v>0.9667</v>
      </c>
      <c r="E11" s="133">
        <v>0.6</v>
      </c>
      <c r="F11" s="134">
        <f>C11*D11*E11</f>
        <v>174006000</v>
      </c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7"/>
    </row>
    <row r="12" spans="1:42" customFormat="1" ht="15.75" thickBot="1">
      <c r="A12" s="67"/>
      <c r="B12" s="131"/>
      <c r="C12" s="115"/>
      <c r="D12" s="132"/>
      <c r="E12" s="135"/>
      <c r="F12" s="136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</row>
    <row r="13" spans="1:42" customFormat="1" ht="15.75" thickBot="1">
      <c r="A13" s="67"/>
      <c r="B13" s="67"/>
      <c r="C13" s="67"/>
      <c r="D13" s="67"/>
      <c r="E13" s="137" t="s">
        <v>464</v>
      </c>
      <c r="F13" s="138">
        <f>SUM(F10:F12)</f>
        <v>372957000</v>
      </c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</row>
    <row r="14" spans="1:42" customFormat="1">
      <c r="A14" s="30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/>
    </row>
    <row r="15" spans="1:42" customFormat="1">
      <c r="A15" s="67"/>
      <c r="B15" s="112" t="s">
        <v>448</v>
      </c>
      <c r="C15" s="112" t="s">
        <v>459</v>
      </c>
      <c r="D15" s="112" t="s">
        <v>449</v>
      </c>
      <c r="E15" s="112" t="s">
        <v>450</v>
      </c>
      <c r="F15" s="112" t="s">
        <v>458</v>
      </c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</row>
    <row r="16" spans="1:42" customFormat="1">
      <c r="A16" s="13" t="s">
        <v>370</v>
      </c>
      <c r="B16" s="113" t="s">
        <v>451</v>
      </c>
      <c r="C16" s="114">
        <v>150000</v>
      </c>
      <c r="D16" s="123">
        <v>0</v>
      </c>
      <c r="E16" s="115">
        <f>_xlfn.IFNA(-VLOOKUP(A16,'GESTION MOMENTUM'!A:C,3,0)/1000,0)</f>
        <v>0</v>
      </c>
      <c r="F16" s="124">
        <f>+C16*(E16+D16)</f>
        <v>0</v>
      </c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7"/>
    </row>
    <row r="17" spans="1:42" customFormat="1">
      <c r="A17" s="13" t="s">
        <v>475</v>
      </c>
      <c r="B17" s="113" t="s">
        <v>452</v>
      </c>
      <c r="C17" s="114">
        <v>155000</v>
      </c>
      <c r="D17" s="123">
        <v>0</v>
      </c>
      <c r="E17" s="115">
        <f>_xlfn.IFNA(-VLOOKUP(A17,'GESTION MOMENTUM'!A:C,3,0)/1000,0)</f>
        <v>439</v>
      </c>
      <c r="F17" s="124">
        <f t="shared" ref="F17:F21" si="0">+C17*(E17+D17)</f>
        <v>68045000</v>
      </c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</row>
    <row r="18" spans="1:42" customFormat="1">
      <c r="A18" s="13" t="s">
        <v>345</v>
      </c>
      <c r="B18" s="113" t="s">
        <v>453</v>
      </c>
      <c r="C18" s="114">
        <v>160000</v>
      </c>
      <c r="D18" s="123">
        <v>0</v>
      </c>
      <c r="E18" s="115">
        <f>_xlfn.IFNA(-VLOOKUP(A18,'GESTION MOMENTUM'!A:C,3,0)/1000,0)</f>
        <v>301</v>
      </c>
      <c r="F18" s="124">
        <f t="shared" si="0"/>
        <v>48160000</v>
      </c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</row>
    <row r="19" spans="1:42" customFormat="1" ht="15.75" customHeight="1">
      <c r="A19" s="13" t="s">
        <v>1166</v>
      </c>
      <c r="B19" s="113" t="s">
        <v>1641</v>
      </c>
      <c r="C19" s="114">
        <v>165000</v>
      </c>
      <c r="D19" s="123">
        <v>0</v>
      </c>
      <c r="E19" s="115">
        <f>_xlfn.IFNA(-VLOOKUP(A19,'GESTION MOMENTUM'!A:C,3,0)/1000,0)</f>
        <v>165</v>
      </c>
      <c r="F19" s="124">
        <f t="shared" si="0"/>
        <v>27225000</v>
      </c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</row>
    <row r="20" spans="1:42" customFormat="1">
      <c r="A20" s="13" t="s">
        <v>1543</v>
      </c>
      <c r="B20" s="113" t="s">
        <v>1642</v>
      </c>
      <c r="C20" s="114">
        <v>170000</v>
      </c>
      <c r="D20" s="123">
        <v>0</v>
      </c>
      <c r="E20" s="115">
        <f>_xlfn.IFNA(-VLOOKUP(A20,'GESTION MOMENTUM'!A:C,3,0)/1000,0)</f>
        <v>575</v>
      </c>
      <c r="F20" s="124">
        <f t="shared" si="0"/>
        <v>97750000</v>
      </c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</row>
    <row r="21" spans="1:42" customFormat="1">
      <c r="A21" s="85"/>
      <c r="B21" s="113"/>
      <c r="C21" s="114">
        <v>175000</v>
      </c>
      <c r="D21" s="123">
        <v>0</v>
      </c>
      <c r="E21" s="115">
        <f>_xlfn.IFNA(-VLOOKUP(A21,'GESTION MOMENTUM'!A:C,3,0)/1000,0)</f>
        <v>0</v>
      </c>
      <c r="F21" s="124">
        <f t="shared" si="0"/>
        <v>0</v>
      </c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</row>
    <row r="22" spans="1:42" customFormat="1" ht="15.75" thickBot="1">
      <c r="A22" s="85"/>
      <c r="B22" s="67"/>
      <c r="C22" s="67"/>
      <c r="D22" s="67"/>
      <c r="E22" s="67"/>
      <c r="F22" s="125">
        <f>+SUM(F16:F21)</f>
        <v>241180000</v>
      </c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7"/>
    </row>
    <row r="23" spans="1:42" customFormat="1" ht="15.75" thickBot="1">
      <c r="A23" s="85"/>
      <c r="B23" s="116" t="s">
        <v>454</v>
      </c>
      <c r="C23" s="117">
        <f>F13-F22</f>
        <v>131777000</v>
      </c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7"/>
    </row>
    <row r="24" spans="1:42" customFormat="1">
      <c r="A24" s="67"/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</row>
    <row r="26" spans="1:42">
      <c r="A26" s="122"/>
    </row>
  </sheetData>
  <conditionalFormatting sqref="C23">
    <cfRule type="cellIs" dxfId="12" priority="1" operator="lessThan">
      <formula>0</formula>
    </cfRule>
    <cfRule type="cellIs" dxfId="11" priority="2" operator="greaterThan">
      <formula>0</formula>
    </cfRule>
  </conditionalFormatting>
  <pageMargins left="0.7" right="0.7" top="0.75" bottom="0.75" header="0.3" footer="0.3"/>
  <pageSetup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51D1-6112-462C-9B14-022B97B05780}">
  <sheetPr codeName="Hoja3"/>
  <dimension ref="A1:V99"/>
  <sheetViews>
    <sheetView topLeftCell="A73" zoomScale="90" zoomScaleNormal="90" workbookViewId="0">
      <selection activeCell="K92" sqref="K92"/>
    </sheetView>
  </sheetViews>
  <sheetFormatPr baseColWidth="10" defaultRowHeight="15"/>
  <cols>
    <col min="1" max="1" width="14" customWidth="1"/>
    <col min="2" max="2" width="19" customWidth="1"/>
    <col min="3" max="3" width="12.42578125" customWidth="1"/>
    <col min="4" max="4" width="15.5703125" customWidth="1"/>
    <col min="5" max="5" width="18.7109375" style="19" bestFit="1" customWidth="1"/>
    <col min="6" max="6" width="15.5703125" customWidth="1"/>
    <col min="7" max="7" width="28.140625" customWidth="1"/>
    <col min="8" max="8" width="51" bestFit="1" customWidth="1"/>
    <col min="9" max="9" width="16" customWidth="1"/>
    <col min="10" max="10" width="11.42578125" style="67"/>
    <col min="11" max="11" width="25.5703125" style="67" bestFit="1" customWidth="1"/>
    <col min="12" max="13" width="17.5703125" style="67" bestFit="1" customWidth="1"/>
    <col min="14" max="14" width="11.42578125" style="67"/>
    <col min="15" max="15" width="17.5703125" style="67" bestFit="1" customWidth="1"/>
    <col min="16" max="20" width="11.42578125" style="67"/>
    <col min="21" max="21" width="51" style="67" bestFit="1" customWidth="1"/>
    <col min="22" max="22" width="16" style="101" bestFit="1" customWidth="1"/>
  </cols>
  <sheetData>
    <row r="1" spans="1:22">
      <c r="A1" s="35" t="s">
        <v>48</v>
      </c>
      <c r="B1" s="35" t="s">
        <v>49</v>
      </c>
      <c r="C1" s="35" t="s">
        <v>50</v>
      </c>
      <c r="D1" s="35" t="s">
        <v>51</v>
      </c>
      <c r="E1" s="44" t="s">
        <v>52</v>
      </c>
      <c r="F1" s="50" t="s">
        <v>79</v>
      </c>
      <c r="G1" s="35" t="s">
        <v>41</v>
      </c>
      <c r="H1" s="35" t="s">
        <v>42</v>
      </c>
      <c r="I1" s="34" t="s">
        <v>53</v>
      </c>
    </row>
    <row r="2" spans="1:22">
      <c r="A2" s="62" t="s">
        <v>102</v>
      </c>
      <c r="B2" s="62" t="s">
        <v>112</v>
      </c>
      <c r="C2" s="63">
        <v>45723</v>
      </c>
      <c r="D2" s="62" t="s">
        <v>123</v>
      </c>
      <c r="E2" s="64">
        <v>3406250</v>
      </c>
      <c r="F2" s="64"/>
      <c r="G2" s="62" t="s">
        <v>134</v>
      </c>
      <c r="H2" s="62" t="s">
        <v>114</v>
      </c>
      <c r="I2" s="65">
        <f ca="1">+TODAY()-C2</f>
        <v>459</v>
      </c>
      <c r="U2" s="105" t="s">
        <v>398</v>
      </c>
      <c r="V2" s="106"/>
    </row>
    <row r="3" spans="1:22">
      <c r="A3" s="62" t="s">
        <v>102</v>
      </c>
      <c r="B3" s="62" t="s">
        <v>113</v>
      </c>
      <c r="C3" s="63">
        <v>45728</v>
      </c>
      <c r="D3" s="62" t="s">
        <v>123</v>
      </c>
      <c r="E3" s="64">
        <v>3406250</v>
      </c>
      <c r="F3" s="64"/>
      <c r="G3" s="62" t="s">
        <v>134</v>
      </c>
      <c r="H3" s="62" t="s">
        <v>114</v>
      </c>
      <c r="I3" s="65">
        <f t="shared" ref="I3" ca="1" si="0">+TODAY()-C3</f>
        <v>454</v>
      </c>
      <c r="U3" s="67" t="str" cm="1">
        <f t="array" ref="U3:U30">+_xlfn.UNIQUE(H2:H98)</f>
        <v>UKUMARI SOCIEDAD ANONIMA.</v>
      </c>
      <c r="V3" s="101">
        <f t="shared" ref="V3:V34" si="1">+SUMIF(H:H,U3,E:E)</f>
        <v>6812500</v>
      </c>
    </row>
    <row r="4" spans="1:22">
      <c r="A4" s="27" t="s">
        <v>102</v>
      </c>
      <c r="B4" s="27" t="s">
        <v>116</v>
      </c>
      <c r="C4" s="47">
        <v>45799</v>
      </c>
      <c r="D4" s="27" t="s">
        <v>123</v>
      </c>
      <c r="E4" s="37">
        <v>129185000</v>
      </c>
      <c r="F4" s="27"/>
      <c r="G4" s="27" t="s">
        <v>124</v>
      </c>
      <c r="H4" s="27" t="s">
        <v>105</v>
      </c>
      <c r="I4" s="36">
        <f t="shared" ref="I4:I6" ca="1" si="2">+TODAY()-C4</f>
        <v>383</v>
      </c>
      <c r="U4" s="67" t="str">
        <v>NIRO CONSTRUYE S. A.</v>
      </c>
      <c r="V4" s="101">
        <f t="shared" si="1"/>
        <v>258370000</v>
      </c>
    </row>
    <row r="5" spans="1:22">
      <c r="A5" s="27" t="s">
        <v>102</v>
      </c>
      <c r="B5" s="27" t="s">
        <v>117</v>
      </c>
      <c r="C5" s="47">
        <v>45811</v>
      </c>
      <c r="D5" s="27" t="s">
        <v>123</v>
      </c>
      <c r="E5" s="37">
        <v>129185000</v>
      </c>
      <c r="F5" s="27"/>
      <c r="G5" s="27" t="s">
        <v>124</v>
      </c>
      <c r="H5" s="27" t="s">
        <v>105</v>
      </c>
      <c r="I5" s="36">
        <f t="shared" ca="1" si="2"/>
        <v>371</v>
      </c>
      <c r="U5" s="67" t="str">
        <v>MERCOL RAUL ALBERTO Y MERCOL MAURICIO EDUARDO.</v>
      </c>
      <c r="V5" s="101">
        <f t="shared" si="1"/>
        <v>62500000</v>
      </c>
    </row>
    <row r="6" spans="1:22">
      <c r="A6" s="27" t="s">
        <v>102</v>
      </c>
      <c r="B6" s="27" t="s">
        <v>147</v>
      </c>
      <c r="C6" s="47">
        <v>45943</v>
      </c>
      <c r="D6" s="27" t="s">
        <v>123</v>
      </c>
      <c r="E6" s="70">
        <v>12500000</v>
      </c>
      <c r="F6" s="27"/>
      <c r="G6" s="27" t="s">
        <v>124</v>
      </c>
      <c r="H6" s="27" t="s">
        <v>118</v>
      </c>
      <c r="I6" s="36">
        <f t="shared" ca="1" si="2"/>
        <v>239</v>
      </c>
      <c r="U6" s="67" t="str">
        <v>F G SANITARIOS S R L</v>
      </c>
      <c r="V6" s="101">
        <f t="shared" si="1"/>
        <v>35000000</v>
      </c>
    </row>
    <row r="7" spans="1:22">
      <c r="A7" s="27" t="s">
        <v>102</v>
      </c>
      <c r="B7" s="27" t="s">
        <v>181</v>
      </c>
      <c r="C7" s="47">
        <v>45947</v>
      </c>
      <c r="D7" s="27" t="s">
        <v>123</v>
      </c>
      <c r="E7" s="70">
        <v>5000000</v>
      </c>
      <c r="F7" s="27"/>
      <c r="G7" s="27" t="s">
        <v>124</v>
      </c>
      <c r="H7" s="27" t="s">
        <v>111</v>
      </c>
      <c r="I7" s="36">
        <f ca="1">+TODAY()-C7</f>
        <v>235</v>
      </c>
      <c r="J7" s="73"/>
      <c r="L7" s="77"/>
      <c r="M7" s="76"/>
      <c r="N7" s="74"/>
      <c r="U7" s="67" t="str">
        <v>AKAI ENERGY LED SRL</v>
      </c>
      <c r="V7" s="101">
        <f t="shared" si="1"/>
        <v>44963000</v>
      </c>
    </row>
    <row r="8" spans="1:22">
      <c r="A8" s="27" t="s">
        <v>102</v>
      </c>
      <c r="B8" s="27" t="s">
        <v>177</v>
      </c>
      <c r="C8" s="47">
        <v>45952</v>
      </c>
      <c r="D8" s="27" t="s">
        <v>123</v>
      </c>
      <c r="E8" s="70">
        <v>5000000</v>
      </c>
      <c r="F8" s="27"/>
      <c r="G8" s="27" t="s">
        <v>124</v>
      </c>
      <c r="H8" s="27" t="s">
        <v>111</v>
      </c>
      <c r="I8" s="36">
        <f t="shared" ref="I8:I44" ca="1" si="3">+TODAY()-C8</f>
        <v>230</v>
      </c>
      <c r="J8" s="73"/>
      <c r="K8" s="102" t="s">
        <v>29</v>
      </c>
      <c r="L8" s="103">
        <f>+VLOOKUP(K8,'GESTION MOMENTUM'!A:B,2,0)</f>
        <v>44516840856.550003</v>
      </c>
      <c r="M8" s="74"/>
      <c r="U8" s="67" t="str">
        <v>FRIGORIFICO GENERAL PICO S A</v>
      </c>
      <c r="V8" s="101">
        <f t="shared" si="1"/>
        <v>70000000</v>
      </c>
    </row>
    <row r="9" spans="1:22">
      <c r="A9" s="27" t="s">
        <v>102</v>
      </c>
      <c r="B9" s="27" t="s">
        <v>182</v>
      </c>
      <c r="C9" s="47">
        <v>45957</v>
      </c>
      <c r="D9" s="27" t="s">
        <v>123</v>
      </c>
      <c r="E9" s="70">
        <v>5000000</v>
      </c>
      <c r="F9" s="27"/>
      <c r="G9" s="27" t="s">
        <v>124</v>
      </c>
      <c r="H9" s="27" t="s">
        <v>111</v>
      </c>
      <c r="I9" s="36">
        <f t="shared" ca="1" si="3"/>
        <v>225</v>
      </c>
      <c r="K9" s="86"/>
      <c r="U9" s="67" t="str">
        <v>MIANI CLARA A Y MIANI ADA CLELIA</v>
      </c>
      <c r="V9" s="101">
        <f t="shared" si="1"/>
        <v>3125000</v>
      </c>
    </row>
    <row r="10" spans="1:22">
      <c r="A10" s="27" t="s">
        <v>102</v>
      </c>
      <c r="B10" s="27" t="s">
        <v>178</v>
      </c>
      <c r="C10" s="47">
        <v>45959</v>
      </c>
      <c r="D10" s="27" t="s">
        <v>123</v>
      </c>
      <c r="E10" s="70">
        <v>5000000</v>
      </c>
      <c r="F10" s="27"/>
      <c r="G10" s="27" t="s">
        <v>124</v>
      </c>
      <c r="H10" s="27" t="s">
        <v>111</v>
      </c>
      <c r="I10" s="36">
        <f t="shared" ca="1" si="3"/>
        <v>223</v>
      </c>
      <c r="L10" s="89" t="s">
        <v>123</v>
      </c>
      <c r="M10" s="89" t="s">
        <v>396</v>
      </c>
      <c r="U10" s="67" t="str">
        <v>PORT PLA S.R.L.</v>
      </c>
      <c r="V10" s="101">
        <f t="shared" si="1"/>
        <v>150000000</v>
      </c>
    </row>
    <row r="11" spans="1:22">
      <c r="A11" s="27" t="s">
        <v>102</v>
      </c>
      <c r="B11" s="27" t="s">
        <v>179</v>
      </c>
      <c r="C11" s="47">
        <v>45964</v>
      </c>
      <c r="D11" s="27" t="s">
        <v>123</v>
      </c>
      <c r="E11" s="70">
        <v>5000000</v>
      </c>
      <c r="F11" s="27"/>
      <c r="G11" s="27" t="s">
        <v>124</v>
      </c>
      <c r="H11" s="27" t="s">
        <v>111</v>
      </c>
      <c r="I11" s="36">
        <f t="shared" ca="1" si="3"/>
        <v>218</v>
      </c>
      <c r="K11" s="90" t="s">
        <v>133</v>
      </c>
      <c r="L11" s="86">
        <f>+VLOOKUP(K11,'GESTION MOMENTUM'!A:B,2,0)</f>
        <v>-192270632.37</v>
      </c>
      <c r="M11" s="104">
        <f>+L11/L8</f>
        <v>-4.3190538382893847E-3</v>
      </c>
      <c r="U11" s="67" t="str">
        <v>CONEXION SALUD SRL</v>
      </c>
      <c r="V11" s="101">
        <f t="shared" si="1"/>
        <v>27000000</v>
      </c>
    </row>
    <row r="12" spans="1:22">
      <c r="A12" s="27" t="s">
        <v>102</v>
      </c>
      <c r="B12" s="27" t="s">
        <v>180</v>
      </c>
      <c r="C12" s="47">
        <v>45966</v>
      </c>
      <c r="D12" s="27" t="s">
        <v>123</v>
      </c>
      <c r="E12" s="70">
        <v>5000000</v>
      </c>
      <c r="F12" s="27"/>
      <c r="G12" s="27" t="s">
        <v>124</v>
      </c>
      <c r="H12" s="27" t="s">
        <v>111</v>
      </c>
      <c r="I12" s="36">
        <f t="shared" ca="1" si="3"/>
        <v>216</v>
      </c>
      <c r="K12" s="31" t="s">
        <v>134</v>
      </c>
      <c r="L12" s="107">
        <f>+SUMIF(G:G,K12,E:E)</f>
        <v>30812500</v>
      </c>
      <c r="U12" s="67" t="str">
        <v>MASTER DESIGN HOME SRL</v>
      </c>
      <c r="V12" s="101">
        <f t="shared" si="1"/>
        <v>24000000</v>
      </c>
    </row>
    <row r="13" spans="1:22">
      <c r="A13" s="27" t="s">
        <v>102</v>
      </c>
      <c r="B13" s="27" t="s">
        <v>200</v>
      </c>
      <c r="C13" s="47">
        <v>45966</v>
      </c>
      <c r="D13" s="27" t="s">
        <v>123</v>
      </c>
      <c r="E13" s="70">
        <v>4400000</v>
      </c>
      <c r="F13" s="27"/>
      <c r="G13" s="27" t="s">
        <v>124</v>
      </c>
      <c r="H13" s="27" t="s">
        <v>142</v>
      </c>
      <c r="I13" s="36">
        <f t="shared" ca="1" si="3"/>
        <v>216</v>
      </c>
      <c r="K13" s="67" t="s">
        <v>397</v>
      </c>
      <c r="L13" s="91">
        <f>+L11+L12</f>
        <v>-161458132.37</v>
      </c>
      <c r="U13" s="67" t="str">
        <v>BUNYAR S.R.L.</v>
      </c>
      <c r="V13" s="101">
        <f t="shared" si="1"/>
        <v>24800000</v>
      </c>
    </row>
    <row r="14" spans="1:22">
      <c r="A14" s="27" t="s">
        <v>102</v>
      </c>
      <c r="B14" s="27" t="s">
        <v>201</v>
      </c>
      <c r="C14" s="47">
        <v>45968</v>
      </c>
      <c r="D14" s="27" t="s">
        <v>123</v>
      </c>
      <c r="E14" s="70">
        <v>4400000</v>
      </c>
      <c r="F14" s="27"/>
      <c r="G14" s="27" t="s">
        <v>124</v>
      </c>
      <c r="H14" s="27" t="s">
        <v>142</v>
      </c>
      <c r="I14" s="36">
        <f t="shared" ca="1" si="3"/>
        <v>214</v>
      </c>
      <c r="U14" s="67" t="str">
        <v>GROCAL S.A.</v>
      </c>
      <c r="V14" s="101">
        <f t="shared" si="1"/>
        <v>15000000</v>
      </c>
    </row>
    <row r="15" spans="1:22">
      <c r="A15" s="27" t="s">
        <v>102</v>
      </c>
      <c r="B15" s="27" t="s">
        <v>143</v>
      </c>
      <c r="C15" s="47">
        <v>45971</v>
      </c>
      <c r="D15" s="27" t="s">
        <v>123</v>
      </c>
      <c r="E15" s="70">
        <v>25000000</v>
      </c>
      <c r="F15" s="27"/>
      <c r="G15" s="27" t="s">
        <v>124</v>
      </c>
      <c r="H15" s="27" t="s">
        <v>118</v>
      </c>
      <c r="I15" s="36">
        <f t="shared" ca="1" si="3"/>
        <v>211</v>
      </c>
      <c r="K15" s="67" t="s">
        <v>124</v>
      </c>
      <c r="L15" s="86">
        <f>+SUMIF(G:G,K15,E:E)+E2</f>
        <v>1458461550</v>
      </c>
      <c r="M15" s="104">
        <f>+SUMIF(G:G,K15,E:E)/$L$8</f>
        <v>3.2685502205530154E-2</v>
      </c>
      <c r="U15" s="67" t="str">
        <v>Paccioli Group Sociedad Anonima</v>
      </c>
      <c r="V15" s="101">
        <f t="shared" si="1"/>
        <v>13958000</v>
      </c>
    </row>
    <row r="16" spans="1:22">
      <c r="A16" s="27" t="s">
        <v>102</v>
      </c>
      <c r="B16" s="27" t="s">
        <v>202</v>
      </c>
      <c r="C16" s="47">
        <v>45971</v>
      </c>
      <c r="D16" s="27" t="s">
        <v>123</v>
      </c>
      <c r="E16" s="70">
        <v>4400000</v>
      </c>
      <c r="F16" s="27"/>
      <c r="G16" s="27" t="s">
        <v>124</v>
      </c>
      <c r="H16" s="27" t="s">
        <v>142</v>
      </c>
      <c r="I16" s="36">
        <f t="shared" ca="1" si="3"/>
        <v>211</v>
      </c>
      <c r="U16" s="67" t="str">
        <v>FINEX CABA S. A.</v>
      </c>
      <c r="V16" s="101">
        <f t="shared" si="1"/>
        <v>55300000</v>
      </c>
    </row>
    <row r="17" spans="1:22">
      <c r="A17" s="27" t="s">
        <v>102</v>
      </c>
      <c r="B17" s="27" t="s">
        <v>203</v>
      </c>
      <c r="C17" s="47">
        <v>45972</v>
      </c>
      <c r="D17" s="27" t="s">
        <v>123</v>
      </c>
      <c r="E17" s="70">
        <v>4400000</v>
      </c>
      <c r="F17" s="27"/>
      <c r="G17" s="27" t="s">
        <v>124</v>
      </c>
      <c r="H17" s="27" t="s">
        <v>142</v>
      </c>
      <c r="I17" s="36">
        <f t="shared" ca="1" si="3"/>
        <v>210</v>
      </c>
      <c r="U17" s="67" t="str">
        <v>TRADICION VALORES S.A.</v>
      </c>
      <c r="V17" s="101">
        <f t="shared" si="1"/>
        <v>25000000</v>
      </c>
    </row>
    <row r="18" spans="1:22">
      <c r="A18" s="27" t="s">
        <v>102</v>
      </c>
      <c r="B18" s="27" t="s">
        <v>176</v>
      </c>
      <c r="C18" s="47">
        <v>45972</v>
      </c>
      <c r="D18" s="27" t="s">
        <v>123</v>
      </c>
      <c r="E18" s="70">
        <v>5000000</v>
      </c>
      <c r="F18" s="27"/>
      <c r="G18" s="27" t="s">
        <v>124</v>
      </c>
      <c r="H18" s="27" t="s">
        <v>111</v>
      </c>
      <c r="I18" s="36">
        <f t="shared" ca="1" si="3"/>
        <v>210</v>
      </c>
      <c r="U18" s="67" t="str">
        <v>Maradona Wines</v>
      </c>
      <c r="V18" s="101">
        <f t="shared" si="1"/>
        <v>119500000</v>
      </c>
    </row>
    <row r="19" spans="1:22">
      <c r="A19" s="27" t="s">
        <v>102</v>
      </c>
      <c r="B19" s="27" t="s">
        <v>149</v>
      </c>
      <c r="C19" s="47">
        <v>45974</v>
      </c>
      <c r="D19" s="27" t="s">
        <v>123</v>
      </c>
      <c r="E19" s="70">
        <v>963000</v>
      </c>
      <c r="F19" s="27"/>
      <c r="G19" s="27" t="s">
        <v>124</v>
      </c>
      <c r="H19" s="27" t="s">
        <v>142</v>
      </c>
      <c r="I19" s="36">
        <f t="shared" ca="1" si="3"/>
        <v>208</v>
      </c>
      <c r="U19" s="67" t="str">
        <v>LOPEZ LUCIA SOLEDAD</v>
      </c>
      <c r="V19" s="101">
        <f t="shared" si="1"/>
        <v>995000</v>
      </c>
    </row>
    <row r="20" spans="1:22">
      <c r="A20" s="27" t="s">
        <v>102</v>
      </c>
      <c r="B20" s="27" t="s">
        <v>204</v>
      </c>
      <c r="C20" s="47">
        <v>45975</v>
      </c>
      <c r="D20" s="27" t="s">
        <v>123</v>
      </c>
      <c r="E20" s="70">
        <v>4400000</v>
      </c>
      <c r="F20" s="27"/>
      <c r="G20" s="27" t="s">
        <v>124</v>
      </c>
      <c r="H20" s="27" t="s">
        <v>142</v>
      </c>
      <c r="I20" s="36">
        <f t="shared" ca="1" si="3"/>
        <v>207</v>
      </c>
      <c r="K20" s="108" t="s">
        <v>399</v>
      </c>
      <c r="L20" s="108" t="s">
        <v>123</v>
      </c>
      <c r="M20" s="108" t="s">
        <v>396</v>
      </c>
      <c r="O20" s="111" t="s">
        <v>400</v>
      </c>
      <c r="P20" s="110"/>
      <c r="U20" s="67" t="str">
        <v>RABU INVERSIONES SRL</v>
      </c>
      <c r="V20" s="101">
        <f t="shared" si="1"/>
        <v>7194300</v>
      </c>
    </row>
    <row r="21" spans="1:22">
      <c r="A21" s="27" t="s">
        <v>102</v>
      </c>
      <c r="B21" s="27" t="s">
        <v>144</v>
      </c>
      <c r="C21" s="47">
        <v>45975</v>
      </c>
      <c r="D21" s="27" t="s">
        <v>123</v>
      </c>
      <c r="E21" s="70">
        <v>25000000</v>
      </c>
      <c r="F21" s="27"/>
      <c r="G21" s="27" t="s">
        <v>124</v>
      </c>
      <c r="H21" s="27" t="s">
        <v>118</v>
      </c>
      <c r="I21" s="36">
        <f t="shared" ca="1" si="3"/>
        <v>207</v>
      </c>
      <c r="K21" s="67" t="str" cm="1">
        <f t="array" ref="K21:L52">+_xlfn._xlws.SORT(U3:V34,2,-1)</f>
        <v>GROUP DIEZ S.A.</v>
      </c>
      <c r="L21" s="86">
        <v>425000000</v>
      </c>
      <c r="M21" s="104">
        <f>+L21/$L$8</f>
        <v>9.5469487911217631E-3</v>
      </c>
      <c r="O21" s="109">
        <f>+SUMIF('Reporte de Cheques'!A:A,'Cheques pendientes'!K21,'Reporte de Cheques'!I:I)</f>
        <v>0</v>
      </c>
      <c r="P21" s="110"/>
      <c r="U21" s="67" t="str">
        <v>GROUP DIEZ S.A.</v>
      </c>
      <c r="V21" s="101">
        <f t="shared" si="1"/>
        <v>425000000</v>
      </c>
    </row>
    <row r="22" spans="1:22">
      <c r="A22" s="27" t="s">
        <v>102</v>
      </c>
      <c r="B22" s="27" t="s">
        <v>205</v>
      </c>
      <c r="C22" s="47">
        <v>45979</v>
      </c>
      <c r="D22" s="27" t="s">
        <v>123</v>
      </c>
      <c r="E22" s="70">
        <v>4400000</v>
      </c>
      <c r="F22" s="27"/>
      <c r="G22" s="27" t="s">
        <v>124</v>
      </c>
      <c r="H22" s="27" t="s">
        <v>142</v>
      </c>
      <c r="I22" s="36">
        <f t="shared" ca="1" si="3"/>
        <v>203</v>
      </c>
      <c r="K22" s="67" t="str">
        <v>NIRO CONSTRUYE S. A.</v>
      </c>
      <c r="L22" s="86">
        <v>258370000</v>
      </c>
      <c r="M22" s="104">
        <f t="shared" ref="M22:M52" si="4">+L22/$L$8</f>
        <v>5.8038709627344235E-3</v>
      </c>
      <c r="O22" s="109">
        <f>+SUMIF('Reporte de Cheques'!A:A,'Cheques pendientes'!K22,'Reporte de Cheques'!I:I)</f>
        <v>0</v>
      </c>
      <c r="P22" s="110"/>
      <c r="U22" s="67" t="str">
        <v>INVLAC CONSTRUCCIONES S.R.L</v>
      </c>
      <c r="V22" s="101">
        <f t="shared" si="1"/>
        <v>4000000</v>
      </c>
    </row>
    <row r="23" spans="1:22">
      <c r="A23" s="27" t="s">
        <v>102</v>
      </c>
      <c r="B23" s="27" t="s">
        <v>206</v>
      </c>
      <c r="C23" s="47">
        <v>45979</v>
      </c>
      <c r="D23" s="27" t="s">
        <v>123</v>
      </c>
      <c r="E23" s="70">
        <v>4400000</v>
      </c>
      <c r="F23" s="27"/>
      <c r="G23" s="27" t="s">
        <v>124</v>
      </c>
      <c r="H23" s="27" t="s">
        <v>142</v>
      </c>
      <c r="I23" s="36">
        <f t="shared" ca="1" si="3"/>
        <v>203</v>
      </c>
      <c r="K23" s="67" t="str">
        <v>PORT PLA S.R.L.</v>
      </c>
      <c r="L23" s="86">
        <v>150000000</v>
      </c>
      <c r="M23" s="104">
        <f t="shared" si="4"/>
        <v>3.3695113380429755E-3</v>
      </c>
      <c r="O23" s="109">
        <f>+SUMIF('Reporte de Cheques'!A:A,'Cheques pendientes'!K23,'Reporte de Cheques'!I:I)</f>
        <v>0</v>
      </c>
      <c r="P23" s="110"/>
      <c r="U23" s="67" t="str">
        <v>SAN MARCOS TRADING S.A.</v>
      </c>
      <c r="V23" s="101">
        <f t="shared" si="1"/>
        <v>20000000</v>
      </c>
    </row>
    <row r="24" spans="1:22">
      <c r="A24" s="27" t="s">
        <v>102</v>
      </c>
      <c r="B24" s="27" t="s">
        <v>208</v>
      </c>
      <c r="C24" s="47">
        <v>45980</v>
      </c>
      <c r="D24" s="27" t="s">
        <v>123</v>
      </c>
      <c r="E24" s="70">
        <v>4400000</v>
      </c>
      <c r="F24" s="27"/>
      <c r="G24" s="27" t="s">
        <v>124</v>
      </c>
      <c r="H24" s="27" t="s">
        <v>142</v>
      </c>
      <c r="I24" s="36">
        <f t="shared" ca="1" si="3"/>
        <v>202</v>
      </c>
      <c r="K24" s="67" t="str">
        <v>Maradona Wines</v>
      </c>
      <c r="L24" s="86">
        <v>119500000</v>
      </c>
      <c r="M24" s="104">
        <f t="shared" si="4"/>
        <v>2.684377365974237E-3</v>
      </c>
      <c r="O24" s="109">
        <f>+SUMIF('Reporte de Cheques'!A:A,'Cheques pendientes'!K24,'Reporte de Cheques'!I:I)</f>
        <v>0</v>
      </c>
      <c r="P24" s="110"/>
      <c r="U24" s="67" t="str">
        <v>ELIAS SEMILLAS E INSUMOS SRL</v>
      </c>
      <c r="V24" s="101">
        <f t="shared" si="1"/>
        <v>10000000</v>
      </c>
    </row>
    <row r="25" spans="1:22">
      <c r="A25" s="27" t="s">
        <v>102</v>
      </c>
      <c r="B25" s="27" t="s">
        <v>207</v>
      </c>
      <c r="C25" s="47">
        <v>45980</v>
      </c>
      <c r="D25" s="27" t="s">
        <v>123</v>
      </c>
      <c r="E25" s="70">
        <v>4400000</v>
      </c>
      <c r="F25" s="27"/>
      <c r="G25" s="27" t="s">
        <v>124</v>
      </c>
      <c r="H25" s="27" t="s">
        <v>142</v>
      </c>
      <c r="I25" s="36">
        <f t="shared" ca="1" si="3"/>
        <v>202</v>
      </c>
      <c r="K25" s="67" t="str">
        <v>FRIGORIFICO GENERAL PICO S A</v>
      </c>
      <c r="L25" s="86">
        <v>70000000</v>
      </c>
      <c r="M25" s="104">
        <f t="shared" si="4"/>
        <v>1.5724386244200552E-3</v>
      </c>
      <c r="O25" s="109">
        <f>+SUMIF('Reporte de Cheques'!A:A,'Cheques pendientes'!K25,'Reporte de Cheques'!I:I)</f>
        <v>0</v>
      </c>
      <c r="P25" s="110"/>
      <c r="U25" s="67" t="str">
        <v>I-LED ARGENTINA S.A.</v>
      </c>
      <c r="V25" s="101">
        <f t="shared" si="1"/>
        <v>10900000</v>
      </c>
    </row>
    <row r="26" spans="1:22">
      <c r="A26" s="27" t="s">
        <v>102</v>
      </c>
      <c r="B26" s="27" t="s">
        <v>199</v>
      </c>
      <c r="C26" s="47">
        <v>45981</v>
      </c>
      <c r="D26" s="27" t="s">
        <v>123</v>
      </c>
      <c r="E26" s="70">
        <v>4400000</v>
      </c>
      <c r="F26" s="27"/>
      <c r="G26" s="27" t="s">
        <v>124</v>
      </c>
      <c r="H26" s="27" t="s">
        <v>142</v>
      </c>
      <c r="I26" s="36">
        <f t="shared" ca="1" si="3"/>
        <v>201</v>
      </c>
      <c r="K26" s="67" t="str">
        <v>MERCOL RAUL ALBERTO Y MERCOL MAURICIO EDUARDO.</v>
      </c>
      <c r="L26" s="86">
        <v>62500000</v>
      </c>
      <c r="M26" s="104">
        <f t="shared" si="4"/>
        <v>1.4039630575179065E-3</v>
      </c>
      <c r="O26" s="109">
        <f>+SUMIF('Reporte de Cheques'!A:A,'Cheques pendientes'!K26,'Reporte de Cheques'!I:I)</f>
        <v>0</v>
      </c>
      <c r="P26" s="110"/>
      <c r="U26" s="67" t="str">
        <v>INTANSIA S.R.L</v>
      </c>
      <c r="V26" s="101">
        <f t="shared" si="1"/>
        <v>20000000</v>
      </c>
    </row>
    <row r="27" spans="1:22">
      <c r="A27" s="27" t="s">
        <v>102</v>
      </c>
      <c r="B27" s="27" t="s">
        <v>156</v>
      </c>
      <c r="C27" s="47">
        <v>45981</v>
      </c>
      <c r="D27" s="27" t="s">
        <v>123</v>
      </c>
      <c r="E27" s="70">
        <v>20000000</v>
      </c>
      <c r="F27" s="27"/>
      <c r="G27" s="27" t="s">
        <v>124</v>
      </c>
      <c r="H27" s="27" t="s">
        <v>115</v>
      </c>
      <c r="I27" s="36">
        <f t="shared" ca="1" si="3"/>
        <v>201</v>
      </c>
      <c r="K27" s="67" t="str">
        <v>FINEX CABA S. A.</v>
      </c>
      <c r="L27" s="86">
        <v>55300000</v>
      </c>
      <c r="M27" s="104">
        <f t="shared" si="4"/>
        <v>1.2422265132918436E-3</v>
      </c>
      <c r="O27" s="109">
        <f>+SUMIF('Reporte de Cheques'!A:A,'Cheques pendientes'!K27,'Reporte de Cheques'!I:I)</f>
        <v>0</v>
      </c>
      <c r="P27" s="110"/>
      <c r="U27" s="67" t="str">
        <v>LITTLE BLUE SRL</v>
      </c>
      <c r="V27" s="101">
        <f t="shared" si="1"/>
        <v>5450000</v>
      </c>
    </row>
    <row r="28" spans="1:22">
      <c r="A28" s="27" t="s">
        <v>102</v>
      </c>
      <c r="B28" s="27" t="s">
        <v>157</v>
      </c>
      <c r="C28" s="47">
        <v>45986</v>
      </c>
      <c r="D28" s="27" t="s">
        <v>123</v>
      </c>
      <c r="E28" s="70">
        <v>20000000</v>
      </c>
      <c r="F28" s="27"/>
      <c r="G28" s="27" t="s">
        <v>124</v>
      </c>
      <c r="H28" s="27" t="s">
        <v>115</v>
      </c>
      <c r="I28" s="36">
        <f t="shared" ca="1" si="3"/>
        <v>196</v>
      </c>
      <c r="K28" s="67" t="str">
        <v>INTEGRA PYMES SGR</v>
      </c>
      <c r="L28" s="86">
        <v>45000000</v>
      </c>
      <c r="M28" s="104">
        <f t="shared" si="4"/>
        <v>1.0108534014128927E-3</v>
      </c>
      <c r="O28" s="109">
        <f>+SUMIF('Reporte de Cheques'!A:A,'Cheques pendientes'!K28,'Reporte de Cheques'!I:I)</f>
        <v>900935040.38999987</v>
      </c>
      <c r="P28" s="110"/>
      <c r="U28" s="67" t="str">
        <v>PROYECTOS DEL NORTE SRL</v>
      </c>
      <c r="V28" s="101">
        <f t="shared" si="1"/>
        <v>2000000</v>
      </c>
    </row>
    <row r="29" spans="1:22">
      <c r="A29" s="27" t="s">
        <v>102</v>
      </c>
      <c r="B29" s="27" t="s">
        <v>158</v>
      </c>
      <c r="C29" s="47">
        <v>45987</v>
      </c>
      <c r="D29" s="27" t="s">
        <v>123</v>
      </c>
      <c r="E29" s="70">
        <v>10000000</v>
      </c>
      <c r="F29" s="27"/>
      <c r="G29" s="27" t="s">
        <v>124</v>
      </c>
      <c r="H29" s="27" t="s">
        <v>115</v>
      </c>
      <c r="I29" s="36">
        <f t="shared" ca="1" si="3"/>
        <v>195</v>
      </c>
      <c r="K29" s="67" t="str">
        <v>AKAI ENERGY LED SRL</v>
      </c>
      <c r="L29" s="86">
        <v>44963000</v>
      </c>
      <c r="M29" s="104">
        <f t="shared" si="4"/>
        <v>1.0100222552828421E-3</v>
      </c>
      <c r="O29" s="109">
        <f>+SUMIF('Reporte de Cheques'!A:A,'Cheques pendientes'!K29,'Reporte de Cheques'!I:I)</f>
        <v>0</v>
      </c>
      <c r="P29" s="110"/>
      <c r="U29" s="67" t="str">
        <v>INTEGRA PYMES SGR</v>
      </c>
      <c r="V29" s="101">
        <f t="shared" si="1"/>
        <v>45000000</v>
      </c>
    </row>
    <row r="30" spans="1:22">
      <c r="A30" s="27" t="s">
        <v>102</v>
      </c>
      <c r="B30" s="27" t="s">
        <v>159</v>
      </c>
      <c r="C30" s="47">
        <v>45988</v>
      </c>
      <c r="D30" s="27" t="s">
        <v>123</v>
      </c>
      <c r="E30" s="70">
        <v>10000000</v>
      </c>
      <c r="F30" s="27"/>
      <c r="G30" s="27" t="s">
        <v>124</v>
      </c>
      <c r="H30" s="27" t="s">
        <v>115</v>
      </c>
      <c r="I30" s="36">
        <f t="shared" ca="1" si="3"/>
        <v>194</v>
      </c>
      <c r="K30" s="67" t="str">
        <v>F G SANITARIOS S R L</v>
      </c>
      <c r="L30" s="86">
        <v>35000000</v>
      </c>
      <c r="M30" s="104">
        <f t="shared" si="4"/>
        <v>7.8621931221002758E-4</v>
      </c>
      <c r="O30" s="109">
        <f>+SUMIF('Reporte de Cheques'!A:A,'Cheques pendientes'!K30,'Reporte de Cheques'!I:I)</f>
        <v>0</v>
      </c>
      <c r="P30" s="110"/>
      <c r="U30" s="67">
        <v>0</v>
      </c>
      <c r="V30" s="101">
        <f t="shared" si="1"/>
        <v>0</v>
      </c>
    </row>
    <row r="31" spans="1:22">
      <c r="A31" s="27" t="s">
        <v>102</v>
      </c>
      <c r="B31" s="27" t="s">
        <v>160</v>
      </c>
      <c r="C31" s="47">
        <v>45988</v>
      </c>
      <c r="D31" s="27" t="s">
        <v>123</v>
      </c>
      <c r="E31" s="70">
        <v>10000000</v>
      </c>
      <c r="F31" s="27"/>
      <c r="G31" s="27" t="s">
        <v>124</v>
      </c>
      <c r="H31" s="27" t="s">
        <v>115</v>
      </c>
      <c r="I31" s="36">
        <f t="shared" ca="1" si="3"/>
        <v>194</v>
      </c>
      <c r="K31" s="67" t="str">
        <v>CONEXION SALUD SRL</v>
      </c>
      <c r="L31" s="86">
        <v>27000000</v>
      </c>
      <c r="M31" s="104">
        <f t="shared" si="4"/>
        <v>6.0651204084773559E-4</v>
      </c>
      <c r="O31" s="109">
        <f>+SUMIF('Reporte de Cheques'!A:A,'Cheques pendientes'!K31,'Reporte de Cheques'!I:I)</f>
        <v>0</v>
      </c>
      <c r="P31" s="110"/>
      <c r="V31" s="101">
        <f t="shared" si="1"/>
        <v>0</v>
      </c>
    </row>
    <row r="32" spans="1:22">
      <c r="A32" s="27" t="s">
        <v>102</v>
      </c>
      <c r="B32" s="27" t="s">
        <v>151</v>
      </c>
      <c r="C32" s="47">
        <v>45992</v>
      </c>
      <c r="D32" s="27" t="s">
        <v>123</v>
      </c>
      <c r="E32" s="70">
        <v>3125000</v>
      </c>
      <c r="F32" s="27"/>
      <c r="G32" s="27" t="s">
        <v>124</v>
      </c>
      <c r="H32" s="27" t="s">
        <v>131</v>
      </c>
      <c r="I32" s="36">
        <f t="shared" ca="1" si="3"/>
        <v>190</v>
      </c>
      <c r="K32" s="67" t="str">
        <v>TRADICION VALORES S.A.</v>
      </c>
      <c r="L32" s="86">
        <v>25000000</v>
      </c>
      <c r="M32" s="104">
        <f t="shared" si="4"/>
        <v>5.6158522300716262E-4</v>
      </c>
      <c r="O32" s="109">
        <f>+SUMIF('Reporte de Cheques'!A:A,'Cheques pendientes'!K32,'Reporte de Cheques'!I:I)</f>
        <v>0</v>
      </c>
      <c r="P32" s="110"/>
      <c r="V32" s="101">
        <f t="shared" si="1"/>
        <v>0</v>
      </c>
    </row>
    <row r="33" spans="1:22">
      <c r="A33" s="27" t="s">
        <v>102</v>
      </c>
      <c r="B33" s="27" t="s">
        <v>237</v>
      </c>
      <c r="C33" s="47">
        <v>45994</v>
      </c>
      <c r="D33" s="27" t="s">
        <v>123</v>
      </c>
      <c r="E33" s="70">
        <v>25000000</v>
      </c>
      <c r="F33" s="27"/>
      <c r="G33" s="27" t="s">
        <v>124</v>
      </c>
      <c r="H33" s="27" t="s">
        <v>241</v>
      </c>
      <c r="I33" s="36">
        <f t="shared" ca="1" si="3"/>
        <v>188</v>
      </c>
      <c r="K33" s="67" t="str">
        <v>BUNYAR S.R.L.</v>
      </c>
      <c r="L33" s="86">
        <v>24800000</v>
      </c>
      <c r="M33" s="104">
        <f t="shared" si="4"/>
        <v>5.5709254122310531E-4</v>
      </c>
      <c r="O33" s="109">
        <f>+SUMIF('Reporte de Cheques'!A:A,'Cheques pendientes'!K33,'Reporte de Cheques'!I:I)</f>
        <v>0</v>
      </c>
      <c r="P33" s="110"/>
      <c r="V33" s="101">
        <f t="shared" si="1"/>
        <v>0</v>
      </c>
    </row>
    <row r="34" spans="1:22">
      <c r="A34" s="27" t="s">
        <v>102</v>
      </c>
      <c r="B34" s="27" t="s">
        <v>232</v>
      </c>
      <c r="C34" s="47">
        <v>46008</v>
      </c>
      <c r="D34" s="27" t="s">
        <v>123</v>
      </c>
      <c r="E34" s="70">
        <v>27000000</v>
      </c>
      <c r="F34" s="27"/>
      <c r="G34" s="27" t="s">
        <v>124</v>
      </c>
      <c r="H34" s="27" t="s">
        <v>104</v>
      </c>
      <c r="I34" s="36">
        <f t="shared" ca="1" si="3"/>
        <v>174</v>
      </c>
      <c r="K34" s="67" t="str">
        <v>MASTER DESIGN HOME SRL</v>
      </c>
      <c r="L34" s="86">
        <v>24000000</v>
      </c>
      <c r="M34" s="104">
        <f t="shared" si="4"/>
        <v>5.3912181408687608E-4</v>
      </c>
      <c r="O34" s="109">
        <f>+SUMIF('Reporte de Cheques'!A:A,'Cheques pendientes'!K34,'Reporte de Cheques'!I:I)</f>
        <v>0</v>
      </c>
      <c r="P34" s="110"/>
      <c r="V34" s="101">
        <f t="shared" si="1"/>
        <v>0</v>
      </c>
    </row>
    <row r="35" spans="1:22">
      <c r="A35" s="62" t="s">
        <v>102</v>
      </c>
      <c r="B35" s="62" t="s">
        <v>215</v>
      </c>
      <c r="C35" s="63">
        <v>46010</v>
      </c>
      <c r="D35" s="62" t="s">
        <v>123</v>
      </c>
      <c r="E35" s="141">
        <v>6000000</v>
      </c>
      <c r="F35" s="62"/>
      <c r="G35" s="62" t="s">
        <v>134</v>
      </c>
      <c r="H35" s="62" t="s">
        <v>137</v>
      </c>
      <c r="I35" s="65">
        <f t="shared" ca="1" si="3"/>
        <v>172</v>
      </c>
      <c r="K35" s="67" t="str">
        <v>SAN MARCOS TRADING S.A.</v>
      </c>
      <c r="L35" s="86">
        <v>20000000</v>
      </c>
      <c r="M35" s="104">
        <f t="shared" si="4"/>
        <v>4.4926817840573009E-4</v>
      </c>
      <c r="O35" s="109">
        <f>+SUMIF('Reporte de Cheques'!A:A,'Cheques pendientes'!K35,'Reporte de Cheques'!I:I)</f>
        <v>15000000</v>
      </c>
      <c r="P35" s="110"/>
    </row>
    <row r="36" spans="1:22">
      <c r="A36" s="27" t="s">
        <v>102</v>
      </c>
      <c r="B36" s="27" t="s">
        <v>300</v>
      </c>
      <c r="C36" s="47">
        <v>46013</v>
      </c>
      <c r="D36" s="27" t="s">
        <v>123</v>
      </c>
      <c r="E36" s="70">
        <v>24800000</v>
      </c>
      <c r="F36" s="27"/>
      <c r="G36" s="27" t="s">
        <v>124</v>
      </c>
      <c r="H36" s="27" t="s">
        <v>303</v>
      </c>
      <c r="I36" s="36">
        <f t="shared" ca="1" si="3"/>
        <v>169</v>
      </c>
      <c r="K36" s="67" t="str">
        <v>INTANSIA S.R.L</v>
      </c>
      <c r="L36" s="86">
        <v>20000000</v>
      </c>
      <c r="M36" s="104">
        <f t="shared" si="4"/>
        <v>4.4926817840573009E-4</v>
      </c>
      <c r="O36" s="109">
        <f>+SUMIF('Reporte de Cheques'!A:A,'Cheques pendientes'!K36,'Reporte de Cheques'!I:I)</f>
        <v>60000000</v>
      </c>
      <c r="P36" s="110"/>
    </row>
    <row r="37" spans="1:22">
      <c r="A37" s="27" t="s">
        <v>102</v>
      </c>
      <c r="B37" s="27" t="s">
        <v>238</v>
      </c>
      <c r="C37" s="47">
        <v>46024</v>
      </c>
      <c r="D37" s="27" t="s">
        <v>123</v>
      </c>
      <c r="E37" s="70">
        <v>25000000</v>
      </c>
      <c r="F37" s="27"/>
      <c r="G37" s="27" t="s">
        <v>124</v>
      </c>
      <c r="H37" s="27" t="s">
        <v>241</v>
      </c>
      <c r="I37" s="36">
        <f t="shared" ca="1" si="3"/>
        <v>158</v>
      </c>
      <c r="K37" s="67" t="str">
        <v>GROCAL S.A.</v>
      </c>
      <c r="L37" s="86">
        <v>15000000</v>
      </c>
      <c r="M37" s="104">
        <f t="shared" si="4"/>
        <v>3.3695113380429755E-4</v>
      </c>
      <c r="O37" s="109">
        <f>+SUMIF('Reporte de Cheques'!A:A,'Cheques pendientes'!K37,'Reporte de Cheques'!I:I)</f>
        <v>0</v>
      </c>
      <c r="P37" s="110"/>
    </row>
    <row r="38" spans="1:22">
      <c r="A38" s="27" t="s">
        <v>102</v>
      </c>
      <c r="B38" s="27" t="s">
        <v>248</v>
      </c>
      <c r="C38" s="47">
        <v>46028</v>
      </c>
      <c r="D38" s="27" t="s">
        <v>123</v>
      </c>
      <c r="E38" s="70">
        <v>10000000</v>
      </c>
      <c r="F38" s="27"/>
      <c r="G38" s="27" t="s">
        <v>124</v>
      </c>
      <c r="H38" s="27" t="s">
        <v>241</v>
      </c>
      <c r="I38" s="36">
        <f t="shared" ca="1" si="3"/>
        <v>154</v>
      </c>
      <c r="K38" s="67" t="str">
        <v>Paccioli Group Sociedad Anonima</v>
      </c>
      <c r="L38" s="86">
        <v>13958000</v>
      </c>
      <c r="M38" s="104">
        <f t="shared" si="4"/>
        <v>3.1354426170935901E-4</v>
      </c>
      <c r="O38" s="109">
        <f>+SUMIF('Reporte de Cheques'!A:A,'Cheques pendientes'!K38,'Reporte de Cheques'!I:I)</f>
        <v>0</v>
      </c>
      <c r="P38" s="110"/>
    </row>
    <row r="39" spans="1:22">
      <c r="A39" s="62" t="s">
        <v>102</v>
      </c>
      <c r="B39" s="62" t="s">
        <v>216</v>
      </c>
      <c r="C39" s="63">
        <v>46028</v>
      </c>
      <c r="D39" s="62" t="s">
        <v>123</v>
      </c>
      <c r="E39" s="141">
        <v>6000000</v>
      </c>
      <c r="F39" s="62"/>
      <c r="G39" s="62" t="s">
        <v>134</v>
      </c>
      <c r="H39" s="62" t="s">
        <v>137</v>
      </c>
      <c r="I39" s="65">
        <f t="shared" ca="1" si="3"/>
        <v>154</v>
      </c>
      <c r="K39" s="67" t="str">
        <v>I-LED ARGENTINA S.A.</v>
      </c>
      <c r="L39" s="86">
        <v>10900000</v>
      </c>
      <c r="M39" s="104">
        <f t="shared" si="4"/>
        <v>2.448511572311229E-4</v>
      </c>
      <c r="O39" s="109">
        <f>+SUMIF('Reporte de Cheques'!A:A,'Cheques pendientes'!K39,'Reporte de Cheques'!I:I)</f>
        <v>82200000</v>
      </c>
      <c r="P39" s="110"/>
    </row>
    <row r="40" spans="1:22">
      <c r="A40" s="27" t="s">
        <v>102</v>
      </c>
      <c r="B40" s="27" t="s">
        <v>250</v>
      </c>
      <c r="C40" s="47">
        <v>46029</v>
      </c>
      <c r="D40" s="27" t="s">
        <v>123</v>
      </c>
      <c r="E40" s="70">
        <v>10000000</v>
      </c>
      <c r="F40" s="27"/>
      <c r="G40" s="27" t="s">
        <v>124</v>
      </c>
      <c r="H40" s="27" t="s">
        <v>241</v>
      </c>
      <c r="I40" s="36">
        <f t="shared" ca="1" si="3"/>
        <v>153</v>
      </c>
      <c r="K40" s="67" t="str">
        <v>ELIAS SEMILLAS E INSUMOS SRL</v>
      </c>
      <c r="L40" s="86">
        <v>10000000</v>
      </c>
      <c r="M40" s="104">
        <f t="shared" si="4"/>
        <v>2.2463408920286504E-4</v>
      </c>
      <c r="O40" s="109">
        <f>+SUMIF('Reporte de Cheques'!A:A,'Cheques pendientes'!K40,'Reporte de Cheques'!I:I)</f>
        <v>50000000</v>
      </c>
      <c r="P40" s="110"/>
    </row>
    <row r="41" spans="1:22">
      <c r="A41" s="27" t="s">
        <v>102</v>
      </c>
      <c r="B41" s="27" t="s">
        <v>251</v>
      </c>
      <c r="C41" s="47">
        <v>46035</v>
      </c>
      <c r="D41" s="27" t="s">
        <v>123</v>
      </c>
      <c r="E41" s="70">
        <v>10000000</v>
      </c>
      <c r="F41" s="27"/>
      <c r="G41" s="27" t="s">
        <v>124</v>
      </c>
      <c r="H41" s="27" t="s">
        <v>241</v>
      </c>
      <c r="I41" s="36">
        <f t="shared" ca="1" si="3"/>
        <v>147</v>
      </c>
      <c r="K41" s="67" t="str">
        <v>RABU INVERSIONES SRL</v>
      </c>
      <c r="L41" s="86">
        <v>7194300</v>
      </c>
      <c r="M41" s="104">
        <f t="shared" si="4"/>
        <v>1.6160850279521718E-4</v>
      </c>
      <c r="O41" s="109">
        <f>+SUMIF('Reporte de Cheques'!A:A,'Cheques pendientes'!K41,'Reporte de Cheques'!I:I)</f>
        <v>0</v>
      </c>
      <c r="P41" s="110"/>
    </row>
    <row r="42" spans="1:22">
      <c r="A42" s="27" t="s">
        <v>102</v>
      </c>
      <c r="B42" s="27" t="s">
        <v>252</v>
      </c>
      <c r="C42" s="47">
        <v>46036</v>
      </c>
      <c r="D42" s="27" t="s">
        <v>123</v>
      </c>
      <c r="E42" s="70">
        <v>10000000</v>
      </c>
      <c r="F42" s="27"/>
      <c r="G42" s="27" t="s">
        <v>124</v>
      </c>
      <c r="H42" s="27" t="s">
        <v>241</v>
      </c>
      <c r="I42" s="36">
        <f t="shared" ca="1" si="3"/>
        <v>146</v>
      </c>
      <c r="K42" s="67" t="str">
        <v>UKUMARI SOCIEDAD ANONIMA.</v>
      </c>
      <c r="L42" s="86">
        <v>6812500</v>
      </c>
      <c r="M42" s="104">
        <f t="shared" si="4"/>
        <v>1.530319732694518E-4</v>
      </c>
      <c r="O42" s="109">
        <f>+SUMIF('Reporte de Cheques'!A:A,'Cheques pendientes'!K42,'Reporte de Cheques'!I:I)</f>
        <v>0</v>
      </c>
      <c r="P42" s="110"/>
    </row>
    <row r="43" spans="1:22">
      <c r="A43" s="27" t="s">
        <v>102</v>
      </c>
      <c r="B43" s="27" t="s">
        <v>263</v>
      </c>
      <c r="C43" s="47">
        <v>46036</v>
      </c>
      <c r="D43" s="27" t="s">
        <v>123</v>
      </c>
      <c r="E43" s="70">
        <v>5000000</v>
      </c>
      <c r="F43" s="27"/>
      <c r="G43" s="27" t="s">
        <v>124</v>
      </c>
      <c r="H43" s="27" t="s">
        <v>222</v>
      </c>
      <c r="I43" s="36">
        <f t="shared" ca="1" si="3"/>
        <v>146</v>
      </c>
      <c r="K43" s="67" t="str">
        <v>LITTLE BLUE SRL</v>
      </c>
      <c r="L43" s="86">
        <v>5450000</v>
      </c>
      <c r="M43" s="104">
        <f t="shared" si="4"/>
        <v>1.2242557861556145E-4</v>
      </c>
      <c r="O43" s="109">
        <f>+SUMIF('Reporte de Cheques'!A:A,'Cheques pendientes'!K43,'Reporte de Cheques'!I:I)</f>
        <v>36950000</v>
      </c>
      <c r="P43" s="110"/>
    </row>
    <row r="44" spans="1:22">
      <c r="A44" s="27" t="s">
        <v>102</v>
      </c>
      <c r="B44" s="27" t="s">
        <v>264</v>
      </c>
      <c r="C44" s="47">
        <v>46038</v>
      </c>
      <c r="D44" s="27" t="s">
        <v>123</v>
      </c>
      <c r="E44" s="70">
        <v>5000000</v>
      </c>
      <c r="F44" s="27"/>
      <c r="G44" s="27" t="s">
        <v>124</v>
      </c>
      <c r="H44" s="27" t="s">
        <v>222</v>
      </c>
      <c r="I44" s="36">
        <f t="shared" ca="1" si="3"/>
        <v>144</v>
      </c>
      <c r="K44" s="67" t="str">
        <v>INVLAC CONSTRUCCIONES S.R.L</v>
      </c>
      <c r="L44" s="86">
        <v>4000000</v>
      </c>
      <c r="M44" s="104">
        <f t="shared" si="4"/>
        <v>8.9853635681146009E-5</v>
      </c>
      <c r="O44" s="109">
        <f>+SUMIF('Reporte de Cheques'!A:A,'Cheques pendientes'!K44,'Reporte de Cheques'!I:I)</f>
        <v>0</v>
      </c>
      <c r="P44" s="110"/>
    </row>
    <row r="45" spans="1:22">
      <c r="A45" s="27" t="s">
        <v>102</v>
      </c>
      <c r="B45" s="27" t="s">
        <v>253</v>
      </c>
      <c r="C45" s="47">
        <v>46042</v>
      </c>
      <c r="D45" s="27" t="s">
        <v>123</v>
      </c>
      <c r="E45" s="70">
        <v>10000000</v>
      </c>
      <c r="F45" s="27"/>
      <c r="G45" s="27" t="s">
        <v>124</v>
      </c>
      <c r="H45" s="27" t="s">
        <v>241</v>
      </c>
      <c r="I45" s="36">
        <f ca="1">+TODAY()-C45</f>
        <v>140</v>
      </c>
      <c r="K45" s="67" t="str">
        <v>MIANI CLARA A Y MIANI ADA CLELIA</v>
      </c>
      <c r="L45" s="86">
        <v>3125000</v>
      </c>
      <c r="M45" s="104">
        <f t="shared" si="4"/>
        <v>7.0198152875895328E-5</v>
      </c>
      <c r="O45" s="109">
        <f>+SUMIF('Reporte de Cheques'!A:A,'Cheques pendientes'!K45,'Reporte de Cheques'!I:I)</f>
        <v>0</v>
      </c>
      <c r="P45" s="110"/>
    </row>
    <row r="46" spans="1:22">
      <c r="A46" s="62" t="s">
        <v>102</v>
      </c>
      <c r="B46" s="62" t="s">
        <v>218</v>
      </c>
      <c r="C46" s="63">
        <v>46042</v>
      </c>
      <c r="D46" s="62" t="s">
        <v>123</v>
      </c>
      <c r="E46" s="141">
        <v>4000000</v>
      </c>
      <c r="F46" s="62"/>
      <c r="G46" s="62" t="s">
        <v>134</v>
      </c>
      <c r="H46" s="62" t="s">
        <v>137</v>
      </c>
      <c r="I46" s="65">
        <f ca="1">+TODAY()-C46</f>
        <v>140</v>
      </c>
      <c r="K46" s="67" t="str">
        <v>PROYECTOS DEL NORTE SRL</v>
      </c>
      <c r="L46" s="86">
        <v>2000000</v>
      </c>
      <c r="M46" s="104">
        <f t="shared" si="4"/>
        <v>4.4926817840573004E-5</v>
      </c>
      <c r="O46" s="109">
        <f>+SUMIF('Reporte de Cheques'!A:A,'Cheques pendientes'!K46,'Reporte de Cheques'!I:I)</f>
        <v>12000000</v>
      </c>
      <c r="P46" s="110"/>
    </row>
    <row r="47" spans="1:22">
      <c r="A47" s="27" t="s">
        <v>102</v>
      </c>
      <c r="B47" s="27" t="s">
        <v>254</v>
      </c>
      <c r="C47" s="47">
        <v>46043</v>
      </c>
      <c r="D47" s="27" t="s">
        <v>123</v>
      </c>
      <c r="E47" s="70">
        <v>10000000</v>
      </c>
      <c r="F47" s="27"/>
      <c r="G47" s="27" t="s">
        <v>124</v>
      </c>
      <c r="H47" s="27" t="s">
        <v>241</v>
      </c>
      <c r="I47" s="36">
        <f ca="1">+TODAY()-C47</f>
        <v>139</v>
      </c>
      <c r="K47" s="67" t="str">
        <v>LOPEZ LUCIA SOLEDAD</v>
      </c>
      <c r="L47" s="86">
        <v>995000</v>
      </c>
      <c r="M47" s="104">
        <f t="shared" si="4"/>
        <v>2.2351091875685072E-5</v>
      </c>
      <c r="O47" s="109">
        <f>+SUMIF('Reporte de Cheques'!A:A,'Cheques pendientes'!K47,'Reporte de Cheques'!I:I)</f>
        <v>0</v>
      </c>
      <c r="P47" s="110"/>
    </row>
    <row r="48" spans="1:22">
      <c r="A48" s="27" t="s">
        <v>102</v>
      </c>
      <c r="B48" s="27" t="s">
        <v>288</v>
      </c>
      <c r="C48" s="47">
        <v>46044</v>
      </c>
      <c r="D48" s="27" t="s">
        <v>123</v>
      </c>
      <c r="E48" s="70">
        <v>1395800</v>
      </c>
      <c r="F48" s="27"/>
      <c r="G48" s="27" t="s">
        <v>124</v>
      </c>
      <c r="H48" s="27" t="s">
        <v>298</v>
      </c>
      <c r="I48" s="36">
        <f t="shared" ref="I48:I96" ca="1" si="5">+TODAY()-C48</f>
        <v>138</v>
      </c>
      <c r="K48" s="67">
        <v>0</v>
      </c>
      <c r="L48" s="86">
        <v>0</v>
      </c>
      <c r="M48" s="104">
        <f t="shared" si="4"/>
        <v>0</v>
      </c>
      <c r="O48" s="109">
        <f>+SUMIF('Reporte de Cheques'!A:A,'Cheques pendientes'!K48,'Reporte de Cheques'!I:I)</f>
        <v>0</v>
      </c>
      <c r="P48" s="110"/>
    </row>
    <row r="49" spans="1:16">
      <c r="A49" s="27" t="s">
        <v>102</v>
      </c>
      <c r="B49" s="27" t="s">
        <v>289</v>
      </c>
      <c r="C49" s="47">
        <v>46044</v>
      </c>
      <c r="D49" s="27" t="s">
        <v>123</v>
      </c>
      <c r="E49" s="70">
        <v>1395800</v>
      </c>
      <c r="F49" s="27"/>
      <c r="G49" s="27" t="s">
        <v>124</v>
      </c>
      <c r="H49" s="27" t="s">
        <v>298</v>
      </c>
      <c r="I49" s="36">
        <f t="shared" ca="1" si="5"/>
        <v>138</v>
      </c>
      <c r="K49" s="67">
        <v>0</v>
      </c>
      <c r="L49" s="86">
        <v>0</v>
      </c>
      <c r="M49" s="104">
        <f t="shared" si="4"/>
        <v>0</v>
      </c>
      <c r="O49" s="109">
        <f>+SUMIF('Reporte de Cheques'!A:A,'Cheques pendientes'!K49,'Reporte de Cheques'!I:I)</f>
        <v>0</v>
      </c>
      <c r="P49" s="110"/>
    </row>
    <row r="50" spans="1:16">
      <c r="A50" s="27" t="s">
        <v>102</v>
      </c>
      <c r="B50" s="27" t="s">
        <v>290</v>
      </c>
      <c r="C50" s="47">
        <v>46044</v>
      </c>
      <c r="D50" s="27" t="s">
        <v>123</v>
      </c>
      <c r="E50" s="70">
        <v>1395800</v>
      </c>
      <c r="F50" s="27"/>
      <c r="G50" s="27" t="s">
        <v>124</v>
      </c>
      <c r="H50" s="27" t="s">
        <v>298</v>
      </c>
      <c r="I50" s="36">
        <f t="shared" ca="1" si="5"/>
        <v>138</v>
      </c>
      <c r="K50" s="67">
        <v>0</v>
      </c>
      <c r="L50" s="86">
        <v>0</v>
      </c>
      <c r="M50" s="104">
        <f t="shared" si="4"/>
        <v>0</v>
      </c>
      <c r="O50" s="109">
        <f>+SUMIF('Reporte de Cheques'!A:A,'Cheques pendientes'!K50,'Reporte de Cheques'!I:I)</f>
        <v>0</v>
      </c>
      <c r="P50" s="110"/>
    </row>
    <row r="51" spans="1:16">
      <c r="A51" s="27" t="s">
        <v>102</v>
      </c>
      <c r="B51" s="27" t="s">
        <v>291</v>
      </c>
      <c r="C51" s="47">
        <v>46044</v>
      </c>
      <c r="D51" s="27" t="s">
        <v>123</v>
      </c>
      <c r="E51" s="70">
        <v>1395800</v>
      </c>
      <c r="F51" s="27"/>
      <c r="G51" s="27" t="s">
        <v>124</v>
      </c>
      <c r="H51" s="27" t="s">
        <v>298</v>
      </c>
      <c r="I51" s="36">
        <f t="shared" ca="1" si="5"/>
        <v>138</v>
      </c>
      <c r="K51" s="67">
        <v>0</v>
      </c>
      <c r="L51" s="86">
        <v>0</v>
      </c>
      <c r="M51" s="104">
        <f t="shared" si="4"/>
        <v>0</v>
      </c>
      <c r="O51" s="109">
        <f>+SUMIF('Reporte de Cheques'!A:A,'Cheques pendientes'!K51,'Reporte de Cheques'!I:I)</f>
        <v>0</v>
      </c>
      <c r="P51" s="110"/>
    </row>
    <row r="52" spans="1:16">
      <c r="A52" s="27" t="s">
        <v>102</v>
      </c>
      <c r="B52" s="27" t="s">
        <v>292</v>
      </c>
      <c r="C52" s="47">
        <v>46045</v>
      </c>
      <c r="D52" s="27" t="s">
        <v>123</v>
      </c>
      <c r="E52" s="70">
        <v>1395800</v>
      </c>
      <c r="F52" s="27"/>
      <c r="G52" s="27" t="s">
        <v>124</v>
      </c>
      <c r="H52" s="27" t="s">
        <v>298</v>
      </c>
      <c r="I52" s="36">
        <f t="shared" ca="1" si="5"/>
        <v>137</v>
      </c>
      <c r="K52" s="67">
        <v>0</v>
      </c>
      <c r="L52" s="86">
        <v>0</v>
      </c>
      <c r="M52" s="104">
        <f t="shared" si="4"/>
        <v>0</v>
      </c>
      <c r="O52" s="109">
        <f>+SUMIF('Reporte de Cheques'!A:A,'Cheques pendientes'!K52,'Reporte de Cheques'!I:I)</f>
        <v>0</v>
      </c>
      <c r="P52" s="110"/>
    </row>
    <row r="53" spans="1:16">
      <c r="A53" s="62" t="s">
        <v>102</v>
      </c>
      <c r="B53" s="62" t="s">
        <v>219</v>
      </c>
      <c r="C53" s="63">
        <v>46045</v>
      </c>
      <c r="D53" s="62" t="s">
        <v>123</v>
      </c>
      <c r="E53" s="141">
        <v>4000000</v>
      </c>
      <c r="F53" s="62"/>
      <c r="G53" s="62" t="s">
        <v>134</v>
      </c>
      <c r="H53" s="62" t="s">
        <v>137</v>
      </c>
      <c r="I53" s="65">
        <f t="shared" ca="1" si="5"/>
        <v>137</v>
      </c>
      <c r="O53" s="110"/>
      <c r="P53" s="110"/>
    </row>
    <row r="54" spans="1:16">
      <c r="A54" s="27" t="s">
        <v>102</v>
      </c>
      <c r="B54" s="27" t="s">
        <v>271</v>
      </c>
      <c r="C54" s="47">
        <v>46045</v>
      </c>
      <c r="D54" s="27" t="s">
        <v>123</v>
      </c>
      <c r="E54" s="70">
        <v>15900000</v>
      </c>
      <c r="F54" s="27"/>
      <c r="G54" s="27" t="s">
        <v>124</v>
      </c>
      <c r="H54" s="27" t="s">
        <v>272</v>
      </c>
      <c r="I54" s="36">
        <f t="shared" ca="1" si="5"/>
        <v>137</v>
      </c>
    </row>
    <row r="55" spans="1:16">
      <c r="A55" s="27" t="s">
        <v>102</v>
      </c>
      <c r="B55" s="27" t="s">
        <v>221</v>
      </c>
      <c r="C55" s="47">
        <v>46045</v>
      </c>
      <c r="D55" s="27" t="s">
        <v>123</v>
      </c>
      <c r="E55" s="70">
        <v>5000000</v>
      </c>
      <c r="F55" s="27"/>
      <c r="G55" s="27" t="s">
        <v>124</v>
      </c>
      <c r="H55" s="27" t="s">
        <v>222</v>
      </c>
      <c r="I55" s="36">
        <f t="shared" ca="1" si="5"/>
        <v>137</v>
      </c>
    </row>
    <row r="56" spans="1:16" ht="9.75" customHeight="1">
      <c r="A56" s="27" t="s">
        <v>102</v>
      </c>
      <c r="B56" s="27" t="s">
        <v>293</v>
      </c>
      <c r="C56" s="47">
        <v>46048</v>
      </c>
      <c r="D56" s="27" t="s">
        <v>123</v>
      </c>
      <c r="E56" s="70">
        <v>1395800</v>
      </c>
      <c r="F56" s="27"/>
      <c r="G56" s="27" t="s">
        <v>124</v>
      </c>
      <c r="H56" s="27" t="s">
        <v>298</v>
      </c>
      <c r="I56" s="36">
        <f t="shared" ca="1" si="5"/>
        <v>134</v>
      </c>
    </row>
    <row r="57" spans="1:16">
      <c r="A57" s="27" t="s">
        <v>102</v>
      </c>
      <c r="B57" s="27" t="s">
        <v>255</v>
      </c>
      <c r="C57" s="47">
        <v>46049</v>
      </c>
      <c r="D57" s="27" t="s">
        <v>123</v>
      </c>
      <c r="E57" s="70">
        <v>10000000</v>
      </c>
      <c r="F57" s="27"/>
      <c r="G57" s="27" t="s">
        <v>124</v>
      </c>
      <c r="H57" s="27" t="s">
        <v>241</v>
      </c>
      <c r="I57" s="36">
        <f t="shared" ca="1" si="5"/>
        <v>133</v>
      </c>
    </row>
    <row r="58" spans="1:16">
      <c r="A58" s="27" t="s">
        <v>102</v>
      </c>
      <c r="B58" s="27" t="s">
        <v>294</v>
      </c>
      <c r="C58" s="47">
        <v>46049</v>
      </c>
      <c r="D58" s="27" t="s">
        <v>123</v>
      </c>
      <c r="E58" s="70">
        <v>1395800</v>
      </c>
      <c r="F58" s="27"/>
      <c r="G58" s="27" t="s">
        <v>124</v>
      </c>
      <c r="H58" s="27" t="s">
        <v>298</v>
      </c>
      <c r="I58" s="36">
        <f t="shared" ca="1" si="5"/>
        <v>133</v>
      </c>
    </row>
    <row r="59" spans="1:16">
      <c r="A59" s="27" t="s">
        <v>102</v>
      </c>
      <c r="B59" s="27" t="s">
        <v>295</v>
      </c>
      <c r="C59" s="47">
        <v>46049</v>
      </c>
      <c r="D59" s="27" t="s">
        <v>123</v>
      </c>
      <c r="E59" s="70">
        <v>1395800</v>
      </c>
      <c r="F59" s="27"/>
      <c r="G59" s="27" t="s">
        <v>124</v>
      </c>
      <c r="H59" s="27" t="s">
        <v>298</v>
      </c>
      <c r="I59" s="36">
        <f t="shared" ca="1" si="5"/>
        <v>133</v>
      </c>
    </row>
    <row r="60" spans="1:16">
      <c r="A60" s="27" t="s">
        <v>102</v>
      </c>
      <c r="B60" s="27" t="s">
        <v>296</v>
      </c>
      <c r="C60" s="47">
        <v>46049</v>
      </c>
      <c r="D60" s="27" t="s">
        <v>123</v>
      </c>
      <c r="E60" s="70">
        <v>1395800</v>
      </c>
      <c r="F60" s="27"/>
      <c r="G60" s="27" t="s">
        <v>124</v>
      </c>
      <c r="H60" s="27" t="s">
        <v>298</v>
      </c>
      <c r="I60" s="36">
        <f t="shared" ca="1" si="5"/>
        <v>133</v>
      </c>
    </row>
    <row r="61" spans="1:16">
      <c r="A61" s="27" t="s">
        <v>102</v>
      </c>
      <c r="B61" s="27" t="s">
        <v>297</v>
      </c>
      <c r="C61" s="47">
        <v>46049</v>
      </c>
      <c r="D61" s="27" t="s">
        <v>123</v>
      </c>
      <c r="E61" s="70">
        <v>1395800</v>
      </c>
      <c r="F61" s="27"/>
      <c r="G61" s="27" t="s">
        <v>124</v>
      </c>
      <c r="H61" s="27" t="s">
        <v>298</v>
      </c>
      <c r="I61" s="36">
        <f t="shared" ca="1" si="5"/>
        <v>133</v>
      </c>
    </row>
    <row r="62" spans="1:16">
      <c r="A62" s="27" t="s">
        <v>102</v>
      </c>
      <c r="B62" s="27" t="s">
        <v>224</v>
      </c>
      <c r="C62" s="47">
        <v>46050</v>
      </c>
      <c r="D62" s="27" t="s">
        <v>123</v>
      </c>
      <c r="E62" s="70">
        <v>6250000</v>
      </c>
      <c r="F62" s="27"/>
      <c r="G62" s="27" t="s">
        <v>124</v>
      </c>
      <c r="H62" s="27" t="s">
        <v>223</v>
      </c>
      <c r="I62" s="36">
        <f t="shared" ca="1" si="5"/>
        <v>132</v>
      </c>
    </row>
    <row r="63" spans="1:16">
      <c r="A63" s="62" t="s">
        <v>102</v>
      </c>
      <c r="B63" s="62" t="s">
        <v>220</v>
      </c>
      <c r="C63" s="63">
        <v>46050</v>
      </c>
      <c r="D63" s="62" t="s">
        <v>123</v>
      </c>
      <c r="E63" s="141">
        <v>4000000</v>
      </c>
      <c r="F63" s="62"/>
      <c r="G63" s="62" t="s">
        <v>134</v>
      </c>
      <c r="H63" s="62" t="s">
        <v>137</v>
      </c>
      <c r="I63" s="65">
        <f t="shared" ca="1" si="5"/>
        <v>132</v>
      </c>
    </row>
    <row r="64" spans="1:16">
      <c r="A64" s="27" t="s">
        <v>102</v>
      </c>
      <c r="B64" s="27" t="s">
        <v>314</v>
      </c>
      <c r="C64" s="47">
        <v>46050</v>
      </c>
      <c r="D64" s="27" t="s">
        <v>123</v>
      </c>
      <c r="E64" s="70">
        <v>22000000</v>
      </c>
      <c r="F64" s="27"/>
      <c r="G64" s="27" t="s">
        <v>124</v>
      </c>
      <c r="H64" s="27" t="s">
        <v>140</v>
      </c>
      <c r="I64" s="36">
        <f t="shared" ca="1" si="5"/>
        <v>132</v>
      </c>
    </row>
    <row r="65" spans="1:9">
      <c r="A65" s="27" t="s">
        <v>102</v>
      </c>
      <c r="B65" s="27" t="s">
        <v>256</v>
      </c>
      <c r="C65" s="47">
        <v>46051</v>
      </c>
      <c r="D65" s="27" t="s">
        <v>123</v>
      </c>
      <c r="E65" s="70">
        <v>10000000</v>
      </c>
      <c r="F65" s="27"/>
      <c r="G65" s="27" t="s">
        <v>124</v>
      </c>
      <c r="H65" s="27" t="s">
        <v>241</v>
      </c>
      <c r="I65" s="36">
        <f t="shared" ca="1" si="5"/>
        <v>131</v>
      </c>
    </row>
    <row r="66" spans="1:9">
      <c r="A66" s="27" t="s">
        <v>102</v>
      </c>
      <c r="B66" s="27" t="s">
        <v>225</v>
      </c>
      <c r="C66" s="47">
        <v>46052</v>
      </c>
      <c r="D66" s="27" t="s">
        <v>123</v>
      </c>
      <c r="E66" s="70">
        <v>6250000</v>
      </c>
      <c r="F66" s="27"/>
      <c r="G66" s="27" t="s">
        <v>124</v>
      </c>
      <c r="H66" s="27" t="s">
        <v>223</v>
      </c>
      <c r="I66" s="36">
        <f t="shared" ca="1" si="5"/>
        <v>130</v>
      </c>
    </row>
    <row r="67" spans="1:9">
      <c r="A67" s="27" t="s">
        <v>102</v>
      </c>
      <c r="B67" s="27" t="s">
        <v>226</v>
      </c>
      <c r="C67" s="47">
        <v>46056</v>
      </c>
      <c r="D67" s="27" t="s">
        <v>123</v>
      </c>
      <c r="E67" s="70">
        <v>6250000</v>
      </c>
      <c r="F67" s="27"/>
      <c r="G67" s="27" t="s">
        <v>124</v>
      </c>
      <c r="H67" s="27" t="s">
        <v>223</v>
      </c>
      <c r="I67" s="36">
        <f t="shared" ca="1" si="5"/>
        <v>126</v>
      </c>
    </row>
    <row r="68" spans="1:9">
      <c r="A68" s="27" t="s">
        <v>102</v>
      </c>
      <c r="B68" s="27" t="s">
        <v>236</v>
      </c>
      <c r="C68" s="47">
        <v>46056</v>
      </c>
      <c r="D68" s="27" t="s">
        <v>123</v>
      </c>
      <c r="E68" s="70">
        <v>995000</v>
      </c>
      <c r="F68" s="27"/>
      <c r="G68" s="27" t="s">
        <v>124</v>
      </c>
      <c r="H68" s="27" t="s">
        <v>240</v>
      </c>
      <c r="I68" s="36">
        <f t="shared" ca="1" si="5"/>
        <v>126</v>
      </c>
    </row>
    <row r="69" spans="1:9">
      <c r="A69" s="27" t="s">
        <v>102</v>
      </c>
      <c r="B69" s="27" t="s">
        <v>235</v>
      </c>
      <c r="C69" s="47">
        <v>46056</v>
      </c>
      <c r="D69" s="27" t="s">
        <v>123</v>
      </c>
      <c r="E69" s="70">
        <v>2398100</v>
      </c>
      <c r="F69" s="27"/>
      <c r="G69" s="27" t="s">
        <v>124</v>
      </c>
      <c r="H69" s="27" t="s">
        <v>239</v>
      </c>
      <c r="I69" s="36">
        <f t="shared" ca="1" si="5"/>
        <v>126</v>
      </c>
    </row>
    <row r="70" spans="1:9">
      <c r="A70" s="27" t="s">
        <v>102</v>
      </c>
      <c r="B70" s="27" t="s">
        <v>258</v>
      </c>
      <c r="C70" s="47">
        <v>46056</v>
      </c>
      <c r="D70" s="27" t="s">
        <v>123</v>
      </c>
      <c r="E70" s="70">
        <v>10000000</v>
      </c>
      <c r="F70" s="27"/>
      <c r="G70" s="27" t="s">
        <v>124</v>
      </c>
      <c r="H70" s="27" t="s">
        <v>241</v>
      </c>
      <c r="I70" s="36">
        <f t="shared" ca="1" si="5"/>
        <v>126</v>
      </c>
    </row>
    <row r="71" spans="1:9">
      <c r="A71" s="27" t="s">
        <v>102</v>
      </c>
      <c r="B71" s="27" t="s">
        <v>227</v>
      </c>
      <c r="C71" s="47">
        <v>46057</v>
      </c>
      <c r="D71" s="27" t="s">
        <v>123</v>
      </c>
      <c r="E71" s="70">
        <v>6250000</v>
      </c>
      <c r="F71" s="27"/>
      <c r="G71" s="27" t="s">
        <v>124</v>
      </c>
      <c r="H71" s="27" t="s">
        <v>223</v>
      </c>
      <c r="I71" s="36">
        <f t="shared" ca="1" si="5"/>
        <v>125</v>
      </c>
    </row>
    <row r="72" spans="1:9">
      <c r="A72" s="27" t="s">
        <v>102</v>
      </c>
      <c r="B72" s="27" t="s">
        <v>233</v>
      </c>
      <c r="C72" s="47">
        <v>46057</v>
      </c>
      <c r="D72" s="27" t="s">
        <v>123</v>
      </c>
      <c r="E72" s="70">
        <v>2398100</v>
      </c>
      <c r="F72" s="27"/>
      <c r="G72" s="27" t="s">
        <v>124</v>
      </c>
      <c r="H72" s="27" t="s">
        <v>239</v>
      </c>
      <c r="I72" s="36">
        <f t="shared" ca="1" si="5"/>
        <v>125</v>
      </c>
    </row>
    <row r="73" spans="1:9">
      <c r="A73" s="27" t="s">
        <v>102</v>
      </c>
      <c r="B73" s="27" t="s">
        <v>249</v>
      </c>
      <c r="C73" s="47">
        <v>46057</v>
      </c>
      <c r="D73" s="27" t="s">
        <v>123</v>
      </c>
      <c r="E73" s="70">
        <v>10000000</v>
      </c>
      <c r="F73" s="27"/>
      <c r="G73" s="27" t="s">
        <v>124</v>
      </c>
      <c r="H73" s="27" t="s">
        <v>241</v>
      </c>
      <c r="I73" s="36">
        <f t="shared" ca="1" si="5"/>
        <v>125</v>
      </c>
    </row>
    <row r="74" spans="1:9">
      <c r="A74" s="27" t="s">
        <v>102</v>
      </c>
      <c r="B74" s="27" t="s">
        <v>234</v>
      </c>
      <c r="C74" s="47">
        <v>46058</v>
      </c>
      <c r="D74" s="27" t="s">
        <v>123</v>
      </c>
      <c r="E74" s="70">
        <v>2398100</v>
      </c>
      <c r="F74" s="27"/>
      <c r="G74" s="27" t="s">
        <v>124</v>
      </c>
      <c r="H74" s="27" t="s">
        <v>239</v>
      </c>
      <c r="I74" s="36">
        <f t="shared" ca="1" si="5"/>
        <v>124</v>
      </c>
    </row>
    <row r="75" spans="1:9">
      <c r="A75" s="27" t="s">
        <v>102</v>
      </c>
      <c r="B75" s="27" t="s">
        <v>316</v>
      </c>
      <c r="C75" s="47">
        <v>46065</v>
      </c>
      <c r="D75" s="27" t="s">
        <v>123</v>
      </c>
      <c r="E75" s="70">
        <v>25000000</v>
      </c>
      <c r="F75" s="27"/>
      <c r="G75" s="27" t="s">
        <v>124</v>
      </c>
      <c r="H75" s="27" t="s">
        <v>140</v>
      </c>
      <c r="I75" s="36">
        <f t="shared" ca="1" si="5"/>
        <v>117</v>
      </c>
    </row>
    <row r="76" spans="1:9">
      <c r="A76" s="27" t="s">
        <v>102</v>
      </c>
      <c r="B76" s="27" t="s">
        <v>268</v>
      </c>
      <c r="C76" s="47">
        <v>46065</v>
      </c>
      <c r="D76" s="27" t="s">
        <v>123</v>
      </c>
      <c r="E76" s="70">
        <v>23700000</v>
      </c>
      <c r="F76" s="27"/>
      <c r="G76" s="27" t="s">
        <v>124</v>
      </c>
      <c r="H76" s="27" t="s">
        <v>272</v>
      </c>
      <c r="I76" s="36">
        <f t="shared" ca="1" si="5"/>
        <v>117</v>
      </c>
    </row>
    <row r="77" spans="1:9">
      <c r="A77" s="27" t="s">
        <v>102</v>
      </c>
      <c r="B77" s="27" t="s">
        <v>270</v>
      </c>
      <c r="C77" s="47">
        <v>46076</v>
      </c>
      <c r="D77" s="27" t="s">
        <v>123</v>
      </c>
      <c r="E77" s="70">
        <v>15700000</v>
      </c>
      <c r="F77" s="27"/>
      <c r="G77" s="27" t="s">
        <v>124</v>
      </c>
      <c r="H77" s="27" t="s">
        <v>272</v>
      </c>
      <c r="I77" s="36">
        <f t="shared" ca="1" si="5"/>
        <v>106</v>
      </c>
    </row>
    <row r="78" spans="1:9">
      <c r="A78" s="27" t="s">
        <v>102</v>
      </c>
      <c r="B78" s="27" t="s">
        <v>318</v>
      </c>
      <c r="C78" s="47">
        <v>46078</v>
      </c>
      <c r="D78" s="27" t="s">
        <v>123</v>
      </c>
      <c r="E78" s="70">
        <v>26000000</v>
      </c>
      <c r="F78" s="27"/>
      <c r="G78" s="27" t="s">
        <v>124</v>
      </c>
      <c r="H78" s="27" t="s">
        <v>140</v>
      </c>
      <c r="I78" s="36">
        <f t="shared" ca="1" si="5"/>
        <v>104</v>
      </c>
    </row>
    <row r="79" spans="1:9">
      <c r="A79" s="27" t="s">
        <v>102</v>
      </c>
      <c r="B79" s="27" t="s">
        <v>315</v>
      </c>
      <c r="C79" s="47">
        <v>46085</v>
      </c>
      <c r="D79" s="27" t="s">
        <v>123</v>
      </c>
      <c r="E79" s="70">
        <v>27000000</v>
      </c>
      <c r="F79" s="27"/>
      <c r="G79" s="27" t="s">
        <v>124</v>
      </c>
      <c r="H79" s="27" t="s">
        <v>140</v>
      </c>
      <c r="I79" s="36">
        <f t="shared" ca="1" si="5"/>
        <v>97</v>
      </c>
    </row>
    <row r="80" spans="1:9">
      <c r="A80" s="27" t="s">
        <v>102</v>
      </c>
      <c r="B80" s="27" t="s">
        <v>317</v>
      </c>
      <c r="C80" s="47">
        <v>46094</v>
      </c>
      <c r="D80" s="27" t="s">
        <v>123</v>
      </c>
      <c r="E80" s="70">
        <v>19500000</v>
      </c>
      <c r="F80" s="27"/>
      <c r="G80" s="27" t="s">
        <v>124</v>
      </c>
      <c r="H80" s="27" t="s">
        <v>140</v>
      </c>
      <c r="I80" s="36">
        <f t="shared" ca="1" si="5"/>
        <v>88</v>
      </c>
    </row>
    <row r="81" spans="1:9">
      <c r="A81" s="27" t="s">
        <v>102</v>
      </c>
      <c r="B81" s="27" t="s">
        <v>342</v>
      </c>
      <c r="C81" s="47">
        <v>46099</v>
      </c>
      <c r="D81" s="27" t="s">
        <v>123</v>
      </c>
      <c r="E81" s="70">
        <v>125000000</v>
      </c>
      <c r="F81" s="27"/>
      <c r="G81" s="27" t="s">
        <v>124</v>
      </c>
      <c r="H81" s="27" t="s">
        <v>139</v>
      </c>
      <c r="I81" s="36">
        <f t="shared" ca="1" si="5"/>
        <v>83</v>
      </c>
    </row>
    <row r="82" spans="1:9">
      <c r="A82" s="27" t="s">
        <v>102</v>
      </c>
      <c r="B82" s="27" t="s">
        <v>376</v>
      </c>
      <c r="C82" s="47">
        <v>46099</v>
      </c>
      <c r="D82" s="27" t="s">
        <v>123</v>
      </c>
      <c r="E82" s="70">
        <v>4000000</v>
      </c>
      <c r="F82" s="27"/>
      <c r="G82" s="140" t="s">
        <v>124</v>
      </c>
      <c r="H82" s="27" t="s">
        <v>197</v>
      </c>
      <c r="I82" s="36">
        <f t="shared" ca="1" si="5"/>
        <v>83</v>
      </c>
    </row>
    <row r="83" spans="1:9">
      <c r="A83" s="27" t="s">
        <v>102</v>
      </c>
      <c r="B83" s="27" t="s">
        <v>707</v>
      </c>
      <c r="C83" s="47">
        <v>46113</v>
      </c>
      <c r="D83" s="27" t="s">
        <v>123</v>
      </c>
      <c r="E83" s="70">
        <v>150000000</v>
      </c>
      <c r="F83" s="27"/>
      <c r="G83" s="27" t="s">
        <v>124</v>
      </c>
      <c r="H83" s="27" t="s">
        <v>139</v>
      </c>
      <c r="I83" s="36">
        <f t="shared" ca="1" si="5"/>
        <v>69</v>
      </c>
    </row>
    <row r="84" spans="1:9">
      <c r="A84" s="27" t="s">
        <v>102</v>
      </c>
      <c r="B84" s="27" t="s">
        <v>340</v>
      </c>
      <c r="C84" s="47">
        <v>46127</v>
      </c>
      <c r="D84" s="27" t="s">
        <v>123</v>
      </c>
      <c r="E84" s="70">
        <v>150000000</v>
      </c>
      <c r="F84" s="27"/>
      <c r="G84" s="27" t="s">
        <v>124</v>
      </c>
      <c r="H84" s="27" t="s">
        <v>139</v>
      </c>
      <c r="I84" s="36">
        <f t="shared" ca="1" si="5"/>
        <v>55</v>
      </c>
    </row>
    <row r="85" spans="1:9">
      <c r="A85" s="27" t="s">
        <v>102</v>
      </c>
      <c r="B85" s="27" t="s">
        <v>727</v>
      </c>
      <c r="C85" s="47">
        <v>46155</v>
      </c>
      <c r="D85" s="27" t="s">
        <v>123</v>
      </c>
      <c r="E85" s="70">
        <v>5000000</v>
      </c>
      <c r="F85" s="27"/>
      <c r="G85" s="27" t="s">
        <v>124</v>
      </c>
      <c r="H85" s="27" t="s">
        <v>145</v>
      </c>
      <c r="I85" s="36">
        <f t="shared" ca="1" si="5"/>
        <v>27</v>
      </c>
    </row>
    <row r="86" spans="1:9">
      <c r="A86" s="27" t="s">
        <v>102</v>
      </c>
      <c r="B86" s="27" t="s">
        <v>441</v>
      </c>
      <c r="C86" s="47">
        <v>46160</v>
      </c>
      <c r="D86" s="27" t="s">
        <v>123</v>
      </c>
      <c r="E86" s="70">
        <v>10000000</v>
      </c>
      <c r="F86" s="27"/>
      <c r="G86" s="27" t="s">
        <v>124</v>
      </c>
      <c r="H86" s="27" t="s">
        <v>430</v>
      </c>
      <c r="I86" s="36">
        <f t="shared" ca="1" si="5"/>
        <v>22</v>
      </c>
    </row>
    <row r="87" spans="1:9">
      <c r="A87" s="27" t="s">
        <v>102</v>
      </c>
      <c r="B87" s="27" t="s">
        <v>714</v>
      </c>
      <c r="C87" s="47">
        <v>46161</v>
      </c>
      <c r="D87" s="27" t="s">
        <v>123</v>
      </c>
      <c r="E87" s="70">
        <v>5450000</v>
      </c>
      <c r="F87" s="27"/>
      <c r="G87" s="27" t="s">
        <v>124</v>
      </c>
      <c r="H87" s="27" t="s">
        <v>313</v>
      </c>
      <c r="I87" s="36">
        <f t="shared" ca="1" si="5"/>
        <v>21</v>
      </c>
    </row>
    <row r="88" spans="1:9">
      <c r="A88" s="27" t="s">
        <v>102</v>
      </c>
      <c r="B88" s="27" t="s">
        <v>162</v>
      </c>
      <c r="C88" s="47">
        <v>46161</v>
      </c>
      <c r="D88" s="27" t="s">
        <v>123</v>
      </c>
      <c r="E88" s="70">
        <v>10000000</v>
      </c>
      <c r="F88" s="27"/>
      <c r="G88" s="27" t="s">
        <v>124</v>
      </c>
      <c r="H88" s="27" t="s">
        <v>122</v>
      </c>
      <c r="I88" s="36">
        <f t="shared" ca="1" si="5"/>
        <v>21</v>
      </c>
    </row>
    <row r="89" spans="1:9">
      <c r="A89" s="27" t="s">
        <v>102</v>
      </c>
      <c r="B89" s="27" t="s">
        <v>728</v>
      </c>
      <c r="C89" s="47">
        <v>46162</v>
      </c>
      <c r="D89" s="27" t="s">
        <v>123</v>
      </c>
      <c r="E89" s="70">
        <v>5000000</v>
      </c>
      <c r="F89" s="27"/>
      <c r="G89" s="27" t="s">
        <v>124</v>
      </c>
      <c r="H89" s="27" t="s">
        <v>145</v>
      </c>
      <c r="I89" s="36">
        <f t="shared" ca="1" si="5"/>
        <v>20</v>
      </c>
    </row>
    <row r="90" spans="1:9">
      <c r="A90" s="27" t="s">
        <v>102</v>
      </c>
      <c r="B90" s="27" t="s">
        <v>732</v>
      </c>
      <c r="C90" s="47">
        <v>46170</v>
      </c>
      <c r="D90" s="27" t="s">
        <v>123</v>
      </c>
      <c r="E90" s="70">
        <v>5000000</v>
      </c>
      <c r="F90" s="27"/>
      <c r="G90" s="27" t="s">
        <v>124</v>
      </c>
      <c r="H90" s="27" t="s">
        <v>145</v>
      </c>
      <c r="I90" s="36">
        <f t="shared" ca="1" si="5"/>
        <v>12</v>
      </c>
    </row>
    <row r="91" spans="1:9">
      <c r="A91" s="27" t="s">
        <v>102</v>
      </c>
      <c r="B91" s="27" t="s">
        <v>174</v>
      </c>
      <c r="C91" s="47">
        <v>46175</v>
      </c>
      <c r="D91" s="27" t="s">
        <v>123</v>
      </c>
      <c r="E91" s="70">
        <v>10000000</v>
      </c>
      <c r="F91" s="27"/>
      <c r="G91" s="27" t="s">
        <v>124</v>
      </c>
      <c r="H91" s="27" t="s">
        <v>122</v>
      </c>
      <c r="I91" s="36">
        <f t="shared" ca="1" si="5"/>
        <v>7</v>
      </c>
    </row>
    <row r="92" spans="1:9">
      <c r="A92" s="27" t="s">
        <v>102</v>
      </c>
      <c r="B92" s="27" t="s">
        <v>980</v>
      </c>
      <c r="C92" s="47">
        <v>46175</v>
      </c>
      <c r="D92" s="27" t="s">
        <v>123</v>
      </c>
      <c r="E92" s="70">
        <v>5450000</v>
      </c>
      <c r="F92" s="27"/>
      <c r="G92" s="27" t="s">
        <v>124</v>
      </c>
      <c r="H92" s="27" t="s">
        <v>992</v>
      </c>
      <c r="I92" s="36">
        <f t="shared" ca="1" si="5"/>
        <v>7</v>
      </c>
    </row>
    <row r="93" spans="1:9">
      <c r="A93" s="27" t="s">
        <v>102</v>
      </c>
      <c r="B93" s="27" t="s">
        <v>673</v>
      </c>
      <c r="C93" s="47">
        <v>46176</v>
      </c>
      <c r="D93" s="27" t="s">
        <v>123</v>
      </c>
      <c r="E93" s="70">
        <v>2000000</v>
      </c>
      <c r="F93" s="27"/>
      <c r="G93" s="27" t="s">
        <v>124</v>
      </c>
      <c r="H93" s="27" t="s">
        <v>693</v>
      </c>
      <c r="I93" s="36">
        <f t="shared" ca="1" si="5"/>
        <v>6</v>
      </c>
    </row>
    <row r="94" spans="1:9">
      <c r="A94" s="27" t="s">
        <v>102</v>
      </c>
      <c r="B94" s="27" t="s">
        <v>719</v>
      </c>
      <c r="C94" s="47">
        <v>46176</v>
      </c>
      <c r="D94" s="27" t="s">
        <v>123</v>
      </c>
      <c r="E94" s="70">
        <v>5450000</v>
      </c>
      <c r="F94" s="27"/>
      <c r="G94" s="27" t="s">
        <v>124</v>
      </c>
      <c r="H94" s="27" t="s">
        <v>313</v>
      </c>
      <c r="I94" s="36">
        <f t="shared" ca="1" si="5"/>
        <v>6</v>
      </c>
    </row>
    <row r="95" spans="1:9">
      <c r="A95" s="27" t="s">
        <v>102</v>
      </c>
      <c r="B95" s="27" t="s">
        <v>733</v>
      </c>
      <c r="C95" s="47">
        <v>46176</v>
      </c>
      <c r="D95" s="27" t="s">
        <v>123</v>
      </c>
      <c r="E95" s="70">
        <v>5000000</v>
      </c>
      <c r="F95" s="27"/>
      <c r="G95" s="27" t="s">
        <v>124</v>
      </c>
      <c r="H95" s="27" t="s">
        <v>145</v>
      </c>
      <c r="I95" s="36">
        <f t="shared" ca="1" si="5"/>
        <v>6</v>
      </c>
    </row>
    <row r="96" spans="1:9">
      <c r="A96" s="27" t="s">
        <v>102</v>
      </c>
      <c r="B96" s="27" t="s">
        <v>1272</v>
      </c>
      <c r="C96" s="47">
        <v>46177</v>
      </c>
      <c r="D96" s="27" t="s">
        <v>123</v>
      </c>
      <c r="E96" s="70">
        <v>45000000</v>
      </c>
      <c r="F96" s="27"/>
      <c r="G96" s="27" t="s">
        <v>124</v>
      </c>
      <c r="H96" s="27" t="s">
        <v>993</v>
      </c>
      <c r="I96" s="36">
        <f t="shared" ca="1" si="5"/>
        <v>5</v>
      </c>
    </row>
    <row r="97" spans="1:9">
      <c r="A97" s="27"/>
      <c r="B97" s="27"/>
      <c r="C97" s="47"/>
      <c r="D97" s="27"/>
      <c r="E97" s="70"/>
      <c r="F97" s="27"/>
      <c r="G97" s="27"/>
      <c r="H97" s="27"/>
      <c r="I97" s="36"/>
    </row>
    <row r="98" spans="1:9">
      <c r="A98" s="27"/>
      <c r="B98" s="27"/>
      <c r="C98" s="47"/>
      <c r="D98" s="27"/>
      <c r="E98" s="70"/>
      <c r="F98" s="27"/>
      <c r="G98" s="27"/>
      <c r="H98" s="27"/>
      <c r="I98" s="36"/>
    </row>
    <row r="99" spans="1:9">
      <c r="E99" s="19" cm="1">
        <f t="array" ref="E99">SUM(E2:E98-E63,E53,E46,E39,E35,E3,E2)</f>
        <v>1124680300</v>
      </c>
    </row>
  </sheetData>
  <phoneticPr fontId="2" type="noConversion"/>
  <conditionalFormatting sqref="B1:B66">
    <cfRule type="duplicateValues" dxfId="10" priority="651"/>
  </conditionalFormatting>
  <conditionalFormatting sqref="B9">
    <cfRule type="duplicateValues" dxfId="9" priority="10" stopIfTrue="1"/>
  </conditionalFormatting>
  <conditionalFormatting sqref="B24:B25 B47:B48">
    <cfRule type="expression" dxfId="8" priority="694" stopIfTrue="1">
      <formula>AND(COUNTIF($B$5:$B$1001, B24)+COUNTIF($B$1003:$B$1012, B24)+COUNTIF($B$1014:$B$1023, B24)+COUNTIF($B$1039:$B$65564, B24)&gt;1,NOT(ISBLANK(B24)))</formula>
    </cfRule>
  </conditionalFormatting>
  <conditionalFormatting sqref="B47:B54 B80:B87">
    <cfRule type="expression" dxfId="7" priority="696" stopIfTrue="1">
      <formula>AND(COUNTIF($B$5:$B$971, B47)+COUNTIF($B$973:$B$982, B47)+COUNTIF($B$984:$B$993, B47)+COUNTIF($B$1009:$B$65538, B47)&gt;1,NOT(ISBLANK(B47)))</formula>
    </cfRule>
  </conditionalFormatting>
  <conditionalFormatting sqref="B68 B35">
    <cfRule type="expression" dxfId="6" priority="698" stopIfTrue="1">
      <formula>AND(COUNTIF($B$5:$B$962, B35)+COUNTIF($B$964:$B$973, B35)+COUNTIF($B$975:$B$984, B35)+COUNTIF($B$1000:$B$65527, B35)&gt;1,NOT(ISBLANK(B35)))</formula>
    </cfRule>
  </conditionalFormatting>
  <conditionalFormatting sqref="B74">
    <cfRule type="expression" dxfId="5" priority="700" stopIfTrue="1">
      <formula>AND(COUNTIF($B$5:$B$944, B74)+COUNTIF($B$946:$B$955, B74)+COUNTIF($B$957:$B$966, B74)+COUNTIF($B$982:$B$65511, B74)&gt;1,NOT(ISBLANK(B74)))</formula>
    </cfRule>
  </conditionalFormatting>
  <conditionalFormatting sqref="B80">
    <cfRule type="expression" dxfId="4" priority="701" stopIfTrue="1">
      <formula>AND(COUNTIF($B$5:$B$938, B80)+COUNTIF($B$940:$B$949, B80)+COUNTIF($B$951:$B$960, B80)+COUNTIF($B$976:$B$65505, B80)&gt;1,NOT(ISBLANK(B80)))</formula>
    </cfRule>
  </conditionalFormatting>
  <conditionalFormatting sqref="B84:B92">
    <cfRule type="expression" dxfId="3" priority="686" stopIfTrue="1">
      <formula>AND(COUNTIF($B$5:$B$939, B84)+COUNTIF($B$941:$B$950, B84)+COUNTIF($B$952:$B$961, B84)+COUNTIF($B$977:$B$65506, B84)&gt;1,NOT(ISBLANK(B84)))</formula>
    </cfRule>
  </conditionalFormatting>
  <conditionalFormatting sqref="B88:B98 B26:B34 B36:B46 B49:B79 B81:B83">
    <cfRule type="expression" dxfId="2" priority="688" stopIfTrue="1">
      <formula>AND(COUNTIF($B$5:$B$990, B26)+COUNTIF($B$992:$B$1001, B26)+COUNTIF($B$1003:$B$1012, B26)+COUNTIF($B$1028:$B$65553, B26)&gt;1,NOT(ISBLANK(B26)))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F6DB8-8879-4B05-B293-349589748DA6}">
  <dimension ref="A4:K194"/>
  <sheetViews>
    <sheetView workbookViewId="0">
      <selection activeCell="B7" sqref="B7"/>
    </sheetView>
  </sheetViews>
  <sheetFormatPr baseColWidth="10" defaultRowHeight="15"/>
  <cols>
    <col min="1" max="1" width="83.7109375" bestFit="1" customWidth="1"/>
    <col min="2" max="2" width="5.42578125" style="11" bestFit="1" customWidth="1"/>
    <col min="6" max="6" width="26.42578125" bestFit="1" customWidth="1"/>
    <col min="8" max="8" width="19" bestFit="1" customWidth="1"/>
    <col min="9" max="9" width="20.140625" bestFit="1" customWidth="1"/>
    <col min="10" max="10" width="19.140625" bestFit="1" customWidth="1"/>
    <col min="11" max="11" width="15.5703125" bestFit="1" customWidth="1"/>
  </cols>
  <sheetData>
    <row r="4" spans="1:2">
      <c r="A4" s="156" t="s">
        <v>107</v>
      </c>
      <c r="B4" s="164"/>
    </row>
    <row r="5" spans="1:2">
      <c r="A5" s="156" t="s">
        <v>65</v>
      </c>
      <c r="B5" s="157" t="s">
        <v>76</v>
      </c>
    </row>
    <row r="6" spans="1:2">
      <c r="A6" s="158" t="s">
        <v>339</v>
      </c>
      <c r="B6" s="159">
        <v>4.4636394390228429E-2</v>
      </c>
    </row>
    <row r="7" spans="1:2">
      <c r="A7" s="160" t="s">
        <v>1357</v>
      </c>
      <c r="B7" s="161">
        <v>4.410996811133959E-2</v>
      </c>
    </row>
    <row r="8" spans="1:2">
      <c r="A8" s="160" t="s">
        <v>558</v>
      </c>
      <c r="B8" s="161">
        <v>4.2252718794470442E-2</v>
      </c>
    </row>
    <row r="9" spans="1:2">
      <c r="A9" s="160" t="s">
        <v>362</v>
      </c>
      <c r="B9" s="161">
        <v>3.7732001868745708E-2</v>
      </c>
    </row>
    <row r="10" spans="1:2">
      <c r="A10" s="160" t="s">
        <v>194</v>
      </c>
      <c r="B10" s="161">
        <v>3.3864701467875742E-2</v>
      </c>
    </row>
    <row r="11" spans="1:2">
      <c r="A11" s="160" t="s">
        <v>1447</v>
      </c>
      <c r="B11" s="161">
        <v>3.3257753965983898E-2</v>
      </c>
    </row>
    <row r="12" spans="1:2">
      <c r="A12" s="160" t="s">
        <v>508</v>
      </c>
      <c r="B12" s="161">
        <v>2.7692327631524082E-2</v>
      </c>
    </row>
    <row r="13" spans="1:2">
      <c r="A13" s="160" t="s">
        <v>1623</v>
      </c>
      <c r="B13" s="161">
        <v>2.1573858210082109E-2</v>
      </c>
    </row>
    <row r="14" spans="1:2">
      <c r="A14" s="160" t="s">
        <v>1959</v>
      </c>
      <c r="B14" s="161">
        <v>2.1469423620597623E-2</v>
      </c>
    </row>
    <row r="15" spans="1:2">
      <c r="A15" s="160" t="s">
        <v>447</v>
      </c>
      <c r="B15" s="161">
        <v>1.9989432150126826E-2</v>
      </c>
    </row>
    <row r="16" spans="1:2">
      <c r="A16" s="160" t="s">
        <v>1708</v>
      </c>
      <c r="B16" s="161">
        <v>1.9689323774893044E-2</v>
      </c>
    </row>
    <row r="17" spans="1:11">
      <c r="A17" s="160" t="s">
        <v>993</v>
      </c>
      <c r="B17" s="161">
        <v>1.9638303279810768E-2</v>
      </c>
    </row>
    <row r="18" spans="1:11">
      <c r="A18" s="160" t="s">
        <v>333</v>
      </c>
      <c r="B18" s="161">
        <v>1.9125992803344326E-2</v>
      </c>
    </row>
    <row r="19" spans="1:11">
      <c r="A19" s="160" t="s">
        <v>540</v>
      </c>
      <c r="B19" s="161">
        <v>1.8582301373891982E-2</v>
      </c>
    </row>
    <row r="20" spans="1:11">
      <c r="A20" s="160" t="s">
        <v>1873</v>
      </c>
      <c r="B20" s="161">
        <v>1.8151043763275282E-2</v>
      </c>
    </row>
    <row r="21" spans="1:11">
      <c r="A21" s="160" t="s">
        <v>209</v>
      </c>
      <c r="B21" s="161">
        <v>1.6893558341064253E-2</v>
      </c>
    </row>
    <row r="22" spans="1:11">
      <c r="A22" s="160" t="s">
        <v>1052</v>
      </c>
      <c r="B22" s="161">
        <v>1.6660867527190475E-2</v>
      </c>
    </row>
    <row r="23" spans="1:11">
      <c r="A23" s="160" t="s">
        <v>150</v>
      </c>
      <c r="B23" s="161">
        <v>1.5377444444135071E-2</v>
      </c>
    </row>
    <row r="24" spans="1:11">
      <c r="A24" s="160" t="s">
        <v>141</v>
      </c>
      <c r="B24" s="161">
        <v>1.5288066128121558E-2</v>
      </c>
    </row>
    <row r="25" spans="1:11">
      <c r="A25" s="160" t="s">
        <v>590</v>
      </c>
      <c r="B25" s="161">
        <v>1.5240349337371626E-2</v>
      </c>
    </row>
    <row r="26" spans="1:11">
      <c r="A26" s="160" t="s">
        <v>338</v>
      </c>
      <c r="B26" s="161">
        <v>1.4989949851120571E-2</v>
      </c>
      <c r="I26" s="11"/>
    </row>
    <row r="27" spans="1:11">
      <c r="A27" s="160" t="s">
        <v>1181</v>
      </c>
      <c r="B27" s="161">
        <v>1.4405134430729633E-2</v>
      </c>
    </row>
    <row r="28" spans="1:11">
      <c r="A28" s="160" t="s">
        <v>539</v>
      </c>
      <c r="B28" s="161">
        <v>1.2662963226804481E-2</v>
      </c>
      <c r="K28" s="19"/>
    </row>
    <row r="29" spans="1:11">
      <c r="A29" s="160" t="s">
        <v>640</v>
      </c>
      <c r="B29" s="161">
        <v>1.0756037151938824E-2</v>
      </c>
    </row>
    <row r="30" spans="1:11">
      <c r="A30" s="160" t="s">
        <v>444</v>
      </c>
      <c r="B30" s="161">
        <v>1.0526524853594845E-2</v>
      </c>
    </row>
    <row r="31" spans="1:11">
      <c r="A31" s="160" t="s">
        <v>164</v>
      </c>
      <c r="B31" s="161">
        <v>1.003721622991709E-2</v>
      </c>
    </row>
    <row r="32" spans="1:11">
      <c r="A32" s="160" t="s">
        <v>527</v>
      </c>
      <c r="B32" s="161">
        <v>9.8083389397959787E-3</v>
      </c>
    </row>
    <row r="33" spans="1:2">
      <c r="A33" s="160" t="s">
        <v>1656</v>
      </c>
      <c r="B33" s="161">
        <v>9.5517622982322636E-3</v>
      </c>
    </row>
    <row r="34" spans="1:2">
      <c r="A34" s="160" t="s">
        <v>265</v>
      </c>
      <c r="B34" s="161">
        <v>9.0349815838475164E-3</v>
      </c>
    </row>
    <row r="35" spans="1:2">
      <c r="A35" s="160" t="s">
        <v>550</v>
      </c>
      <c r="B35" s="161">
        <v>8.8681821125209843E-3</v>
      </c>
    </row>
    <row r="36" spans="1:2">
      <c r="A36" s="160" t="s">
        <v>923</v>
      </c>
      <c r="B36" s="161">
        <v>8.5933619477338401E-3</v>
      </c>
    </row>
    <row r="37" spans="1:2">
      <c r="A37" s="160" t="s">
        <v>261</v>
      </c>
      <c r="B37" s="161">
        <v>8.5146768658052457E-3</v>
      </c>
    </row>
    <row r="38" spans="1:2">
      <c r="A38" s="160" t="s">
        <v>325</v>
      </c>
      <c r="B38" s="161">
        <v>8.5004410714899607E-3</v>
      </c>
    </row>
    <row r="39" spans="1:2">
      <c r="A39" s="160" t="s">
        <v>639</v>
      </c>
      <c r="B39" s="161">
        <v>8.3474385129313194E-3</v>
      </c>
    </row>
    <row r="40" spans="1:2">
      <c r="A40" s="160" t="s">
        <v>545</v>
      </c>
      <c r="B40" s="161">
        <v>8.2307662412681847E-3</v>
      </c>
    </row>
    <row r="41" spans="1:2">
      <c r="A41" s="160" t="s">
        <v>138</v>
      </c>
      <c r="B41" s="161">
        <v>7.9140910035659616E-3</v>
      </c>
    </row>
    <row r="42" spans="1:2">
      <c r="A42" s="160" t="s">
        <v>819</v>
      </c>
      <c r="B42" s="161">
        <v>7.8073564184387035E-3</v>
      </c>
    </row>
    <row r="43" spans="1:2">
      <c r="A43" s="160" t="s">
        <v>385</v>
      </c>
      <c r="B43" s="161">
        <v>7.7803583171162649E-3</v>
      </c>
    </row>
    <row r="44" spans="1:2">
      <c r="A44" s="160" t="s">
        <v>1915</v>
      </c>
      <c r="B44" s="161">
        <v>7.5590194282730292E-3</v>
      </c>
    </row>
    <row r="45" spans="1:2">
      <c r="A45" s="160" t="s">
        <v>1492</v>
      </c>
      <c r="B45" s="161">
        <v>7.4455021558707916E-3</v>
      </c>
    </row>
    <row r="46" spans="1:2">
      <c r="A46" s="160" t="s">
        <v>1822</v>
      </c>
      <c r="B46" s="161">
        <v>6.4628074149980612E-3</v>
      </c>
    </row>
    <row r="47" spans="1:2">
      <c r="A47" s="160" t="s">
        <v>1526</v>
      </c>
      <c r="B47" s="161">
        <v>6.4413895180481769E-3</v>
      </c>
    </row>
    <row r="48" spans="1:2">
      <c r="A48" s="160" t="s">
        <v>129</v>
      </c>
      <c r="B48" s="161">
        <v>6.4294550873972688E-3</v>
      </c>
    </row>
    <row r="49" spans="1:2">
      <c r="A49" s="160" t="s">
        <v>915</v>
      </c>
      <c r="B49" s="161">
        <v>6.0709257460760582E-3</v>
      </c>
    </row>
    <row r="50" spans="1:2">
      <c r="A50" s="160" t="s">
        <v>210</v>
      </c>
      <c r="B50" s="161">
        <v>5.5534956594662449E-3</v>
      </c>
    </row>
    <row r="51" spans="1:2">
      <c r="A51" s="160" t="s">
        <v>1163</v>
      </c>
      <c r="B51" s="161">
        <v>5.4724414896156204E-3</v>
      </c>
    </row>
    <row r="52" spans="1:2">
      <c r="A52" s="160" t="s">
        <v>148</v>
      </c>
      <c r="B52" s="161">
        <v>5.0860714716840965E-3</v>
      </c>
    </row>
    <row r="53" spans="1:2">
      <c r="A53" s="160" t="s">
        <v>703</v>
      </c>
      <c r="B53" s="161">
        <v>4.9731488061652484E-3</v>
      </c>
    </row>
    <row r="54" spans="1:2">
      <c r="A54" s="160" t="s">
        <v>401</v>
      </c>
      <c r="B54" s="161">
        <v>4.7439773810662705E-3</v>
      </c>
    </row>
    <row r="55" spans="1:2">
      <c r="A55" s="160" t="s">
        <v>1293</v>
      </c>
      <c r="B55" s="161">
        <v>4.417523690274738E-3</v>
      </c>
    </row>
    <row r="56" spans="1:2">
      <c r="A56" s="160" t="s">
        <v>132</v>
      </c>
      <c r="B56" s="161">
        <v>4.2322741783748698E-3</v>
      </c>
    </row>
    <row r="57" spans="1:2">
      <c r="A57" s="160" t="s">
        <v>706</v>
      </c>
      <c r="B57" s="161">
        <v>3.4219233471861777E-3</v>
      </c>
    </row>
    <row r="58" spans="1:2">
      <c r="A58" s="160" t="s">
        <v>198</v>
      </c>
      <c r="B58" s="161">
        <v>3.1834877644770728E-3</v>
      </c>
    </row>
    <row r="59" spans="1:2">
      <c r="A59" s="160" t="s">
        <v>380</v>
      </c>
      <c r="B59" s="161">
        <v>3.1804638607720961E-3</v>
      </c>
    </row>
    <row r="60" spans="1:2">
      <c r="A60" s="160" t="s">
        <v>1402</v>
      </c>
      <c r="B60" s="161">
        <v>3.0250693380050532E-3</v>
      </c>
    </row>
    <row r="61" spans="1:2">
      <c r="A61" s="160" t="s">
        <v>1055</v>
      </c>
      <c r="B61" s="161">
        <v>2.8718545846945324E-3</v>
      </c>
    </row>
    <row r="62" spans="1:2">
      <c r="A62" s="160" t="s">
        <v>1053</v>
      </c>
      <c r="B62" s="161">
        <v>2.8550379583213272E-3</v>
      </c>
    </row>
    <row r="63" spans="1:2">
      <c r="A63" s="160" t="s">
        <v>641</v>
      </c>
      <c r="B63" s="161">
        <v>2.7527193157052088E-3</v>
      </c>
    </row>
    <row r="64" spans="1:2">
      <c r="A64" s="160" t="s">
        <v>365</v>
      </c>
      <c r="B64" s="161">
        <v>2.377041451143997E-3</v>
      </c>
    </row>
    <row r="65" spans="1:2">
      <c r="A65" s="160" t="s">
        <v>474</v>
      </c>
      <c r="B65" s="161">
        <v>2.3554988290363258E-3</v>
      </c>
    </row>
    <row r="66" spans="1:2">
      <c r="A66" s="160" t="s">
        <v>463</v>
      </c>
      <c r="B66" s="161">
        <v>2.2416733182295668E-3</v>
      </c>
    </row>
    <row r="67" spans="1:2">
      <c r="A67" s="160" t="s">
        <v>916</v>
      </c>
      <c r="B67" s="161">
        <v>2.1825103122901533E-3</v>
      </c>
    </row>
    <row r="68" spans="1:2">
      <c r="A68" s="160" t="s">
        <v>1527</v>
      </c>
      <c r="B68" s="161">
        <v>2.1725889202618368E-3</v>
      </c>
    </row>
    <row r="69" spans="1:2">
      <c r="A69" s="160" t="s">
        <v>355</v>
      </c>
      <c r="B69" s="161">
        <v>2.1721593237398911E-3</v>
      </c>
    </row>
    <row r="70" spans="1:2">
      <c r="A70" s="160" t="s">
        <v>1403</v>
      </c>
      <c r="B70" s="161">
        <v>2.0980413628398299E-3</v>
      </c>
    </row>
    <row r="71" spans="1:2">
      <c r="A71" s="160" t="s">
        <v>821</v>
      </c>
      <c r="B71" s="161">
        <v>2.0332244033593049E-3</v>
      </c>
    </row>
    <row r="72" spans="1:2">
      <c r="A72" s="160" t="s">
        <v>995</v>
      </c>
      <c r="B72" s="161">
        <v>1.8311082938852845E-3</v>
      </c>
    </row>
    <row r="73" spans="1:2">
      <c r="A73" s="160" t="s">
        <v>1054</v>
      </c>
      <c r="B73" s="161">
        <v>1.7709191859332145E-3</v>
      </c>
    </row>
    <row r="74" spans="1:2">
      <c r="A74" s="160" t="s">
        <v>357</v>
      </c>
      <c r="B74" s="161">
        <v>1.7131348276880017E-3</v>
      </c>
    </row>
    <row r="75" spans="1:2">
      <c r="A75" s="160" t="s">
        <v>313</v>
      </c>
      <c r="B75" s="161">
        <v>1.7127851570981646E-3</v>
      </c>
    </row>
    <row r="76" spans="1:2">
      <c r="A76" s="160" t="s">
        <v>818</v>
      </c>
      <c r="B76" s="161">
        <v>1.5506448140028622E-3</v>
      </c>
    </row>
    <row r="77" spans="1:2">
      <c r="A77" s="160" t="s">
        <v>917</v>
      </c>
      <c r="B77" s="161">
        <v>1.4604522297415909E-3</v>
      </c>
    </row>
    <row r="78" spans="1:2">
      <c r="A78" s="160" t="s">
        <v>822</v>
      </c>
      <c r="B78" s="161">
        <v>1.4556145012357884E-3</v>
      </c>
    </row>
    <row r="79" spans="1:2">
      <c r="A79" s="160" t="s">
        <v>217</v>
      </c>
      <c r="B79" s="161">
        <v>1.3149299470424393E-3</v>
      </c>
    </row>
    <row r="80" spans="1:2">
      <c r="A80" s="160" t="s">
        <v>247</v>
      </c>
      <c r="B80" s="161">
        <v>1.2783824976121726E-3</v>
      </c>
    </row>
    <row r="81" spans="1:2">
      <c r="A81" s="160" t="s">
        <v>1986</v>
      </c>
      <c r="B81" s="161">
        <v>1.2685629326657601E-3</v>
      </c>
    </row>
    <row r="82" spans="1:2">
      <c r="A82" s="160" t="s">
        <v>122</v>
      </c>
      <c r="B82" s="161">
        <v>1.2388011884694611E-3</v>
      </c>
    </row>
    <row r="83" spans="1:2">
      <c r="A83" s="160" t="s">
        <v>478</v>
      </c>
      <c r="B83" s="161">
        <v>1.1896128723655381E-3</v>
      </c>
    </row>
    <row r="84" spans="1:2">
      <c r="A84" s="160" t="s">
        <v>1493</v>
      </c>
      <c r="B84" s="161">
        <v>1.1177015294129762E-3</v>
      </c>
    </row>
    <row r="85" spans="1:2">
      <c r="A85" s="160" t="s">
        <v>430</v>
      </c>
      <c r="B85" s="161">
        <v>1.1058072667067291E-3</v>
      </c>
    </row>
    <row r="86" spans="1:2">
      <c r="A86" s="160" t="s">
        <v>2101</v>
      </c>
      <c r="B86" s="161">
        <v>1.0522587622726087E-3</v>
      </c>
    </row>
    <row r="87" spans="1:2">
      <c r="A87" s="160" t="s">
        <v>2038</v>
      </c>
      <c r="B87" s="161">
        <v>1.0288872974520784E-3</v>
      </c>
    </row>
    <row r="88" spans="1:2">
      <c r="A88" s="160" t="s">
        <v>2086</v>
      </c>
      <c r="B88" s="161">
        <v>1.005362612639546E-3</v>
      </c>
    </row>
    <row r="89" spans="1:2">
      <c r="A89" s="160" t="s">
        <v>1528</v>
      </c>
      <c r="B89" s="161">
        <v>9.4967619144923276E-4</v>
      </c>
    </row>
    <row r="90" spans="1:2">
      <c r="A90" s="160" t="s">
        <v>556</v>
      </c>
      <c r="B90" s="161">
        <v>8.7784806891233144E-4</v>
      </c>
    </row>
    <row r="91" spans="1:2">
      <c r="A91" s="160" t="s">
        <v>994</v>
      </c>
      <c r="B91" s="161">
        <v>8.7573706197222035E-4</v>
      </c>
    </row>
    <row r="92" spans="1:2">
      <c r="A92" s="160" t="s">
        <v>920</v>
      </c>
      <c r="B92" s="161">
        <v>8.7291906820657472E-4</v>
      </c>
    </row>
    <row r="93" spans="1:2">
      <c r="A93" s="160" t="s">
        <v>187</v>
      </c>
      <c r="B93" s="161">
        <v>8.3405957915220986E-4</v>
      </c>
    </row>
    <row r="94" spans="1:2">
      <c r="A94" s="160" t="s">
        <v>1702</v>
      </c>
      <c r="B94" s="161">
        <v>8.3313783921715417E-4</v>
      </c>
    </row>
    <row r="95" spans="1:2">
      <c r="A95" s="160" t="s">
        <v>435</v>
      </c>
      <c r="B95" s="161">
        <v>8.1302589365288887E-4</v>
      </c>
    </row>
    <row r="96" spans="1:2">
      <c r="A96" s="160" t="s">
        <v>992</v>
      </c>
      <c r="B96" s="161">
        <v>7.9715081432555561E-4</v>
      </c>
    </row>
    <row r="97" spans="1:2">
      <c r="A97" s="160" t="s">
        <v>1164</v>
      </c>
      <c r="B97" s="161">
        <v>7.8231926547132349E-4</v>
      </c>
    </row>
    <row r="98" spans="1:2">
      <c r="A98" s="160" t="s">
        <v>426</v>
      </c>
      <c r="B98" s="161">
        <v>7.6070757287390403E-4</v>
      </c>
    </row>
    <row r="99" spans="1:2">
      <c r="A99" s="160" t="s">
        <v>1291</v>
      </c>
      <c r="B99" s="161">
        <v>7.4574733407021068E-4</v>
      </c>
    </row>
    <row r="100" spans="1:2">
      <c r="A100" s="160" t="s">
        <v>1554</v>
      </c>
      <c r="B100" s="161">
        <v>7.4406348412583696E-4</v>
      </c>
    </row>
    <row r="101" spans="1:2">
      <c r="A101" s="160" t="s">
        <v>913</v>
      </c>
      <c r="B101" s="161">
        <v>7.4198953956410344E-4</v>
      </c>
    </row>
    <row r="102" spans="1:2">
      <c r="A102" s="160" t="s">
        <v>1960</v>
      </c>
      <c r="B102" s="161">
        <v>7.3530397957661359E-4</v>
      </c>
    </row>
    <row r="103" spans="1:2">
      <c r="A103" s="160" t="s">
        <v>1430</v>
      </c>
      <c r="B103" s="161">
        <v>7.3147714108758055E-4</v>
      </c>
    </row>
    <row r="104" spans="1:2">
      <c r="A104" s="160" t="s">
        <v>1494</v>
      </c>
      <c r="B104" s="161">
        <v>6.7206584956034602E-4</v>
      </c>
    </row>
    <row r="105" spans="1:2">
      <c r="A105" s="160" t="s">
        <v>914</v>
      </c>
      <c r="B105" s="161">
        <v>6.4484251212934573E-4</v>
      </c>
    </row>
    <row r="106" spans="1:2">
      <c r="A106" s="160" t="s">
        <v>1530</v>
      </c>
      <c r="B106" s="161">
        <v>6.1630541615495602E-4</v>
      </c>
    </row>
    <row r="107" spans="1:2">
      <c r="A107" s="160" t="s">
        <v>310</v>
      </c>
      <c r="B107" s="161">
        <v>5.8535475515814658E-4</v>
      </c>
    </row>
    <row r="108" spans="1:2">
      <c r="A108" s="160" t="s">
        <v>2058</v>
      </c>
      <c r="B108" s="161">
        <v>5.8144155115156951E-4</v>
      </c>
    </row>
    <row r="109" spans="1:2">
      <c r="A109" s="160" t="s">
        <v>445</v>
      </c>
      <c r="B109" s="161">
        <v>5.5714010030320316E-4</v>
      </c>
    </row>
    <row r="110" spans="1:2">
      <c r="A110" s="160" t="s">
        <v>1680</v>
      </c>
      <c r="B110" s="161">
        <v>5.3696554113144969E-4</v>
      </c>
    </row>
    <row r="111" spans="1:2">
      <c r="A111" s="160" t="s">
        <v>1162</v>
      </c>
      <c r="B111" s="161">
        <v>5.3674988791313309E-4</v>
      </c>
    </row>
    <row r="112" spans="1:2">
      <c r="A112" s="160" t="s">
        <v>921</v>
      </c>
      <c r="B112" s="161">
        <v>5.3030636217139598E-4</v>
      </c>
    </row>
    <row r="113" spans="1:2">
      <c r="A113" s="160" t="s">
        <v>1292</v>
      </c>
      <c r="B113" s="161">
        <v>5.0113940142087901E-4</v>
      </c>
    </row>
    <row r="114" spans="1:2">
      <c r="A114" s="160" t="s">
        <v>392</v>
      </c>
      <c r="B114" s="161">
        <v>4.6235780625865223E-4</v>
      </c>
    </row>
    <row r="115" spans="1:2">
      <c r="A115" s="160" t="s">
        <v>751</v>
      </c>
      <c r="B115" s="161">
        <v>4.5680414105593326E-4</v>
      </c>
    </row>
    <row r="116" spans="1:2">
      <c r="A116" s="160" t="s">
        <v>1459</v>
      </c>
      <c r="B116" s="161">
        <v>4.4080835415149876E-4</v>
      </c>
    </row>
    <row r="117" spans="1:2">
      <c r="A117" s="160" t="s">
        <v>739</v>
      </c>
      <c r="B117" s="161">
        <v>4.0335497925069017E-4</v>
      </c>
    </row>
    <row r="118" spans="1:2">
      <c r="A118" s="160" t="s">
        <v>1358</v>
      </c>
      <c r="B118" s="161">
        <v>3.9045620344019786E-4</v>
      </c>
    </row>
    <row r="119" spans="1:2">
      <c r="A119" s="160" t="s">
        <v>1828</v>
      </c>
      <c r="B119" s="161">
        <v>3.8107062256876174E-4</v>
      </c>
    </row>
    <row r="120" spans="1:2">
      <c r="A120" s="160" t="s">
        <v>1821</v>
      </c>
      <c r="B120" s="161">
        <v>3.672228122089371E-4</v>
      </c>
    </row>
    <row r="121" spans="1:2">
      <c r="A121" s="160" t="s">
        <v>1914</v>
      </c>
      <c r="B121" s="161">
        <v>3.6421384667089193E-4</v>
      </c>
    </row>
    <row r="122" spans="1:2">
      <c r="A122" s="160" t="s">
        <v>145</v>
      </c>
      <c r="B122" s="161">
        <v>3.3388813455780144E-4</v>
      </c>
    </row>
    <row r="123" spans="1:2">
      <c r="A123" s="160" t="s">
        <v>1688</v>
      </c>
      <c r="B123" s="161">
        <v>3.2616466062334297E-4</v>
      </c>
    </row>
    <row r="124" spans="1:2">
      <c r="A124" s="160" t="s">
        <v>375</v>
      </c>
      <c r="B124" s="161">
        <v>3.1688047508709126E-4</v>
      </c>
    </row>
    <row r="125" spans="1:2">
      <c r="A125" s="160" t="s">
        <v>2087</v>
      </c>
      <c r="B125" s="161">
        <v>2.8567167942081966E-4</v>
      </c>
    </row>
    <row r="126" spans="1:2">
      <c r="A126" s="160" t="s">
        <v>1918</v>
      </c>
      <c r="B126" s="161">
        <v>2.802345961655197E-4</v>
      </c>
    </row>
    <row r="127" spans="1:2">
      <c r="A127" s="160" t="s">
        <v>2006</v>
      </c>
      <c r="B127" s="161">
        <v>2.7553947189393191E-4</v>
      </c>
    </row>
    <row r="128" spans="1:2">
      <c r="A128" s="160" t="s">
        <v>2044</v>
      </c>
      <c r="B128" s="161">
        <v>2.7077168815375279E-4</v>
      </c>
    </row>
    <row r="129" spans="1:2">
      <c r="A129" s="160" t="s">
        <v>693</v>
      </c>
      <c r="B129" s="161">
        <v>2.6652827405775444E-4</v>
      </c>
    </row>
    <row r="130" spans="1:2">
      <c r="A130" s="160" t="s">
        <v>752</v>
      </c>
      <c r="B130" s="161">
        <v>2.6651016338358067E-4</v>
      </c>
    </row>
    <row r="131" spans="1:2">
      <c r="A131" s="160" t="s">
        <v>1619</v>
      </c>
      <c r="B131" s="161">
        <v>2.6427404087163572E-4</v>
      </c>
    </row>
    <row r="132" spans="1:2">
      <c r="A132" s="160" t="s">
        <v>919</v>
      </c>
      <c r="B132" s="161">
        <v>2.468877896213717E-4</v>
      </c>
    </row>
    <row r="133" spans="1:2">
      <c r="A133" s="160" t="s">
        <v>597</v>
      </c>
      <c r="B133" s="161">
        <v>2.3854821895874734E-4</v>
      </c>
    </row>
    <row r="134" spans="1:2">
      <c r="A134" s="160" t="s">
        <v>1529</v>
      </c>
      <c r="B134" s="161">
        <v>2.2491480903292371E-4</v>
      </c>
    </row>
    <row r="135" spans="1:2">
      <c r="A135" s="160" t="s">
        <v>1830</v>
      </c>
      <c r="B135" s="161">
        <v>2.1811704858592482E-4</v>
      </c>
    </row>
    <row r="136" spans="1:2">
      <c r="A136" s="160" t="s">
        <v>1706</v>
      </c>
      <c r="B136" s="161">
        <v>2.1256762335163955E-4</v>
      </c>
    </row>
    <row r="137" spans="1:2">
      <c r="A137" s="160" t="s">
        <v>922</v>
      </c>
      <c r="B137" s="161">
        <v>2.1179250725319063E-4</v>
      </c>
    </row>
    <row r="138" spans="1:2">
      <c r="A138" s="160" t="s">
        <v>1916</v>
      </c>
      <c r="B138" s="161">
        <v>2.0856274864423387E-4</v>
      </c>
    </row>
    <row r="139" spans="1:2">
      <c r="A139" s="160" t="s">
        <v>1917</v>
      </c>
      <c r="B139" s="161">
        <v>1.8421258679216017E-4</v>
      </c>
    </row>
    <row r="140" spans="1:2">
      <c r="A140" s="160" t="s">
        <v>2029</v>
      </c>
      <c r="B140" s="161">
        <v>1.7720088236762951E-4</v>
      </c>
    </row>
    <row r="141" spans="1:2">
      <c r="A141" s="160" t="s">
        <v>591</v>
      </c>
      <c r="B141" s="161">
        <v>1.7639682351459134E-4</v>
      </c>
    </row>
    <row r="142" spans="1:2">
      <c r="A142" s="160" t="s">
        <v>1165</v>
      </c>
      <c r="B142" s="161">
        <v>1.7414611910537993E-4</v>
      </c>
    </row>
    <row r="143" spans="1:2">
      <c r="A143" s="160" t="s">
        <v>2002</v>
      </c>
      <c r="B143" s="161">
        <v>1.7382843416350428E-4</v>
      </c>
    </row>
    <row r="144" spans="1:2">
      <c r="A144" s="160" t="s">
        <v>1697</v>
      </c>
      <c r="B144" s="161">
        <v>1.7073110903110527E-4</v>
      </c>
    </row>
    <row r="145" spans="1:2">
      <c r="A145" s="160" t="s">
        <v>1840</v>
      </c>
      <c r="B145" s="161">
        <v>1.6749108868768553E-4</v>
      </c>
    </row>
    <row r="146" spans="1:2">
      <c r="A146" s="160" t="s">
        <v>1913</v>
      </c>
      <c r="B146" s="161">
        <v>1.6068372715508002E-4</v>
      </c>
    </row>
    <row r="147" spans="1:2">
      <c r="A147" s="160" t="s">
        <v>2027</v>
      </c>
      <c r="B147" s="161">
        <v>1.4741648247562969E-4</v>
      </c>
    </row>
    <row r="148" spans="1:2">
      <c r="A148" s="160" t="s">
        <v>1531</v>
      </c>
      <c r="B148" s="161">
        <v>1.4013628056183387E-4</v>
      </c>
    </row>
    <row r="149" spans="1:2">
      <c r="A149" s="160" t="s">
        <v>820</v>
      </c>
      <c r="B149" s="161">
        <v>1.3686074377183846E-4</v>
      </c>
    </row>
    <row r="150" spans="1:2">
      <c r="A150" s="160" t="s">
        <v>918</v>
      </c>
      <c r="B150" s="161">
        <v>1.3296549926069328E-4</v>
      </c>
    </row>
    <row r="151" spans="1:2">
      <c r="A151" s="160" t="s">
        <v>1570</v>
      </c>
      <c r="B151" s="161">
        <v>1.3268888798812612E-4</v>
      </c>
    </row>
    <row r="152" spans="1:2">
      <c r="A152" s="160" t="s">
        <v>1919</v>
      </c>
      <c r="B152" s="161">
        <v>1.201313634818078E-4</v>
      </c>
    </row>
    <row r="153" spans="1:2">
      <c r="A153" s="160" t="s">
        <v>1236</v>
      </c>
      <c r="B153" s="161">
        <v>1.0975527993427015E-4</v>
      </c>
    </row>
    <row r="154" spans="1:2">
      <c r="A154" s="160" t="s">
        <v>789</v>
      </c>
      <c r="B154" s="161">
        <v>1.0908920953418162E-4</v>
      </c>
    </row>
    <row r="155" spans="1:2">
      <c r="A155" s="160" t="s">
        <v>788</v>
      </c>
      <c r="B155" s="161">
        <v>1.0351528009027565E-4</v>
      </c>
    </row>
    <row r="156" spans="1:2">
      <c r="A156" s="160" t="s">
        <v>1831</v>
      </c>
      <c r="B156" s="161">
        <v>9.9077725533415533E-5</v>
      </c>
    </row>
    <row r="157" spans="1:2">
      <c r="A157" s="160" t="s">
        <v>1833</v>
      </c>
      <c r="B157" s="161">
        <v>8.5015873255596169E-5</v>
      </c>
    </row>
    <row r="158" spans="1:2">
      <c r="A158" s="160" t="s">
        <v>2004</v>
      </c>
      <c r="B158" s="161">
        <v>8.2116839597393276E-5</v>
      </c>
    </row>
    <row r="159" spans="1:2">
      <c r="A159" s="160" t="s">
        <v>1718</v>
      </c>
      <c r="B159" s="161">
        <v>8.0344980712478839E-5</v>
      </c>
    </row>
    <row r="160" spans="1:2">
      <c r="A160" s="160" t="s">
        <v>1838</v>
      </c>
      <c r="B160" s="161">
        <v>7.5900886158745669E-5</v>
      </c>
    </row>
    <row r="161" spans="1:2">
      <c r="A161" s="160" t="s">
        <v>1693</v>
      </c>
      <c r="B161" s="161">
        <v>7.0543548005112756E-5</v>
      </c>
    </row>
    <row r="162" spans="1:2">
      <c r="A162" s="160" t="s">
        <v>2011</v>
      </c>
      <c r="B162" s="161">
        <v>6.8147472318975973E-5</v>
      </c>
    </row>
    <row r="163" spans="1:2">
      <c r="A163" s="160" t="s">
        <v>1826</v>
      </c>
      <c r="B163" s="161">
        <v>6.2544294842753527E-5</v>
      </c>
    </row>
    <row r="164" spans="1:2">
      <c r="A164" s="160" t="s">
        <v>1823</v>
      </c>
      <c r="B164" s="161">
        <v>5.2399523531256667E-5</v>
      </c>
    </row>
    <row r="165" spans="1:2">
      <c r="A165" s="160" t="s">
        <v>1835</v>
      </c>
      <c r="B165" s="161">
        <v>5.1538643709988728E-5</v>
      </c>
    </row>
    <row r="166" spans="1:2">
      <c r="A166" s="160" t="s">
        <v>1657</v>
      </c>
      <c r="B166" s="161">
        <v>5.1243090392483623E-5</v>
      </c>
    </row>
    <row r="167" spans="1:2">
      <c r="A167" s="160" t="s">
        <v>1841</v>
      </c>
      <c r="B167" s="161">
        <v>5.1167428240021955E-5</v>
      </c>
    </row>
    <row r="168" spans="1:2">
      <c r="A168" s="160" t="s">
        <v>1836</v>
      </c>
      <c r="B168" s="161">
        <v>4.8246844759739575E-5</v>
      </c>
    </row>
    <row r="169" spans="1:2">
      <c r="A169" s="160" t="s">
        <v>1834</v>
      </c>
      <c r="B169" s="161">
        <v>4.7815077823223643E-5</v>
      </c>
    </row>
    <row r="170" spans="1:2">
      <c r="A170" s="160" t="s">
        <v>1417</v>
      </c>
      <c r="B170" s="161">
        <v>4.4050636394416745E-5</v>
      </c>
    </row>
    <row r="171" spans="1:2">
      <c r="A171" s="160" t="s">
        <v>2017</v>
      </c>
      <c r="B171" s="161">
        <v>4.3746705573188909E-5</v>
      </c>
    </row>
    <row r="172" spans="1:2">
      <c r="A172" s="160" t="s">
        <v>2019</v>
      </c>
      <c r="B172" s="161">
        <v>4.2870184704923869E-5</v>
      </c>
    </row>
    <row r="173" spans="1:2">
      <c r="A173" s="160" t="s">
        <v>2015</v>
      </c>
      <c r="B173" s="161">
        <v>4.2788565481050634E-5</v>
      </c>
    </row>
    <row r="174" spans="1:2">
      <c r="A174" s="160" t="s">
        <v>1408</v>
      </c>
      <c r="B174" s="161">
        <v>4.0765926896022839E-5</v>
      </c>
    </row>
    <row r="175" spans="1:2">
      <c r="A175" s="160" t="s">
        <v>1843</v>
      </c>
      <c r="B175" s="161">
        <v>3.5992240221247656E-5</v>
      </c>
    </row>
    <row r="176" spans="1:2">
      <c r="A176" s="160" t="s">
        <v>1824</v>
      </c>
      <c r="B176" s="161">
        <v>3.3791156808438889E-5</v>
      </c>
    </row>
    <row r="177" spans="1:2">
      <c r="A177" s="160" t="s">
        <v>1825</v>
      </c>
      <c r="B177" s="161">
        <v>3.1487340139810434E-5</v>
      </c>
    </row>
    <row r="178" spans="1:2">
      <c r="A178" s="160" t="s">
        <v>1695</v>
      </c>
      <c r="B178" s="161">
        <v>3.1466446698539588E-5</v>
      </c>
    </row>
    <row r="179" spans="1:2">
      <c r="A179" s="160" t="s">
        <v>1872</v>
      </c>
      <c r="B179" s="161">
        <v>3.1136263565208884E-5</v>
      </c>
    </row>
    <row r="180" spans="1:2">
      <c r="A180" s="160" t="s">
        <v>2034</v>
      </c>
      <c r="B180" s="161">
        <v>2.8708256143291914E-5</v>
      </c>
    </row>
    <row r="181" spans="1:2">
      <c r="A181" s="160" t="s">
        <v>1837</v>
      </c>
      <c r="B181" s="161">
        <v>2.6176832353289993E-5</v>
      </c>
    </row>
    <row r="182" spans="1:2">
      <c r="A182" s="160" t="s">
        <v>2036</v>
      </c>
      <c r="B182" s="161">
        <v>2.5907212142847008E-5</v>
      </c>
    </row>
    <row r="183" spans="1:2">
      <c r="A183" s="160" t="s">
        <v>694</v>
      </c>
      <c r="B183" s="161">
        <v>2.5535459348138867E-5</v>
      </c>
    </row>
    <row r="184" spans="1:2">
      <c r="A184" s="160" t="s">
        <v>1842</v>
      </c>
      <c r="B184" s="161">
        <v>2.497477041514762E-5</v>
      </c>
    </row>
    <row r="185" spans="1:2">
      <c r="A185" s="160" t="s">
        <v>1410</v>
      </c>
      <c r="B185" s="161">
        <v>2.3951822714372046E-5</v>
      </c>
    </row>
    <row r="186" spans="1:2">
      <c r="A186" s="160" t="s">
        <v>2065</v>
      </c>
      <c r="B186" s="161">
        <v>2.3741555996880509E-5</v>
      </c>
    </row>
    <row r="187" spans="1:2">
      <c r="A187" s="160" t="s">
        <v>1827</v>
      </c>
      <c r="B187" s="161">
        <v>2.3699451481736682E-5</v>
      </c>
    </row>
    <row r="188" spans="1:2">
      <c r="A188" s="160" t="s">
        <v>1829</v>
      </c>
      <c r="B188" s="161">
        <v>2.3422533134369582E-5</v>
      </c>
    </row>
    <row r="189" spans="1:2">
      <c r="A189" s="160" t="s">
        <v>2060</v>
      </c>
      <c r="B189" s="161">
        <v>2.3300817174841812E-5</v>
      </c>
    </row>
    <row r="190" spans="1:2">
      <c r="A190" s="160" t="s">
        <v>1839</v>
      </c>
      <c r="B190" s="161">
        <v>2.2399566339696426E-5</v>
      </c>
    </row>
    <row r="191" spans="1:2">
      <c r="A191" s="160" t="s">
        <v>2063</v>
      </c>
      <c r="B191" s="161">
        <v>2.1744502785344738E-5</v>
      </c>
    </row>
    <row r="192" spans="1:2">
      <c r="A192" s="160" t="s">
        <v>1832</v>
      </c>
      <c r="B192" s="161">
        <v>2.1641624191269342E-5</v>
      </c>
    </row>
    <row r="193" spans="1:2">
      <c r="A193" s="160" t="s">
        <v>2032</v>
      </c>
      <c r="B193" s="161">
        <v>2.1376431967992721E-5</v>
      </c>
    </row>
    <row r="194" spans="1:2">
      <c r="A194" s="162" t="s">
        <v>75</v>
      </c>
      <c r="B194" s="163">
        <v>0.84419134931001072</v>
      </c>
    </row>
  </sheetData>
  <phoneticPr fontId="3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9D7C-6CE1-4D24-BFA5-FB4DE12DAF08}">
  <sheetPr>
    <outlinePr summaryBelow="0"/>
  </sheetPr>
  <dimension ref="A1:AI1364"/>
  <sheetViews>
    <sheetView topLeftCell="L712" zoomScaleNormal="100" workbookViewId="0">
      <selection activeCell="P725" sqref="P725"/>
    </sheetView>
  </sheetViews>
  <sheetFormatPr baseColWidth="10" defaultColWidth="9.140625" defaultRowHeight="15"/>
  <cols>
    <col min="1" max="1" width="43" customWidth="1"/>
    <col min="2" max="2" width="16" customWidth="1"/>
    <col min="3" max="3" width="34" style="52" customWidth="1"/>
    <col min="4" max="5" width="15" hidden="1" customWidth="1"/>
    <col min="6" max="6" width="31" hidden="1" customWidth="1"/>
    <col min="7" max="7" width="17" customWidth="1"/>
    <col min="8" max="8" width="16" customWidth="1"/>
    <col min="9" max="9" width="17" customWidth="1"/>
    <col min="10" max="10" width="16" customWidth="1"/>
    <col min="11" max="11" width="19" customWidth="1"/>
    <col min="12" max="12" width="15" customWidth="1"/>
    <col min="13" max="13" width="18" customWidth="1"/>
    <col min="14" max="14" width="20" customWidth="1"/>
    <col min="15" max="16" width="19" customWidth="1"/>
    <col min="17" max="17" width="15" customWidth="1"/>
    <col min="18" max="18" width="19" customWidth="1"/>
    <col min="19" max="19" width="20" customWidth="1"/>
    <col min="20" max="20" width="19" style="19" customWidth="1"/>
    <col min="21" max="22" width="34" customWidth="1"/>
    <col min="23" max="23" width="26" style="11" bestFit="1" customWidth="1"/>
    <col min="26" max="26" width="10.42578125" bestFit="1" customWidth="1"/>
    <col min="27" max="27" width="15.42578125" bestFit="1" customWidth="1"/>
    <col min="28" max="28" width="16.140625" bestFit="1" customWidth="1"/>
    <col min="29" max="29" width="16.28515625" style="19" bestFit="1" customWidth="1"/>
    <col min="30" max="30" width="17.140625" bestFit="1" customWidth="1"/>
    <col min="31" max="31" width="24.7109375" bestFit="1" customWidth="1"/>
    <col min="32" max="32" width="15.140625" bestFit="1" customWidth="1"/>
  </cols>
  <sheetData>
    <row r="1" spans="1:29" ht="15.75">
      <c r="A1" s="45" t="s">
        <v>74</v>
      </c>
      <c r="B1" s="45"/>
      <c r="C1" s="57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54"/>
      <c r="U1" s="45"/>
      <c r="V1" s="46"/>
      <c r="W1" s="48" t="s">
        <v>29</v>
      </c>
    </row>
    <row r="2" spans="1:29">
      <c r="A2" s="14" t="s">
        <v>66</v>
      </c>
      <c r="B2" s="14" t="s">
        <v>73</v>
      </c>
      <c r="C2" s="58" t="s">
        <v>66</v>
      </c>
      <c r="D2" s="14" t="s">
        <v>30</v>
      </c>
      <c r="E2" s="14" t="s">
        <v>32</v>
      </c>
      <c r="F2" s="14" t="s">
        <v>72</v>
      </c>
      <c r="G2" s="14" t="s">
        <v>71</v>
      </c>
      <c r="H2" s="14" t="s">
        <v>71</v>
      </c>
      <c r="I2" s="14" t="s">
        <v>70</v>
      </c>
      <c r="J2" s="14" t="s">
        <v>70</v>
      </c>
      <c r="K2" s="14" t="s">
        <v>16</v>
      </c>
      <c r="L2" s="14" t="s">
        <v>69</v>
      </c>
      <c r="M2" s="14" t="s">
        <v>16</v>
      </c>
      <c r="N2" s="14" t="s">
        <v>16</v>
      </c>
      <c r="O2" s="14" t="s">
        <v>16</v>
      </c>
      <c r="P2" s="14" t="s">
        <v>16</v>
      </c>
      <c r="Q2" s="14" t="s">
        <v>68</v>
      </c>
      <c r="R2" s="14" t="s">
        <v>67</v>
      </c>
      <c r="S2" s="14" t="s">
        <v>67</v>
      </c>
      <c r="T2" s="55" t="s">
        <v>67</v>
      </c>
      <c r="U2" s="14" t="s">
        <v>66</v>
      </c>
      <c r="V2" s="14" t="s">
        <v>66</v>
      </c>
      <c r="W2" s="61">
        <f>+VLOOKUP(W1,'GESTION MOMENTUM'!A:B,2,0)</f>
        <v>44516840856.550003</v>
      </c>
    </row>
    <row r="3" spans="1:29" ht="26.25">
      <c r="A3" s="55" t="s">
        <v>65</v>
      </c>
      <c r="B3" s="55" t="s">
        <v>9</v>
      </c>
      <c r="C3" s="55" t="s">
        <v>64</v>
      </c>
      <c r="D3" s="55" t="s">
        <v>30</v>
      </c>
      <c r="E3" s="55" t="s">
        <v>32</v>
      </c>
      <c r="F3" s="55" t="s">
        <v>72</v>
      </c>
      <c r="G3" s="55" t="s">
        <v>63</v>
      </c>
      <c r="H3" s="55" t="s">
        <v>62</v>
      </c>
      <c r="I3" s="55" t="s">
        <v>63</v>
      </c>
      <c r="J3" s="55" t="s">
        <v>62</v>
      </c>
      <c r="K3" s="55" t="s">
        <v>58</v>
      </c>
      <c r="L3" s="55" t="s">
        <v>61</v>
      </c>
      <c r="M3" s="55" t="s">
        <v>60</v>
      </c>
      <c r="N3" s="55" t="s">
        <v>57</v>
      </c>
      <c r="O3" s="55" t="s">
        <v>56</v>
      </c>
      <c r="P3" s="55" t="s">
        <v>59</v>
      </c>
      <c r="Q3" s="55" t="s">
        <v>68</v>
      </c>
      <c r="R3" s="55" t="s">
        <v>58</v>
      </c>
      <c r="S3" s="55" t="s">
        <v>57</v>
      </c>
      <c r="T3" s="55" t="s">
        <v>56</v>
      </c>
      <c r="U3" s="55" t="s">
        <v>55</v>
      </c>
      <c r="V3" s="55" t="s">
        <v>81</v>
      </c>
      <c r="W3" s="55" t="s">
        <v>106</v>
      </c>
    </row>
    <row r="4" spans="1:29">
      <c r="A4" s="13" t="s">
        <v>558</v>
      </c>
      <c r="B4" s="13" t="s">
        <v>538</v>
      </c>
      <c r="C4" s="139">
        <v>46181</v>
      </c>
      <c r="D4" s="139" t="s">
        <v>516</v>
      </c>
      <c r="E4" s="28">
        <v>1</v>
      </c>
      <c r="F4" s="13"/>
      <c r="G4" s="18">
        <v>20000000</v>
      </c>
      <c r="H4" s="18">
        <v>20000000</v>
      </c>
      <c r="I4" s="18">
        <v>20000000</v>
      </c>
      <c r="J4" s="18">
        <v>20000000</v>
      </c>
      <c r="K4" s="15">
        <v>70219521</v>
      </c>
      <c r="L4" s="13" t="s">
        <v>102</v>
      </c>
      <c r="M4" s="13" t="s">
        <v>103</v>
      </c>
      <c r="N4" s="139" t="s">
        <v>358</v>
      </c>
      <c r="O4" s="139" t="s">
        <v>358</v>
      </c>
      <c r="P4" s="28">
        <v>46</v>
      </c>
      <c r="Q4" s="13" t="s">
        <v>54</v>
      </c>
      <c r="R4" s="13" t="s">
        <v>28</v>
      </c>
      <c r="S4" s="13"/>
      <c r="T4" s="13"/>
      <c r="U4" s="13" t="s">
        <v>720</v>
      </c>
      <c r="V4" s="13" t="s">
        <v>720</v>
      </c>
      <c r="W4" s="59">
        <f>+J4/$W$2</f>
        <v>4.4926817840573009E-4</v>
      </c>
    </row>
    <row r="5" spans="1:29">
      <c r="A5" s="13" t="s">
        <v>558</v>
      </c>
      <c r="B5" s="13" t="s">
        <v>538</v>
      </c>
      <c r="C5" s="139">
        <v>46181</v>
      </c>
      <c r="D5" s="139" t="s">
        <v>516</v>
      </c>
      <c r="E5" s="28">
        <v>1</v>
      </c>
      <c r="F5" s="13"/>
      <c r="G5" s="18">
        <v>20000000</v>
      </c>
      <c r="H5" s="18">
        <v>20000000</v>
      </c>
      <c r="I5" s="18">
        <v>20000000</v>
      </c>
      <c r="J5" s="18">
        <v>20000000</v>
      </c>
      <c r="K5" s="15">
        <v>70219520</v>
      </c>
      <c r="L5" s="13" t="s">
        <v>102</v>
      </c>
      <c r="M5" s="13" t="s">
        <v>103</v>
      </c>
      <c r="N5" s="139" t="s">
        <v>358</v>
      </c>
      <c r="O5" s="139" t="s">
        <v>358</v>
      </c>
      <c r="P5" s="28">
        <v>46</v>
      </c>
      <c r="Q5" s="13" t="s">
        <v>54</v>
      </c>
      <c r="R5" s="13" t="s">
        <v>28</v>
      </c>
      <c r="S5" s="13"/>
      <c r="T5" s="13"/>
      <c r="U5" s="13" t="s">
        <v>721</v>
      </c>
      <c r="V5" s="13" t="s">
        <v>721</v>
      </c>
      <c r="W5" s="59">
        <f>+J5/$W$2</f>
        <v>4.4926817840573009E-4</v>
      </c>
      <c r="AC5" s="56"/>
    </row>
    <row r="6" spans="1:29">
      <c r="A6" s="13" t="s">
        <v>558</v>
      </c>
      <c r="B6" s="13" t="s">
        <v>538</v>
      </c>
      <c r="C6" s="139">
        <v>46181</v>
      </c>
      <c r="D6" s="139" t="s">
        <v>516</v>
      </c>
      <c r="E6" s="28">
        <v>1</v>
      </c>
      <c r="F6" s="13"/>
      <c r="G6" s="18">
        <v>20000000</v>
      </c>
      <c r="H6" s="18">
        <v>20000000</v>
      </c>
      <c r="I6" s="18">
        <v>20000000</v>
      </c>
      <c r="J6" s="18">
        <v>20000000</v>
      </c>
      <c r="K6" s="15">
        <v>70219519</v>
      </c>
      <c r="L6" s="13" t="s">
        <v>102</v>
      </c>
      <c r="M6" s="13" t="s">
        <v>103</v>
      </c>
      <c r="N6" s="139" t="s">
        <v>358</v>
      </c>
      <c r="O6" s="139" t="s">
        <v>358</v>
      </c>
      <c r="P6" s="28">
        <v>46</v>
      </c>
      <c r="Q6" s="13" t="s">
        <v>54</v>
      </c>
      <c r="R6" s="13" t="s">
        <v>28</v>
      </c>
      <c r="S6" s="13"/>
      <c r="T6" s="13"/>
      <c r="U6" s="13" t="s">
        <v>722</v>
      </c>
      <c r="V6" s="13" t="s">
        <v>722</v>
      </c>
      <c r="W6" s="59">
        <f>+J6/$W$2</f>
        <v>4.4926817840573009E-4</v>
      </c>
      <c r="AC6" s="56"/>
    </row>
    <row r="7" spans="1:29">
      <c r="A7" s="13" t="s">
        <v>339</v>
      </c>
      <c r="B7" s="13" t="s">
        <v>538</v>
      </c>
      <c r="C7" s="139">
        <v>46181</v>
      </c>
      <c r="D7" s="139" t="s">
        <v>516</v>
      </c>
      <c r="E7" s="28">
        <v>1</v>
      </c>
      <c r="F7" s="13"/>
      <c r="G7" s="18">
        <v>5000000</v>
      </c>
      <c r="H7" s="18">
        <v>5000000</v>
      </c>
      <c r="I7" s="18">
        <v>5000000</v>
      </c>
      <c r="J7" s="18">
        <v>5000000</v>
      </c>
      <c r="K7" s="15">
        <v>90000056</v>
      </c>
      <c r="L7" s="13" t="s">
        <v>102</v>
      </c>
      <c r="M7" s="13" t="s">
        <v>103</v>
      </c>
      <c r="N7" s="139" t="s">
        <v>244</v>
      </c>
      <c r="O7" s="139" t="s">
        <v>244</v>
      </c>
      <c r="P7" s="28">
        <v>35</v>
      </c>
      <c r="Q7" s="13" t="s">
        <v>54</v>
      </c>
      <c r="R7" s="13" t="s">
        <v>28</v>
      </c>
      <c r="S7" s="13"/>
      <c r="T7" s="13"/>
      <c r="U7" s="13" t="s">
        <v>515</v>
      </c>
      <c r="V7" s="13" t="s">
        <v>515</v>
      </c>
      <c r="W7" s="59">
        <f>+J7/$W$2</f>
        <v>1.1231704460143252E-4</v>
      </c>
    </row>
    <row r="8" spans="1:29">
      <c r="A8" s="13" t="s">
        <v>444</v>
      </c>
      <c r="B8" s="13" t="s">
        <v>538</v>
      </c>
      <c r="C8" s="139">
        <v>46181</v>
      </c>
      <c r="D8" s="139" t="s">
        <v>516</v>
      </c>
      <c r="E8" s="28">
        <v>1</v>
      </c>
      <c r="F8" s="13"/>
      <c r="G8" s="18">
        <v>20000000</v>
      </c>
      <c r="H8" s="18">
        <v>20000000</v>
      </c>
      <c r="I8" s="18">
        <v>20000000</v>
      </c>
      <c r="J8" s="18">
        <v>20000000</v>
      </c>
      <c r="K8" s="15">
        <v>13318413</v>
      </c>
      <c r="L8" s="13" t="s">
        <v>102</v>
      </c>
      <c r="M8" s="13" t="s">
        <v>103</v>
      </c>
      <c r="N8" s="139" t="s">
        <v>231</v>
      </c>
      <c r="O8" s="139" t="s">
        <v>231</v>
      </c>
      <c r="P8" s="28">
        <v>41</v>
      </c>
      <c r="Q8" s="13" t="s">
        <v>54</v>
      </c>
      <c r="R8" s="13" t="s">
        <v>28</v>
      </c>
      <c r="S8" s="13"/>
      <c r="T8" s="13"/>
      <c r="U8" s="13" t="s">
        <v>642</v>
      </c>
      <c r="V8" s="13" t="s">
        <v>642</v>
      </c>
      <c r="W8" s="59">
        <f>+J8/$W$2</f>
        <v>4.4926817840573009E-4</v>
      </c>
    </row>
    <row r="9" spans="1:29">
      <c r="A9" s="13" t="s">
        <v>426</v>
      </c>
      <c r="B9" s="13" t="s">
        <v>538</v>
      </c>
      <c r="C9" s="139">
        <v>46181</v>
      </c>
      <c r="D9" s="139" t="s">
        <v>516</v>
      </c>
      <c r="E9" s="28">
        <v>1</v>
      </c>
      <c r="F9" s="13"/>
      <c r="G9" s="18">
        <v>3000000</v>
      </c>
      <c r="H9" s="18">
        <v>3000000</v>
      </c>
      <c r="I9" s="18">
        <v>3000000</v>
      </c>
      <c r="J9" s="18">
        <v>3000000</v>
      </c>
      <c r="K9" s="15">
        <v>3181</v>
      </c>
      <c r="L9" s="13" t="s">
        <v>102</v>
      </c>
      <c r="M9" s="13" t="s">
        <v>103</v>
      </c>
      <c r="N9" s="139" t="s">
        <v>153</v>
      </c>
      <c r="O9" s="139" t="s">
        <v>153</v>
      </c>
      <c r="P9" s="28">
        <v>43</v>
      </c>
      <c r="Q9" s="13" t="s">
        <v>54</v>
      </c>
      <c r="R9" s="13" t="s">
        <v>28</v>
      </c>
      <c r="S9" s="13"/>
      <c r="T9" s="13"/>
      <c r="U9" s="13" t="s">
        <v>544</v>
      </c>
      <c r="V9" s="13" t="s">
        <v>544</v>
      </c>
      <c r="W9" s="59">
        <f>+J9/$W$2</f>
        <v>6.739022676085951E-5</v>
      </c>
    </row>
    <row r="10" spans="1:29">
      <c r="A10" s="13" t="s">
        <v>210</v>
      </c>
      <c r="B10" s="13" t="s">
        <v>538</v>
      </c>
      <c r="C10" s="139">
        <v>46181</v>
      </c>
      <c r="D10" s="139" t="s">
        <v>516</v>
      </c>
      <c r="E10" s="28">
        <v>1</v>
      </c>
      <c r="F10" s="13"/>
      <c r="G10" s="18">
        <v>10608716.66</v>
      </c>
      <c r="H10" s="18">
        <v>10608716.66</v>
      </c>
      <c r="I10" s="18">
        <v>10608716.66</v>
      </c>
      <c r="J10" s="18">
        <v>10608716.66</v>
      </c>
      <c r="K10" s="15">
        <v>2708</v>
      </c>
      <c r="L10" s="13" t="s">
        <v>102</v>
      </c>
      <c r="M10" s="13" t="s">
        <v>103</v>
      </c>
      <c r="N10" s="139" t="s">
        <v>155</v>
      </c>
      <c r="O10" s="139" t="s">
        <v>155</v>
      </c>
      <c r="P10" s="28">
        <v>27</v>
      </c>
      <c r="Q10" s="13" t="s">
        <v>54</v>
      </c>
      <c r="R10" s="13" t="s">
        <v>28</v>
      </c>
      <c r="S10" s="13"/>
      <c r="T10" s="13"/>
      <c r="U10" s="13" t="s">
        <v>622</v>
      </c>
      <c r="V10" s="13" t="s">
        <v>622</v>
      </c>
      <c r="W10" s="59">
        <f>+J10/$W$2</f>
        <v>2.3830794045303605E-4</v>
      </c>
    </row>
    <row r="11" spans="1:29">
      <c r="A11" s="13" t="s">
        <v>210</v>
      </c>
      <c r="B11" s="13" t="s">
        <v>538</v>
      </c>
      <c r="C11" s="139">
        <v>46181</v>
      </c>
      <c r="D11" s="139" t="s">
        <v>516</v>
      </c>
      <c r="E11" s="28">
        <v>1</v>
      </c>
      <c r="F11" s="13"/>
      <c r="G11" s="18">
        <v>5795550.9000000004</v>
      </c>
      <c r="H11" s="18">
        <v>5795550.9000000004</v>
      </c>
      <c r="I11" s="18">
        <v>5795550.9000000004</v>
      </c>
      <c r="J11" s="18">
        <v>5795550.9000000004</v>
      </c>
      <c r="K11" s="15">
        <v>2709</v>
      </c>
      <c r="L11" s="13" t="s">
        <v>102</v>
      </c>
      <c r="M11" s="13" t="s">
        <v>103</v>
      </c>
      <c r="N11" s="139" t="s">
        <v>155</v>
      </c>
      <c r="O11" s="139" t="s">
        <v>155</v>
      </c>
      <c r="P11" s="28">
        <v>27</v>
      </c>
      <c r="Q11" s="13" t="s">
        <v>54</v>
      </c>
      <c r="R11" s="13" t="s">
        <v>28</v>
      </c>
      <c r="S11" s="13"/>
      <c r="T11" s="13"/>
      <c r="U11" s="13" t="s">
        <v>623</v>
      </c>
      <c r="V11" s="13" t="s">
        <v>623</v>
      </c>
      <c r="W11" s="59">
        <f>+J11/$W$2</f>
        <v>1.3018782978503447E-4</v>
      </c>
      <c r="AC11" s="56"/>
    </row>
    <row r="12" spans="1:29">
      <c r="A12" s="13" t="s">
        <v>590</v>
      </c>
      <c r="B12" s="13" t="s">
        <v>538</v>
      </c>
      <c r="C12" s="139">
        <v>46181</v>
      </c>
      <c r="D12" s="139" t="s">
        <v>516</v>
      </c>
      <c r="E12" s="28">
        <v>1</v>
      </c>
      <c r="F12" s="13"/>
      <c r="G12" s="18">
        <v>10918371.689999999</v>
      </c>
      <c r="H12" s="18">
        <v>10918371.689999999</v>
      </c>
      <c r="I12" s="18">
        <v>10918371.689999999</v>
      </c>
      <c r="J12" s="18">
        <v>10918371.689999999</v>
      </c>
      <c r="K12" s="15">
        <v>30450</v>
      </c>
      <c r="L12" s="13" t="s">
        <v>102</v>
      </c>
      <c r="M12" s="13" t="s">
        <v>103</v>
      </c>
      <c r="N12" s="139" t="s">
        <v>231</v>
      </c>
      <c r="O12" s="139" t="s">
        <v>231</v>
      </c>
      <c r="P12" s="28">
        <v>41</v>
      </c>
      <c r="Q12" s="13" t="s">
        <v>54</v>
      </c>
      <c r="R12" s="13" t="s">
        <v>28</v>
      </c>
      <c r="S12" s="13"/>
      <c r="T12" s="13"/>
      <c r="U12" s="13" t="s">
        <v>654</v>
      </c>
      <c r="V12" s="13" t="s">
        <v>654</v>
      </c>
      <c r="W12" s="59">
        <f>+J12/$W$2</f>
        <v>2.4526384801614961E-4</v>
      </c>
    </row>
    <row r="13" spans="1:29">
      <c r="A13" s="13" t="s">
        <v>590</v>
      </c>
      <c r="B13" s="13" t="s">
        <v>538</v>
      </c>
      <c r="C13" s="139">
        <v>46181</v>
      </c>
      <c r="D13" s="139" t="s">
        <v>516</v>
      </c>
      <c r="E13" s="28">
        <v>1</v>
      </c>
      <c r="F13" s="13"/>
      <c r="G13" s="18">
        <v>13296076.9</v>
      </c>
      <c r="H13" s="18">
        <v>13296076.9</v>
      </c>
      <c r="I13" s="18">
        <v>13296076.9</v>
      </c>
      <c r="J13" s="18">
        <v>13296076.9</v>
      </c>
      <c r="K13" s="15">
        <v>30430</v>
      </c>
      <c r="L13" s="13" t="s">
        <v>102</v>
      </c>
      <c r="M13" s="13" t="s">
        <v>103</v>
      </c>
      <c r="N13" s="139" t="s">
        <v>231</v>
      </c>
      <c r="O13" s="139" t="s">
        <v>231</v>
      </c>
      <c r="P13" s="28">
        <v>41</v>
      </c>
      <c r="Q13" s="13" t="s">
        <v>54</v>
      </c>
      <c r="R13" s="13" t="s">
        <v>28</v>
      </c>
      <c r="S13" s="13"/>
      <c r="T13" s="13"/>
      <c r="U13" s="13" t="s">
        <v>664</v>
      </c>
      <c r="V13" s="13" t="s">
        <v>664</v>
      </c>
      <c r="W13" s="59">
        <f>+J13/$W$2</f>
        <v>2.9867521244027531E-4</v>
      </c>
    </row>
    <row r="14" spans="1:29">
      <c r="A14" s="13" t="s">
        <v>923</v>
      </c>
      <c r="B14" s="13" t="s">
        <v>538</v>
      </c>
      <c r="C14" s="139">
        <v>46182</v>
      </c>
      <c r="D14" s="139" t="s">
        <v>516</v>
      </c>
      <c r="E14" s="28">
        <v>0.99917876000000005</v>
      </c>
      <c r="F14" s="13"/>
      <c r="G14" s="18">
        <v>6000000</v>
      </c>
      <c r="H14" s="18">
        <v>5995072.5499999998</v>
      </c>
      <c r="I14" s="18">
        <v>6000000</v>
      </c>
      <c r="J14" s="18">
        <v>5995072.5499999998</v>
      </c>
      <c r="K14" s="15">
        <v>10926492</v>
      </c>
      <c r="L14" s="13" t="s">
        <v>102</v>
      </c>
      <c r="M14" s="13" t="s">
        <v>103</v>
      </c>
      <c r="N14" s="139" t="s">
        <v>428</v>
      </c>
      <c r="O14" s="139" t="s">
        <v>428</v>
      </c>
      <c r="P14" s="28">
        <v>30</v>
      </c>
      <c r="Q14" s="13" t="s">
        <v>54</v>
      </c>
      <c r="R14" s="13" t="s">
        <v>28</v>
      </c>
      <c r="S14" s="13"/>
      <c r="T14" s="13"/>
      <c r="U14" s="13" t="s">
        <v>945</v>
      </c>
      <c r="V14" s="13" t="s">
        <v>945</v>
      </c>
      <c r="W14" s="59">
        <f>+J14/$W$2</f>
        <v>1.3466976619743476E-4</v>
      </c>
    </row>
    <row r="15" spans="1:29">
      <c r="A15" s="13" t="s">
        <v>916</v>
      </c>
      <c r="B15" s="13" t="s">
        <v>538</v>
      </c>
      <c r="C15" s="139">
        <v>46182</v>
      </c>
      <c r="D15" s="139" t="s">
        <v>516</v>
      </c>
      <c r="E15" s="28">
        <v>0.99909671</v>
      </c>
      <c r="F15" s="13"/>
      <c r="G15" s="18">
        <v>10000000</v>
      </c>
      <c r="H15" s="18">
        <v>9990967.1099999994</v>
      </c>
      <c r="I15" s="18">
        <v>10000000</v>
      </c>
      <c r="J15" s="18">
        <v>9990967.1099999994</v>
      </c>
      <c r="K15" s="15">
        <v>13633519</v>
      </c>
      <c r="L15" s="13" t="s">
        <v>102</v>
      </c>
      <c r="M15" s="13" t="s">
        <v>103</v>
      </c>
      <c r="N15" s="139" t="s">
        <v>163</v>
      </c>
      <c r="O15" s="139" t="s">
        <v>163</v>
      </c>
      <c r="P15" s="28">
        <v>33</v>
      </c>
      <c r="Q15" s="13" t="s">
        <v>54</v>
      </c>
      <c r="R15" s="13" t="s">
        <v>28</v>
      </c>
      <c r="S15" s="13"/>
      <c r="T15" s="13"/>
      <c r="U15" s="13" t="s">
        <v>1586</v>
      </c>
      <c r="V15" s="13" t="s">
        <v>1586</v>
      </c>
      <c r="W15" s="59">
        <f>+J15/$W$2</f>
        <v>2.2443117970106306E-4</v>
      </c>
    </row>
    <row r="16" spans="1:29">
      <c r="A16" s="13" t="s">
        <v>539</v>
      </c>
      <c r="B16" s="13" t="s">
        <v>538</v>
      </c>
      <c r="C16" s="139">
        <v>46182</v>
      </c>
      <c r="D16" s="139" t="s">
        <v>516</v>
      </c>
      <c r="E16" s="28">
        <v>0.99904201999999998</v>
      </c>
      <c r="F16" s="13"/>
      <c r="G16" s="18">
        <v>10000000</v>
      </c>
      <c r="H16" s="18">
        <v>9990420.1699999999</v>
      </c>
      <c r="I16" s="18">
        <v>10000000</v>
      </c>
      <c r="J16" s="18">
        <v>9990420.1699999999</v>
      </c>
      <c r="K16" s="15">
        <v>383</v>
      </c>
      <c r="L16" s="13" t="s">
        <v>102</v>
      </c>
      <c r="M16" s="13" t="s">
        <v>103</v>
      </c>
      <c r="N16" s="139" t="s">
        <v>428</v>
      </c>
      <c r="O16" s="139" t="s">
        <v>428</v>
      </c>
      <c r="P16" s="28">
        <v>35</v>
      </c>
      <c r="Q16" s="13" t="s">
        <v>54</v>
      </c>
      <c r="R16" s="13" t="s">
        <v>28</v>
      </c>
      <c r="S16" s="13"/>
      <c r="T16" s="13"/>
      <c r="U16" s="13" t="s">
        <v>958</v>
      </c>
      <c r="V16" s="13" t="s">
        <v>958</v>
      </c>
      <c r="W16" s="59">
        <f>+J16/$W$2</f>
        <v>2.2441889356418821E-4</v>
      </c>
    </row>
    <row r="17" spans="1:29">
      <c r="A17" s="13" t="s">
        <v>558</v>
      </c>
      <c r="B17" s="13" t="s">
        <v>538</v>
      </c>
      <c r="C17" s="139">
        <v>46182</v>
      </c>
      <c r="D17" s="139" t="s">
        <v>516</v>
      </c>
      <c r="E17" s="28">
        <v>0.99874130999999999</v>
      </c>
      <c r="F17" s="13"/>
      <c r="G17" s="18">
        <v>20000000</v>
      </c>
      <c r="H17" s="18">
        <v>19974826.289999999</v>
      </c>
      <c r="I17" s="18">
        <v>20000000</v>
      </c>
      <c r="J17" s="18">
        <v>19974826.289999999</v>
      </c>
      <c r="K17" s="15">
        <v>70219522</v>
      </c>
      <c r="L17" s="13" t="s">
        <v>102</v>
      </c>
      <c r="M17" s="13" t="s">
        <v>103</v>
      </c>
      <c r="N17" s="139" t="s">
        <v>358</v>
      </c>
      <c r="O17" s="139" t="s">
        <v>358</v>
      </c>
      <c r="P17" s="28">
        <v>46</v>
      </c>
      <c r="Q17" s="13" t="s">
        <v>54</v>
      </c>
      <c r="R17" s="13" t="s">
        <v>28</v>
      </c>
      <c r="S17" s="13"/>
      <c r="T17" s="13"/>
      <c r="U17" s="13" t="s">
        <v>725</v>
      </c>
      <c r="V17" s="13" t="s">
        <v>725</v>
      </c>
      <c r="W17" s="59">
        <f>+J17/$W$2</f>
        <v>4.4870269106395935E-4</v>
      </c>
    </row>
    <row r="18" spans="1:29">
      <c r="A18" s="13" t="s">
        <v>365</v>
      </c>
      <c r="B18" s="13" t="s">
        <v>538</v>
      </c>
      <c r="C18" s="139">
        <v>46182</v>
      </c>
      <c r="D18" s="139" t="s">
        <v>516</v>
      </c>
      <c r="E18" s="28">
        <v>0.99895999000000002</v>
      </c>
      <c r="F18" s="13"/>
      <c r="G18" s="18">
        <v>5000000</v>
      </c>
      <c r="H18" s="18">
        <v>4994799.96</v>
      </c>
      <c r="I18" s="18">
        <v>5000000</v>
      </c>
      <c r="J18" s="18">
        <v>4994799.96</v>
      </c>
      <c r="K18" s="15">
        <v>60524150</v>
      </c>
      <c r="L18" s="13" t="s">
        <v>102</v>
      </c>
      <c r="M18" s="13" t="s">
        <v>103</v>
      </c>
      <c r="N18" s="139" t="s">
        <v>155</v>
      </c>
      <c r="O18" s="139" t="s">
        <v>155</v>
      </c>
      <c r="P18" s="28">
        <v>38</v>
      </c>
      <c r="Q18" s="13" t="s">
        <v>54</v>
      </c>
      <c r="R18" s="13" t="s">
        <v>28</v>
      </c>
      <c r="S18" s="13"/>
      <c r="T18" s="13"/>
      <c r="U18" s="13" t="s">
        <v>636</v>
      </c>
      <c r="V18" s="13" t="s">
        <v>636</v>
      </c>
      <c r="W18" s="59">
        <f>+J18/$W$2</f>
        <v>1.1220023397651067E-4</v>
      </c>
      <c r="AC18" s="56"/>
    </row>
    <row r="19" spans="1:29">
      <c r="A19" s="13" t="s">
        <v>339</v>
      </c>
      <c r="B19" s="13" t="s">
        <v>538</v>
      </c>
      <c r="C19" s="139">
        <v>46182</v>
      </c>
      <c r="D19" s="139" t="s">
        <v>516</v>
      </c>
      <c r="E19" s="28">
        <v>0.99917876000000005</v>
      </c>
      <c r="F19" s="13"/>
      <c r="G19" s="18">
        <v>18000000</v>
      </c>
      <c r="H19" s="18">
        <v>17985217.629999999</v>
      </c>
      <c r="I19" s="18">
        <v>18000000</v>
      </c>
      <c r="J19" s="18">
        <v>17985217.629999999</v>
      </c>
      <c r="K19" s="15">
        <v>14164</v>
      </c>
      <c r="L19" s="13" t="s">
        <v>102</v>
      </c>
      <c r="M19" s="13" t="s">
        <v>103</v>
      </c>
      <c r="N19" s="139" t="s">
        <v>319</v>
      </c>
      <c r="O19" s="139" t="s">
        <v>319</v>
      </c>
      <c r="P19" s="28">
        <v>30</v>
      </c>
      <c r="Q19" s="13" t="s">
        <v>54</v>
      </c>
      <c r="R19" s="13" t="s">
        <v>28</v>
      </c>
      <c r="S19" s="13"/>
      <c r="T19" s="13"/>
      <c r="U19" s="13" t="s">
        <v>711</v>
      </c>
      <c r="V19" s="13" t="s">
        <v>711</v>
      </c>
      <c r="W19" s="59">
        <f>+J19/$W$2</f>
        <v>4.0400929814303607E-4</v>
      </c>
      <c r="AC19" s="56"/>
    </row>
    <row r="20" spans="1:29">
      <c r="A20" s="13" t="s">
        <v>639</v>
      </c>
      <c r="B20" s="13" t="s">
        <v>538</v>
      </c>
      <c r="C20" s="139">
        <v>46182</v>
      </c>
      <c r="D20" s="139" t="s">
        <v>516</v>
      </c>
      <c r="E20" s="28">
        <v>0.99920611000000004</v>
      </c>
      <c r="F20" s="13"/>
      <c r="G20" s="18">
        <v>12500000</v>
      </c>
      <c r="H20" s="18">
        <v>12490076.42</v>
      </c>
      <c r="I20" s="18">
        <v>12500000</v>
      </c>
      <c r="J20" s="18">
        <v>12490076.42</v>
      </c>
      <c r="K20" s="15">
        <v>28996505</v>
      </c>
      <c r="L20" s="13" t="s">
        <v>102</v>
      </c>
      <c r="M20" s="13" t="s">
        <v>103</v>
      </c>
      <c r="N20" s="139" t="s">
        <v>155</v>
      </c>
      <c r="O20" s="139" t="s">
        <v>155</v>
      </c>
      <c r="P20" s="28">
        <v>29</v>
      </c>
      <c r="Q20" s="13" t="s">
        <v>54</v>
      </c>
      <c r="R20" s="13" t="s">
        <v>28</v>
      </c>
      <c r="S20" s="13"/>
      <c r="T20" s="13"/>
      <c r="U20" s="13" t="s">
        <v>608</v>
      </c>
      <c r="V20" s="13" t="s">
        <v>608</v>
      </c>
      <c r="W20" s="59">
        <f>+J20/$W$2</f>
        <v>2.8056969406808809E-4</v>
      </c>
    </row>
    <row r="21" spans="1:29">
      <c r="A21" s="13" t="s">
        <v>706</v>
      </c>
      <c r="B21" s="13" t="s">
        <v>538</v>
      </c>
      <c r="C21" s="139">
        <v>46182</v>
      </c>
      <c r="D21" s="139" t="s">
        <v>516</v>
      </c>
      <c r="E21" s="28">
        <v>0.99920611000000004</v>
      </c>
      <c r="F21" s="13"/>
      <c r="G21" s="18">
        <v>4000000</v>
      </c>
      <c r="H21" s="18">
        <v>3996824.45</v>
      </c>
      <c r="I21" s="18">
        <v>4000000</v>
      </c>
      <c r="J21" s="18">
        <v>3996824.45</v>
      </c>
      <c r="K21" s="15">
        <v>842</v>
      </c>
      <c r="L21" s="13" t="s">
        <v>102</v>
      </c>
      <c r="M21" s="13" t="s">
        <v>103</v>
      </c>
      <c r="N21" s="139" t="s">
        <v>378</v>
      </c>
      <c r="O21" s="139" t="s">
        <v>378</v>
      </c>
      <c r="P21" s="28">
        <v>29</v>
      </c>
      <c r="Q21" s="13" t="s">
        <v>54</v>
      </c>
      <c r="R21" s="13" t="s">
        <v>28</v>
      </c>
      <c r="S21" s="13"/>
      <c r="T21" s="13"/>
      <c r="U21" s="13" t="s">
        <v>837</v>
      </c>
      <c r="V21" s="13" t="s">
        <v>837</v>
      </c>
      <c r="W21" s="59">
        <f>+J21/$W$2</f>
        <v>8.9782302002949208E-5</v>
      </c>
    </row>
    <row r="22" spans="1:29">
      <c r="A22" s="13" t="s">
        <v>164</v>
      </c>
      <c r="B22" s="13" t="s">
        <v>538</v>
      </c>
      <c r="C22" s="139">
        <v>46182</v>
      </c>
      <c r="D22" s="139" t="s">
        <v>516</v>
      </c>
      <c r="E22" s="28">
        <v>0.99928817999999997</v>
      </c>
      <c r="F22" s="13"/>
      <c r="G22" s="18">
        <v>20000000</v>
      </c>
      <c r="H22" s="18">
        <v>19985763.57</v>
      </c>
      <c r="I22" s="18">
        <v>20000000</v>
      </c>
      <c r="J22" s="18">
        <v>19985763.57</v>
      </c>
      <c r="K22" s="15">
        <v>90026749</v>
      </c>
      <c r="L22" s="13" t="s">
        <v>102</v>
      </c>
      <c r="M22" s="13" t="s">
        <v>103</v>
      </c>
      <c r="N22" s="139" t="s">
        <v>359</v>
      </c>
      <c r="O22" s="139" t="s">
        <v>359</v>
      </c>
      <c r="P22" s="28">
        <v>26</v>
      </c>
      <c r="Q22" s="13" t="s">
        <v>54</v>
      </c>
      <c r="R22" s="13" t="s">
        <v>28</v>
      </c>
      <c r="S22" s="13"/>
      <c r="T22" s="13"/>
      <c r="U22" s="13" t="s">
        <v>1330</v>
      </c>
      <c r="V22" s="13" t="s">
        <v>1330</v>
      </c>
      <c r="W22" s="59">
        <f>+J22/$W$2</f>
        <v>4.4894837965707505E-4</v>
      </c>
    </row>
    <row r="23" spans="1:29">
      <c r="A23" s="13" t="s">
        <v>444</v>
      </c>
      <c r="B23" s="13" t="s">
        <v>538</v>
      </c>
      <c r="C23" s="139">
        <v>46182</v>
      </c>
      <c r="D23" s="139" t="s">
        <v>516</v>
      </c>
      <c r="E23" s="28">
        <v>0.99887797</v>
      </c>
      <c r="F23" s="13"/>
      <c r="G23" s="18">
        <v>20000000</v>
      </c>
      <c r="H23" s="18">
        <v>19977559.460000001</v>
      </c>
      <c r="I23" s="18">
        <v>20000000</v>
      </c>
      <c r="J23" s="18">
        <v>19977559.460000001</v>
      </c>
      <c r="K23" s="15">
        <v>13318414</v>
      </c>
      <c r="L23" s="13" t="s">
        <v>102</v>
      </c>
      <c r="M23" s="13" t="s">
        <v>103</v>
      </c>
      <c r="N23" s="139" t="s">
        <v>231</v>
      </c>
      <c r="O23" s="139" t="s">
        <v>231</v>
      </c>
      <c r="P23" s="28">
        <v>41</v>
      </c>
      <c r="Q23" s="13" t="s">
        <v>54</v>
      </c>
      <c r="R23" s="13" t="s">
        <v>28</v>
      </c>
      <c r="S23" s="13"/>
      <c r="T23" s="13"/>
      <c r="U23" s="13" t="s">
        <v>643</v>
      </c>
      <c r="V23" s="13" t="s">
        <v>643</v>
      </c>
      <c r="W23" s="59">
        <f>+J23/$W$2</f>
        <v>4.4876408737931802E-4</v>
      </c>
    </row>
    <row r="24" spans="1:29">
      <c r="A24" s="13" t="s">
        <v>993</v>
      </c>
      <c r="B24" s="13" t="s">
        <v>538</v>
      </c>
      <c r="C24" s="139">
        <v>46182</v>
      </c>
      <c r="D24" s="139" t="s">
        <v>516</v>
      </c>
      <c r="E24" s="28">
        <v>0.99920611000000004</v>
      </c>
      <c r="F24" s="13"/>
      <c r="G24" s="18">
        <v>50000000</v>
      </c>
      <c r="H24" s="18">
        <v>49960305.689999998</v>
      </c>
      <c r="I24" s="18">
        <v>50000000</v>
      </c>
      <c r="J24" s="18">
        <v>49960305.689999998</v>
      </c>
      <c r="K24" s="15">
        <v>147629</v>
      </c>
      <c r="L24" s="13" t="s">
        <v>102</v>
      </c>
      <c r="M24" s="13" t="s">
        <v>103</v>
      </c>
      <c r="N24" s="139" t="s">
        <v>161</v>
      </c>
      <c r="O24" s="139" t="s">
        <v>161</v>
      </c>
      <c r="P24" s="28">
        <v>29</v>
      </c>
      <c r="Q24" s="13" t="s">
        <v>54</v>
      </c>
      <c r="R24" s="13" t="s">
        <v>28</v>
      </c>
      <c r="S24" s="13"/>
      <c r="T24" s="13"/>
      <c r="U24" s="13" t="s">
        <v>1276</v>
      </c>
      <c r="V24" s="13" t="s">
        <v>1276</v>
      </c>
      <c r="W24" s="59">
        <f>+J24/$W$2</f>
        <v>1.1222787764969865E-3</v>
      </c>
    </row>
    <row r="25" spans="1:29">
      <c r="A25" s="13" t="s">
        <v>993</v>
      </c>
      <c r="B25" s="13" t="s">
        <v>538</v>
      </c>
      <c r="C25" s="139">
        <v>46182</v>
      </c>
      <c r="D25" s="139" t="s">
        <v>516</v>
      </c>
      <c r="E25" s="28">
        <v>0.99923346999999996</v>
      </c>
      <c r="F25" s="13"/>
      <c r="G25" s="18">
        <v>12000000</v>
      </c>
      <c r="H25" s="18">
        <v>11990801.59</v>
      </c>
      <c r="I25" s="18">
        <v>12000000</v>
      </c>
      <c r="J25" s="18">
        <v>11990801.59</v>
      </c>
      <c r="K25" s="15">
        <v>90000618</v>
      </c>
      <c r="L25" s="13" t="s">
        <v>102</v>
      </c>
      <c r="M25" s="13" t="s">
        <v>103</v>
      </c>
      <c r="N25" s="139" t="s">
        <v>379</v>
      </c>
      <c r="O25" s="139" t="s">
        <v>379</v>
      </c>
      <c r="P25" s="28">
        <v>28</v>
      </c>
      <c r="Q25" s="13" t="s">
        <v>54</v>
      </c>
      <c r="R25" s="13" t="s">
        <v>28</v>
      </c>
      <c r="S25" s="13"/>
      <c r="T25" s="13"/>
      <c r="U25" s="13" t="s">
        <v>1385</v>
      </c>
      <c r="V25" s="13" t="s">
        <v>1385</v>
      </c>
      <c r="W25" s="59">
        <f>+J25/$W$2</f>
        <v>2.6935427939819156E-4</v>
      </c>
    </row>
    <row r="26" spans="1:29">
      <c r="A26" s="13" t="s">
        <v>993</v>
      </c>
      <c r="B26" s="13" t="s">
        <v>538</v>
      </c>
      <c r="C26" s="139">
        <v>46182</v>
      </c>
      <c r="D26" s="139" t="s">
        <v>516</v>
      </c>
      <c r="E26" s="28">
        <v>0.99926082000000005</v>
      </c>
      <c r="F26" s="13"/>
      <c r="G26" s="18">
        <v>15200000</v>
      </c>
      <c r="H26" s="18">
        <v>15188764.48</v>
      </c>
      <c r="I26" s="18">
        <v>15200000</v>
      </c>
      <c r="J26" s="18">
        <v>15188764.48</v>
      </c>
      <c r="K26" s="15">
        <v>2598</v>
      </c>
      <c r="L26" s="13" t="s">
        <v>102</v>
      </c>
      <c r="M26" s="13" t="s">
        <v>103</v>
      </c>
      <c r="N26" s="139" t="s">
        <v>359</v>
      </c>
      <c r="O26" s="139" t="s">
        <v>359</v>
      </c>
      <c r="P26" s="28">
        <v>27</v>
      </c>
      <c r="Q26" s="13" t="s">
        <v>54</v>
      </c>
      <c r="R26" s="13" t="s">
        <v>28</v>
      </c>
      <c r="S26" s="13"/>
      <c r="T26" s="13"/>
      <c r="U26" s="13" t="s">
        <v>1320</v>
      </c>
      <c r="V26" s="13" t="s">
        <v>1320</v>
      </c>
      <c r="W26" s="59">
        <f>+J26/$W$2</f>
        <v>3.4119142750816279E-4</v>
      </c>
    </row>
    <row r="27" spans="1:29">
      <c r="A27" s="13" t="s">
        <v>426</v>
      </c>
      <c r="B27" s="13" t="s">
        <v>538</v>
      </c>
      <c r="C27" s="139">
        <v>46182</v>
      </c>
      <c r="D27" s="139" t="s">
        <v>516</v>
      </c>
      <c r="E27" s="28">
        <v>0.99887798000000005</v>
      </c>
      <c r="F27" s="13"/>
      <c r="G27" s="18">
        <v>2164521.13</v>
      </c>
      <c r="H27" s="18">
        <v>2162092.4900000002</v>
      </c>
      <c r="I27" s="18">
        <v>2164521.13</v>
      </c>
      <c r="J27" s="18">
        <v>2162092.4900000002</v>
      </c>
      <c r="K27" s="15">
        <v>3182</v>
      </c>
      <c r="L27" s="13" t="s">
        <v>102</v>
      </c>
      <c r="M27" s="13" t="s">
        <v>103</v>
      </c>
      <c r="N27" s="139" t="s">
        <v>321</v>
      </c>
      <c r="O27" s="139" t="s">
        <v>321</v>
      </c>
      <c r="P27" s="28">
        <v>41</v>
      </c>
      <c r="Q27" s="13" t="s">
        <v>54</v>
      </c>
      <c r="R27" s="13" t="s">
        <v>28</v>
      </c>
      <c r="S27" s="13"/>
      <c r="T27" s="13"/>
      <c r="U27" s="13" t="s">
        <v>588</v>
      </c>
      <c r="V27" s="13" t="s">
        <v>588</v>
      </c>
      <c r="W27" s="59">
        <f>+J27/$W$2</f>
        <v>4.8567967726350461E-5</v>
      </c>
    </row>
    <row r="28" spans="1:29">
      <c r="A28" s="13" t="s">
        <v>210</v>
      </c>
      <c r="B28" s="13" t="s">
        <v>538</v>
      </c>
      <c r="C28" s="139">
        <v>46182</v>
      </c>
      <c r="D28" s="139" t="s">
        <v>516</v>
      </c>
      <c r="E28" s="28">
        <v>0.99926082000000005</v>
      </c>
      <c r="F28" s="13"/>
      <c r="G28" s="18">
        <v>4419130.95</v>
      </c>
      <c r="H28" s="18">
        <v>4415864.43</v>
      </c>
      <c r="I28" s="18">
        <v>4419130.95</v>
      </c>
      <c r="J28" s="18">
        <v>4415864.43</v>
      </c>
      <c r="K28" s="15">
        <v>5808</v>
      </c>
      <c r="L28" s="13" t="s">
        <v>102</v>
      </c>
      <c r="M28" s="13" t="s">
        <v>103</v>
      </c>
      <c r="N28" s="139" t="s">
        <v>152</v>
      </c>
      <c r="O28" s="139" t="s">
        <v>152</v>
      </c>
      <c r="P28" s="28">
        <v>27</v>
      </c>
      <c r="Q28" s="13" t="s">
        <v>54</v>
      </c>
      <c r="R28" s="13" t="s">
        <v>28</v>
      </c>
      <c r="S28" s="13"/>
      <c r="T28" s="13"/>
      <c r="U28" s="13" t="s">
        <v>756</v>
      </c>
      <c r="V28" s="13" t="s">
        <v>756</v>
      </c>
      <c r="W28" s="59">
        <f>+J28/$W$2</f>
        <v>9.9195368427637873E-5</v>
      </c>
    </row>
    <row r="29" spans="1:29">
      <c r="A29" s="13" t="s">
        <v>210</v>
      </c>
      <c r="B29" s="13" t="s">
        <v>538</v>
      </c>
      <c r="C29" s="139">
        <v>46182</v>
      </c>
      <c r="D29" s="139" t="s">
        <v>516</v>
      </c>
      <c r="E29" s="28">
        <v>0.99926082000000005</v>
      </c>
      <c r="F29" s="13"/>
      <c r="G29" s="18">
        <v>10938133.199999999</v>
      </c>
      <c r="H29" s="18">
        <v>10930047.99</v>
      </c>
      <c r="I29" s="18">
        <v>10938133.199999999</v>
      </c>
      <c r="J29" s="18">
        <v>10930047.99</v>
      </c>
      <c r="K29" s="15">
        <v>5809</v>
      </c>
      <c r="L29" s="13" t="s">
        <v>102</v>
      </c>
      <c r="M29" s="13" t="s">
        <v>103</v>
      </c>
      <c r="N29" s="139" t="s">
        <v>152</v>
      </c>
      <c r="O29" s="139" t="s">
        <v>152</v>
      </c>
      <c r="P29" s="28">
        <v>27</v>
      </c>
      <c r="Q29" s="13" t="s">
        <v>54</v>
      </c>
      <c r="R29" s="13" t="s">
        <v>28</v>
      </c>
      <c r="S29" s="13"/>
      <c r="T29" s="13"/>
      <c r="U29" s="13" t="s">
        <v>757</v>
      </c>
      <c r="V29" s="13" t="s">
        <v>757</v>
      </c>
      <c r="W29" s="59">
        <f>+J29/$W$2</f>
        <v>2.4552613751772559E-4</v>
      </c>
      <c r="AC29" s="56"/>
    </row>
    <row r="30" spans="1:29">
      <c r="A30" s="13" t="s">
        <v>590</v>
      </c>
      <c r="B30" s="13" t="s">
        <v>538</v>
      </c>
      <c r="C30" s="139">
        <v>46182</v>
      </c>
      <c r="D30" s="139" t="s">
        <v>516</v>
      </c>
      <c r="E30" s="28">
        <v>0.99887797</v>
      </c>
      <c r="F30" s="13"/>
      <c r="G30" s="18">
        <v>10918371.689999999</v>
      </c>
      <c r="H30" s="18">
        <v>10906120.98</v>
      </c>
      <c r="I30" s="18">
        <v>10918371.689999999</v>
      </c>
      <c r="J30" s="18">
        <v>10906120.98</v>
      </c>
      <c r="K30" s="15">
        <v>30451</v>
      </c>
      <c r="L30" s="13" t="s">
        <v>102</v>
      </c>
      <c r="M30" s="13" t="s">
        <v>103</v>
      </c>
      <c r="N30" s="139" t="s">
        <v>231</v>
      </c>
      <c r="O30" s="139" t="s">
        <v>231</v>
      </c>
      <c r="P30" s="28">
        <v>41</v>
      </c>
      <c r="Q30" s="13" t="s">
        <v>54</v>
      </c>
      <c r="R30" s="13" t="s">
        <v>28</v>
      </c>
      <c r="S30" s="13"/>
      <c r="T30" s="13"/>
      <c r="U30" s="13" t="s">
        <v>655</v>
      </c>
      <c r="V30" s="13" t="s">
        <v>655</v>
      </c>
      <c r="W30" s="59">
        <f>+J30/$W$2</f>
        <v>2.449886553078558E-4</v>
      </c>
    </row>
    <row r="31" spans="1:29">
      <c r="A31" s="13" t="s">
        <v>590</v>
      </c>
      <c r="B31" s="13" t="s">
        <v>538</v>
      </c>
      <c r="C31" s="139">
        <v>46182</v>
      </c>
      <c r="D31" s="139" t="s">
        <v>516</v>
      </c>
      <c r="E31" s="28">
        <v>0.99887797</v>
      </c>
      <c r="F31" s="13"/>
      <c r="G31" s="18">
        <v>13296076.9</v>
      </c>
      <c r="H31" s="18">
        <v>13281158.35</v>
      </c>
      <c r="I31" s="18">
        <v>13296076.9</v>
      </c>
      <c r="J31" s="18">
        <v>13281158.35</v>
      </c>
      <c r="K31" s="15">
        <v>30431</v>
      </c>
      <c r="L31" s="13" t="s">
        <v>102</v>
      </c>
      <c r="M31" s="13" t="s">
        <v>103</v>
      </c>
      <c r="N31" s="139" t="s">
        <v>231</v>
      </c>
      <c r="O31" s="139" t="s">
        <v>231</v>
      </c>
      <c r="P31" s="28">
        <v>41</v>
      </c>
      <c r="Q31" s="13" t="s">
        <v>54</v>
      </c>
      <c r="R31" s="13" t="s">
        <v>28</v>
      </c>
      <c r="S31" s="13"/>
      <c r="T31" s="13"/>
      <c r="U31" s="13" t="s">
        <v>665</v>
      </c>
      <c r="V31" s="13" t="s">
        <v>665</v>
      </c>
      <c r="W31" s="59">
        <f>+J31/$W$2</f>
        <v>2.9834009095112756E-4</v>
      </c>
    </row>
    <row r="32" spans="1:29">
      <c r="A32" s="13" t="s">
        <v>145</v>
      </c>
      <c r="B32" s="13" t="s">
        <v>538</v>
      </c>
      <c r="C32" s="139">
        <v>46183</v>
      </c>
      <c r="D32" s="139" t="s">
        <v>516</v>
      </c>
      <c r="E32" s="28">
        <v>0.99803127999999997</v>
      </c>
      <c r="F32" s="13"/>
      <c r="G32" s="18">
        <v>5000000</v>
      </c>
      <c r="H32" s="18">
        <v>4990156.42</v>
      </c>
      <c r="I32" s="18">
        <v>5000000</v>
      </c>
      <c r="J32" s="18">
        <v>4990156.42</v>
      </c>
      <c r="K32" s="15">
        <v>13420540</v>
      </c>
      <c r="L32" s="13" t="s">
        <v>102</v>
      </c>
      <c r="M32" s="13" t="s">
        <v>103</v>
      </c>
      <c r="N32" s="139" t="s">
        <v>363</v>
      </c>
      <c r="O32" s="139" t="s">
        <v>363</v>
      </c>
      <c r="P32" s="28">
        <v>36</v>
      </c>
      <c r="Q32" s="13" t="s">
        <v>54</v>
      </c>
      <c r="R32" s="13" t="s">
        <v>28</v>
      </c>
      <c r="S32" s="13"/>
      <c r="T32" s="13"/>
      <c r="U32" s="13" t="s">
        <v>729</v>
      </c>
      <c r="V32" s="13" t="s">
        <v>729</v>
      </c>
      <c r="W32" s="59">
        <f>+J32/$W$2</f>
        <v>1.1209592423865297E-4</v>
      </c>
    </row>
    <row r="33" spans="1:29">
      <c r="A33" s="13" t="s">
        <v>1459</v>
      </c>
      <c r="B33" s="13" t="s">
        <v>538</v>
      </c>
      <c r="C33" s="139">
        <v>46183</v>
      </c>
      <c r="D33" s="139" t="s">
        <v>516</v>
      </c>
      <c r="E33" s="28">
        <v>0.99808587999999998</v>
      </c>
      <c r="F33" s="13"/>
      <c r="G33" s="18">
        <v>2000000</v>
      </c>
      <c r="H33" s="18">
        <v>1996171.76</v>
      </c>
      <c r="I33" s="18">
        <v>2000000</v>
      </c>
      <c r="J33" s="18">
        <v>1996171.76</v>
      </c>
      <c r="K33" s="15">
        <v>7738</v>
      </c>
      <c r="L33" s="13" t="s">
        <v>102</v>
      </c>
      <c r="M33" s="13" t="s">
        <v>103</v>
      </c>
      <c r="N33" s="139" t="s">
        <v>381</v>
      </c>
      <c r="O33" s="139" t="s">
        <v>381</v>
      </c>
      <c r="P33" s="28">
        <v>35</v>
      </c>
      <c r="Q33" s="13" t="s">
        <v>54</v>
      </c>
      <c r="R33" s="13" t="s">
        <v>28</v>
      </c>
      <c r="S33" s="13"/>
      <c r="T33" s="13"/>
      <c r="U33" s="13" t="s">
        <v>1454</v>
      </c>
      <c r="V33" s="13" t="s">
        <v>1454</v>
      </c>
      <c r="W33" s="59">
        <f>+J33/$W$2</f>
        <v>4.4840822520008007E-5</v>
      </c>
    </row>
    <row r="34" spans="1:29">
      <c r="A34" s="13" t="s">
        <v>1162</v>
      </c>
      <c r="B34" s="13" t="s">
        <v>538</v>
      </c>
      <c r="C34" s="139">
        <v>46183</v>
      </c>
      <c r="D34" s="139" t="s">
        <v>516</v>
      </c>
      <c r="E34" s="28">
        <v>0.99792214000000001</v>
      </c>
      <c r="F34" s="13"/>
      <c r="G34" s="18">
        <v>6000000</v>
      </c>
      <c r="H34" s="18">
        <v>5987532.8600000003</v>
      </c>
      <c r="I34" s="18">
        <v>6000000</v>
      </c>
      <c r="J34" s="18">
        <v>5987532.8600000003</v>
      </c>
      <c r="K34" s="15">
        <v>90025541</v>
      </c>
      <c r="L34" s="13" t="s">
        <v>102</v>
      </c>
      <c r="M34" s="13" t="s">
        <v>103</v>
      </c>
      <c r="N34" s="139" t="s">
        <v>344</v>
      </c>
      <c r="O34" s="139" t="s">
        <v>344</v>
      </c>
      <c r="P34" s="28">
        <v>38</v>
      </c>
      <c r="Q34" s="13" t="s">
        <v>54</v>
      </c>
      <c r="R34" s="13" t="s">
        <v>28</v>
      </c>
      <c r="S34" s="13"/>
      <c r="T34" s="13"/>
      <c r="U34" s="13" t="s">
        <v>1160</v>
      </c>
      <c r="V34" s="13" t="s">
        <v>1160</v>
      </c>
      <c r="W34" s="59">
        <f>+J34/$W$2</f>
        <v>1.3450039905783256E-4</v>
      </c>
    </row>
    <row r="35" spans="1:29">
      <c r="A35" s="13" t="s">
        <v>558</v>
      </c>
      <c r="B35" s="13" t="s">
        <v>538</v>
      </c>
      <c r="C35" s="139">
        <v>46183</v>
      </c>
      <c r="D35" s="139" t="s">
        <v>516</v>
      </c>
      <c r="E35" s="28">
        <v>0.99748579000000004</v>
      </c>
      <c r="F35" s="13"/>
      <c r="G35" s="18">
        <v>20000000</v>
      </c>
      <c r="H35" s="18">
        <v>19949715.789999999</v>
      </c>
      <c r="I35" s="18">
        <v>20000000</v>
      </c>
      <c r="J35" s="18">
        <v>19949715.789999999</v>
      </c>
      <c r="K35" s="15">
        <v>70219523</v>
      </c>
      <c r="L35" s="13" t="s">
        <v>102</v>
      </c>
      <c r="M35" s="13" t="s">
        <v>103</v>
      </c>
      <c r="N35" s="139" t="s">
        <v>358</v>
      </c>
      <c r="O35" s="139" t="s">
        <v>358</v>
      </c>
      <c r="P35" s="28">
        <v>46</v>
      </c>
      <c r="Q35" s="13" t="s">
        <v>54</v>
      </c>
      <c r="R35" s="13" t="s">
        <v>28</v>
      </c>
      <c r="S35" s="13"/>
      <c r="T35" s="13"/>
      <c r="U35" s="13" t="s">
        <v>723</v>
      </c>
      <c r="V35" s="13" t="s">
        <v>723</v>
      </c>
      <c r="W35" s="59">
        <f>+J35/$W$2</f>
        <v>4.4813862363426651E-4</v>
      </c>
    </row>
    <row r="36" spans="1:29">
      <c r="A36" s="13" t="s">
        <v>558</v>
      </c>
      <c r="B36" s="13" t="s">
        <v>538</v>
      </c>
      <c r="C36" s="139">
        <v>46183</v>
      </c>
      <c r="D36" s="139" t="s">
        <v>516</v>
      </c>
      <c r="E36" s="28">
        <v>0.99748579000000004</v>
      </c>
      <c r="F36" s="13"/>
      <c r="G36" s="18">
        <v>20000000</v>
      </c>
      <c r="H36" s="18">
        <v>19949715.789999999</v>
      </c>
      <c r="I36" s="18">
        <v>20000000</v>
      </c>
      <c r="J36" s="18">
        <v>19949715.789999999</v>
      </c>
      <c r="K36" s="15">
        <v>70219524</v>
      </c>
      <c r="L36" s="13" t="s">
        <v>102</v>
      </c>
      <c r="M36" s="13" t="s">
        <v>103</v>
      </c>
      <c r="N36" s="139" t="s">
        <v>358</v>
      </c>
      <c r="O36" s="139" t="s">
        <v>358</v>
      </c>
      <c r="P36" s="28">
        <v>46</v>
      </c>
      <c r="Q36" s="13" t="s">
        <v>54</v>
      </c>
      <c r="R36" s="13" t="s">
        <v>28</v>
      </c>
      <c r="S36" s="13"/>
      <c r="T36" s="13"/>
      <c r="U36" s="13" t="s">
        <v>724</v>
      </c>
      <c r="V36" s="13" t="s">
        <v>724</v>
      </c>
      <c r="W36" s="59">
        <f>+J36/$W$2</f>
        <v>4.4813862363426651E-4</v>
      </c>
    </row>
    <row r="37" spans="1:29">
      <c r="A37" s="13" t="s">
        <v>693</v>
      </c>
      <c r="B37" s="13" t="s">
        <v>538</v>
      </c>
      <c r="C37" s="139">
        <v>46183</v>
      </c>
      <c r="D37" s="139" t="s">
        <v>516</v>
      </c>
      <c r="E37" s="28">
        <v>0.99775846999999995</v>
      </c>
      <c r="F37" s="13"/>
      <c r="G37" s="18">
        <v>2000000</v>
      </c>
      <c r="H37" s="18">
        <v>1995516.94</v>
      </c>
      <c r="I37" s="18">
        <v>2000000</v>
      </c>
      <c r="J37" s="18">
        <v>1995516.94</v>
      </c>
      <c r="K37" s="15">
        <v>12384441</v>
      </c>
      <c r="L37" s="13" t="s">
        <v>102</v>
      </c>
      <c r="M37" s="13" t="s">
        <v>103</v>
      </c>
      <c r="N37" s="139" t="s">
        <v>231</v>
      </c>
      <c r="O37" s="139" t="s">
        <v>231</v>
      </c>
      <c r="P37" s="28">
        <v>41</v>
      </c>
      <c r="Q37" s="13" t="s">
        <v>54</v>
      </c>
      <c r="R37" s="13" t="s">
        <v>28</v>
      </c>
      <c r="S37" s="13"/>
      <c r="T37" s="13"/>
      <c r="U37" s="13" t="s">
        <v>669</v>
      </c>
      <c r="V37" s="13" t="s">
        <v>669</v>
      </c>
      <c r="W37" s="59">
        <f>+J37/$W$2</f>
        <v>4.4826113030578828E-5</v>
      </c>
    </row>
    <row r="38" spans="1:29">
      <c r="A38" s="13" t="s">
        <v>333</v>
      </c>
      <c r="B38" s="13" t="s">
        <v>538</v>
      </c>
      <c r="C38" s="139">
        <v>46183</v>
      </c>
      <c r="D38" s="139" t="s">
        <v>516</v>
      </c>
      <c r="E38" s="28">
        <v>0.99857737999999996</v>
      </c>
      <c r="F38" s="13"/>
      <c r="G38" s="18">
        <v>138969390</v>
      </c>
      <c r="H38" s="18">
        <v>138771689.74000001</v>
      </c>
      <c r="I38" s="18">
        <v>138969390</v>
      </c>
      <c r="J38" s="18">
        <v>138771689.74000001</v>
      </c>
      <c r="K38" s="15">
        <v>30012967</v>
      </c>
      <c r="L38" s="13" t="s">
        <v>102</v>
      </c>
      <c r="M38" s="13" t="s">
        <v>103</v>
      </c>
      <c r="N38" s="139" t="s">
        <v>377</v>
      </c>
      <c r="O38" s="139" t="s">
        <v>377</v>
      </c>
      <c r="P38" s="28">
        <v>26</v>
      </c>
      <c r="Q38" s="13" t="s">
        <v>54</v>
      </c>
      <c r="R38" s="13" t="s">
        <v>28</v>
      </c>
      <c r="S38" s="13"/>
      <c r="T38" s="13"/>
      <c r="U38" s="13" t="s">
        <v>1465</v>
      </c>
      <c r="V38" s="13" t="s">
        <v>1465</v>
      </c>
      <c r="W38" s="59">
        <f>+J38/$W$2</f>
        <v>3.1172852131887471E-3</v>
      </c>
    </row>
    <row r="39" spans="1:29">
      <c r="A39" s="13" t="s">
        <v>333</v>
      </c>
      <c r="B39" s="13" t="s">
        <v>538</v>
      </c>
      <c r="C39" s="139">
        <v>46183</v>
      </c>
      <c r="D39" s="139" t="s">
        <v>516</v>
      </c>
      <c r="E39" s="28">
        <v>0.99857737999999996</v>
      </c>
      <c r="F39" s="13"/>
      <c r="G39" s="18">
        <v>409578017.30000001</v>
      </c>
      <c r="H39" s="18">
        <v>408995344.52999997</v>
      </c>
      <c r="I39" s="18">
        <v>409578017.30000001</v>
      </c>
      <c r="J39" s="18">
        <v>408995344.52999997</v>
      </c>
      <c r="K39" s="15">
        <v>30012965</v>
      </c>
      <c r="L39" s="13" t="s">
        <v>102</v>
      </c>
      <c r="M39" s="13" t="s">
        <v>103</v>
      </c>
      <c r="N39" s="139" t="s">
        <v>377</v>
      </c>
      <c r="O39" s="139" t="s">
        <v>377</v>
      </c>
      <c r="P39" s="28">
        <v>26</v>
      </c>
      <c r="Q39" s="13" t="s">
        <v>54</v>
      </c>
      <c r="R39" s="13" t="s">
        <v>28</v>
      </c>
      <c r="S39" s="13"/>
      <c r="T39" s="13"/>
      <c r="U39" s="13" t="s">
        <v>1466</v>
      </c>
      <c r="V39" s="13" t="s">
        <v>1466</v>
      </c>
      <c r="W39" s="59">
        <f>+J39/$W$2</f>
        <v>9.1874296706708526E-3</v>
      </c>
    </row>
    <row r="40" spans="1:29">
      <c r="A40" s="13" t="s">
        <v>333</v>
      </c>
      <c r="B40" s="13" t="s">
        <v>538</v>
      </c>
      <c r="C40" s="139">
        <v>46183</v>
      </c>
      <c r="D40" s="139" t="s">
        <v>516</v>
      </c>
      <c r="E40" s="28">
        <v>0.99857737999999996</v>
      </c>
      <c r="F40" s="13"/>
      <c r="G40" s="18">
        <v>285628140</v>
      </c>
      <c r="H40" s="18">
        <v>285221800.5</v>
      </c>
      <c r="I40" s="18">
        <v>285628140</v>
      </c>
      <c r="J40" s="18">
        <v>285221800.5</v>
      </c>
      <c r="K40" s="15">
        <v>30012968</v>
      </c>
      <c r="L40" s="13" t="s">
        <v>102</v>
      </c>
      <c r="M40" s="13" t="s">
        <v>103</v>
      </c>
      <c r="N40" s="139" t="s">
        <v>377</v>
      </c>
      <c r="O40" s="139" t="s">
        <v>377</v>
      </c>
      <c r="P40" s="28">
        <v>26</v>
      </c>
      <c r="Q40" s="13" t="s">
        <v>54</v>
      </c>
      <c r="R40" s="13" t="s">
        <v>28</v>
      </c>
      <c r="S40" s="13"/>
      <c r="T40" s="13"/>
      <c r="U40" s="13" t="s">
        <v>1467</v>
      </c>
      <c r="V40" s="13" t="s">
        <v>1467</v>
      </c>
      <c r="W40" s="59">
        <f>+J40/$W$2</f>
        <v>6.4070539376118773E-3</v>
      </c>
    </row>
    <row r="41" spans="1:29">
      <c r="A41" s="13" t="s">
        <v>333</v>
      </c>
      <c r="B41" s="13" t="s">
        <v>538</v>
      </c>
      <c r="C41" s="139">
        <v>46183</v>
      </c>
      <c r="D41" s="139" t="s">
        <v>516</v>
      </c>
      <c r="E41" s="28">
        <v>0.99857737999999996</v>
      </c>
      <c r="F41" s="13"/>
      <c r="G41" s="18">
        <v>18466213.440000001</v>
      </c>
      <c r="H41" s="18">
        <v>18439943.079999998</v>
      </c>
      <c r="I41" s="18">
        <v>18466213.440000001</v>
      </c>
      <c r="J41" s="18">
        <v>18439943.079999998</v>
      </c>
      <c r="K41" s="15">
        <v>30012966</v>
      </c>
      <c r="L41" s="13" t="s">
        <v>102</v>
      </c>
      <c r="M41" s="13" t="s">
        <v>103</v>
      </c>
      <c r="N41" s="139" t="s">
        <v>377</v>
      </c>
      <c r="O41" s="139" t="s">
        <v>377</v>
      </c>
      <c r="P41" s="28">
        <v>26</v>
      </c>
      <c r="Q41" s="13" t="s">
        <v>54</v>
      </c>
      <c r="R41" s="13" t="s">
        <v>28</v>
      </c>
      <c r="S41" s="13"/>
      <c r="T41" s="13"/>
      <c r="U41" s="13" t="s">
        <v>1468</v>
      </c>
      <c r="V41" s="13" t="s">
        <v>1468</v>
      </c>
      <c r="W41" s="59">
        <f>+J41/$W$2</f>
        <v>4.1422398187284732E-4</v>
      </c>
      <c r="AC41" s="56"/>
    </row>
    <row r="42" spans="1:29">
      <c r="A42" s="13" t="s">
        <v>430</v>
      </c>
      <c r="B42" s="13" t="s">
        <v>538</v>
      </c>
      <c r="C42" s="139">
        <v>46183</v>
      </c>
      <c r="D42" s="139" t="s">
        <v>516</v>
      </c>
      <c r="E42" s="28">
        <v>0.99781302000000005</v>
      </c>
      <c r="F42" s="13"/>
      <c r="G42" s="18">
        <v>10000000</v>
      </c>
      <c r="H42" s="18">
        <v>9978130.1999999993</v>
      </c>
      <c r="I42" s="18">
        <v>10000000</v>
      </c>
      <c r="J42" s="18">
        <v>9978130.1999999993</v>
      </c>
      <c r="K42" s="15">
        <v>1341</v>
      </c>
      <c r="L42" s="13" t="s">
        <v>102</v>
      </c>
      <c r="M42" s="13" t="s">
        <v>103</v>
      </c>
      <c r="N42" s="139" t="s">
        <v>302</v>
      </c>
      <c r="O42" s="139" t="s">
        <v>302</v>
      </c>
      <c r="P42" s="28">
        <v>40</v>
      </c>
      <c r="Q42" s="13" t="s">
        <v>54</v>
      </c>
      <c r="R42" s="13" t="s">
        <v>28</v>
      </c>
      <c r="S42" s="13"/>
      <c r="T42" s="13"/>
      <c r="U42" s="13" t="s">
        <v>438</v>
      </c>
      <c r="V42" s="13" t="s">
        <v>438</v>
      </c>
      <c r="W42" s="59">
        <f>+J42/$W$2</f>
        <v>2.2414281894246013E-4</v>
      </c>
      <c r="AC42" s="56"/>
    </row>
    <row r="43" spans="1:29">
      <c r="A43" s="13" t="s">
        <v>463</v>
      </c>
      <c r="B43" s="13" t="s">
        <v>538</v>
      </c>
      <c r="C43" s="139">
        <v>46183</v>
      </c>
      <c r="D43" s="139" t="s">
        <v>516</v>
      </c>
      <c r="E43" s="28">
        <v>0.99792214000000001</v>
      </c>
      <c r="F43" s="13"/>
      <c r="G43" s="18">
        <v>100000000</v>
      </c>
      <c r="H43" s="18">
        <v>99792214.359999999</v>
      </c>
      <c r="I43" s="18">
        <v>100000000</v>
      </c>
      <c r="J43" s="18">
        <v>99792214.359999999</v>
      </c>
      <c r="K43" s="15">
        <v>3257451</v>
      </c>
      <c r="L43" s="13" t="s">
        <v>102</v>
      </c>
      <c r="M43" s="13" t="s">
        <v>103</v>
      </c>
      <c r="N43" s="139" t="s">
        <v>322</v>
      </c>
      <c r="O43" s="139" t="s">
        <v>322</v>
      </c>
      <c r="P43" s="28">
        <v>38</v>
      </c>
      <c r="Q43" s="13" t="s">
        <v>54</v>
      </c>
      <c r="R43" s="13" t="s">
        <v>28</v>
      </c>
      <c r="S43" s="13"/>
      <c r="T43" s="13"/>
      <c r="U43" s="13" t="s">
        <v>557</v>
      </c>
      <c r="V43" s="13" t="s">
        <v>557</v>
      </c>
      <c r="W43" s="59">
        <f>+J43/$W$2</f>
        <v>2.2416733182295668E-3</v>
      </c>
    </row>
    <row r="44" spans="1:29">
      <c r="A44" s="13" t="s">
        <v>444</v>
      </c>
      <c r="B44" s="13" t="s">
        <v>538</v>
      </c>
      <c r="C44" s="139">
        <v>46183</v>
      </c>
      <c r="D44" s="139" t="s">
        <v>516</v>
      </c>
      <c r="E44" s="28">
        <v>0.99775846999999995</v>
      </c>
      <c r="F44" s="13"/>
      <c r="G44" s="18">
        <v>20000000</v>
      </c>
      <c r="H44" s="18">
        <v>19955169.399999999</v>
      </c>
      <c r="I44" s="18">
        <v>20000000</v>
      </c>
      <c r="J44" s="18">
        <v>19955169.399999999</v>
      </c>
      <c r="K44" s="15">
        <v>13318415</v>
      </c>
      <c r="L44" s="13" t="s">
        <v>102</v>
      </c>
      <c r="M44" s="13" t="s">
        <v>103</v>
      </c>
      <c r="N44" s="139" t="s">
        <v>231</v>
      </c>
      <c r="O44" s="139" t="s">
        <v>231</v>
      </c>
      <c r="P44" s="28">
        <v>41</v>
      </c>
      <c r="Q44" s="13" t="s">
        <v>54</v>
      </c>
      <c r="R44" s="13" t="s">
        <v>28</v>
      </c>
      <c r="S44" s="13"/>
      <c r="T44" s="13"/>
      <c r="U44" s="13" t="s">
        <v>644</v>
      </c>
      <c r="V44" s="13" t="s">
        <v>644</v>
      </c>
      <c r="W44" s="59">
        <f>+J44/$W$2</f>
        <v>4.4826113030578822E-4</v>
      </c>
    </row>
    <row r="45" spans="1:29">
      <c r="A45" s="13" t="s">
        <v>590</v>
      </c>
      <c r="B45" s="13" t="s">
        <v>538</v>
      </c>
      <c r="C45" s="139">
        <v>46183</v>
      </c>
      <c r="D45" s="139" t="s">
        <v>516</v>
      </c>
      <c r="E45" s="28">
        <v>0.99775846999999995</v>
      </c>
      <c r="F45" s="13"/>
      <c r="G45" s="18">
        <v>10918371.689999999</v>
      </c>
      <c r="H45" s="18">
        <v>10893897.83</v>
      </c>
      <c r="I45" s="18">
        <v>10918371.689999999</v>
      </c>
      <c r="J45" s="18">
        <v>10893897.83</v>
      </c>
      <c r="K45" s="15">
        <v>30452</v>
      </c>
      <c r="L45" s="13" t="s">
        <v>102</v>
      </c>
      <c r="M45" s="13" t="s">
        <v>103</v>
      </c>
      <c r="N45" s="139" t="s">
        <v>231</v>
      </c>
      <c r="O45" s="139" t="s">
        <v>231</v>
      </c>
      <c r="P45" s="28">
        <v>41</v>
      </c>
      <c r="Q45" s="13" t="s">
        <v>54</v>
      </c>
      <c r="R45" s="13" t="s">
        <v>28</v>
      </c>
      <c r="S45" s="13"/>
      <c r="T45" s="13"/>
      <c r="U45" s="13" t="s">
        <v>656</v>
      </c>
      <c r="V45" s="13" t="s">
        <v>656</v>
      </c>
      <c r="W45" s="59">
        <f>+J45/$W$2</f>
        <v>2.4471408169111176E-4</v>
      </c>
    </row>
    <row r="46" spans="1:29">
      <c r="A46" s="13" t="s">
        <v>590</v>
      </c>
      <c r="B46" s="13" t="s">
        <v>538</v>
      </c>
      <c r="C46" s="139">
        <v>46183</v>
      </c>
      <c r="D46" s="139" t="s">
        <v>516</v>
      </c>
      <c r="E46" s="28">
        <v>0.99775846999999995</v>
      </c>
      <c r="F46" s="13"/>
      <c r="G46" s="18">
        <v>13296076.83</v>
      </c>
      <c r="H46" s="18">
        <v>13266273.27</v>
      </c>
      <c r="I46" s="18">
        <v>13296076.83</v>
      </c>
      <c r="J46" s="18">
        <v>13266273.27</v>
      </c>
      <c r="K46" s="15">
        <v>30432</v>
      </c>
      <c r="L46" s="13" t="s">
        <v>102</v>
      </c>
      <c r="M46" s="13" t="s">
        <v>103</v>
      </c>
      <c r="N46" s="139" t="s">
        <v>231</v>
      </c>
      <c r="O46" s="139" t="s">
        <v>231</v>
      </c>
      <c r="P46" s="28">
        <v>41</v>
      </c>
      <c r="Q46" s="13" t="s">
        <v>54</v>
      </c>
      <c r="R46" s="13" t="s">
        <v>28</v>
      </c>
      <c r="S46" s="13"/>
      <c r="T46" s="13"/>
      <c r="U46" s="13" t="s">
        <v>666</v>
      </c>
      <c r="V46" s="13" t="s">
        <v>666</v>
      </c>
      <c r="W46" s="59">
        <f>+J46/$W$2</f>
        <v>2.9800572131227641E-4</v>
      </c>
    </row>
    <row r="47" spans="1:29">
      <c r="A47" s="13" t="s">
        <v>1402</v>
      </c>
      <c r="B47" s="13" t="s">
        <v>538</v>
      </c>
      <c r="C47" s="139">
        <v>46183</v>
      </c>
      <c r="D47" s="139" t="s">
        <v>516</v>
      </c>
      <c r="E47" s="28">
        <v>0.99846811999999996</v>
      </c>
      <c r="F47" s="13"/>
      <c r="G47" s="18">
        <v>5000000</v>
      </c>
      <c r="H47" s="18">
        <v>4992340.59</v>
      </c>
      <c r="I47" s="18">
        <v>5000000</v>
      </c>
      <c r="J47" s="18">
        <v>4992340.59</v>
      </c>
      <c r="K47" s="15">
        <v>6034639</v>
      </c>
      <c r="L47" s="13" t="s">
        <v>102</v>
      </c>
      <c r="M47" s="13" t="s">
        <v>103</v>
      </c>
      <c r="N47" s="139" t="s">
        <v>379</v>
      </c>
      <c r="O47" s="139" t="s">
        <v>379</v>
      </c>
      <c r="P47" s="28">
        <v>28</v>
      </c>
      <c r="Q47" s="13" t="s">
        <v>54</v>
      </c>
      <c r="R47" s="13" t="s">
        <v>28</v>
      </c>
      <c r="S47" s="13"/>
      <c r="T47" s="13"/>
      <c r="U47" s="13" t="s">
        <v>1360</v>
      </c>
      <c r="V47" s="13" t="s">
        <v>1360</v>
      </c>
      <c r="W47" s="59">
        <f>+J47/$W$2</f>
        <v>1.1214498814251438E-4</v>
      </c>
      <c r="AC47" s="56"/>
    </row>
    <row r="48" spans="1:29">
      <c r="A48" s="13" t="s">
        <v>819</v>
      </c>
      <c r="B48" s="13" t="s">
        <v>538</v>
      </c>
      <c r="C48" s="139">
        <v>46183</v>
      </c>
      <c r="D48" s="139" t="s">
        <v>516</v>
      </c>
      <c r="E48" s="28">
        <v>0.99863201000000001</v>
      </c>
      <c r="F48" s="13"/>
      <c r="G48" s="18">
        <v>996595</v>
      </c>
      <c r="H48" s="18">
        <v>995231.67</v>
      </c>
      <c r="I48" s="18">
        <v>996595</v>
      </c>
      <c r="J48" s="18">
        <v>995231.67</v>
      </c>
      <c r="K48" s="15">
        <v>14303478</v>
      </c>
      <c r="L48" s="13" t="s">
        <v>102</v>
      </c>
      <c r="M48" s="13" t="s">
        <v>103</v>
      </c>
      <c r="N48" s="139" t="s">
        <v>378</v>
      </c>
      <c r="O48" s="139" t="s">
        <v>378</v>
      </c>
      <c r="P48" s="28">
        <v>25</v>
      </c>
      <c r="Q48" s="13" t="s">
        <v>54</v>
      </c>
      <c r="R48" s="13" t="s">
        <v>28</v>
      </c>
      <c r="S48" s="13"/>
      <c r="T48" s="13"/>
      <c r="U48" s="13" t="s">
        <v>841</v>
      </c>
      <c r="V48" s="13" t="s">
        <v>841</v>
      </c>
      <c r="W48" s="59">
        <f>+J48/$W$2</f>
        <v>2.2356295973629635E-5</v>
      </c>
    </row>
    <row r="49" spans="1:29">
      <c r="A49" s="13" t="s">
        <v>819</v>
      </c>
      <c r="B49" s="13" t="s">
        <v>538</v>
      </c>
      <c r="C49" s="139">
        <v>46183</v>
      </c>
      <c r="D49" s="139" t="s">
        <v>516</v>
      </c>
      <c r="E49" s="28">
        <v>0.99863201000000001</v>
      </c>
      <c r="F49" s="13"/>
      <c r="G49" s="18">
        <v>696310</v>
      </c>
      <c r="H49" s="18">
        <v>695357.46</v>
      </c>
      <c r="I49" s="18">
        <v>696310</v>
      </c>
      <c r="J49" s="18">
        <v>695357.46</v>
      </c>
      <c r="K49" s="15">
        <v>16303475</v>
      </c>
      <c r="L49" s="13" t="s">
        <v>102</v>
      </c>
      <c r="M49" s="13" t="s">
        <v>103</v>
      </c>
      <c r="N49" s="139" t="s">
        <v>378</v>
      </c>
      <c r="O49" s="139" t="s">
        <v>378</v>
      </c>
      <c r="P49" s="28">
        <v>25</v>
      </c>
      <c r="Q49" s="13" t="s">
        <v>54</v>
      </c>
      <c r="R49" s="13" t="s">
        <v>28</v>
      </c>
      <c r="S49" s="13"/>
      <c r="T49" s="13"/>
      <c r="U49" s="13" t="s">
        <v>842</v>
      </c>
      <c r="V49" s="13" t="s">
        <v>842</v>
      </c>
      <c r="W49" s="59">
        <f>+J49/$W$2</f>
        <v>1.5620098969751766E-5</v>
      </c>
    </row>
    <row r="50" spans="1:29">
      <c r="A50" s="13" t="s">
        <v>819</v>
      </c>
      <c r="B50" s="13" t="s">
        <v>538</v>
      </c>
      <c r="C50" s="139">
        <v>46183</v>
      </c>
      <c r="D50" s="139" t="s">
        <v>516</v>
      </c>
      <c r="E50" s="28">
        <v>0.99863201000000001</v>
      </c>
      <c r="F50" s="13"/>
      <c r="G50" s="18">
        <v>643398.03</v>
      </c>
      <c r="H50" s="18">
        <v>642517.87</v>
      </c>
      <c r="I50" s="18">
        <v>643398.03</v>
      </c>
      <c r="J50" s="18">
        <v>642517.87</v>
      </c>
      <c r="K50" s="15">
        <v>383</v>
      </c>
      <c r="L50" s="13" t="s">
        <v>102</v>
      </c>
      <c r="M50" s="13" t="s">
        <v>103</v>
      </c>
      <c r="N50" s="139" t="s">
        <v>378</v>
      </c>
      <c r="O50" s="139" t="s">
        <v>378</v>
      </c>
      <c r="P50" s="28">
        <v>25</v>
      </c>
      <c r="Q50" s="13" t="s">
        <v>54</v>
      </c>
      <c r="R50" s="13" t="s">
        <v>28</v>
      </c>
      <c r="S50" s="13"/>
      <c r="T50" s="13"/>
      <c r="U50" s="13" t="s">
        <v>843</v>
      </c>
      <c r="V50" s="13" t="s">
        <v>843</v>
      </c>
      <c r="W50" s="59">
        <f>+J50/$W$2</f>
        <v>1.4433141652401484E-5</v>
      </c>
      <c r="AC50"/>
    </row>
    <row r="51" spans="1:29">
      <c r="A51" s="13" t="s">
        <v>819</v>
      </c>
      <c r="B51" s="13" t="s">
        <v>538</v>
      </c>
      <c r="C51" s="139">
        <v>46183</v>
      </c>
      <c r="D51" s="139" t="s">
        <v>516</v>
      </c>
      <c r="E51" s="28">
        <v>0.99863203</v>
      </c>
      <c r="F51" s="13"/>
      <c r="G51" s="18">
        <v>186067</v>
      </c>
      <c r="H51" s="18">
        <v>185812.47</v>
      </c>
      <c r="I51" s="18">
        <v>186067</v>
      </c>
      <c r="J51" s="18">
        <v>185812.47</v>
      </c>
      <c r="K51" s="15">
        <v>135</v>
      </c>
      <c r="L51" s="13" t="s">
        <v>102</v>
      </c>
      <c r="M51" s="13" t="s">
        <v>103</v>
      </c>
      <c r="N51" s="139" t="s">
        <v>378</v>
      </c>
      <c r="O51" s="139" t="s">
        <v>378</v>
      </c>
      <c r="P51" s="28">
        <v>25</v>
      </c>
      <c r="Q51" s="13" t="s">
        <v>54</v>
      </c>
      <c r="R51" s="13" t="s">
        <v>28</v>
      </c>
      <c r="S51" s="13"/>
      <c r="T51" s="13"/>
      <c r="U51" s="13" t="s">
        <v>844</v>
      </c>
      <c r="V51" s="13" t="s">
        <v>844</v>
      </c>
      <c r="W51" s="59">
        <f>+J51/$W$2</f>
        <v>4.1739814960984684E-6</v>
      </c>
    </row>
    <row r="52" spans="1:29">
      <c r="A52" s="13" t="s">
        <v>819</v>
      </c>
      <c r="B52" s="13" t="s">
        <v>538</v>
      </c>
      <c r="C52" s="139">
        <v>46183</v>
      </c>
      <c r="D52" s="139" t="s">
        <v>516</v>
      </c>
      <c r="E52" s="28">
        <v>0.99863201999999995</v>
      </c>
      <c r="F52" s="13"/>
      <c r="G52" s="18">
        <v>137605.5</v>
      </c>
      <c r="H52" s="18">
        <v>137417.26</v>
      </c>
      <c r="I52" s="18">
        <v>137605.5</v>
      </c>
      <c r="J52" s="18">
        <v>137417.26</v>
      </c>
      <c r="K52" s="15">
        <v>45</v>
      </c>
      <c r="L52" s="13" t="s">
        <v>102</v>
      </c>
      <c r="M52" s="13" t="s">
        <v>103</v>
      </c>
      <c r="N52" s="139" t="s">
        <v>378</v>
      </c>
      <c r="O52" s="139" t="s">
        <v>378</v>
      </c>
      <c r="P52" s="28">
        <v>25</v>
      </c>
      <c r="Q52" s="13" t="s">
        <v>54</v>
      </c>
      <c r="R52" s="13" t="s">
        <v>28</v>
      </c>
      <c r="S52" s="13"/>
      <c r="T52" s="13"/>
      <c r="U52" s="13" t="s">
        <v>845</v>
      </c>
      <c r="V52" s="13" t="s">
        <v>845</v>
      </c>
      <c r="W52" s="59">
        <f>+J52/$W$2</f>
        <v>3.0868601040853298E-6</v>
      </c>
    </row>
    <row r="53" spans="1:29">
      <c r="A53" s="13" t="s">
        <v>819</v>
      </c>
      <c r="B53" s="13" t="s">
        <v>538</v>
      </c>
      <c r="C53" s="139">
        <v>46183</v>
      </c>
      <c r="D53" s="139" t="s">
        <v>516</v>
      </c>
      <c r="E53" s="28">
        <v>0.99863201999999995</v>
      </c>
      <c r="F53" s="13"/>
      <c r="G53" s="18">
        <v>577850.63</v>
      </c>
      <c r="H53" s="18">
        <v>577060.14</v>
      </c>
      <c r="I53" s="18">
        <v>577850.63</v>
      </c>
      <c r="J53" s="18">
        <v>577060.14</v>
      </c>
      <c r="K53" s="15">
        <v>4446</v>
      </c>
      <c r="L53" s="13" t="s">
        <v>102</v>
      </c>
      <c r="M53" s="13" t="s">
        <v>103</v>
      </c>
      <c r="N53" s="139" t="s">
        <v>378</v>
      </c>
      <c r="O53" s="139" t="s">
        <v>378</v>
      </c>
      <c r="P53" s="28">
        <v>25</v>
      </c>
      <c r="Q53" s="13" t="s">
        <v>54</v>
      </c>
      <c r="R53" s="13" t="s">
        <v>28</v>
      </c>
      <c r="S53" s="13"/>
      <c r="T53" s="13"/>
      <c r="U53" s="13" t="s">
        <v>846</v>
      </c>
      <c r="V53" s="13" t="s">
        <v>846</v>
      </c>
      <c r="W53" s="59">
        <f>+J53/$W$2</f>
        <v>1.2962737896417778E-5</v>
      </c>
    </row>
    <row r="54" spans="1:29">
      <c r="A54" s="13" t="s">
        <v>819</v>
      </c>
      <c r="B54" s="13" t="s">
        <v>538</v>
      </c>
      <c r="C54" s="139">
        <v>46183</v>
      </c>
      <c r="D54" s="139" t="s">
        <v>516</v>
      </c>
      <c r="E54" s="28">
        <v>0.99863201000000001</v>
      </c>
      <c r="F54" s="13"/>
      <c r="G54" s="18">
        <v>325760.8</v>
      </c>
      <c r="H54" s="18">
        <v>325315.15999999997</v>
      </c>
      <c r="I54" s="18">
        <v>325760.8</v>
      </c>
      <c r="J54" s="18">
        <v>325315.15999999997</v>
      </c>
      <c r="K54" s="15">
        <v>46</v>
      </c>
      <c r="L54" s="13" t="s">
        <v>102</v>
      </c>
      <c r="M54" s="13" t="s">
        <v>103</v>
      </c>
      <c r="N54" s="139" t="s">
        <v>378</v>
      </c>
      <c r="O54" s="139" t="s">
        <v>378</v>
      </c>
      <c r="P54" s="28">
        <v>25</v>
      </c>
      <c r="Q54" s="13" t="s">
        <v>54</v>
      </c>
      <c r="R54" s="13" t="s">
        <v>28</v>
      </c>
      <c r="S54" s="13"/>
      <c r="T54" s="13"/>
      <c r="U54" s="13" t="s">
        <v>847</v>
      </c>
      <c r="V54" s="13" t="s">
        <v>847</v>
      </c>
      <c r="W54" s="59">
        <f>+J54/$W$2</f>
        <v>7.3076874670484307E-6</v>
      </c>
    </row>
    <row r="55" spans="1:29">
      <c r="A55" s="13" t="s">
        <v>819</v>
      </c>
      <c r="B55" s="13" t="s">
        <v>538</v>
      </c>
      <c r="C55" s="139">
        <v>46183</v>
      </c>
      <c r="D55" s="139" t="s">
        <v>516</v>
      </c>
      <c r="E55" s="28">
        <v>0.99863201000000001</v>
      </c>
      <c r="F55" s="13"/>
      <c r="G55" s="18">
        <v>113740</v>
      </c>
      <c r="H55" s="18">
        <v>113584.41</v>
      </c>
      <c r="I55" s="18">
        <v>113740</v>
      </c>
      <c r="J55" s="18">
        <v>113584.41</v>
      </c>
      <c r="K55" s="15">
        <v>14903483</v>
      </c>
      <c r="L55" s="13" t="s">
        <v>102</v>
      </c>
      <c r="M55" s="13" t="s">
        <v>103</v>
      </c>
      <c r="N55" s="139" t="s">
        <v>378</v>
      </c>
      <c r="O55" s="139" t="s">
        <v>378</v>
      </c>
      <c r="P55" s="28">
        <v>25</v>
      </c>
      <c r="Q55" s="13" t="s">
        <v>54</v>
      </c>
      <c r="R55" s="13" t="s">
        <v>28</v>
      </c>
      <c r="S55" s="13"/>
      <c r="T55" s="13"/>
      <c r="U55" s="13" t="s">
        <v>848</v>
      </c>
      <c r="V55" s="13" t="s">
        <v>848</v>
      </c>
      <c r="W55" s="59">
        <f>+J55/$W$2</f>
        <v>2.5514930487994795E-6</v>
      </c>
    </row>
    <row r="56" spans="1:29">
      <c r="A56" s="13" t="s">
        <v>1162</v>
      </c>
      <c r="B56" s="13" t="s">
        <v>538</v>
      </c>
      <c r="C56" s="139">
        <v>46184</v>
      </c>
      <c r="D56" s="139" t="s">
        <v>516</v>
      </c>
      <c r="E56" s="28">
        <v>0.99688644000000004</v>
      </c>
      <c r="F56" s="13"/>
      <c r="G56" s="18">
        <v>6000000</v>
      </c>
      <c r="H56" s="18">
        <v>5981318.6699999999</v>
      </c>
      <c r="I56" s="18">
        <v>6000000</v>
      </c>
      <c r="J56" s="18">
        <v>5981318.6699999999</v>
      </c>
      <c r="K56" s="15">
        <v>90025542</v>
      </c>
      <c r="L56" s="13" t="s">
        <v>102</v>
      </c>
      <c r="M56" s="13" t="s">
        <v>103</v>
      </c>
      <c r="N56" s="139" t="s">
        <v>344</v>
      </c>
      <c r="O56" s="139" t="s">
        <v>344</v>
      </c>
      <c r="P56" s="28">
        <v>38</v>
      </c>
      <c r="Q56" s="13" t="s">
        <v>54</v>
      </c>
      <c r="R56" s="13" t="s">
        <v>28</v>
      </c>
      <c r="S56" s="13"/>
      <c r="T56" s="13"/>
      <c r="U56" s="13" t="s">
        <v>1158</v>
      </c>
      <c r="V56" s="13" t="s">
        <v>1158</v>
      </c>
      <c r="W56" s="59">
        <f>+J56/$W$2</f>
        <v>1.3436080716675421E-4</v>
      </c>
    </row>
    <row r="57" spans="1:29">
      <c r="A57" s="13" t="s">
        <v>435</v>
      </c>
      <c r="B57" s="13" t="s">
        <v>538</v>
      </c>
      <c r="C57" s="139">
        <v>46184</v>
      </c>
      <c r="D57" s="139" t="s">
        <v>516</v>
      </c>
      <c r="E57" s="28">
        <v>0.99664145999999998</v>
      </c>
      <c r="F57" s="13"/>
      <c r="G57" s="18">
        <v>18208333</v>
      </c>
      <c r="H57" s="18">
        <v>18147179.57</v>
      </c>
      <c r="I57" s="18">
        <v>18208333</v>
      </c>
      <c r="J57" s="18">
        <v>18147179.57</v>
      </c>
      <c r="K57" s="15">
        <v>1976</v>
      </c>
      <c r="L57" s="13" t="s">
        <v>102</v>
      </c>
      <c r="M57" s="13" t="s">
        <v>103</v>
      </c>
      <c r="N57" s="139" t="s">
        <v>245</v>
      </c>
      <c r="O57" s="139" t="s">
        <v>245</v>
      </c>
      <c r="P57" s="28">
        <v>41</v>
      </c>
      <c r="Q57" s="13" t="s">
        <v>54</v>
      </c>
      <c r="R57" s="13" t="s">
        <v>28</v>
      </c>
      <c r="S57" s="13"/>
      <c r="T57" s="13"/>
      <c r="U57" s="13" t="s">
        <v>432</v>
      </c>
      <c r="V57" s="13" t="s">
        <v>432</v>
      </c>
      <c r="W57" s="59">
        <f>+J57/$W$2</f>
        <v>4.0764751543077897E-4</v>
      </c>
      <c r="AC57" s="56"/>
    </row>
    <row r="58" spans="1:29">
      <c r="A58" s="13" t="s">
        <v>527</v>
      </c>
      <c r="B58" s="13" t="s">
        <v>538</v>
      </c>
      <c r="C58" s="139">
        <v>46184</v>
      </c>
      <c r="D58" s="139" t="s">
        <v>516</v>
      </c>
      <c r="E58" s="28">
        <v>0.99688644999999998</v>
      </c>
      <c r="F58" s="13"/>
      <c r="G58" s="18">
        <v>438000000</v>
      </c>
      <c r="H58" s="18">
        <v>436636263.64999998</v>
      </c>
      <c r="I58" s="18">
        <v>438000000</v>
      </c>
      <c r="J58" s="18">
        <v>436636263.64999998</v>
      </c>
      <c r="K58" s="15">
        <v>171</v>
      </c>
      <c r="L58" s="13" t="s">
        <v>102</v>
      </c>
      <c r="M58" s="13" t="s">
        <v>103</v>
      </c>
      <c r="N58" s="139" t="s">
        <v>244</v>
      </c>
      <c r="O58" s="139" t="s">
        <v>244</v>
      </c>
      <c r="P58" s="28">
        <v>38</v>
      </c>
      <c r="Q58" s="13" t="s">
        <v>54</v>
      </c>
      <c r="R58" s="13" t="s">
        <v>28</v>
      </c>
      <c r="S58" s="13"/>
      <c r="T58" s="13"/>
      <c r="U58" s="13" t="s">
        <v>526</v>
      </c>
      <c r="V58" s="13" t="s">
        <v>526</v>
      </c>
      <c r="W58" s="59">
        <f>+J58/$W$2</f>
        <v>9.8083389397959787E-3</v>
      </c>
    </row>
    <row r="59" spans="1:29">
      <c r="A59" s="13" t="s">
        <v>558</v>
      </c>
      <c r="B59" s="13" t="s">
        <v>538</v>
      </c>
      <c r="C59" s="139">
        <v>46184</v>
      </c>
      <c r="D59" s="139" t="s">
        <v>516</v>
      </c>
      <c r="E59" s="28">
        <v>0.99623344000000003</v>
      </c>
      <c r="F59" s="13"/>
      <c r="G59" s="18">
        <v>42000000</v>
      </c>
      <c r="H59" s="18">
        <v>41841804.409999996</v>
      </c>
      <c r="I59" s="18">
        <v>42000000</v>
      </c>
      <c r="J59" s="18">
        <v>41841804.409999996</v>
      </c>
      <c r="K59" s="15">
        <v>145438</v>
      </c>
      <c r="L59" s="13" t="s">
        <v>102</v>
      </c>
      <c r="M59" s="13" t="s">
        <v>103</v>
      </c>
      <c r="N59" s="139" t="s">
        <v>320</v>
      </c>
      <c r="O59" s="139" t="s">
        <v>320</v>
      </c>
      <c r="P59" s="28">
        <v>46</v>
      </c>
      <c r="Q59" s="13" t="s">
        <v>54</v>
      </c>
      <c r="R59" s="13" t="s">
        <v>28</v>
      </c>
      <c r="S59" s="13"/>
      <c r="T59" s="13"/>
      <c r="U59" s="13" t="s">
        <v>748</v>
      </c>
      <c r="V59" s="13" t="s">
        <v>748</v>
      </c>
      <c r="W59" s="59">
        <f>+J59/$W$2</f>
        <v>9.3990956242447706E-4</v>
      </c>
    </row>
    <row r="60" spans="1:29">
      <c r="A60" s="13" t="s">
        <v>556</v>
      </c>
      <c r="B60" s="13" t="s">
        <v>538</v>
      </c>
      <c r="C60" s="139">
        <v>46184</v>
      </c>
      <c r="D60" s="139" t="s">
        <v>516</v>
      </c>
      <c r="E60" s="28">
        <v>0.99655983999999997</v>
      </c>
      <c r="F60" s="13"/>
      <c r="G60" s="18">
        <v>19618198</v>
      </c>
      <c r="H60" s="18">
        <v>19550708.27</v>
      </c>
      <c r="I60" s="18">
        <v>19618198</v>
      </c>
      <c r="J60" s="18">
        <v>19550708.27</v>
      </c>
      <c r="K60" s="15">
        <v>98808324</v>
      </c>
      <c r="L60" s="13" t="s">
        <v>102</v>
      </c>
      <c r="M60" s="13" t="s">
        <v>103</v>
      </c>
      <c r="N60" s="139" t="s">
        <v>379</v>
      </c>
      <c r="O60" s="139" t="s">
        <v>379</v>
      </c>
      <c r="P60" s="28">
        <v>42</v>
      </c>
      <c r="Q60" s="13" t="s">
        <v>54</v>
      </c>
      <c r="R60" s="13" t="s">
        <v>28</v>
      </c>
      <c r="S60" s="13"/>
      <c r="T60" s="13"/>
      <c r="U60" s="13" t="s">
        <v>1393</v>
      </c>
      <c r="V60" s="13" t="s">
        <v>1393</v>
      </c>
      <c r="W60" s="59">
        <f>+J60/$W$2</f>
        <v>4.3917555455023709E-4</v>
      </c>
    </row>
    <row r="61" spans="1:29">
      <c r="A61" s="13" t="s">
        <v>148</v>
      </c>
      <c r="B61" s="13" t="s">
        <v>538</v>
      </c>
      <c r="C61" s="139">
        <v>46184</v>
      </c>
      <c r="D61" s="139" t="s">
        <v>516</v>
      </c>
      <c r="E61" s="28">
        <v>0.99623342999999998</v>
      </c>
      <c r="F61" s="13"/>
      <c r="G61" s="18">
        <v>20000000</v>
      </c>
      <c r="H61" s="18">
        <v>19924668.530000001</v>
      </c>
      <c r="I61" s="18">
        <v>20000000</v>
      </c>
      <c r="J61" s="18">
        <v>19924668.530000001</v>
      </c>
      <c r="K61" s="15">
        <v>3979</v>
      </c>
      <c r="L61" s="13" t="s">
        <v>102</v>
      </c>
      <c r="M61" s="13" t="s">
        <v>103</v>
      </c>
      <c r="N61" s="139" t="s">
        <v>242</v>
      </c>
      <c r="O61" s="139" t="s">
        <v>242</v>
      </c>
      <c r="P61" s="28">
        <v>46</v>
      </c>
      <c r="Q61" s="13" t="s">
        <v>54</v>
      </c>
      <c r="R61" s="13" t="s">
        <v>28</v>
      </c>
      <c r="S61" s="13"/>
      <c r="T61" s="13"/>
      <c r="U61" s="13" t="s">
        <v>509</v>
      </c>
      <c r="V61" s="13" t="s">
        <v>509</v>
      </c>
      <c r="W61" s="59">
        <f>+J61/$W$2</f>
        <v>4.4757597679055379E-4</v>
      </c>
    </row>
    <row r="62" spans="1:29">
      <c r="A62" s="13" t="s">
        <v>703</v>
      </c>
      <c r="B62" s="13" t="s">
        <v>538</v>
      </c>
      <c r="C62" s="139">
        <v>46184</v>
      </c>
      <c r="D62" s="139" t="s">
        <v>516</v>
      </c>
      <c r="E62" s="28">
        <v>0.99754032000000004</v>
      </c>
      <c r="F62" s="13"/>
      <c r="G62" s="18">
        <v>213099761.59999999</v>
      </c>
      <c r="H62" s="18">
        <v>212575605.22999999</v>
      </c>
      <c r="I62" s="18">
        <v>213099761.59999999</v>
      </c>
      <c r="J62" s="18">
        <v>212575605.22999999</v>
      </c>
      <c r="K62" s="15">
        <v>30004140</v>
      </c>
      <c r="L62" s="13" t="s">
        <v>102</v>
      </c>
      <c r="M62" s="13" t="s">
        <v>103</v>
      </c>
      <c r="N62" s="139" t="s">
        <v>324</v>
      </c>
      <c r="O62" s="139" t="s">
        <v>324</v>
      </c>
      <c r="P62" s="28">
        <v>30</v>
      </c>
      <c r="Q62" s="13" t="s">
        <v>54</v>
      </c>
      <c r="R62" s="13" t="s">
        <v>28</v>
      </c>
      <c r="S62" s="13"/>
      <c r="T62" s="13"/>
      <c r="U62" s="13" t="s">
        <v>699</v>
      </c>
      <c r="V62" s="13" t="s">
        <v>699</v>
      </c>
      <c r="W62" s="59">
        <f>+J62/$W$2</f>
        <v>4.7751727467588842E-3</v>
      </c>
      <c r="AC62" s="56"/>
    </row>
    <row r="63" spans="1:29">
      <c r="A63" s="13" t="s">
        <v>703</v>
      </c>
      <c r="B63" s="13" t="s">
        <v>538</v>
      </c>
      <c r="C63" s="139">
        <v>46184</v>
      </c>
      <c r="D63" s="139" t="s">
        <v>516</v>
      </c>
      <c r="E63" s="28">
        <v>0.99754032000000004</v>
      </c>
      <c r="F63" s="13"/>
      <c r="G63" s="18">
        <v>8834999.9700000007</v>
      </c>
      <c r="H63" s="18">
        <v>8813268.7300000004</v>
      </c>
      <c r="I63" s="18">
        <v>8834999.9700000007</v>
      </c>
      <c r="J63" s="18">
        <v>8813268.7300000004</v>
      </c>
      <c r="K63" s="15">
        <v>30004135</v>
      </c>
      <c r="L63" s="13" t="s">
        <v>102</v>
      </c>
      <c r="M63" s="13" t="s">
        <v>103</v>
      </c>
      <c r="N63" s="139" t="s">
        <v>324</v>
      </c>
      <c r="O63" s="139" t="s">
        <v>324</v>
      </c>
      <c r="P63" s="28">
        <v>30</v>
      </c>
      <c r="Q63" s="13" t="s">
        <v>54</v>
      </c>
      <c r="R63" s="13" t="s">
        <v>28</v>
      </c>
      <c r="S63" s="13"/>
      <c r="T63" s="13"/>
      <c r="U63" s="13" t="s">
        <v>700</v>
      </c>
      <c r="V63" s="13" t="s">
        <v>700</v>
      </c>
      <c r="W63" s="59">
        <f>+J63/$W$2</f>
        <v>1.9797605940636412E-4</v>
      </c>
    </row>
    <row r="64" spans="1:29">
      <c r="A64" s="13" t="s">
        <v>339</v>
      </c>
      <c r="B64" s="13" t="s">
        <v>538</v>
      </c>
      <c r="C64" s="139">
        <v>46184</v>
      </c>
      <c r="D64" s="139" t="s">
        <v>516</v>
      </c>
      <c r="E64" s="28">
        <v>0.99713154999999998</v>
      </c>
      <c r="F64" s="13"/>
      <c r="G64" s="18">
        <v>5000000</v>
      </c>
      <c r="H64" s="18">
        <v>4985657.74</v>
      </c>
      <c r="I64" s="18">
        <v>5000000</v>
      </c>
      <c r="J64" s="18">
        <v>4985657.74</v>
      </c>
      <c r="K64" s="15">
        <v>90000052</v>
      </c>
      <c r="L64" s="13" t="s">
        <v>102</v>
      </c>
      <c r="M64" s="13" t="s">
        <v>103</v>
      </c>
      <c r="N64" s="139" t="s">
        <v>244</v>
      </c>
      <c r="O64" s="139" t="s">
        <v>244</v>
      </c>
      <c r="P64" s="28">
        <v>35</v>
      </c>
      <c r="Q64" s="13" t="s">
        <v>54</v>
      </c>
      <c r="R64" s="13" t="s">
        <v>28</v>
      </c>
      <c r="S64" s="13"/>
      <c r="T64" s="13"/>
      <c r="U64" s="13" t="s">
        <v>517</v>
      </c>
      <c r="V64" s="13" t="s">
        <v>517</v>
      </c>
      <c r="W64" s="59">
        <f>+J64/$W$2</f>
        <v>1.1199486855021145E-4</v>
      </c>
      <c r="AC64" s="56"/>
    </row>
    <row r="65" spans="1:29">
      <c r="A65" s="13" t="s">
        <v>993</v>
      </c>
      <c r="B65" s="13" t="s">
        <v>538</v>
      </c>
      <c r="C65" s="139">
        <v>46184</v>
      </c>
      <c r="D65" s="139" t="s">
        <v>516</v>
      </c>
      <c r="E65" s="28">
        <v>0.99778575000000003</v>
      </c>
      <c r="F65" s="13"/>
      <c r="G65" s="18">
        <v>15200000</v>
      </c>
      <c r="H65" s="18">
        <v>15166343.33</v>
      </c>
      <c r="I65" s="18">
        <v>15200000</v>
      </c>
      <c r="J65" s="18">
        <v>15166343.33</v>
      </c>
      <c r="K65" s="15">
        <v>2599</v>
      </c>
      <c r="L65" s="13" t="s">
        <v>102</v>
      </c>
      <c r="M65" s="13" t="s">
        <v>103</v>
      </c>
      <c r="N65" s="139" t="s">
        <v>359</v>
      </c>
      <c r="O65" s="139" t="s">
        <v>359</v>
      </c>
      <c r="P65" s="28">
        <v>27</v>
      </c>
      <c r="Q65" s="13" t="s">
        <v>54</v>
      </c>
      <c r="R65" s="13" t="s">
        <v>28</v>
      </c>
      <c r="S65" s="13"/>
      <c r="T65" s="13"/>
      <c r="U65" s="13" t="s">
        <v>1322</v>
      </c>
      <c r="V65" s="13" t="s">
        <v>1322</v>
      </c>
      <c r="W65" s="59">
        <f>+J65/$W$2</f>
        <v>3.406877720472497E-4</v>
      </c>
    </row>
    <row r="66" spans="1:29">
      <c r="A66" s="13" t="s">
        <v>444</v>
      </c>
      <c r="B66" s="13" t="s">
        <v>538</v>
      </c>
      <c r="C66" s="139">
        <v>46184</v>
      </c>
      <c r="D66" s="139" t="s">
        <v>516</v>
      </c>
      <c r="E66" s="28">
        <v>0.99664145999999998</v>
      </c>
      <c r="F66" s="13"/>
      <c r="G66" s="18">
        <v>20000000</v>
      </c>
      <c r="H66" s="18">
        <v>19932829.280000001</v>
      </c>
      <c r="I66" s="18">
        <v>20000000</v>
      </c>
      <c r="J66" s="18">
        <v>19932829.280000001</v>
      </c>
      <c r="K66" s="15">
        <v>13318416</v>
      </c>
      <c r="L66" s="13" t="s">
        <v>102</v>
      </c>
      <c r="M66" s="13" t="s">
        <v>103</v>
      </c>
      <c r="N66" s="139" t="s">
        <v>231</v>
      </c>
      <c r="O66" s="139" t="s">
        <v>231</v>
      </c>
      <c r="P66" s="28">
        <v>41</v>
      </c>
      <c r="Q66" s="13" t="s">
        <v>54</v>
      </c>
      <c r="R66" s="13" t="s">
        <v>28</v>
      </c>
      <c r="S66" s="13"/>
      <c r="T66" s="13"/>
      <c r="U66" s="13" t="s">
        <v>645</v>
      </c>
      <c r="V66" s="13" t="s">
        <v>645</v>
      </c>
      <c r="W66" s="59">
        <f>+J66/$W$2</f>
        <v>4.4775929505490005E-4</v>
      </c>
    </row>
    <row r="67" spans="1:29">
      <c r="A67" s="13" t="s">
        <v>310</v>
      </c>
      <c r="B67" s="13" t="s">
        <v>538</v>
      </c>
      <c r="C67" s="139">
        <v>46184</v>
      </c>
      <c r="D67" s="139" t="s">
        <v>516</v>
      </c>
      <c r="E67" s="28">
        <v>0.99655983999999997</v>
      </c>
      <c r="F67" s="13"/>
      <c r="G67" s="18">
        <v>17368953.050000001</v>
      </c>
      <c r="H67" s="18">
        <v>17309201.120000001</v>
      </c>
      <c r="I67" s="18">
        <v>17368953.050000001</v>
      </c>
      <c r="J67" s="18">
        <v>17309201.120000001</v>
      </c>
      <c r="K67" s="15">
        <v>5108</v>
      </c>
      <c r="L67" s="13" t="s">
        <v>102</v>
      </c>
      <c r="M67" s="13" t="s">
        <v>103</v>
      </c>
      <c r="N67" s="139" t="s">
        <v>374</v>
      </c>
      <c r="O67" s="139" t="s">
        <v>374</v>
      </c>
      <c r="P67" s="28">
        <v>42</v>
      </c>
      <c r="Q67" s="13" t="s">
        <v>54</v>
      </c>
      <c r="R67" s="13" t="s">
        <v>28</v>
      </c>
      <c r="S67" s="13"/>
      <c r="T67" s="13"/>
      <c r="U67" s="13" t="s">
        <v>1190</v>
      </c>
      <c r="V67" s="13" t="s">
        <v>1190</v>
      </c>
      <c r="W67" s="59">
        <f>+J67/$W$2</f>
        <v>3.8882366284204118E-4</v>
      </c>
    </row>
    <row r="68" spans="1:29">
      <c r="A68" s="13" t="s">
        <v>1914</v>
      </c>
      <c r="B68" s="13" t="s">
        <v>538</v>
      </c>
      <c r="C68" s="139">
        <v>46184</v>
      </c>
      <c r="D68" s="139" t="s">
        <v>516</v>
      </c>
      <c r="E68" s="28">
        <v>0.99754036000000001</v>
      </c>
      <c r="F68" s="13"/>
      <c r="G68" s="18">
        <v>6343009.7599999998</v>
      </c>
      <c r="H68" s="18">
        <v>6327408.2699999996</v>
      </c>
      <c r="I68" s="18">
        <v>6343009.7599999998</v>
      </c>
      <c r="J68" s="18">
        <v>6327408.2699999996</v>
      </c>
      <c r="K68" s="15">
        <v>896767</v>
      </c>
      <c r="L68" s="13" t="s">
        <v>102</v>
      </c>
      <c r="M68" s="13" t="s">
        <v>103</v>
      </c>
      <c r="N68" s="139" t="s">
        <v>175</v>
      </c>
      <c r="O68" s="139" t="s">
        <v>175</v>
      </c>
      <c r="P68" s="28">
        <v>30</v>
      </c>
      <c r="Q68" s="13" t="s">
        <v>54</v>
      </c>
      <c r="R68" s="13" t="s">
        <v>28</v>
      </c>
      <c r="S68" s="13"/>
      <c r="T68" s="13"/>
      <c r="U68" s="13" t="s">
        <v>1910</v>
      </c>
      <c r="V68" s="13" t="s">
        <v>1910</v>
      </c>
      <c r="W68" s="59">
        <f>+J68/$W$2</f>
        <v>1.4213515937461259E-4</v>
      </c>
    </row>
    <row r="69" spans="1:29">
      <c r="A69" s="13" t="s">
        <v>210</v>
      </c>
      <c r="B69" s="13" t="s">
        <v>538</v>
      </c>
      <c r="C69" s="139">
        <v>46184</v>
      </c>
      <c r="D69" s="139" t="s">
        <v>516</v>
      </c>
      <c r="E69" s="28">
        <v>0.99778573999999998</v>
      </c>
      <c r="F69" s="13"/>
      <c r="G69" s="18">
        <v>20146795.890000001</v>
      </c>
      <c r="H69" s="18">
        <v>20102185.68</v>
      </c>
      <c r="I69" s="18">
        <v>20146795.890000001</v>
      </c>
      <c r="J69" s="18">
        <v>20102185.68</v>
      </c>
      <c r="K69" s="15">
        <v>1509</v>
      </c>
      <c r="L69" s="13" t="s">
        <v>102</v>
      </c>
      <c r="M69" s="13" t="s">
        <v>103</v>
      </c>
      <c r="N69" s="139" t="s">
        <v>231</v>
      </c>
      <c r="O69" s="139" t="s">
        <v>231</v>
      </c>
      <c r="P69" s="28">
        <v>27</v>
      </c>
      <c r="Q69" s="13" t="s">
        <v>54</v>
      </c>
      <c r="R69" s="13" t="s">
        <v>28</v>
      </c>
      <c r="S69" s="13"/>
      <c r="T69" s="13"/>
      <c r="U69" s="13" t="s">
        <v>675</v>
      </c>
      <c r="V69" s="13" t="s">
        <v>675</v>
      </c>
      <c r="W69" s="59">
        <f>+J69/$W$2</f>
        <v>4.5156361712136761E-4</v>
      </c>
      <c r="AC69" s="56"/>
    </row>
    <row r="70" spans="1:29">
      <c r="A70" s="13" t="s">
        <v>210</v>
      </c>
      <c r="B70" s="13" t="s">
        <v>538</v>
      </c>
      <c r="C70" s="139">
        <v>46184</v>
      </c>
      <c r="D70" s="139" t="s">
        <v>516</v>
      </c>
      <c r="E70" s="28">
        <v>0.99778573999999998</v>
      </c>
      <c r="F70" s="13"/>
      <c r="G70" s="18">
        <v>7921214.3099999996</v>
      </c>
      <c r="H70" s="18">
        <v>7903674.7000000002</v>
      </c>
      <c r="I70" s="18">
        <v>7921214.3099999996</v>
      </c>
      <c r="J70" s="18">
        <v>7903674.7000000002</v>
      </c>
      <c r="K70" s="15">
        <v>1510</v>
      </c>
      <c r="L70" s="13" t="s">
        <v>102</v>
      </c>
      <c r="M70" s="13" t="s">
        <v>103</v>
      </c>
      <c r="N70" s="139" t="s">
        <v>231</v>
      </c>
      <c r="O70" s="139" t="s">
        <v>231</v>
      </c>
      <c r="P70" s="28">
        <v>27</v>
      </c>
      <c r="Q70" s="13" t="s">
        <v>54</v>
      </c>
      <c r="R70" s="13" t="s">
        <v>28</v>
      </c>
      <c r="S70" s="13"/>
      <c r="T70" s="13"/>
      <c r="U70" s="13" t="s">
        <v>676</v>
      </c>
      <c r="V70" s="13" t="s">
        <v>676</v>
      </c>
      <c r="W70" s="59">
        <f>+J70/$W$2</f>
        <v>1.7754347675902275E-4</v>
      </c>
    </row>
    <row r="71" spans="1:29">
      <c r="A71" s="13" t="s">
        <v>210</v>
      </c>
      <c r="B71" s="13" t="s">
        <v>538</v>
      </c>
      <c r="C71" s="139">
        <v>46184</v>
      </c>
      <c r="D71" s="139" t="s">
        <v>516</v>
      </c>
      <c r="E71" s="28">
        <v>0.99778573999999998</v>
      </c>
      <c r="F71" s="13"/>
      <c r="G71" s="18">
        <v>8670779.9700000007</v>
      </c>
      <c r="H71" s="18">
        <v>8651580.6199999992</v>
      </c>
      <c r="I71" s="18">
        <v>8670779.9700000007</v>
      </c>
      <c r="J71" s="18">
        <v>8651580.6199999992</v>
      </c>
      <c r="K71" s="15">
        <v>1511</v>
      </c>
      <c r="L71" s="13" t="s">
        <v>102</v>
      </c>
      <c r="M71" s="13" t="s">
        <v>103</v>
      </c>
      <c r="N71" s="139" t="s">
        <v>231</v>
      </c>
      <c r="O71" s="139" t="s">
        <v>231</v>
      </c>
      <c r="P71" s="28">
        <v>27</v>
      </c>
      <c r="Q71" s="13" t="s">
        <v>54</v>
      </c>
      <c r="R71" s="13" t="s">
        <v>28</v>
      </c>
      <c r="S71" s="13"/>
      <c r="T71" s="13"/>
      <c r="U71" s="13" t="s">
        <v>677</v>
      </c>
      <c r="V71" s="13" t="s">
        <v>677</v>
      </c>
      <c r="W71" s="59">
        <f>+J71/$W$2</f>
        <v>1.9434399327388581E-4</v>
      </c>
    </row>
    <row r="72" spans="1:29">
      <c r="A72" s="13" t="s">
        <v>210</v>
      </c>
      <c r="B72" s="13" t="s">
        <v>538</v>
      </c>
      <c r="C72" s="139">
        <v>46184</v>
      </c>
      <c r="D72" s="139" t="s">
        <v>516</v>
      </c>
      <c r="E72" s="28">
        <v>0.99778573999999998</v>
      </c>
      <c r="F72" s="13"/>
      <c r="G72" s="18">
        <v>4374979.37</v>
      </c>
      <c r="H72" s="18">
        <v>4365292.04</v>
      </c>
      <c r="I72" s="18">
        <v>4374979.37</v>
      </c>
      <c r="J72" s="18">
        <v>4365292.04</v>
      </c>
      <c r="K72" s="15">
        <v>1512</v>
      </c>
      <c r="L72" s="13" t="s">
        <v>102</v>
      </c>
      <c r="M72" s="13" t="s">
        <v>103</v>
      </c>
      <c r="N72" s="139" t="s">
        <v>231</v>
      </c>
      <c r="O72" s="139" t="s">
        <v>231</v>
      </c>
      <c r="P72" s="28">
        <v>27</v>
      </c>
      <c r="Q72" s="13" t="s">
        <v>54</v>
      </c>
      <c r="R72" s="13" t="s">
        <v>28</v>
      </c>
      <c r="S72" s="13"/>
      <c r="T72" s="13"/>
      <c r="U72" s="13" t="s">
        <v>678</v>
      </c>
      <c r="V72" s="13" t="s">
        <v>678</v>
      </c>
      <c r="W72" s="59">
        <f>+J72/$W$2</f>
        <v>9.8059340150991674E-5</v>
      </c>
    </row>
    <row r="73" spans="1:29">
      <c r="A73" s="13" t="s">
        <v>590</v>
      </c>
      <c r="B73" s="13" t="s">
        <v>538</v>
      </c>
      <c r="C73" s="139">
        <v>46184</v>
      </c>
      <c r="D73" s="139" t="s">
        <v>516</v>
      </c>
      <c r="E73" s="28">
        <v>0.99664145999999998</v>
      </c>
      <c r="F73" s="13"/>
      <c r="G73" s="18">
        <v>10918371.689999999</v>
      </c>
      <c r="H73" s="18">
        <v>10881701.949999999</v>
      </c>
      <c r="I73" s="18">
        <v>10918371.689999999</v>
      </c>
      <c r="J73" s="18">
        <v>10881701.949999999</v>
      </c>
      <c r="K73" s="15">
        <v>30453</v>
      </c>
      <c r="L73" s="13" t="s">
        <v>102</v>
      </c>
      <c r="M73" s="13" t="s">
        <v>103</v>
      </c>
      <c r="N73" s="139" t="s">
        <v>231</v>
      </c>
      <c r="O73" s="139" t="s">
        <v>231</v>
      </c>
      <c r="P73" s="28">
        <v>41</v>
      </c>
      <c r="Q73" s="13" t="s">
        <v>54</v>
      </c>
      <c r="R73" s="13" t="s">
        <v>28</v>
      </c>
      <c r="S73" s="13"/>
      <c r="T73" s="13"/>
      <c r="U73" s="13" t="s">
        <v>657</v>
      </c>
      <c r="V73" s="13" t="s">
        <v>657</v>
      </c>
      <c r="W73" s="59">
        <f>+J73/$W$2</f>
        <v>2.4444012065152903E-4</v>
      </c>
    </row>
    <row r="74" spans="1:29">
      <c r="A74" s="13" t="s">
        <v>1402</v>
      </c>
      <c r="B74" s="13" t="s">
        <v>538</v>
      </c>
      <c r="C74" s="139">
        <v>46184</v>
      </c>
      <c r="D74" s="139" t="s">
        <v>516</v>
      </c>
      <c r="E74" s="28">
        <v>0.99770393000000002</v>
      </c>
      <c r="F74" s="13"/>
      <c r="G74" s="18">
        <v>5000000</v>
      </c>
      <c r="H74" s="18">
        <v>4988519.6399999997</v>
      </c>
      <c r="I74" s="18">
        <v>5000000</v>
      </c>
      <c r="J74" s="18">
        <v>4988519.6399999997</v>
      </c>
      <c r="K74" s="15">
        <v>6034640</v>
      </c>
      <c r="L74" s="13" t="s">
        <v>102</v>
      </c>
      <c r="M74" s="13" t="s">
        <v>103</v>
      </c>
      <c r="N74" s="139" t="s">
        <v>379</v>
      </c>
      <c r="O74" s="139" t="s">
        <v>379</v>
      </c>
      <c r="P74" s="28">
        <v>28</v>
      </c>
      <c r="Q74" s="13" t="s">
        <v>54</v>
      </c>
      <c r="R74" s="13" t="s">
        <v>28</v>
      </c>
      <c r="S74" s="13"/>
      <c r="T74" s="13"/>
      <c r="U74" s="13" t="s">
        <v>1361</v>
      </c>
      <c r="V74" s="13" t="s">
        <v>1361</v>
      </c>
      <c r="W74" s="59">
        <f>+J74/$W$2</f>
        <v>1.120591565802004E-4</v>
      </c>
    </row>
    <row r="75" spans="1:29">
      <c r="A75" s="13" t="s">
        <v>819</v>
      </c>
      <c r="B75" s="13" t="s">
        <v>538</v>
      </c>
      <c r="C75" s="139">
        <v>46184</v>
      </c>
      <c r="D75" s="139" t="s">
        <v>516</v>
      </c>
      <c r="E75" s="28">
        <v>0.99794943000000003</v>
      </c>
      <c r="F75" s="13"/>
      <c r="G75" s="18">
        <v>321666.46000000002</v>
      </c>
      <c r="H75" s="18">
        <v>321006.86</v>
      </c>
      <c r="I75" s="18">
        <v>321666.46000000002</v>
      </c>
      <c r="J75" s="18">
        <v>321006.86</v>
      </c>
      <c r="K75" s="15">
        <v>762</v>
      </c>
      <c r="L75" s="13" t="s">
        <v>102</v>
      </c>
      <c r="M75" s="13" t="s">
        <v>103</v>
      </c>
      <c r="N75" s="139" t="s">
        <v>378</v>
      </c>
      <c r="O75" s="139" t="s">
        <v>378</v>
      </c>
      <c r="P75" s="28">
        <v>25</v>
      </c>
      <c r="Q75" s="13" t="s">
        <v>54</v>
      </c>
      <c r="R75" s="13" t="s">
        <v>28</v>
      </c>
      <c r="S75" s="13"/>
      <c r="T75" s="13"/>
      <c r="U75" s="13" t="s">
        <v>839</v>
      </c>
      <c r="V75" s="13" t="s">
        <v>839</v>
      </c>
      <c r="W75" s="59">
        <f>+J75/$W$2</f>
        <v>7.2109083623971605E-6</v>
      </c>
    </row>
    <row r="76" spans="1:29">
      <c r="A76" s="13" t="s">
        <v>819</v>
      </c>
      <c r="B76" s="13" t="s">
        <v>538</v>
      </c>
      <c r="C76" s="139">
        <v>46184</v>
      </c>
      <c r="D76" s="139" t="s">
        <v>516</v>
      </c>
      <c r="E76" s="28">
        <v>0.99794943999999997</v>
      </c>
      <c r="F76" s="13"/>
      <c r="G76" s="18">
        <v>250000</v>
      </c>
      <c r="H76" s="18">
        <v>249487.35999999999</v>
      </c>
      <c r="I76" s="18">
        <v>250000</v>
      </c>
      <c r="J76" s="18">
        <v>249487.35999999999</v>
      </c>
      <c r="K76" s="15">
        <v>90000276</v>
      </c>
      <c r="L76" s="13" t="s">
        <v>102</v>
      </c>
      <c r="M76" s="13" t="s">
        <v>103</v>
      </c>
      <c r="N76" s="139" t="s">
        <v>378</v>
      </c>
      <c r="O76" s="139" t="s">
        <v>378</v>
      </c>
      <c r="P76" s="28">
        <v>25</v>
      </c>
      <c r="Q76" s="13" t="s">
        <v>54</v>
      </c>
      <c r="R76" s="13" t="s">
        <v>28</v>
      </c>
      <c r="S76" s="13"/>
      <c r="T76" s="13"/>
      <c r="U76" s="13" t="s">
        <v>840</v>
      </c>
      <c r="V76" s="13" t="s">
        <v>840</v>
      </c>
      <c r="W76" s="59">
        <f>+J76/$W$2</f>
        <v>5.60433658812273E-6</v>
      </c>
    </row>
    <row r="77" spans="1:29">
      <c r="A77" s="13" t="s">
        <v>993</v>
      </c>
      <c r="B77" s="13" t="s">
        <v>538</v>
      </c>
      <c r="C77" s="139">
        <v>46184</v>
      </c>
      <c r="D77" s="139" t="s">
        <v>516</v>
      </c>
      <c r="E77" s="28">
        <v>0.99770393000000002</v>
      </c>
      <c r="F77" s="13"/>
      <c r="G77" s="18">
        <v>10000000</v>
      </c>
      <c r="H77" s="18">
        <v>9977039.2599999998</v>
      </c>
      <c r="I77" s="18">
        <v>10000000</v>
      </c>
      <c r="J77" s="18">
        <v>9977039.2599999998</v>
      </c>
      <c r="K77" s="15">
        <v>66290675</v>
      </c>
      <c r="L77" s="13" t="s">
        <v>102</v>
      </c>
      <c r="M77" s="13" t="s">
        <v>103</v>
      </c>
      <c r="N77" s="139" t="s">
        <v>428</v>
      </c>
      <c r="O77" s="139" t="s">
        <v>428</v>
      </c>
      <c r="P77" s="28">
        <v>28</v>
      </c>
      <c r="Q77" s="13" t="s">
        <v>54</v>
      </c>
      <c r="R77" s="13" t="s">
        <v>28</v>
      </c>
      <c r="S77" s="13"/>
      <c r="T77" s="13"/>
      <c r="U77" s="13" t="s">
        <v>936</v>
      </c>
      <c r="V77" s="13" t="s">
        <v>936</v>
      </c>
      <c r="W77" s="59">
        <f>+J77/$W$2</f>
        <v>2.2411831271113266E-4</v>
      </c>
    </row>
    <row r="78" spans="1:29">
      <c r="A78" s="13" t="s">
        <v>640</v>
      </c>
      <c r="B78" s="13" t="s">
        <v>538</v>
      </c>
      <c r="C78" s="139">
        <v>46185</v>
      </c>
      <c r="D78" s="139" t="s">
        <v>516</v>
      </c>
      <c r="E78" s="28">
        <v>0.99585288999999999</v>
      </c>
      <c r="F78" s="13"/>
      <c r="G78" s="18">
        <v>50000000</v>
      </c>
      <c r="H78" s="18">
        <v>49792644.340000004</v>
      </c>
      <c r="I78" s="18">
        <v>50000000</v>
      </c>
      <c r="J78" s="18">
        <v>49792644.340000004</v>
      </c>
      <c r="K78" s="15">
        <v>2422</v>
      </c>
      <c r="L78" s="13" t="s">
        <v>102</v>
      </c>
      <c r="M78" s="13" t="s">
        <v>103</v>
      </c>
      <c r="N78" s="139" t="s">
        <v>155</v>
      </c>
      <c r="O78" s="139" t="s">
        <v>155</v>
      </c>
      <c r="P78" s="28">
        <v>38</v>
      </c>
      <c r="Q78" s="13" t="s">
        <v>54</v>
      </c>
      <c r="R78" s="13" t="s">
        <v>28</v>
      </c>
      <c r="S78" s="13"/>
      <c r="T78" s="13"/>
      <c r="U78" s="13" t="s">
        <v>625</v>
      </c>
      <c r="V78" s="13" t="s">
        <v>625</v>
      </c>
      <c r="W78" s="59">
        <f>+J78/$W$2</f>
        <v>1.1185125310318093E-3</v>
      </c>
    </row>
    <row r="79" spans="1:29">
      <c r="A79" s="13" t="s">
        <v>401</v>
      </c>
      <c r="B79" s="13" t="s">
        <v>538</v>
      </c>
      <c r="C79" s="139">
        <v>46185</v>
      </c>
      <c r="D79" s="139" t="s">
        <v>516</v>
      </c>
      <c r="E79" s="28">
        <v>0.99563557000000003</v>
      </c>
      <c r="F79" s="13"/>
      <c r="G79" s="18">
        <v>25000000</v>
      </c>
      <c r="H79" s="18">
        <v>24890889.300000001</v>
      </c>
      <c r="I79" s="18">
        <v>25000000</v>
      </c>
      <c r="J79" s="18">
        <v>24890889.300000001</v>
      </c>
      <c r="K79" s="15">
        <v>6497</v>
      </c>
      <c r="L79" s="13" t="s">
        <v>102</v>
      </c>
      <c r="M79" s="13" t="s">
        <v>103</v>
      </c>
      <c r="N79" s="139" t="s">
        <v>269</v>
      </c>
      <c r="O79" s="139" t="s">
        <v>269</v>
      </c>
      <c r="P79" s="28">
        <v>40</v>
      </c>
      <c r="Q79" s="13" t="s">
        <v>54</v>
      </c>
      <c r="R79" s="13" t="s">
        <v>28</v>
      </c>
      <c r="S79" s="13"/>
      <c r="T79" s="13"/>
      <c r="U79" s="13" t="s">
        <v>403</v>
      </c>
      <c r="V79" s="13" t="s">
        <v>403</v>
      </c>
      <c r="W79" s="59">
        <f>+J79/$W$2</f>
        <v>5.5913422473548389E-4</v>
      </c>
    </row>
    <row r="80" spans="1:29">
      <c r="A80" s="13" t="s">
        <v>194</v>
      </c>
      <c r="B80" s="13" t="s">
        <v>538</v>
      </c>
      <c r="C80" s="139">
        <v>46185</v>
      </c>
      <c r="D80" s="139" t="s">
        <v>516</v>
      </c>
      <c r="E80" s="28">
        <v>0.99552697000000001</v>
      </c>
      <c r="F80" s="13"/>
      <c r="G80" s="18">
        <v>280000000</v>
      </c>
      <c r="H80" s="18">
        <v>278747550.62</v>
      </c>
      <c r="I80" s="18">
        <v>280000000</v>
      </c>
      <c r="J80" s="18">
        <v>278747550.62</v>
      </c>
      <c r="K80" s="15">
        <v>70370627</v>
      </c>
      <c r="L80" s="13" t="s">
        <v>102</v>
      </c>
      <c r="M80" s="13" t="s">
        <v>103</v>
      </c>
      <c r="N80" s="139" t="s">
        <v>363</v>
      </c>
      <c r="O80" s="139" t="s">
        <v>363</v>
      </c>
      <c r="P80" s="28">
        <v>41</v>
      </c>
      <c r="Q80" s="13" t="s">
        <v>54</v>
      </c>
      <c r="R80" s="13" t="s">
        <v>28</v>
      </c>
      <c r="S80" s="13"/>
      <c r="T80" s="13"/>
      <c r="U80" s="13" t="s">
        <v>734</v>
      </c>
      <c r="V80" s="13" t="s">
        <v>734</v>
      </c>
      <c r="W80" s="59">
        <f>+J80/$W$2</f>
        <v>6.2616202151053214E-3</v>
      </c>
    </row>
    <row r="81" spans="1:29">
      <c r="A81" s="13" t="s">
        <v>194</v>
      </c>
      <c r="B81" s="13" t="s">
        <v>538</v>
      </c>
      <c r="C81" s="139">
        <v>46185</v>
      </c>
      <c r="D81" s="139" t="s">
        <v>516</v>
      </c>
      <c r="E81" s="28">
        <v>0.99552697000000001</v>
      </c>
      <c r="F81" s="13"/>
      <c r="G81" s="18">
        <v>139000000</v>
      </c>
      <c r="H81" s="18">
        <v>138378248.34</v>
      </c>
      <c r="I81" s="18">
        <v>139000000</v>
      </c>
      <c r="J81" s="18">
        <v>138378248.34</v>
      </c>
      <c r="K81" s="15">
        <v>70376435</v>
      </c>
      <c r="L81" s="13" t="s">
        <v>102</v>
      </c>
      <c r="M81" s="13" t="s">
        <v>103</v>
      </c>
      <c r="N81" s="139" t="s">
        <v>374</v>
      </c>
      <c r="O81" s="139" t="s">
        <v>374</v>
      </c>
      <c r="P81" s="28">
        <v>41</v>
      </c>
      <c r="Q81" s="13" t="s">
        <v>54</v>
      </c>
      <c r="R81" s="13" t="s">
        <v>28</v>
      </c>
      <c r="S81" s="13"/>
      <c r="T81" s="13"/>
      <c r="U81" s="13" t="s">
        <v>1199</v>
      </c>
      <c r="V81" s="13" t="s">
        <v>1199</v>
      </c>
      <c r="W81" s="59">
        <f>+J81/$W$2</f>
        <v>3.1084471781343769E-3</v>
      </c>
    </row>
    <row r="82" spans="1:29">
      <c r="A82" s="13" t="s">
        <v>1656</v>
      </c>
      <c r="B82" s="13" t="s">
        <v>538</v>
      </c>
      <c r="C82" s="139">
        <v>46185</v>
      </c>
      <c r="D82" s="139" t="s">
        <v>516</v>
      </c>
      <c r="E82" s="28">
        <v>0.99563559000000001</v>
      </c>
      <c r="F82" s="13"/>
      <c r="G82" s="18">
        <v>50000000</v>
      </c>
      <c r="H82" s="18">
        <v>49781779.439999998</v>
      </c>
      <c r="I82" s="18">
        <v>50000000</v>
      </c>
      <c r="J82" s="18">
        <v>49781779.439999998</v>
      </c>
      <c r="K82" s="15">
        <v>70233904</v>
      </c>
      <c r="L82" s="13" t="s">
        <v>102</v>
      </c>
      <c r="M82" s="13" t="s">
        <v>103</v>
      </c>
      <c r="N82" s="139" t="s">
        <v>371</v>
      </c>
      <c r="O82" s="139" t="s">
        <v>371</v>
      </c>
      <c r="P82" s="28">
        <v>40</v>
      </c>
      <c r="Q82" s="13" t="s">
        <v>54</v>
      </c>
      <c r="R82" s="13" t="s">
        <v>28</v>
      </c>
      <c r="S82" s="13"/>
      <c r="T82" s="13"/>
      <c r="U82" s="13" t="s">
        <v>1647</v>
      </c>
      <c r="V82" s="13" t="s">
        <v>1647</v>
      </c>
      <c r="W82" s="59">
        <f>+J82/$W$2</f>
        <v>1.1182684683402311E-3</v>
      </c>
    </row>
    <row r="83" spans="1:29">
      <c r="A83" s="13" t="s">
        <v>1162</v>
      </c>
      <c r="B83" s="13" t="s">
        <v>538</v>
      </c>
      <c r="C83" s="139">
        <v>46185</v>
      </c>
      <c r="D83" s="139" t="s">
        <v>516</v>
      </c>
      <c r="E83" s="28">
        <v>0.99585288999999999</v>
      </c>
      <c r="F83" s="13"/>
      <c r="G83" s="18">
        <v>6000000</v>
      </c>
      <c r="H83" s="18">
        <v>5975117.3300000001</v>
      </c>
      <c r="I83" s="18">
        <v>6000000</v>
      </c>
      <c r="J83" s="18">
        <v>5975117.3300000001</v>
      </c>
      <c r="K83" s="15">
        <v>90025543</v>
      </c>
      <c r="L83" s="13" t="s">
        <v>102</v>
      </c>
      <c r="M83" s="13" t="s">
        <v>103</v>
      </c>
      <c r="N83" s="139" t="s">
        <v>344</v>
      </c>
      <c r="O83" s="139" t="s">
        <v>344</v>
      </c>
      <c r="P83" s="28">
        <v>38</v>
      </c>
      <c r="Q83" s="13" t="s">
        <v>54</v>
      </c>
      <c r="R83" s="13" t="s">
        <v>28</v>
      </c>
      <c r="S83" s="13"/>
      <c r="T83" s="13"/>
      <c r="U83" s="13" t="s">
        <v>1157</v>
      </c>
      <c r="V83" s="13" t="s">
        <v>1157</v>
      </c>
      <c r="W83" s="59">
        <f>+J83/$W$2</f>
        <v>1.3422150393048048E-4</v>
      </c>
    </row>
    <row r="84" spans="1:29">
      <c r="A84" s="13" t="s">
        <v>558</v>
      </c>
      <c r="B84" s="13" t="s">
        <v>538</v>
      </c>
      <c r="C84" s="139">
        <v>46185</v>
      </c>
      <c r="D84" s="139" t="s">
        <v>516</v>
      </c>
      <c r="E84" s="28">
        <v>0.99498421000000004</v>
      </c>
      <c r="F84" s="13"/>
      <c r="G84" s="18">
        <v>42000000</v>
      </c>
      <c r="H84" s="18">
        <v>41789336.659999996</v>
      </c>
      <c r="I84" s="18">
        <v>42000000</v>
      </c>
      <c r="J84" s="18">
        <v>41789336.659999996</v>
      </c>
      <c r="K84" s="15">
        <v>145439</v>
      </c>
      <c r="L84" s="13" t="s">
        <v>102</v>
      </c>
      <c r="M84" s="13" t="s">
        <v>103</v>
      </c>
      <c r="N84" s="139" t="s">
        <v>320</v>
      </c>
      <c r="O84" s="139" t="s">
        <v>320</v>
      </c>
      <c r="P84" s="28">
        <v>46</v>
      </c>
      <c r="Q84" s="13" t="s">
        <v>54</v>
      </c>
      <c r="R84" s="13" t="s">
        <v>28</v>
      </c>
      <c r="S84" s="13"/>
      <c r="T84" s="13"/>
      <c r="U84" s="13" t="s">
        <v>747</v>
      </c>
      <c r="V84" s="13" t="s">
        <v>747</v>
      </c>
      <c r="W84" s="59">
        <f>+J84/$W$2</f>
        <v>9.3873095790109973E-4</v>
      </c>
    </row>
    <row r="85" spans="1:29">
      <c r="A85" s="13" t="s">
        <v>693</v>
      </c>
      <c r="B85" s="13" t="s">
        <v>538</v>
      </c>
      <c r="C85" s="139">
        <v>46185</v>
      </c>
      <c r="D85" s="139" t="s">
        <v>516</v>
      </c>
      <c r="E85" s="28">
        <v>0.99552695000000002</v>
      </c>
      <c r="F85" s="13"/>
      <c r="G85" s="18">
        <v>2000000</v>
      </c>
      <c r="H85" s="18">
        <v>1991053.91</v>
      </c>
      <c r="I85" s="18">
        <v>2000000</v>
      </c>
      <c r="J85" s="18">
        <v>1991053.91</v>
      </c>
      <c r="K85" s="15">
        <v>12384442</v>
      </c>
      <c r="L85" s="13" t="s">
        <v>102</v>
      </c>
      <c r="M85" s="13" t="s">
        <v>103</v>
      </c>
      <c r="N85" s="139" t="s">
        <v>231</v>
      </c>
      <c r="O85" s="139" t="s">
        <v>231</v>
      </c>
      <c r="P85" s="28">
        <v>41</v>
      </c>
      <c r="Q85" s="13" t="s">
        <v>54</v>
      </c>
      <c r="R85" s="13" t="s">
        <v>28</v>
      </c>
      <c r="S85" s="13"/>
      <c r="T85" s="13"/>
      <c r="U85" s="13" t="s">
        <v>670</v>
      </c>
      <c r="V85" s="13" t="s">
        <v>670</v>
      </c>
      <c r="W85" s="59">
        <f>+J85/$W$2</f>
        <v>4.4725858162665322E-5</v>
      </c>
    </row>
    <row r="86" spans="1:29">
      <c r="A86" s="13" t="s">
        <v>556</v>
      </c>
      <c r="B86" s="13" t="s">
        <v>538</v>
      </c>
      <c r="C86" s="139">
        <v>46185</v>
      </c>
      <c r="D86" s="139" t="s">
        <v>516</v>
      </c>
      <c r="E86" s="28">
        <v>0.99541835999999995</v>
      </c>
      <c r="F86" s="13"/>
      <c r="G86" s="18">
        <v>19618198</v>
      </c>
      <c r="H86" s="18">
        <v>19528314.510000002</v>
      </c>
      <c r="I86" s="18">
        <v>19618198</v>
      </c>
      <c r="J86" s="18">
        <v>19528314.510000002</v>
      </c>
      <c r="K86" s="15">
        <v>98808325</v>
      </c>
      <c r="L86" s="13" t="s">
        <v>102</v>
      </c>
      <c r="M86" s="13" t="s">
        <v>103</v>
      </c>
      <c r="N86" s="139" t="s">
        <v>379</v>
      </c>
      <c r="O86" s="139" t="s">
        <v>379</v>
      </c>
      <c r="P86" s="28">
        <v>42</v>
      </c>
      <c r="Q86" s="13" t="s">
        <v>54</v>
      </c>
      <c r="R86" s="13" t="s">
        <v>28</v>
      </c>
      <c r="S86" s="13"/>
      <c r="T86" s="13"/>
      <c r="U86" s="13" t="s">
        <v>1394</v>
      </c>
      <c r="V86" s="13" t="s">
        <v>1394</v>
      </c>
      <c r="W86" s="59">
        <f>+J86/$W$2</f>
        <v>4.386725143620944E-4</v>
      </c>
    </row>
    <row r="87" spans="1:29">
      <c r="A87" s="13" t="s">
        <v>339</v>
      </c>
      <c r="B87" s="13" t="s">
        <v>538</v>
      </c>
      <c r="C87" s="139">
        <v>46185</v>
      </c>
      <c r="D87" s="139" t="s">
        <v>516</v>
      </c>
      <c r="E87" s="28">
        <v>0.99672311000000002</v>
      </c>
      <c r="F87" s="13"/>
      <c r="G87" s="18">
        <v>3500000</v>
      </c>
      <c r="H87" s="18">
        <v>3488530.87</v>
      </c>
      <c r="I87" s="18">
        <v>3500000</v>
      </c>
      <c r="J87" s="18">
        <v>3488530.87</v>
      </c>
      <c r="K87" s="15">
        <v>324</v>
      </c>
      <c r="L87" s="13" t="s">
        <v>102</v>
      </c>
      <c r="M87" s="13" t="s">
        <v>103</v>
      </c>
      <c r="N87" s="139" t="s">
        <v>319</v>
      </c>
      <c r="O87" s="139" t="s">
        <v>319</v>
      </c>
      <c r="P87" s="28">
        <v>30</v>
      </c>
      <c r="Q87" s="13" t="s">
        <v>54</v>
      </c>
      <c r="R87" s="13" t="s">
        <v>28</v>
      </c>
      <c r="S87" s="13"/>
      <c r="T87" s="13"/>
      <c r="U87" s="13" t="s">
        <v>708</v>
      </c>
      <c r="V87" s="13" t="s">
        <v>708</v>
      </c>
      <c r="W87" s="59">
        <f>+J87/$W$2</f>
        <v>7.8364295463852844E-5</v>
      </c>
    </row>
    <row r="88" spans="1:29">
      <c r="A88" s="13" t="s">
        <v>141</v>
      </c>
      <c r="B88" s="13" t="s">
        <v>538</v>
      </c>
      <c r="C88" s="139">
        <v>46185</v>
      </c>
      <c r="D88" s="139" t="s">
        <v>516</v>
      </c>
      <c r="E88" s="28">
        <v>0.99574423000000001</v>
      </c>
      <c r="F88" s="13"/>
      <c r="G88" s="18">
        <v>115000000</v>
      </c>
      <c r="H88" s="18">
        <v>114510586.68000001</v>
      </c>
      <c r="I88" s="18">
        <v>115000000</v>
      </c>
      <c r="J88" s="18">
        <v>114510586.68000001</v>
      </c>
      <c r="K88" s="15">
        <v>7340</v>
      </c>
      <c r="L88" s="13" t="s">
        <v>102</v>
      </c>
      <c r="M88" s="13" t="s">
        <v>103</v>
      </c>
      <c r="N88" s="139" t="s">
        <v>301</v>
      </c>
      <c r="O88" s="139" t="s">
        <v>301</v>
      </c>
      <c r="P88" s="28">
        <v>39</v>
      </c>
      <c r="Q88" s="13" t="s">
        <v>54</v>
      </c>
      <c r="R88" s="13" t="s">
        <v>28</v>
      </c>
      <c r="S88" s="13"/>
      <c r="T88" s="13"/>
      <c r="U88" s="13" t="s">
        <v>541</v>
      </c>
      <c r="V88" s="13" t="s">
        <v>541</v>
      </c>
      <c r="W88" s="59">
        <f>+J88/$W$2</f>
        <v>2.572298134294753E-3</v>
      </c>
    </row>
    <row r="89" spans="1:29">
      <c r="A89" s="13" t="s">
        <v>444</v>
      </c>
      <c r="B89" s="13" t="s">
        <v>538</v>
      </c>
      <c r="C89" s="139">
        <v>46185</v>
      </c>
      <c r="D89" s="139" t="s">
        <v>516</v>
      </c>
      <c r="E89" s="28">
        <v>0.99552695000000002</v>
      </c>
      <c r="F89" s="13"/>
      <c r="G89" s="18">
        <v>20000000</v>
      </c>
      <c r="H89" s="18">
        <v>19910539.07</v>
      </c>
      <c r="I89" s="18">
        <v>20000000</v>
      </c>
      <c r="J89" s="18">
        <v>19910539.07</v>
      </c>
      <c r="K89" s="15">
        <v>13318417</v>
      </c>
      <c r="L89" s="13" t="s">
        <v>102</v>
      </c>
      <c r="M89" s="13" t="s">
        <v>103</v>
      </c>
      <c r="N89" s="139" t="s">
        <v>231</v>
      </c>
      <c r="O89" s="139" t="s">
        <v>231</v>
      </c>
      <c r="P89" s="28">
        <v>41</v>
      </c>
      <c r="Q89" s="13" t="s">
        <v>54</v>
      </c>
      <c r="R89" s="13" t="s">
        <v>28</v>
      </c>
      <c r="S89" s="13"/>
      <c r="T89" s="13"/>
      <c r="U89" s="13" t="s">
        <v>646</v>
      </c>
      <c r="V89" s="13" t="s">
        <v>646</v>
      </c>
      <c r="W89" s="59">
        <f>+J89/$W$2</f>
        <v>4.4725858095275093E-4</v>
      </c>
    </row>
    <row r="90" spans="1:29">
      <c r="A90" s="13" t="s">
        <v>993</v>
      </c>
      <c r="B90" s="13" t="s">
        <v>538</v>
      </c>
      <c r="C90" s="139">
        <v>46185</v>
      </c>
      <c r="D90" s="139" t="s">
        <v>516</v>
      </c>
      <c r="E90" s="28">
        <v>0.99715880000000001</v>
      </c>
      <c r="F90" s="13"/>
      <c r="G90" s="18">
        <v>16000000</v>
      </c>
      <c r="H90" s="18">
        <v>15954540.83</v>
      </c>
      <c r="I90" s="18">
        <v>16000000</v>
      </c>
      <c r="J90" s="18">
        <v>15954540.83</v>
      </c>
      <c r="K90" s="15">
        <v>90000617</v>
      </c>
      <c r="L90" s="13" t="s">
        <v>102</v>
      </c>
      <c r="M90" s="13" t="s">
        <v>103</v>
      </c>
      <c r="N90" s="139" t="s">
        <v>334</v>
      </c>
      <c r="O90" s="139" t="s">
        <v>334</v>
      </c>
      <c r="P90" s="28">
        <v>26</v>
      </c>
      <c r="Q90" s="13" t="s">
        <v>54</v>
      </c>
      <c r="R90" s="13" t="s">
        <v>28</v>
      </c>
      <c r="S90" s="13"/>
      <c r="T90" s="13"/>
      <c r="U90" s="13" t="s">
        <v>1282</v>
      </c>
      <c r="V90" s="13" t="s">
        <v>1282</v>
      </c>
      <c r="W90" s="59">
        <f>+J90/$W$2</f>
        <v>3.5839337479969723E-4</v>
      </c>
    </row>
    <row r="91" spans="1:29">
      <c r="A91" s="13" t="s">
        <v>590</v>
      </c>
      <c r="B91" s="13" t="s">
        <v>538</v>
      </c>
      <c r="C91" s="139">
        <v>46185</v>
      </c>
      <c r="D91" s="139" t="s">
        <v>516</v>
      </c>
      <c r="E91" s="28">
        <v>0.99552695000000002</v>
      </c>
      <c r="F91" s="13"/>
      <c r="G91" s="18">
        <v>10918371.689999999</v>
      </c>
      <c r="H91" s="18">
        <v>10869533.300000001</v>
      </c>
      <c r="I91" s="18">
        <v>10918371.689999999</v>
      </c>
      <c r="J91" s="18">
        <v>10869533.300000001</v>
      </c>
      <c r="K91" s="15">
        <v>30454</v>
      </c>
      <c r="L91" s="13" t="s">
        <v>102</v>
      </c>
      <c r="M91" s="13" t="s">
        <v>103</v>
      </c>
      <c r="N91" s="139" t="s">
        <v>231</v>
      </c>
      <c r="O91" s="139" t="s">
        <v>231</v>
      </c>
      <c r="P91" s="28">
        <v>41</v>
      </c>
      <c r="Q91" s="13" t="s">
        <v>54</v>
      </c>
      <c r="R91" s="13" t="s">
        <v>28</v>
      </c>
      <c r="S91" s="13"/>
      <c r="T91" s="13"/>
      <c r="U91" s="13" t="s">
        <v>658</v>
      </c>
      <c r="V91" s="13" t="s">
        <v>658</v>
      </c>
      <c r="W91" s="59">
        <f>+J91/$W$2</f>
        <v>2.4416677129057121E-4</v>
      </c>
    </row>
    <row r="92" spans="1:29">
      <c r="A92" s="13" t="s">
        <v>819</v>
      </c>
      <c r="B92" s="13" t="s">
        <v>538</v>
      </c>
      <c r="C92" s="139">
        <v>46185</v>
      </c>
      <c r="D92" s="139" t="s">
        <v>516</v>
      </c>
      <c r="E92" s="28">
        <v>0.99715878999999996</v>
      </c>
      <c r="F92" s="13"/>
      <c r="G92" s="18">
        <v>1215596.28</v>
      </c>
      <c r="H92" s="18">
        <v>1212142.52</v>
      </c>
      <c r="I92" s="18">
        <v>1215596.28</v>
      </c>
      <c r="J92" s="18">
        <v>1212142.52</v>
      </c>
      <c r="K92" s="15">
        <v>6800087</v>
      </c>
      <c r="L92" s="13" t="s">
        <v>102</v>
      </c>
      <c r="M92" s="13" t="s">
        <v>103</v>
      </c>
      <c r="N92" s="139" t="s">
        <v>378</v>
      </c>
      <c r="O92" s="139" t="s">
        <v>378</v>
      </c>
      <c r="P92" s="28">
        <v>26</v>
      </c>
      <c r="Q92" s="13" t="s">
        <v>54</v>
      </c>
      <c r="R92" s="13" t="s">
        <v>28</v>
      </c>
      <c r="S92" s="13"/>
      <c r="T92" s="13"/>
      <c r="U92" s="13" t="s">
        <v>849</v>
      </c>
      <c r="V92" s="13" t="s">
        <v>849</v>
      </c>
      <c r="W92" s="59">
        <f>+J92/$W$2</f>
        <v>2.722885309642656E-5</v>
      </c>
    </row>
    <row r="93" spans="1:29">
      <c r="A93" s="13" t="s">
        <v>993</v>
      </c>
      <c r="B93" s="13" t="s">
        <v>538</v>
      </c>
      <c r="C93" s="139">
        <v>46185</v>
      </c>
      <c r="D93" s="139" t="s">
        <v>516</v>
      </c>
      <c r="E93" s="28">
        <v>0.99694090000000002</v>
      </c>
      <c r="F93" s="13"/>
      <c r="G93" s="18">
        <v>10000000</v>
      </c>
      <c r="H93" s="18">
        <v>9969409.0399999991</v>
      </c>
      <c r="I93" s="18">
        <v>10000000</v>
      </c>
      <c r="J93" s="18">
        <v>9969409.0399999991</v>
      </c>
      <c r="K93" s="15">
        <v>66290706</v>
      </c>
      <c r="L93" s="13" t="s">
        <v>102</v>
      </c>
      <c r="M93" s="13" t="s">
        <v>103</v>
      </c>
      <c r="N93" s="139" t="s">
        <v>428</v>
      </c>
      <c r="O93" s="139" t="s">
        <v>428</v>
      </c>
      <c r="P93" s="28">
        <v>28</v>
      </c>
      <c r="Q93" s="13" t="s">
        <v>54</v>
      </c>
      <c r="R93" s="13" t="s">
        <v>28</v>
      </c>
      <c r="S93" s="13"/>
      <c r="T93" s="13"/>
      <c r="U93" s="13" t="s">
        <v>935</v>
      </c>
      <c r="V93" s="13" t="s">
        <v>935</v>
      </c>
      <c r="W93" s="59">
        <f>+J93/$W$2</f>
        <v>2.2394691195912089E-4</v>
      </c>
      <c r="AC93" s="56"/>
    </row>
    <row r="94" spans="1:29">
      <c r="A94" s="13" t="s">
        <v>1459</v>
      </c>
      <c r="B94" s="13" t="s">
        <v>538</v>
      </c>
      <c r="C94" s="139">
        <v>46189</v>
      </c>
      <c r="D94" s="139" t="s">
        <v>516</v>
      </c>
      <c r="E94" s="28">
        <v>0.99238718999999997</v>
      </c>
      <c r="F94" s="13"/>
      <c r="G94" s="18">
        <v>2000000</v>
      </c>
      <c r="H94" s="18">
        <v>1984774.37</v>
      </c>
      <c r="I94" s="18">
        <v>2000000</v>
      </c>
      <c r="J94" s="18">
        <v>1984774.37</v>
      </c>
      <c r="K94" s="15">
        <v>7739</v>
      </c>
      <c r="L94" s="13" t="s">
        <v>102</v>
      </c>
      <c r="M94" s="13" t="s">
        <v>103</v>
      </c>
      <c r="N94" s="139" t="s">
        <v>381</v>
      </c>
      <c r="O94" s="139" t="s">
        <v>381</v>
      </c>
      <c r="P94" s="28">
        <v>35</v>
      </c>
      <c r="Q94" s="13" t="s">
        <v>54</v>
      </c>
      <c r="R94" s="13" t="s">
        <v>28</v>
      </c>
      <c r="S94" s="13"/>
      <c r="T94" s="13"/>
      <c r="U94" s="13" t="s">
        <v>1452</v>
      </c>
      <c r="V94" s="13" t="s">
        <v>1452</v>
      </c>
      <c r="W94" s="59">
        <f>+J94/$W$2</f>
        <v>4.4584798287814025E-5</v>
      </c>
    </row>
    <row r="95" spans="1:29">
      <c r="A95" s="13" t="s">
        <v>1162</v>
      </c>
      <c r="B95" s="13" t="s">
        <v>538</v>
      </c>
      <c r="C95" s="139">
        <v>46189</v>
      </c>
      <c r="D95" s="139" t="s">
        <v>516</v>
      </c>
      <c r="E95" s="28">
        <v>0.99174008000000002</v>
      </c>
      <c r="F95" s="13"/>
      <c r="G95" s="18">
        <v>6000000</v>
      </c>
      <c r="H95" s="18">
        <v>5950440.4800000004</v>
      </c>
      <c r="I95" s="18">
        <v>6000000</v>
      </c>
      <c r="J95" s="18">
        <v>5950440.4800000004</v>
      </c>
      <c r="K95" s="15">
        <v>90025544</v>
      </c>
      <c r="L95" s="13" t="s">
        <v>102</v>
      </c>
      <c r="M95" s="13" t="s">
        <v>103</v>
      </c>
      <c r="N95" s="139" t="s">
        <v>344</v>
      </c>
      <c r="O95" s="139" t="s">
        <v>344</v>
      </c>
      <c r="P95" s="28">
        <v>38</v>
      </c>
      <c r="Q95" s="13" t="s">
        <v>54</v>
      </c>
      <c r="R95" s="13" t="s">
        <v>28</v>
      </c>
      <c r="S95" s="13"/>
      <c r="T95" s="13"/>
      <c r="U95" s="13" t="s">
        <v>1159</v>
      </c>
      <c r="V95" s="13" t="s">
        <v>1159</v>
      </c>
      <c r="W95" s="59">
        <f>+J95/$W$2</f>
        <v>1.3366717775806591E-4</v>
      </c>
      <c r="AC95" s="56"/>
    </row>
    <row r="96" spans="1:29">
      <c r="A96" s="13" t="s">
        <v>435</v>
      </c>
      <c r="B96" s="13" t="s">
        <v>538</v>
      </c>
      <c r="C96" s="139">
        <v>46189</v>
      </c>
      <c r="D96" s="139" t="s">
        <v>516</v>
      </c>
      <c r="E96" s="28">
        <v>0.99109373000000001</v>
      </c>
      <c r="F96" s="13"/>
      <c r="G96" s="18">
        <v>18208333</v>
      </c>
      <c r="H96" s="18">
        <v>18046164.75</v>
      </c>
      <c r="I96" s="18">
        <v>18208333</v>
      </c>
      <c r="J96" s="18">
        <v>18046164.75</v>
      </c>
      <c r="K96" s="15">
        <v>1977</v>
      </c>
      <c r="L96" s="13" t="s">
        <v>102</v>
      </c>
      <c r="M96" s="13" t="s">
        <v>103</v>
      </c>
      <c r="N96" s="139" t="s">
        <v>245</v>
      </c>
      <c r="O96" s="139" t="s">
        <v>245</v>
      </c>
      <c r="P96" s="28">
        <v>41</v>
      </c>
      <c r="Q96" s="13" t="s">
        <v>54</v>
      </c>
      <c r="R96" s="13" t="s">
        <v>28</v>
      </c>
      <c r="S96" s="13"/>
      <c r="T96" s="13"/>
      <c r="U96" s="13" t="s">
        <v>434</v>
      </c>
      <c r="V96" s="13" t="s">
        <v>434</v>
      </c>
      <c r="W96" s="59">
        <f>+J96/$W$2</f>
        <v>4.0537837822210985E-4</v>
      </c>
    </row>
    <row r="97" spans="1:29">
      <c r="A97" s="13" t="s">
        <v>558</v>
      </c>
      <c r="B97" s="13" t="s">
        <v>538</v>
      </c>
      <c r="C97" s="139">
        <v>46189</v>
      </c>
      <c r="D97" s="139" t="s">
        <v>516</v>
      </c>
      <c r="E97" s="28">
        <v>0.99001844999999999</v>
      </c>
      <c r="F97" s="13"/>
      <c r="G97" s="18">
        <v>43000000</v>
      </c>
      <c r="H97" s="18">
        <v>42570793.140000001</v>
      </c>
      <c r="I97" s="18">
        <v>43000000</v>
      </c>
      <c r="J97" s="18">
        <v>42570793.140000001</v>
      </c>
      <c r="K97" s="15">
        <v>145441</v>
      </c>
      <c r="L97" s="13" t="s">
        <v>102</v>
      </c>
      <c r="M97" s="13" t="s">
        <v>103</v>
      </c>
      <c r="N97" s="139" t="s">
        <v>341</v>
      </c>
      <c r="O97" s="139" t="s">
        <v>341</v>
      </c>
      <c r="P97" s="28">
        <v>46</v>
      </c>
      <c r="Q97" s="13" t="s">
        <v>54</v>
      </c>
      <c r="R97" s="13" t="s">
        <v>28</v>
      </c>
      <c r="S97" s="13"/>
      <c r="T97" s="13"/>
      <c r="U97" s="13" t="s">
        <v>790</v>
      </c>
      <c r="V97" s="13" t="s">
        <v>790</v>
      </c>
      <c r="W97" s="59">
        <f>+J97/$W$2</f>
        <v>9.5628513436474749E-4</v>
      </c>
      <c r="AC97"/>
    </row>
    <row r="98" spans="1:29">
      <c r="A98" s="13" t="s">
        <v>558</v>
      </c>
      <c r="B98" s="13" t="s">
        <v>538</v>
      </c>
      <c r="C98" s="139">
        <v>46189</v>
      </c>
      <c r="D98" s="139" t="s">
        <v>516</v>
      </c>
      <c r="E98" s="28">
        <v>0.99001844999999999</v>
      </c>
      <c r="F98" s="13"/>
      <c r="G98" s="18">
        <v>42000000</v>
      </c>
      <c r="H98" s="18">
        <v>41580774.689999998</v>
      </c>
      <c r="I98" s="18">
        <v>42000000</v>
      </c>
      <c r="J98" s="18">
        <v>41580774.689999998</v>
      </c>
      <c r="K98" s="15">
        <v>145440</v>
      </c>
      <c r="L98" s="13" t="s">
        <v>102</v>
      </c>
      <c r="M98" s="13" t="s">
        <v>103</v>
      </c>
      <c r="N98" s="139" t="s">
        <v>341</v>
      </c>
      <c r="O98" s="139" t="s">
        <v>341</v>
      </c>
      <c r="P98" s="28">
        <v>46</v>
      </c>
      <c r="Q98" s="13" t="s">
        <v>54</v>
      </c>
      <c r="R98" s="13" t="s">
        <v>28</v>
      </c>
      <c r="S98" s="13"/>
      <c r="T98" s="13"/>
      <c r="U98" s="13" t="s">
        <v>791</v>
      </c>
      <c r="V98" s="13" t="s">
        <v>791</v>
      </c>
      <c r="W98" s="59">
        <f>+J98/$W$2</f>
        <v>9.3404594508376916E-4</v>
      </c>
    </row>
    <row r="99" spans="1:29">
      <c r="A99" s="13" t="s">
        <v>591</v>
      </c>
      <c r="B99" s="13" t="s">
        <v>538</v>
      </c>
      <c r="C99" s="139">
        <v>46189</v>
      </c>
      <c r="D99" s="139" t="s">
        <v>516</v>
      </c>
      <c r="E99" s="28">
        <v>0.99109376000000005</v>
      </c>
      <c r="F99" s="13"/>
      <c r="G99" s="18">
        <v>2000000</v>
      </c>
      <c r="H99" s="18">
        <v>1982187.52</v>
      </c>
      <c r="I99" s="18">
        <v>2000000</v>
      </c>
      <c r="J99" s="18">
        <v>1982187.52</v>
      </c>
      <c r="K99" s="15">
        <v>11213037</v>
      </c>
      <c r="L99" s="13" t="s">
        <v>102</v>
      </c>
      <c r="M99" s="13" t="s">
        <v>103</v>
      </c>
      <c r="N99" s="139" t="s">
        <v>321</v>
      </c>
      <c r="O99" s="139" t="s">
        <v>321</v>
      </c>
      <c r="P99" s="28">
        <v>41</v>
      </c>
      <c r="Q99" s="13" t="s">
        <v>54</v>
      </c>
      <c r="R99" s="13" t="s">
        <v>28</v>
      </c>
      <c r="S99" s="13"/>
      <c r="T99" s="13"/>
      <c r="U99" s="13" t="s">
        <v>584</v>
      </c>
      <c r="V99" s="13" t="s">
        <v>584</v>
      </c>
      <c r="W99" s="59">
        <f>+J99/$W$2</f>
        <v>4.4526688818448583E-5</v>
      </c>
      <c r="AC99" s="56"/>
    </row>
    <row r="100" spans="1:29">
      <c r="A100" s="13" t="s">
        <v>339</v>
      </c>
      <c r="B100" s="13" t="s">
        <v>538</v>
      </c>
      <c r="C100" s="139">
        <v>46189</v>
      </c>
      <c r="D100" s="139" t="s">
        <v>516</v>
      </c>
      <c r="E100" s="28">
        <v>0.99238718000000004</v>
      </c>
      <c r="F100" s="13"/>
      <c r="G100" s="18">
        <v>5000000</v>
      </c>
      <c r="H100" s="18">
        <v>4961935.9000000004</v>
      </c>
      <c r="I100" s="18">
        <v>5000000</v>
      </c>
      <c r="J100" s="18">
        <v>4961935.9000000004</v>
      </c>
      <c r="K100" s="15">
        <v>90000057</v>
      </c>
      <c r="L100" s="13" t="s">
        <v>102</v>
      </c>
      <c r="M100" s="13" t="s">
        <v>103</v>
      </c>
      <c r="N100" s="139" t="s">
        <v>244</v>
      </c>
      <c r="O100" s="139" t="s">
        <v>244</v>
      </c>
      <c r="P100" s="28">
        <v>35</v>
      </c>
      <c r="Q100" s="13" t="s">
        <v>54</v>
      </c>
      <c r="R100" s="13" t="s">
        <v>28</v>
      </c>
      <c r="S100" s="13"/>
      <c r="T100" s="13"/>
      <c r="U100" s="13" t="s">
        <v>518</v>
      </c>
      <c r="V100" s="13" t="s">
        <v>518</v>
      </c>
      <c r="W100" s="59">
        <f>+J100/$W$2</f>
        <v>1.1146199515794984E-4</v>
      </c>
    </row>
    <row r="101" spans="1:29">
      <c r="A101" s="13" t="s">
        <v>141</v>
      </c>
      <c r="B101" s="13" t="s">
        <v>538</v>
      </c>
      <c r="C101" s="139">
        <v>46189</v>
      </c>
      <c r="D101" s="139" t="s">
        <v>516</v>
      </c>
      <c r="E101" s="28">
        <v>0.99152452999999996</v>
      </c>
      <c r="F101" s="13"/>
      <c r="G101" s="18">
        <v>115000000</v>
      </c>
      <c r="H101" s="18">
        <v>114025320.88</v>
      </c>
      <c r="I101" s="18">
        <v>115000000</v>
      </c>
      <c r="J101" s="18">
        <v>114025320.88</v>
      </c>
      <c r="K101" s="15">
        <v>7342</v>
      </c>
      <c r="L101" s="13" t="s">
        <v>102</v>
      </c>
      <c r="M101" s="13" t="s">
        <v>103</v>
      </c>
      <c r="N101" s="139" t="s">
        <v>301</v>
      </c>
      <c r="O101" s="139" t="s">
        <v>301</v>
      </c>
      <c r="P101" s="28">
        <v>39</v>
      </c>
      <c r="Q101" s="13" t="s">
        <v>54</v>
      </c>
      <c r="R101" s="13" t="s">
        <v>28</v>
      </c>
      <c r="S101" s="13"/>
      <c r="T101" s="13"/>
      <c r="U101" s="13" t="s">
        <v>542</v>
      </c>
      <c r="V101" s="13" t="s">
        <v>542</v>
      </c>
      <c r="W101" s="59">
        <f>+J101/$W$2</f>
        <v>2.5613974101943229E-3</v>
      </c>
    </row>
    <row r="102" spans="1:29">
      <c r="A102" s="13" t="s">
        <v>444</v>
      </c>
      <c r="B102" s="13" t="s">
        <v>538</v>
      </c>
      <c r="C102" s="139">
        <v>46189</v>
      </c>
      <c r="D102" s="139" t="s">
        <v>516</v>
      </c>
      <c r="E102" s="28">
        <v>0.99109373999999995</v>
      </c>
      <c r="F102" s="13"/>
      <c r="G102" s="18">
        <v>20000000</v>
      </c>
      <c r="H102" s="18">
        <v>19821874.82</v>
      </c>
      <c r="I102" s="18">
        <v>20000000</v>
      </c>
      <c r="J102" s="18">
        <v>19821874.82</v>
      </c>
      <c r="K102" s="15">
        <v>13318418</v>
      </c>
      <c r="L102" s="13" t="s">
        <v>102</v>
      </c>
      <c r="M102" s="13" t="s">
        <v>103</v>
      </c>
      <c r="N102" s="139" t="s">
        <v>231</v>
      </c>
      <c r="O102" s="139" t="s">
        <v>231</v>
      </c>
      <c r="P102" s="28">
        <v>41</v>
      </c>
      <c r="Q102" s="13" t="s">
        <v>54</v>
      </c>
      <c r="R102" s="13" t="s">
        <v>28</v>
      </c>
      <c r="S102" s="13"/>
      <c r="T102" s="13"/>
      <c r="U102" s="13" t="s">
        <v>647</v>
      </c>
      <c r="V102" s="13" t="s">
        <v>647</v>
      </c>
      <c r="W102" s="59">
        <f>+J102/$W$2</f>
        <v>4.4526687964839041E-4</v>
      </c>
    </row>
    <row r="103" spans="1:29">
      <c r="A103" s="13" t="s">
        <v>993</v>
      </c>
      <c r="B103" s="13" t="s">
        <v>538</v>
      </c>
      <c r="C103" s="139">
        <v>46189</v>
      </c>
      <c r="D103" s="139" t="s">
        <v>516</v>
      </c>
      <c r="E103" s="28">
        <v>0.99390047999999998</v>
      </c>
      <c r="F103" s="13"/>
      <c r="G103" s="18">
        <v>5000000</v>
      </c>
      <c r="H103" s="18">
        <v>4969502.42</v>
      </c>
      <c r="I103" s="18">
        <v>5000000</v>
      </c>
      <c r="J103" s="18">
        <v>4969502.42</v>
      </c>
      <c r="K103" s="15">
        <v>66405016</v>
      </c>
      <c r="L103" s="13" t="s">
        <v>102</v>
      </c>
      <c r="M103" s="13" t="s">
        <v>103</v>
      </c>
      <c r="N103" s="139" t="s">
        <v>344</v>
      </c>
      <c r="O103" s="139" t="s">
        <v>344</v>
      </c>
      <c r="P103" s="28">
        <v>28</v>
      </c>
      <c r="Q103" s="13" t="s">
        <v>54</v>
      </c>
      <c r="R103" s="13" t="s">
        <v>28</v>
      </c>
      <c r="S103" s="13"/>
      <c r="T103" s="13"/>
      <c r="U103" s="13" t="s">
        <v>1098</v>
      </c>
      <c r="V103" s="13" t="s">
        <v>1098</v>
      </c>
      <c r="W103" s="59">
        <f>+J103/$W$2</f>
        <v>1.1163196499081336E-4</v>
      </c>
    </row>
    <row r="104" spans="1:29">
      <c r="A104" s="13" t="s">
        <v>993</v>
      </c>
      <c r="B104" s="13" t="s">
        <v>538</v>
      </c>
      <c r="C104" s="139">
        <v>46189</v>
      </c>
      <c r="D104" s="139" t="s">
        <v>516</v>
      </c>
      <c r="E104" s="28">
        <v>0.99368400999999995</v>
      </c>
      <c r="F104" s="13"/>
      <c r="G104" s="18">
        <v>50000000</v>
      </c>
      <c r="H104" s="18">
        <v>49684200.409999996</v>
      </c>
      <c r="I104" s="18">
        <v>50000000</v>
      </c>
      <c r="J104" s="18">
        <v>49684200.409999996</v>
      </c>
      <c r="K104" s="15">
        <v>147630</v>
      </c>
      <c r="L104" s="13" t="s">
        <v>102</v>
      </c>
      <c r="M104" s="13" t="s">
        <v>103</v>
      </c>
      <c r="N104" s="139" t="s">
        <v>161</v>
      </c>
      <c r="O104" s="139" t="s">
        <v>161</v>
      </c>
      <c r="P104" s="28">
        <v>29</v>
      </c>
      <c r="Q104" s="13" t="s">
        <v>54</v>
      </c>
      <c r="R104" s="13" t="s">
        <v>28</v>
      </c>
      <c r="S104" s="13"/>
      <c r="T104" s="13"/>
      <c r="U104" s="13" t="s">
        <v>1273</v>
      </c>
      <c r="V104" s="13" t="s">
        <v>1273</v>
      </c>
      <c r="W104" s="59">
        <f>+J104/$W$2</f>
        <v>1.1160765106872962E-3</v>
      </c>
    </row>
    <row r="105" spans="1:29">
      <c r="A105" s="13" t="s">
        <v>426</v>
      </c>
      <c r="B105" s="13" t="s">
        <v>538</v>
      </c>
      <c r="C105" s="139">
        <v>46189</v>
      </c>
      <c r="D105" s="139" t="s">
        <v>516</v>
      </c>
      <c r="E105" s="28">
        <v>0.99066335000000005</v>
      </c>
      <c r="F105" s="13"/>
      <c r="G105" s="18">
        <v>3000000</v>
      </c>
      <c r="H105" s="18">
        <v>2971990.04</v>
      </c>
      <c r="I105" s="18">
        <v>3000000</v>
      </c>
      <c r="J105" s="18">
        <v>2971990.04</v>
      </c>
      <c r="K105" s="15">
        <v>3068</v>
      </c>
      <c r="L105" s="13" t="s">
        <v>102</v>
      </c>
      <c r="M105" s="13" t="s">
        <v>103</v>
      </c>
      <c r="N105" s="139" t="s">
        <v>230</v>
      </c>
      <c r="O105" s="139" t="s">
        <v>230</v>
      </c>
      <c r="P105" s="28">
        <v>43</v>
      </c>
      <c r="Q105" s="13" t="s">
        <v>54</v>
      </c>
      <c r="R105" s="13" t="s">
        <v>28</v>
      </c>
      <c r="S105" s="13"/>
      <c r="T105" s="13"/>
      <c r="U105" s="13" t="s">
        <v>415</v>
      </c>
      <c r="V105" s="13" t="s">
        <v>415</v>
      </c>
      <c r="W105" s="59">
        <f>+J105/$W$2</f>
        <v>6.6761027575538647E-5</v>
      </c>
    </row>
    <row r="106" spans="1:29">
      <c r="A106" s="13" t="s">
        <v>590</v>
      </c>
      <c r="B106" s="13" t="s">
        <v>538</v>
      </c>
      <c r="C106" s="139">
        <v>46189</v>
      </c>
      <c r="D106" s="139" t="s">
        <v>516</v>
      </c>
      <c r="E106" s="28">
        <v>0.99109373999999995</v>
      </c>
      <c r="F106" s="13"/>
      <c r="G106" s="18">
        <v>10918371.689999999</v>
      </c>
      <c r="H106" s="18">
        <v>10821129.83</v>
      </c>
      <c r="I106" s="18">
        <v>10918371.689999999</v>
      </c>
      <c r="J106" s="18">
        <v>10821129.83</v>
      </c>
      <c r="K106" s="15">
        <v>30455</v>
      </c>
      <c r="L106" s="13" t="s">
        <v>102</v>
      </c>
      <c r="M106" s="13" t="s">
        <v>103</v>
      </c>
      <c r="N106" s="139" t="s">
        <v>231</v>
      </c>
      <c r="O106" s="139" t="s">
        <v>231</v>
      </c>
      <c r="P106" s="28">
        <v>41</v>
      </c>
      <c r="Q106" s="13" t="s">
        <v>54</v>
      </c>
      <c r="R106" s="13" t="s">
        <v>28</v>
      </c>
      <c r="S106" s="13"/>
      <c r="T106" s="13"/>
      <c r="U106" s="13" t="s">
        <v>659</v>
      </c>
      <c r="V106" s="13" t="s">
        <v>659</v>
      </c>
      <c r="W106" s="59">
        <f>+J106/$W$2</f>
        <v>2.4307946435080037E-4</v>
      </c>
    </row>
    <row r="107" spans="1:29">
      <c r="A107" s="13" t="s">
        <v>993</v>
      </c>
      <c r="B107" s="13" t="s">
        <v>538</v>
      </c>
      <c r="C107" s="139">
        <v>46189</v>
      </c>
      <c r="D107" s="139" t="s">
        <v>516</v>
      </c>
      <c r="E107" s="28">
        <v>0.99390045999999999</v>
      </c>
      <c r="F107" s="13"/>
      <c r="G107" s="18">
        <v>5000000</v>
      </c>
      <c r="H107" s="18">
        <v>4969502.3099999996</v>
      </c>
      <c r="I107" s="18">
        <v>5000000</v>
      </c>
      <c r="J107" s="18">
        <v>4969502.3099999996</v>
      </c>
      <c r="K107" s="15">
        <v>66290724</v>
      </c>
      <c r="L107" s="13" t="s">
        <v>102</v>
      </c>
      <c r="M107" s="13" t="s">
        <v>103</v>
      </c>
      <c r="N107" s="139" t="s">
        <v>428</v>
      </c>
      <c r="O107" s="139" t="s">
        <v>428</v>
      </c>
      <c r="P107" s="28">
        <v>28</v>
      </c>
      <c r="Q107" s="13" t="s">
        <v>54</v>
      </c>
      <c r="R107" s="13" t="s">
        <v>28</v>
      </c>
      <c r="S107" s="13"/>
      <c r="T107" s="13"/>
      <c r="U107" s="13" t="s">
        <v>937</v>
      </c>
      <c r="V107" s="13" t="s">
        <v>937</v>
      </c>
      <c r="W107" s="59">
        <f>+J107/$W$2</f>
        <v>1.1163196251983837E-4</v>
      </c>
    </row>
    <row r="108" spans="1:29">
      <c r="A108" s="13" t="s">
        <v>2087</v>
      </c>
      <c r="B108" s="13" t="s">
        <v>538</v>
      </c>
      <c r="C108" s="139">
        <v>46190</v>
      </c>
      <c r="D108" s="139" t="s">
        <v>516</v>
      </c>
      <c r="E108" s="28">
        <v>0.99144388999999999</v>
      </c>
      <c r="F108" s="13"/>
      <c r="G108" s="18">
        <v>12826949.49</v>
      </c>
      <c r="H108" s="18">
        <v>12717200.689999999</v>
      </c>
      <c r="I108" s="18">
        <v>12826949.49</v>
      </c>
      <c r="J108" s="18">
        <v>12717200.689999999</v>
      </c>
      <c r="K108" s="15">
        <v>1598</v>
      </c>
      <c r="L108" s="13" t="s">
        <v>102</v>
      </c>
      <c r="M108" s="13" t="s">
        <v>103</v>
      </c>
      <c r="N108" s="139" t="s">
        <v>361</v>
      </c>
      <c r="O108" s="139" t="s">
        <v>361</v>
      </c>
      <c r="P108" s="28">
        <v>35</v>
      </c>
      <c r="Q108" s="13" t="s">
        <v>54</v>
      </c>
      <c r="R108" s="13" t="s">
        <v>28</v>
      </c>
      <c r="S108" s="13"/>
      <c r="T108" s="13"/>
      <c r="U108" s="13" t="s">
        <v>2075</v>
      </c>
      <c r="V108" s="13" t="s">
        <v>2075</v>
      </c>
      <c r="W108" s="59">
        <f>+J108/$W$2</f>
        <v>2.8567167942081966E-4</v>
      </c>
    </row>
    <row r="109" spans="1:29">
      <c r="A109" s="13" t="s">
        <v>1656</v>
      </c>
      <c r="B109" s="13" t="s">
        <v>538</v>
      </c>
      <c r="C109" s="139">
        <v>46190</v>
      </c>
      <c r="D109" s="139" t="s">
        <v>516</v>
      </c>
      <c r="E109" s="28">
        <v>0.99023342999999997</v>
      </c>
      <c r="F109" s="13"/>
      <c r="G109" s="18">
        <v>80000000</v>
      </c>
      <c r="H109" s="18">
        <v>79218674.739999995</v>
      </c>
      <c r="I109" s="18">
        <v>80000000</v>
      </c>
      <c r="J109" s="18">
        <v>79218674.739999995</v>
      </c>
      <c r="K109" s="15">
        <v>70233905</v>
      </c>
      <c r="L109" s="13" t="s">
        <v>102</v>
      </c>
      <c r="M109" s="13" t="s">
        <v>103</v>
      </c>
      <c r="N109" s="139" t="s">
        <v>371</v>
      </c>
      <c r="O109" s="139" t="s">
        <v>371</v>
      </c>
      <c r="P109" s="28">
        <v>40</v>
      </c>
      <c r="Q109" s="13" t="s">
        <v>54</v>
      </c>
      <c r="R109" s="13" t="s">
        <v>28</v>
      </c>
      <c r="S109" s="13"/>
      <c r="T109" s="13"/>
      <c r="U109" s="13" t="s">
        <v>1648</v>
      </c>
      <c r="V109" s="13" t="s">
        <v>1648</v>
      </c>
      <c r="W109" s="59">
        <f>+J109/$W$2</f>
        <v>1.779521484807791E-3</v>
      </c>
    </row>
    <row r="110" spans="1:29">
      <c r="A110" s="13" t="s">
        <v>1919</v>
      </c>
      <c r="B110" s="13" t="s">
        <v>538</v>
      </c>
      <c r="C110" s="139">
        <v>46190</v>
      </c>
      <c r="D110" s="139" t="s">
        <v>516</v>
      </c>
      <c r="E110" s="28">
        <v>0.99265722000000001</v>
      </c>
      <c r="F110" s="13"/>
      <c r="G110" s="18">
        <v>5387427.5</v>
      </c>
      <c r="H110" s="18">
        <v>5347868.79</v>
      </c>
      <c r="I110" s="18">
        <v>5387427.5</v>
      </c>
      <c r="J110" s="18">
        <v>5347868.79</v>
      </c>
      <c r="K110" s="15">
        <v>3520</v>
      </c>
      <c r="L110" s="13" t="s">
        <v>102</v>
      </c>
      <c r="M110" s="13" t="s">
        <v>103</v>
      </c>
      <c r="N110" s="139" t="s">
        <v>175</v>
      </c>
      <c r="O110" s="139" t="s">
        <v>175</v>
      </c>
      <c r="P110" s="28">
        <v>30</v>
      </c>
      <c r="Q110" s="13" t="s">
        <v>54</v>
      </c>
      <c r="R110" s="13" t="s">
        <v>28</v>
      </c>
      <c r="S110" s="13"/>
      <c r="T110" s="13"/>
      <c r="U110" s="13" t="s">
        <v>1909</v>
      </c>
      <c r="V110" s="13" t="s">
        <v>1909</v>
      </c>
      <c r="W110" s="59">
        <f>+J110/$W$2</f>
        <v>1.201313634818078E-4</v>
      </c>
    </row>
    <row r="111" spans="1:29">
      <c r="A111" s="13" t="s">
        <v>916</v>
      </c>
      <c r="B111" s="13" t="s">
        <v>538</v>
      </c>
      <c r="C111" s="139">
        <v>46190</v>
      </c>
      <c r="D111" s="139" t="s">
        <v>516</v>
      </c>
      <c r="E111" s="28">
        <v>0.9919287</v>
      </c>
      <c r="F111" s="13"/>
      <c r="G111" s="18">
        <v>10000000</v>
      </c>
      <c r="H111" s="18">
        <v>9919286.9600000009</v>
      </c>
      <c r="I111" s="18">
        <v>10000000</v>
      </c>
      <c r="J111" s="18">
        <v>9919286.9600000009</v>
      </c>
      <c r="K111" s="15">
        <v>13633520</v>
      </c>
      <c r="L111" s="13" t="s">
        <v>102</v>
      </c>
      <c r="M111" s="13" t="s">
        <v>103</v>
      </c>
      <c r="N111" s="139" t="s">
        <v>163</v>
      </c>
      <c r="O111" s="139" t="s">
        <v>163</v>
      </c>
      <c r="P111" s="28">
        <v>33</v>
      </c>
      <c r="Q111" s="13" t="s">
        <v>54</v>
      </c>
      <c r="R111" s="13" t="s">
        <v>28</v>
      </c>
      <c r="S111" s="13"/>
      <c r="T111" s="13"/>
      <c r="U111" s="13" t="s">
        <v>1579</v>
      </c>
      <c r="V111" s="13" t="s">
        <v>1579</v>
      </c>
      <c r="W111" s="59">
        <f>+J111/$W$2</f>
        <v>2.2282099918014562E-4</v>
      </c>
    </row>
    <row r="112" spans="1:29">
      <c r="A112" s="13" t="s">
        <v>1163</v>
      </c>
      <c r="B112" s="13" t="s">
        <v>538</v>
      </c>
      <c r="C112" s="139">
        <v>46190</v>
      </c>
      <c r="D112" s="139" t="s">
        <v>516</v>
      </c>
      <c r="E112" s="28">
        <v>0.99144374000000002</v>
      </c>
      <c r="F112" s="13"/>
      <c r="G112" s="18">
        <v>100000000</v>
      </c>
      <c r="H112" s="18">
        <v>99144374.140000001</v>
      </c>
      <c r="I112" s="18">
        <v>100000000</v>
      </c>
      <c r="J112" s="18">
        <v>99144374.140000001</v>
      </c>
      <c r="K112" s="15">
        <v>66455545</v>
      </c>
      <c r="L112" s="13" t="s">
        <v>102</v>
      </c>
      <c r="M112" s="13" t="s">
        <v>103</v>
      </c>
      <c r="N112" s="139" t="s">
        <v>344</v>
      </c>
      <c r="O112" s="139" t="s">
        <v>344</v>
      </c>
      <c r="P112" s="28">
        <v>35</v>
      </c>
      <c r="Q112" s="13" t="s">
        <v>54</v>
      </c>
      <c r="R112" s="13" t="s">
        <v>28</v>
      </c>
      <c r="S112" s="13"/>
      <c r="T112" s="13"/>
      <c r="U112" s="13" t="s">
        <v>1156</v>
      </c>
      <c r="V112" s="13" t="s">
        <v>1156</v>
      </c>
      <c r="W112" s="59">
        <f>+J112/$W$2</f>
        <v>2.2271206184526987E-3</v>
      </c>
    </row>
    <row r="113" spans="1:29">
      <c r="A113" s="13" t="s">
        <v>430</v>
      </c>
      <c r="B113" s="13" t="s">
        <v>538</v>
      </c>
      <c r="C113" s="139">
        <v>46190</v>
      </c>
      <c r="D113" s="139" t="s">
        <v>516</v>
      </c>
      <c r="E113" s="28">
        <v>0.99023331999999997</v>
      </c>
      <c r="F113" s="13"/>
      <c r="G113" s="18">
        <v>10000000</v>
      </c>
      <c r="H113" s="18">
        <v>9902333.1600000001</v>
      </c>
      <c r="I113" s="18">
        <v>10000000</v>
      </c>
      <c r="J113" s="18">
        <v>9902333.1600000001</v>
      </c>
      <c r="K113" s="15">
        <v>1342</v>
      </c>
      <c r="L113" s="13" t="s">
        <v>102</v>
      </c>
      <c r="M113" s="13" t="s">
        <v>103</v>
      </c>
      <c r="N113" s="139" t="s">
        <v>302</v>
      </c>
      <c r="O113" s="139" t="s">
        <v>302</v>
      </c>
      <c r="P113" s="28">
        <v>40</v>
      </c>
      <c r="Q113" s="13" t="s">
        <v>54</v>
      </c>
      <c r="R113" s="13" t="s">
        <v>28</v>
      </c>
      <c r="S113" s="13"/>
      <c r="T113" s="13"/>
      <c r="U113" s="13" t="s">
        <v>440</v>
      </c>
      <c r="V113" s="13" t="s">
        <v>440</v>
      </c>
      <c r="W113" s="59">
        <f>+J113/$W$2</f>
        <v>2.2244015903799284E-4</v>
      </c>
    </row>
    <row r="114" spans="1:29">
      <c r="A114" s="13" t="s">
        <v>447</v>
      </c>
      <c r="B114" s="13" t="s">
        <v>538</v>
      </c>
      <c r="C114" s="139">
        <v>46190</v>
      </c>
      <c r="D114" s="139" t="s">
        <v>516</v>
      </c>
      <c r="E114" s="28">
        <v>0.98950850999999995</v>
      </c>
      <c r="F114" s="13"/>
      <c r="G114" s="18">
        <v>300000000</v>
      </c>
      <c r="H114" s="18">
        <v>296852552.88</v>
      </c>
      <c r="I114" s="18">
        <v>300000000</v>
      </c>
      <c r="J114" s="18">
        <v>296852552.88</v>
      </c>
      <c r="K114" s="15">
        <v>9564802</v>
      </c>
      <c r="L114" s="13" t="s">
        <v>102</v>
      </c>
      <c r="M114" s="13" t="s">
        <v>103</v>
      </c>
      <c r="N114" s="139" t="s">
        <v>262</v>
      </c>
      <c r="O114" s="139" t="s">
        <v>262</v>
      </c>
      <c r="P114" s="28">
        <v>43</v>
      </c>
      <c r="Q114" s="13" t="s">
        <v>54</v>
      </c>
      <c r="R114" s="13" t="s">
        <v>28</v>
      </c>
      <c r="S114" s="13"/>
      <c r="T114" s="13"/>
      <c r="U114" s="13" t="s">
        <v>446</v>
      </c>
      <c r="V114" s="13" t="s">
        <v>446</v>
      </c>
      <c r="W114" s="59">
        <f>+J114/$W$2</f>
        <v>6.6683202843744131E-3</v>
      </c>
    </row>
    <row r="115" spans="1:29">
      <c r="A115" s="13" t="s">
        <v>539</v>
      </c>
      <c r="B115" s="13" t="s">
        <v>538</v>
      </c>
      <c r="C115" s="139">
        <v>46190</v>
      </c>
      <c r="D115" s="139" t="s">
        <v>516</v>
      </c>
      <c r="E115" s="28">
        <v>0.99144370999999998</v>
      </c>
      <c r="F115" s="13"/>
      <c r="G115" s="18">
        <v>10000000</v>
      </c>
      <c r="H115" s="18">
        <v>9914437.1099999994</v>
      </c>
      <c r="I115" s="18">
        <v>10000000</v>
      </c>
      <c r="J115" s="18">
        <v>9914437.1099999994</v>
      </c>
      <c r="K115" s="15">
        <v>384</v>
      </c>
      <c r="L115" s="13" t="s">
        <v>102</v>
      </c>
      <c r="M115" s="13" t="s">
        <v>103</v>
      </c>
      <c r="N115" s="139" t="s">
        <v>428</v>
      </c>
      <c r="O115" s="139" t="s">
        <v>428</v>
      </c>
      <c r="P115" s="28">
        <v>35</v>
      </c>
      <c r="Q115" s="13" t="s">
        <v>54</v>
      </c>
      <c r="R115" s="13" t="s">
        <v>28</v>
      </c>
      <c r="S115" s="13"/>
      <c r="T115" s="13"/>
      <c r="U115" s="13" t="s">
        <v>959</v>
      </c>
      <c r="V115" s="13" t="s">
        <v>959</v>
      </c>
      <c r="W115" s="59">
        <f>+J115/$W$2</f>
        <v>2.2271205501639353E-4</v>
      </c>
    </row>
    <row r="116" spans="1:29">
      <c r="A116" s="13" t="s">
        <v>558</v>
      </c>
      <c r="B116" s="13" t="s">
        <v>538</v>
      </c>
      <c r="C116" s="139">
        <v>46190</v>
      </c>
      <c r="D116" s="139" t="s">
        <v>516</v>
      </c>
      <c r="E116" s="28">
        <v>0.99241416000000005</v>
      </c>
      <c r="F116" s="13"/>
      <c r="G116" s="18">
        <v>42000000</v>
      </c>
      <c r="H116" s="18">
        <v>41681394.799999997</v>
      </c>
      <c r="I116" s="18">
        <v>42000000</v>
      </c>
      <c r="J116" s="18">
        <v>41681394.799999997</v>
      </c>
      <c r="K116" s="15">
        <v>145442</v>
      </c>
      <c r="L116" s="13" t="s">
        <v>102</v>
      </c>
      <c r="M116" s="13" t="s">
        <v>103</v>
      </c>
      <c r="N116" s="139" t="s">
        <v>378</v>
      </c>
      <c r="O116" s="139" t="s">
        <v>378</v>
      </c>
      <c r="P116" s="28">
        <v>31</v>
      </c>
      <c r="Q116" s="13" t="s">
        <v>54</v>
      </c>
      <c r="R116" s="13" t="s">
        <v>28</v>
      </c>
      <c r="S116" s="13"/>
      <c r="T116" s="13"/>
      <c r="U116" s="13" t="s">
        <v>863</v>
      </c>
      <c r="V116" s="13" t="s">
        <v>863</v>
      </c>
      <c r="W116" s="59">
        <f>+J116/$W$2</f>
        <v>9.3630621576030343E-4</v>
      </c>
    </row>
    <row r="117" spans="1:29">
      <c r="A117" s="13" t="s">
        <v>122</v>
      </c>
      <c r="B117" s="13" t="s">
        <v>538</v>
      </c>
      <c r="C117" s="139">
        <v>46190</v>
      </c>
      <c r="D117" s="139" t="s">
        <v>516</v>
      </c>
      <c r="E117" s="28">
        <v>0.98878474000000005</v>
      </c>
      <c r="F117" s="13"/>
      <c r="G117" s="18">
        <v>10000000</v>
      </c>
      <c r="H117" s="18">
        <v>9887847.4499999993</v>
      </c>
      <c r="I117" s="18">
        <v>10000000</v>
      </c>
      <c r="J117" s="18">
        <v>9887847.4499999993</v>
      </c>
      <c r="K117" s="15">
        <v>3923</v>
      </c>
      <c r="L117" s="13" t="s">
        <v>102</v>
      </c>
      <c r="M117" s="13" t="s">
        <v>103</v>
      </c>
      <c r="N117" s="139" t="s">
        <v>121</v>
      </c>
      <c r="O117" s="139" t="s">
        <v>121</v>
      </c>
      <c r="P117" s="28">
        <v>46</v>
      </c>
      <c r="Q117" s="13" t="s">
        <v>54</v>
      </c>
      <c r="R117" s="13" t="s">
        <v>28</v>
      </c>
      <c r="S117" s="13"/>
      <c r="T117" s="13"/>
      <c r="U117" s="13" t="s">
        <v>170</v>
      </c>
      <c r="V117" s="13" t="s">
        <v>170</v>
      </c>
      <c r="W117" s="59">
        <f>+J117/$W$2</f>
        <v>2.2211476061076213E-4</v>
      </c>
    </row>
    <row r="118" spans="1:29">
      <c r="A118" s="13" t="s">
        <v>365</v>
      </c>
      <c r="B118" s="13" t="s">
        <v>538</v>
      </c>
      <c r="C118" s="139">
        <v>46190</v>
      </c>
      <c r="D118" s="139" t="s">
        <v>516</v>
      </c>
      <c r="E118" s="28">
        <v>0.99023333999999996</v>
      </c>
      <c r="F118" s="13"/>
      <c r="G118" s="18">
        <v>3000000</v>
      </c>
      <c r="H118" s="18">
        <v>2970700.03</v>
      </c>
      <c r="I118" s="18">
        <v>3000000</v>
      </c>
      <c r="J118" s="18">
        <v>2970700.03</v>
      </c>
      <c r="K118" s="15">
        <v>60524034</v>
      </c>
      <c r="L118" s="13" t="s">
        <v>102</v>
      </c>
      <c r="M118" s="13" t="s">
        <v>103</v>
      </c>
      <c r="N118" s="139" t="s">
        <v>243</v>
      </c>
      <c r="O118" s="139" t="s">
        <v>243</v>
      </c>
      <c r="P118" s="28">
        <v>40</v>
      </c>
      <c r="Q118" s="13" t="s">
        <v>54</v>
      </c>
      <c r="R118" s="13" t="s">
        <v>28</v>
      </c>
      <c r="S118" s="13"/>
      <c r="T118" s="13"/>
      <c r="U118" s="13" t="s">
        <v>485</v>
      </c>
      <c r="V118" s="13" t="s">
        <v>485</v>
      </c>
      <c r="W118" s="59">
        <f>+J118/$W$2</f>
        <v>6.673204955339738E-5</v>
      </c>
    </row>
    <row r="119" spans="1:29">
      <c r="A119" s="13" t="s">
        <v>148</v>
      </c>
      <c r="B119" s="13" t="s">
        <v>538</v>
      </c>
      <c r="C119" s="139">
        <v>46190</v>
      </c>
      <c r="D119" s="139" t="s">
        <v>516</v>
      </c>
      <c r="E119" s="28">
        <v>0.98878478000000003</v>
      </c>
      <c r="F119" s="13"/>
      <c r="G119" s="18">
        <v>20000000</v>
      </c>
      <c r="H119" s="18">
        <v>19775695.579999998</v>
      </c>
      <c r="I119" s="18">
        <v>20000000</v>
      </c>
      <c r="J119" s="18">
        <v>19775695.579999998</v>
      </c>
      <c r="K119" s="15">
        <v>3980</v>
      </c>
      <c r="L119" s="13" t="s">
        <v>102</v>
      </c>
      <c r="M119" s="13" t="s">
        <v>103</v>
      </c>
      <c r="N119" s="139" t="s">
        <v>242</v>
      </c>
      <c r="O119" s="139" t="s">
        <v>242</v>
      </c>
      <c r="P119" s="28">
        <v>46</v>
      </c>
      <c r="Q119" s="13" t="s">
        <v>54</v>
      </c>
      <c r="R119" s="13" t="s">
        <v>28</v>
      </c>
      <c r="S119" s="13"/>
      <c r="T119" s="13"/>
      <c r="U119" s="13" t="s">
        <v>510</v>
      </c>
      <c r="V119" s="13" t="s">
        <v>510</v>
      </c>
      <c r="W119" s="59">
        <f>+J119/$W$2</f>
        <v>4.4422953649664234E-4</v>
      </c>
    </row>
    <row r="120" spans="1:29">
      <c r="A120" s="13" t="s">
        <v>639</v>
      </c>
      <c r="B120" s="13" t="s">
        <v>538</v>
      </c>
      <c r="C120" s="139">
        <v>46190</v>
      </c>
      <c r="D120" s="139" t="s">
        <v>516</v>
      </c>
      <c r="E120" s="28">
        <v>0.99290009999999995</v>
      </c>
      <c r="F120" s="13"/>
      <c r="G120" s="18">
        <v>12500000</v>
      </c>
      <c r="H120" s="18">
        <v>12411251.310000001</v>
      </c>
      <c r="I120" s="18">
        <v>12500000</v>
      </c>
      <c r="J120" s="18">
        <v>12411251.310000001</v>
      </c>
      <c r="K120" s="15">
        <v>28996517</v>
      </c>
      <c r="L120" s="13" t="s">
        <v>102</v>
      </c>
      <c r="M120" s="13" t="s">
        <v>103</v>
      </c>
      <c r="N120" s="139" t="s">
        <v>155</v>
      </c>
      <c r="O120" s="139" t="s">
        <v>155</v>
      </c>
      <c r="P120" s="28">
        <v>29</v>
      </c>
      <c r="Q120" s="13" t="s">
        <v>54</v>
      </c>
      <c r="R120" s="13" t="s">
        <v>28</v>
      </c>
      <c r="S120" s="13"/>
      <c r="T120" s="13"/>
      <c r="U120" s="13" t="s">
        <v>612</v>
      </c>
      <c r="V120" s="13" t="s">
        <v>612</v>
      </c>
      <c r="W120" s="59">
        <f>+J120/$W$2</f>
        <v>2.7879901338897156E-4</v>
      </c>
    </row>
    <row r="121" spans="1:29">
      <c r="A121" s="13" t="s">
        <v>993</v>
      </c>
      <c r="B121" s="13" t="s">
        <v>538</v>
      </c>
      <c r="C121" s="139">
        <v>46190</v>
      </c>
      <c r="D121" s="139" t="s">
        <v>516</v>
      </c>
      <c r="E121" s="28">
        <v>0.99338654000000004</v>
      </c>
      <c r="F121" s="13"/>
      <c r="G121" s="18">
        <v>15200000</v>
      </c>
      <c r="H121" s="18">
        <v>15099475.369999999</v>
      </c>
      <c r="I121" s="18">
        <v>15200000</v>
      </c>
      <c r="J121" s="18">
        <v>15099475.369999999</v>
      </c>
      <c r="K121" s="15">
        <v>2600</v>
      </c>
      <c r="L121" s="13" t="s">
        <v>102</v>
      </c>
      <c r="M121" s="13" t="s">
        <v>103</v>
      </c>
      <c r="N121" s="139" t="s">
        <v>359</v>
      </c>
      <c r="O121" s="139" t="s">
        <v>359</v>
      </c>
      <c r="P121" s="28">
        <v>27</v>
      </c>
      <c r="Q121" s="13" t="s">
        <v>54</v>
      </c>
      <c r="R121" s="13" t="s">
        <v>28</v>
      </c>
      <c r="S121" s="13"/>
      <c r="T121" s="13"/>
      <c r="U121" s="13" t="s">
        <v>1321</v>
      </c>
      <c r="V121" s="13" t="s">
        <v>1321</v>
      </c>
      <c r="W121" s="59">
        <f>+J121/$W$2</f>
        <v>3.3918568971810434E-4</v>
      </c>
    </row>
    <row r="122" spans="1:29">
      <c r="A122" s="13" t="s">
        <v>339</v>
      </c>
      <c r="B122" s="13" t="s">
        <v>538</v>
      </c>
      <c r="C122" s="139">
        <v>46190</v>
      </c>
      <c r="D122" s="139" t="s">
        <v>516</v>
      </c>
      <c r="E122" s="28">
        <v>0.99265707000000003</v>
      </c>
      <c r="F122" s="13"/>
      <c r="G122" s="18">
        <v>60000000</v>
      </c>
      <c r="H122" s="18">
        <v>59559424.259999998</v>
      </c>
      <c r="I122" s="18">
        <v>60000000</v>
      </c>
      <c r="J122" s="18">
        <v>59559424.259999998</v>
      </c>
      <c r="K122" s="15">
        <v>58</v>
      </c>
      <c r="L122" s="13" t="s">
        <v>102</v>
      </c>
      <c r="M122" s="13" t="s">
        <v>103</v>
      </c>
      <c r="N122" s="139" t="s">
        <v>343</v>
      </c>
      <c r="O122" s="139" t="s">
        <v>343</v>
      </c>
      <c r="P122" s="28">
        <v>30</v>
      </c>
      <c r="Q122" s="13" t="s">
        <v>54</v>
      </c>
      <c r="R122" s="13" t="s">
        <v>28</v>
      </c>
      <c r="S122" s="13"/>
      <c r="T122" s="13"/>
      <c r="U122" s="13" t="s">
        <v>1427</v>
      </c>
      <c r="V122" s="13" t="s">
        <v>1427</v>
      </c>
      <c r="W122" s="59">
        <f>+J122/$W$2</f>
        <v>1.3379077022092124E-3</v>
      </c>
    </row>
    <row r="123" spans="1:29">
      <c r="A123" s="13" t="s">
        <v>164</v>
      </c>
      <c r="B123" s="13" t="s">
        <v>538</v>
      </c>
      <c r="C123" s="139">
        <v>46190</v>
      </c>
      <c r="D123" s="139" t="s">
        <v>516</v>
      </c>
      <c r="E123" s="28">
        <v>0.99362992000000006</v>
      </c>
      <c r="F123" s="13"/>
      <c r="G123" s="18">
        <v>25000000</v>
      </c>
      <c r="H123" s="18">
        <v>24840748.02</v>
      </c>
      <c r="I123" s="18">
        <v>25000000</v>
      </c>
      <c r="J123" s="18">
        <v>24840748.02</v>
      </c>
      <c r="K123" s="15">
        <v>90026750</v>
      </c>
      <c r="L123" s="13" t="s">
        <v>102</v>
      </c>
      <c r="M123" s="13" t="s">
        <v>103</v>
      </c>
      <c r="N123" s="139" t="s">
        <v>359</v>
      </c>
      <c r="O123" s="139" t="s">
        <v>359</v>
      </c>
      <c r="P123" s="28">
        <v>26</v>
      </c>
      <c r="Q123" s="13" t="s">
        <v>54</v>
      </c>
      <c r="R123" s="13" t="s">
        <v>28</v>
      </c>
      <c r="S123" s="13"/>
      <c r="T123" s="13"/>
      <c r="U123" s="13" t="s">
        <v>1331</v>
      </c>
      <c r="V123" s="13" t="s">
        <v>1331</v>
      </c>
      <c r="W123" s="59">
        <f>+J123/$W$2</f>
        <v>5.580078806590573E-4</v>
      </c>
    </row>
    <row r="124" spans="1:29">
      <c r="A124" s="13" t="s">
        <v>992</v>
      </c>
      <c r="B124" s="13" t="s">
        <v>538</v>
      </c>
      <c r="C124" s="139">
        <v>46190</v>
      </c>
      <c r="D124" s="139" t="s">
        <v>516</v>
      </c>
      <c r="E124" s="28">
        <v>0.99144370999999998</v>
      </c>
      <c r="F124" s="13"/>
      <c r="G124" s="18">
        <v>5450000</v>
      </c>
      <c r="H124" s="18">
        <v>5403368.2199999997</v>
      </c>
      <c r="I124" s="18">
        <v>5450000</v>
      </c>
      <c r="J124" s="18">
        <v>5403368.2199999997</v>
      </c>
      <c r="K124" s="15">
        <v>6922</v>
      </c>
      <c r="L124" s="13" t="s">
        <v>102</v>
      </c>
      <c r="M124" s="13" t="s">
        <v>103</v>
      </c>
      <c r="N124" s="139" t="s">
        <v>428</v>
      </c>
      <c r="O124" s="139" t="s">
        <v>428</v>
      </c>
      <c r="P124" s="28">
        <v>35</v>
      </c>
      <c r="Q124" s="13" t="s">
        <v>54</v>
      </c>
      <c r="R124" s="13" t="s">
        <v>28</v>
      </c>
      <c r="S124" s="13"/>
      <c r="T124" s="13"/>
      <c r="U124" s="13" t="s">
        <v>983</v>
      </c>
      <c r="V124" s="13" t="s">
        <v>983</v>
      </c>
      <c r="W124" s="59">
        <f>+J124/$W$2</f>
        <v>1.213780698727406E-4</v>
      </c>
    </row>
    <row r="125" spans="1:29">
      <c r="A125" s="13" t="s">
        <v>993</v>
      </c>
      <c r="B125" s="13" t="s">
        <v>538</v>
      </c>
      <c r="C125" s="139">
        <v>46190</v>
      </c>
      <c r="D125" s="139" t="s">
        <v>516</v>
      </c>
      <c r="E125" s="28">
        <v>0.99314325999999997</v>
      </c>
      <c r="F125" s="13"/>
      <c r="G125" s="18">
        <v>10000000</v>
      </c>
      <c r="H125" s="18">
        <v>9931432.5999999996</v>
      </c>
      <c r="I125" s="18">
        <v>10000000</v>
      </c>
      <c r="J125" s="18">
        <v>9931432.5999999996</v>
      </c>
      <c r="K125" s="15">
        <v>66404952</v>
      </c>
      <c r="L125" s="13" t="s">
        <v>102</v>
      </c>
      <c r="M125" s="13" t="s">
        <v>103</v>
      </c>
      <c r="N125" s="139" t="s">
        <v>344</v>
      </c>
      <c r="O125" s="139" t="s">
        <v>344</v>
      </c>
      <c r="P125" s="28">
        <v>28</v>
      </c>
      <c r="Q125" s="13" t="s">
        <v>54</v>
      </c>
      <c r="R125" s="13" t="s">
        <v>28</v>
      </c>
      <c r="S125" s="13"/>
      <c r="T125" s="13"/>
      <c r="U125" s="13" t="s">
        <v>1097</v>
      </c>
      <c r="V125" s="13" t="s">
        <v>1097</v>
      </c>
      <c r="W125" s="59">
        <f>+J125/$W$2</f>
        <v>2.2309383165806417E-4</v>
      </c>
    </row>
    <row r="126" spans="1:29">
      <c r="A126" s="13" t="s">
        <v>380</v>
      </c>
      <c r="B126" s="13" t="s">
        <v>538</v>
      </c>
      <c r="C126" s="139">
        <v>46190</v>
      </c>
      <c r="D126" s="139" t="s">
        <v>516</v>
      </c>
      <c r="E126" s="28">
        <v>0.99120140999999995</v>
      </c>
      <c r="F126" s="13"/>
      <c r="G126" s="18">
        <v>16400000</v>
      </c>
      <c r="H126" s="18">
        <v>16255703.18</v>
      </c>
      <c r="I126" s="18">
        <v>16400000</v>
      </c>
      <c r="J126" s="18">
        <v>16255703.18</v>
      </c>
      <c r="K126" s="15">
        <v>95826334</v>
      </c>
      <c r="L126" s="13" t="s">
        <v>102</v>
      </c>
      <c r="M126" s="13" t="s">
        <v>103</v>
      </c>
      <c r="N126" s="139" t="s">
        <v>152</v>
      </c>
      <c r="O126" s="139" t="s">
        <v>152</v>
      </c>
      <c r="P126" s="28">
        <v>36</v>
      </c>
      <c r="Q126" s="13" t="s">
        <v>54</v>
      </c>
      <c r="R126" s="13" t="s">
        <v>28</v>
      </c>
      <c r="S126" s="13"/>
      <c r="T126" s="13"/>
      <c r="U126" s="13" t="s">
        <v>787</v>
      </c>
      <c r="V126" s="13" t="s">
        <v>787</v>
      </c>
      <c r="W126" s="59">
        <f>+J126/$W$2</f>
        <v>3.6515850781914169E-4</v>
      </c>
    </row>
    <row r="127" spans="1:29">
      <c r="A127" s="13" t="s">
        <v>138</v>
      </c>
      <c r="B127" s="13" t="s">
        <v>538</v>
      </c>
      <c r="C127" s="139">
        <v>46190</v>
      </c>
      <c r="D127" s="139" t="s">
        <v>516</v>
      </c>
      <c r="E127" s="28">
        <v>0.99047516999999996</v>
      </c>
      <c r="F127" s="13"/>
      <c r="G127" s="18">
        <v>100000000</v>
      </c>
      <c r="H127" s="18">
        <v>99047516.980000004</v>
      </c>
      <c r="I127" s="18">
        <v>100000000</v>
      </c>
      <c r="J127" s="18">
        <v>99047516.980000004</v>
      </c>
      <c r="K127" s="15">
        <v>638</v>
      </c>
      <c r="L127" s="13" t="s">
        <v>102</v>
      </c>
      <c r="M127" s="13" t="s">
        <v>103</v>
      </c>
      <c r="N127" s="139" t="s">
        <v>367</v>
      </c>
      <c r="O127" s="139" t="s">
        <v>367</v>
      </c>
      <c r="P127" s="28">
        <v>39</v>
      </c>
      <c r="Q127" s="13" t="s">
        <v>54</v>
      </c>
      <c r="R127" s="13" t="s">
        <v>28</v>
      </c>
      <c r="S127" s="13"/>
      <c r="T127" s="13"/>
      <c r="U127" s="13" t="s">
        <v>1473</v>
      </c>
      <c r="V127" s="13" t="s">
        <v>1473</v>
      </c>
      <c r="W127" s="59">
        <f>+J127/$W$2</f>
        <v>2.2249448764607611E-3</v>
      </c>
      <c r="AC127" s="56"/>
    </row>
    <row r="128" spans="1:29">
      <c r="A128" s="13" t="s">
        <v>426</v>
      </c>
      <c r="B128" s="13" t="s">
        <v>538</v>
      </c>
      <c r="C128" s="139">
        <v>46190</v>
      </c>
      <c r="D128" s="139" t="s">
        <v>516</v>
      </c>
      <c r="E128" s="28">
        <v>0.98950850000000001</v>
      </c>
      <c r="F128" s="13"/>
      <c r="G128" s="18">
        <v>3500000</v>
      </c>
      <c r="H128" s="18">
        <v>3463279.75</v>
      </c>
      <c r="I128" s="18">
        <v>3500000</v>
      </c>
      <c r="J128" s="18">
        <v>3463279.75</v>
      </c>
      <c r="K128" s="15">
        <v>3069</v>
      </c>
      <c r="L128" s="13" t="s">
        <v>102</v>
      </c>
      <c r="M128" s="13" t="s">
        <v>103</v>
      </c>
      <c r="N128" s="139" t="s">
        <v>230</v>
      </c>
      <c r="O128" s="139" t="s">
        <v>230</v>
      </c>
      <c r="P128" s="28">
        <v>43</v>
      </c>
      <c r="Q128" s="13" t="s">
        <v>54</v>
      </c>
      <c r="R128" s="13" t="s">
        <v>28</v>
      </c>
      <c r="S128" s="13"/>
      <c r="T128" s="13"/>
      <c r="U128" s="13" t="s">
        <v>417</v>
      </c>
      <c r="V128" s="13" t="s">
        <v>417</v>
      </c>
      <c r="W128" s="59">
        <f>+J128/$W$2</f>
        <v>7.7797069229597614E-5</v>
      </c>
      <c r="AC128" s="56"/>
    </row>
    <row r="129" spans="1:29">
      <c r="A129" s="13" t="s">
        <v>265</v>
      </c>
      <c r="B129" s="13" t="s">
        <v>538</v>
      </c>
      <c r="C129" s="139">
        <v>46190</v>
      </c>
      <c r="D129" s="139" t="s">
        <v>516</v>
      </c>
      <c r="E129" s="28">
        <v>0.98999159000000003</v>
      </c>
      <c r="F129" s="13"/>
      <c r="G129" s="18">
        <v>45000000</v>
      </c>
      <c r="H129" s="18">
        <v>44549621.670000002</v>
      </c>
      <c r="I129" s="18">
        <v>45000000</v>
      </c>
      <c r="J129" s="18">
        <v>44549621.670000002</v>
      </c>
      <c r="K129" s="15">
        <v>64885008</v>
      </c>
      <c r="L129" s="13" t="s">
        <v>102</v>
      </c>
      <c r="M129" s="13" t="s">
        <v>103</v>
      </c>
      <c r="N129" s="139" t="s">
        <v>230</v>
      </c>
      <c r="O129" s="139" t="s">
        <v>230</v>
      </c>
      <c r="P129" s="28">
        <v>41</v>
      </c>
      <c r="Q129" s="13" t="s">
        <v>54</v>
      </c>
      <c r="R129" s="13" t="s">
        <v>28</v>
      </c>
      <c r="S129" s="13"/>
      <c r="T129" s="13"/>
      <c r="U129" s="13" t="s">
        <v>406</v>
      </c>
      <c r="V129" s="13" t="s">
        <v>406</v>
      </c>
      <c r="W129" s="59">
        <f>+J129/$W$2</f>
        <v>1.000736368817267E-3</v>
      </c>
    </row>
    <row r="130" spans="1:29">
      <c r="A130" s="13" t="s">
        <v>210</v>
      </c>
      <c r="B130" s="13" t="s">
        <v>538</v>
      </c>
      <c r="C130" s="139">
        <v>46190</v>
      </c>
      <c r="D130" s="139" t="s">
        <v>516</v>
      </c>
      <c r="E130" s="28">
        <v>0.99338652000000005</v>
      </c>
      <c r="F130" s="13"/>
      <c r="G130" s="18">
        <v>8150793.21</v>
      </c>
      <c r="H130" s="18">
        <v>8096888.1299999999</v>
      </c>
      <c r="I130" s="18">
        <v>8150793.21</v>
      </c>
      <c r="J130" s="18">
        <v>8096888.1299999999</v>
      </c>
      <c r="K130" s="15">
        <v>1514</v>
      </c>
      <c r="L130" s="13" t="s">
        <v>102</v>
      </c>
      <c r="M130" s="13" t="s">
        <v>103</v>
      </c>
      <c r="N130" s="139" t="s">
        <v>231</v>
      </c>
      <c r="O130" s="139" t="s">
        <v>231</v>
      </c>
      <c r="P130" s="28">
        <v>27</v>
      </c>
      <c r="Q130" s="13" t="s">
        <v>54</v>
      </c>
      <c r="R130" s="13" t="s">
        <v>28</v>
      </c>
      <c r="S130" s="13"/>
      <c r="T130" s="13"/>
      <c r="U130" s="13" t="s">
        <v>679</v>
      </c>
      <c r="V130" s="13" t="s">
        <v>679</v>
      </c>
      <c r="W130" s="59">
        <f>+J130/$W$2</f>
        <v>1.8188370904600391E-4</v>
      </c>
    </row>
    <row r="131" spans="1:29">
      <c r="A131" s="13" t="s">
        <v>210</v>
      </c>
      <c r="B131" s="13" t="s">
        <v>538</v>
      </c>
      <c r="C131" s="139">
        <v>46190</v>
      </c>
      <c r="D131" s="139" t="s">
        <v>516</v>
      </c>
      <c r="E131" s="28">
        <v>0.99338652000000005</v>
      </c>
      <c r="F131" s="13"/>
      <c r="G131" s="18">
        <v>9628546.5999999996</v>
      </c>
      <c r="H131" s="18">
        <v>9564868.4399999995</v>
      </c>
      <c r="I131" s="18">
        <v>9628546.5999999996</v>
      </c>
      <c r="J131" s="18">
        <v>9564868.4399999995</v>
      </c>
      <c r="K131" s="15">
        <v>1515</v>
      </c>
      <c r="L131" s="13" t="s">
        <v>102</v>
      </c>
      <c r="M131" s="13" t="s">
        <v>103</v>
      </c>
      <c r="N131" s="139" t="s">
        <v>231</v>
      </c>
      <c r="O131" s="139" t="s">
        <v>231</v>
      </c>
      <c r="P131" s="28">
        <v>27</v>
      </c>
      <c r="Q131" s="13" t="s">
        <v>54</v>
      </c>
      <c r="R131" s="13" t="s">
        <v>28</v>
      </c>
      <c r="S131" s="13"/>
      <c r="T131" s="13"/>
      <c r="U131" s="13" t="s">
        <v>680</v>
      </c>
      <c r="V131" s="13" t="s">
        <v>680</v>
      </c>
      <c r="W131" s="59">
        <f>+J131/$W$2</f>
        <v>2.1485955103646285E-4</v>
      </c>
    </row>
    <row r="132" spans="1:29">
      <c r="A132" s="13" t="s">
        <v>210</v>
      </c>
      <c r="B132" s="13" t="s">
        <v>538</v>
      </c>
      <c r="C132" s="139">
        <v>46190</v>
      </c>
      <c r="D132" s="139" t="s">
        <v>516</v>
      </c>
      <c r="E132" s="28">
        <v>0.99338652000000005</v>
      </c>
      <c r="F132" s="13"/>
      <c r="G132" s="18">
        <v>12499446.35</v>
      </c>
      <c r="H132" s="18">
        <v>12416781.560000001</v>
      </c>
      <c r="I132" s="18">
        <v>12499446.35</v>
      </c>
      <c r="J132" s="18">
        <v>12416781.560000001</v>
      </c>
      <c r="K132" s="15">
        <v>1516</v>
      </c>
      <c r="L132" s="13" t="s">
        <v>102</v>
      </c>
      <c r="M132" s="13" t="s">
        <v>103</v>
      </c>
      <c r="N132" s="139" t="s">
        <v>231</v>
      </c>
      <c r="O132" s="139" t="s">
        <v>231</v>
      </c>
      <c r="P132" s="28">
        <v>27</v>
      </c>
      <c r="Q132" s="13" t="s">
        <v>54</v>
      </c>
      <c r="R132" s="13" t="s">
        <v>28</v>
      </c>
      <c r="S132" s="13"/>
      <c r="T132" s="13"/>
      <c r="U132" s="13" t="s">
        <v>681</v>
      </c>
      <c r="V132" s="13" t="s">
        <v>681</v>
      </c>
      <c r="W132" s="59">
        <f>+J132/$W$2</f>
        <v>2.7892324165615297E-4</v>
      </c>
    </row>
    <row r="133" spans="1:29">
      <c r="A133" s="13" t="s">
        <v>210</v>
      </c>
      <c r="B133" s="13" t="s">
        <v>538</v>
      </c>
      <c r="C133" s="139">
        <v>46190</v>
      </c>
      <c r="D133" s="139" t="s">
        <v>516</v>
      </c>
      <c r="E133" s="28">
        <v>0.99338652000000005</v>
      </c>
      <c r="F133" s="13"/>
      <c r="G133" s="18">
        <v>11821171.93</v>
      </c>
      <c r="H133" s="18">
        <v>11742992.880000001</v>
      </c>
      <c r="I133" s="18">
        <v>11821171.93</v>
      </c>
      <c r="J133" s="18">
        <v>11742992.880000001</v>
      </c>
      <c r="K133" s="15">
        <v>1517</v>
      </c>
      <c r="L133" s="13" t="s">
        <v>102</v>
      </c>
      <c r="M133" s="13" t="s">
        <v>103</v>
      </c>
      <c r="N133" s="139" t="s">
        <v>231</v>
      </c>
      <c r="O133" s="139" t="s">
        <v>231</v>
      </c>
      <c r="P133" s="28">
        <v>27</v>
      </c>
      <c r="Q133" s="13" t="s">
        <v>54</v>
      </c>
      <c r="R133" s="13" t="s">
        <v>28</v>
      </c>
      <c r="S133" s="13"/>
      <c r="T133" s="13"/>
      <c r="U133" s="13" t="s">
        <v>682</v>
      </c>
      <c r="V133" s="13" t="s">
        <v>682</v>
      </c>
      <c r="W133" s="59">
        <f>+J133/$W$2</f>
        <v>2.6378765101145289E-4</v>
      </c>
    </row>
    <row r="134" spans="1:29">
      <c r="A134" s="13" t="s">
        <v>590</v>
      </c>
      <c r="B134" s="13" t="s">
        <v>538</v>
      </c>
      <c r="C134" s="139">
        <v>46190</v>
      </c>
      <c r="D134" s="139" t="s">
        <v>516</v>
      </c>
      <c r="E134" s="28">
        <v>0.98999163000000001</v>
      </c>
      <c r="F134" s="13"/>
      <c r="G134" s="18">
        <v>10918371.689999999</v>
      </c>
      <c r="H134" s="18">
        <v>10809096.619999999</v>
      </c>
      <c r="I134" s="18">
        <v>10918371.689999999</v>
      </c>
      <c r="J134" s="18">
        <v>10809096.619999999</v>
      </c>
      <c r="K134" s="15">
        <v>30456</v>
      </c>
      <c r="L134" s="13" t="s">
        <v>102</v>
      </c>
      <c r="M134" s="13" t="s">
        <v>103</v>
      </c>
      <c r="N134" s="139" t="s">
        <v>231</v>
      </c>
      <c r="O134" s="139" t="s">
        <v>231</v>
      </c>
      <c r="P134" s="28">
        <v>41</v>
      </c>
      <c r="Q134" s="13" t="s">
        <v>54</v>
      </c>
      <c r="R134" s="13" t="s">
        <v>28</v>
      </c>
      <c r="S134" s="13"/>
      <c r="T134" s="13"/>
      <c r="U134" s="13" t="s">
        <v>648</v>
      </c>
      <c r="V134" s="13" t="s">
        <v>648</v>
      </c>
      <c r="W134" s="59">
        <f>+J134/$W$2</f>
        <v>2.4280915743394668E-4</v>
      </c>
    </row>
    <row r="135" spans="1:29">
      <c r="A135" s="13" t="s">
        <v>145</v>
      </c>
      <c r="B135" s="13" t="s">
        <v>538</v>
      </c>
      <c r="C135" s="139">
        <v>46191</v>
      </c>
      <c r="D135" s="139" t="s">
        <v>516</v>
      </c>
      <c r="E135" s="28">
        <v>0.99023331999999997</v>
      </c>
      <c r="F135" s="13"/>
      <c r="G135" s="18">
        <v>5000000</v>
      </c>
      <c r="H135" s="18">
        <v>4951166.6100000003</v>
      </c>
      <c r="I135" s="18">
        <v>5000000</v>
      </c>
      <c r="J135" s="18">
        <v>4951166.6100000003</v>
      </c>
      <c r="K135" s="15">
        <v>13420539</v>
      </c>
      <c r="L135" s="13" t="s">
        <v>102</v>
      </c>
      <c r="M135" s="13" t="s">
        <v>103</v>
      </c>
      <c r="N135" s="139" t="s">
        <v>363</v>
      </c>
      <c r="O135" s="139" t="s">
        <v>363</v>
      </c>
      <c r="P135" s="28">
        <v>36</v>
      </c>
      <c r="Q135" s="13" t="s">
        <v>54</v>
      </c>
      <c r="R135" s="13" t="s">
        <v>28</v>
      </c>
      <c r="S135" s="13"/>
      <c r="T135" s="13"/>
      <c r="U135" s="13" t="s">
        <v>730</v>
      </c>
      <c r="V135" s="13" t="s">
        <v>730</v>
      </c>
      <c r="W135" s="59">
        <f>+J135/$W$2</f>
        <v>1.1122008019289869E-4</v>
      </c>
    </row>
    <row r="136" spans="1:29">
      <c r="A136" s="13" t="s">
        <v>550</v>
      </c>
      <c r="B136" s="13" t="s">
        <v>538</v>
      </c>
      <c r="C136" s="139">
        <v>46191</v>
      </c>
      <c r="D136" s="139" t="s">
        <v>516</v>
      </c>
      <c r="E136" s="28">
        <v>0.98915993000000002</v>
      </c>
      <c r="F136" s="13"/>
      <c r="G136" s="18">
        <v>40000000</v>
      </c>
      <c r="H136" s="18">
        <v>39566397.020000003</v>
      </c>
      <c r="I136" s="18">
        <v>40000000</v>
      </c>
      <c r="J136" s="18">
        <v>39566397.020000003</v>
      </c>
      <c r="K136" s="15">
        <v>227</v>
      </c>
      <c r="L136" s="13" t="s">
        <v>102</v>
      </c>
      <c r="M136" s="13" t="s">
        <v>103</v>
      </c>
      <c r="N136" s="139" t="s">
        <v>336</v>
      </c>
      <c r="O136" s="139" t="s">
        <v>336</v>
      </c>
      <c r="P136" s="28">
        <v>40</v>
      </c>
      <c r="Q136" s="13" t="s">
        <v>54</v>
      </c>
      <c r="R136" s="13" t="s">
        <v>28</v>
      </c>
      <c r="S136" s="13"/>
      <c r="T136" s="13"/>
      <c r="U136" s="13" t="s">
        <v>551</v>
      </c>
      <c r="V136" s="13" t="s">
        <v>551</v>
      </c>
      <c r="W136" s="59">
        <f>+J136/$W$2</f>
        <v>8.8879615576266543E-4</v>
      </c>
    </row>
    <row r="137" spans="1:29">
      <c r="A137" s="13" t="s">
        <v>194</v>
      </c>
      <c r="B137" s="13" t="s">
        <v>538</v>
      </c>
      <c r="C137" s="139">
        <v>46191</v>
      </c>
      <c r="D137" s="139" t="s">
        <v>516</v>
      </c>
      <c r="E137" s="28">
        <v>0.98889190000000005</v>
      </c>
      <c r="F137" s="13"/>
      <c r="G137" s="18">
        <v>127500000</v>
      </c>
      <c r="H137" s="18">
        <v>126083717.43000001</v>
      </c>
      <c r="I137" s="18">
        <v>127500000</v>
      </c>
      <c r="J137" s="18">
        <v>126083717.43000001</v>
      </c>
      <c r="K137" s="15">
        <v>70376446</v>
      </c>
      <c r="L137" s="13" t="s">
        <v>102</v>
      </c>
      <c r="M137" s="13" t="s">
        <v>103</v>
      </c>
      <c r="N137" s="139" t="s">
        <v>161</v>
      </c>
      <c r="O137" s="139" t="s">
        <v>161</v>
      </c>
      <c r="P137" s="28">
        <v>41</v>
      </c>
      <c r="Q137" s="13" t="s">
        <v>54</v>
      </c>
      <c r="R137" s="13" t="s">
        <v>28</v>
      </c>
      <c r="S137" s="13"/>
      <c r="T137" s="13"/>
      <c r="U137" s="13" t="s">
        <v>1280</v>
      </c>
      <c r="V137" s="13" t="s">
        <v>1280</v>
      </c>
      <c r="W137" s="59">
        <f>+J137/$W$2</f>
        <v>2.8322701028199448E-3</v>
      </c>
    </row>
    <row r="138" spans="1:29">
      <c r="A138" s="13" t="s">
        <v>194</v>
      </c>
      <c r="B138" s="13" t="s">
        <v>538</v>
      </c>
      <c r="C138" s="139">
        <v>46191</v>
      </c>
      <c r="D138" s="139" t="s">
        <v>516</v>
      </c>
      <c r="E138" s="28">
        <v>0.98889192000000004</v>
      </c>
      <c r="F138" s="13"/>
      <c r="G138" s="18">
        <v>128500000</v>
      </c>
      <c r="H138" s="18">
        <v>127072612.14</v>
      </c>
      <c r="I138" s="18">
        <v>128500000</v>
      </c>
      <c r="J138" s="18">
        <v>127072612.14</v>
      </c>
      <c r="K138" s="15">
        <v>70376447</v>
      </c>
      <c r="L138" s="13" t="s">
        <v>102</v>
      </c>
      <c r="M138" s="13" t="s">
        <v>103</v>
      </c>
      <c r="N138" s="139" t="s">
        <v>334</v>
      </c>
      <c r="O138" s="139" t="s">
        <v>334</v>
      </c>
      <c r="P138" s="28">
        <v>41</v>
      </c>
      <c r="Q138" s="13" t="s">
        <v>54</v>
      </c>
      <c r="R138" s="13" t="s">
        <v>28</v>
      </c>
      <c r="S138" s="13"/>
      <c r="T138" s="13"/>
      <c r="U138" s="13" t="s">
        <v>1281</v>
      </c>
      <c r="V138" s="13" t="s">
        <v>1281</v>
      </c>
      <c r="W138" s="59">
        <f>+J138/$W$2</f>
        <v>2.854484049069783E-3</v>
      </c>
    </row>
    <row r="139" spans="1:29">
      <c r="A139" s="13" t="s">
        <v>1494</v>
      </c>
      <c r="B139" s="13" t="s">
        <v>538</v>
      </c>
      <c r="C139" s="139">
        <v>46191</v>
      </c>
      <c r="D139" s="139" t="s">
        <v>516</v>
      </c>
      <c r="E139" s="28">
        <v>0.99130914000000003</v>
      </c>
      <c r="F139" s="13"/>
      <c r="G139" s="18">
        <v>6600000</v>
      </c>
      <c r="H139" s="18">
        <v>6542640.29</v>
      </c>
      <c r="I139" s="18">
        <v>6600000</v>
      </c>
      <c r="J139" s="18">
        <v>6542640.29</v>
      </c>
      <c r="K139" s="15">
        <v>13668412</v>
      </c>
      <c r="L139" s="13" t="s">
        <v>102</v>
      </c>
      <c r="M139" s="13" t="s">
        <v>103</v>
      </c>
      <c r="N139" s="139" t="s">
        <v>471</v>
      </c>
      <c r="O139" s="139" t="s">
        <v>471</v>
      </c>
      <c r="P139" s="28">
        <v>32</v>
      </c>
      <c r="Q139" s="13" t="s">
        <v>54</v>
      </c>
      <c r="R139" s="13" t="s">
        <v>28</v>
      </c>
      <c r="S139" s="13"/>
      <c r="T139" s="13"/>
      <c r="U139" s="13" t="s">
        <v>1547</v>
      </c>
      <c r="V139" s="13" t="s">
        <v>1547</v>
      </c>
      <c r="W139" s="59">
        <f>+J139/$W$2</f>
        <v>1.4697000425261186E-4</v>
      </c>
    </row>
    <row r="140" spans="1:29">
      <c r="A140" s="13" t="s">
        <v>1656</v>
      </c>
      <c r="B140" s="13" t="s">
        <v>538</v>
      </c>
      <c r="C140" s="139">
        <v>46191</v>
      </c>
      <c r="D140" s="139" t="s">
        <v>516</v>
      </c>
      <c r="E140" s="28">
        <v>0.98915998000000005</v>
      </c>
      <c r="F140" s="13"/>
      <c r="G140" s="18">
        <v>100000000</v>
      </c>
      <c r="H140" s="18">
        <v>98915997.900000006</v>
      </c>
      <c r="I140" s="18">
        <v>100000000</v>
      </c>
      <c r="J140" s="18">
        <v>98915997.900000006</v>
      </c>
      <c r="K140" s="15">
        <v>70233906</v>
      </c>
      <c r="L140" s="13" t="s">
        <v>102</v>
      </c>
      <c r="M140" s="13" t="s">
        <v>103</v>
      </c>
      <c r="N140" s="139" t="s">
        <v>371</v>
      </c>
      <c r="O140" s="139" t="s">
        <v>371</v>
      </c>
      <c r="P140" s="28">
        <v>40</v>
      </c>
      <c r="Q140" s="13" t="s">
        <v>54</v>
      </c>
      <c r="R140" s="13" t="s">
        <v>28</v>
      </c>
      <c r="S140" s="13"/>
      <c r="T140" s="13"/>
      <c r="U140" s="13" t="s">
        <v>1649</v>
      </c>
      <c r="V140" s="13" t="s">
        <v>1649</v>
      </c>
      <c r="W140" s="59">
        <f>+J140/$W$2</f>
        <v>2.2219905095859013E-3</v>
      </c>
    </row>
    <row r="141" spans="1:29">
      <c r="A141" s="13" t="s">
        <v>1657</v>
      </c>
      <c r="B141" s="13" t="s">
        <v>538</v>
      </c>
      <c r="C141" s="139">
        <v>46191</v>
      </c>
      <c r="D141" s="139" t="s">
        <v>516</v>
      </c>
      <c r="E141" s="28">
        <v>0.99157843999999995</v>
      </c>
      <c r="F141" s="13"/>
      <c r="G141" s="18">
        <v>2300554.7599999998</v>
      </c>
      <c r="H141" s="18">
        <v>2281180.5</v>
      </c>
      <c r="I141" s="18">
        <v>2300554.7599999998</v>
      </c>
      <c r="J141" s="18">
        <v>2281180.5</v>
      </c>
      <c r="K141" s="15">
        <v>53323064</v>
      </c>
      <c r="L141" s="13" t="s">
        <v>102</v>
      </c>
      <c r="M141" s="13" t="s">
        <v>103</v>
      </c>
      <c r="N141" s="139" t="s">
        <v>371</v>
      </c>
      <c r="O141" s="139" t="s">
        <v>371</v>
      </c>
      <c r="P141" s="28">
        <v>31</v>
      </c>
      <c r="Q141" s="13" t="s">
        <v>54</v>
      </c>
      <c r="R141" s="13" t="s">
        <v>28</v>
      </c>
      <c r="S141" s="13"/>
      <c r="T141" s="13"/>
      <c r="U141" s="13" t="s">
        <v>1655</v>
      </c>
      <c r="V141" s="13" t="s">
        <v>1655</v>
      </c>
      <c r="W141" s="59">
        <f>+J141/$W$2</f>
        <v>5.1243090392483623E-5</v>
      </c>
    </row>
    <row r="142" spans="1:29">
      <c r="A142" s="13" t="s">
        <v>751</v>
      </c>
      <c r="B142" s="13" t="s">
        <v>538</v>
      </c>
      <c r="C142" s="139">
        <v>46191</v>
      </c>
      <c r="D142" s="139" t="s">
        <v>516</v>
      </c>
      <c r="E142" s="28">
        <v>0.99130910999999999</v>
      </c>
      <c r="F142" s="13"/>
      <c r="G142" s="18">
        <v>2131442.7999999998</v>
      </c>
      <c r="H142" s="18">
        <v>2112918.67</v>
      </c>
      <c r="I142" s="18">
        <v>2131442.7999999998</v>
      </c>
      <c r="J142" s="18">
        <v>2112918.67</v>
      </c>
      <c r="K142" s="15">
        <v>9888</v>
      </c>
      <c r="L142" s="13" t="s">
        <v>102</v>
      </c>
      <c r="M142" s="13" t="s">
        <v>103</v>
      </c>
      <c r="N142" s="139" t="s">
        <v>379</v>
      </c>
      <c r="O142" s="139" t="s">
        <v>379</v>
      </c>
      <c r="P142" s="28">
        <v>32</v>
      </c>
      <c r="Q142" s="13" t="s">
        <v>54</v>
      </c>
      <c r="R142" s="13" t="s">
        <v>28</v>
      </c>
      <c r="S142" s="13"/>
      <c r="T142" s="13"/>
      <c r="U142" s="13" t="s">
        <v>1387</v>
      </c>
      <c r="V142" s="13" t="s">
        <v>1387</v>
      </c>
      <c r="W142" s="59">
        <f>+J142/$W$2</f>
        <v>4.7463356099517891E-5</v>
      </c>
    </row>
    <row r="143" spans="1:29">
      <c r="A143" s="13" t="s">
        <v>917</v>
      </c>
      <c r="B143" s="13" t="s">
        <v>538</v>
      </c>
      <c r="C143" s="139">
        <v>46191</v>
      </c>
      <c r="D143" s="139" t="s">
        <v>516</v>
      </c>
      <c r="E143" s="28">
        <v>0.98969633999999995</v>
      </c>
      <c r="F143" s="13"/>
      <c r="G143" s="18">
        <v>4599318.34</v>
      </c>
      <c r="H143" s="18">
        <v>4551928.51</v>
      </c>
      <c r="I143" s="18">
        <v>4599318.34</v>
      </c>
      <c r="J143" s="18">
        <v>4551928.51</v>
      </c>
      <c r="K143" s="15">
        <v>568</v>
      </c>
      <c r="L143" s="13" t="s">
        <v>102</v>
      </c>
      <c r="M143" s="13" t="s">
        <v>103</v>
      </c>
      <c r="N143" s="139" t="s">
        <v>344</v>
      </c>
      <c r="O143" s="139" t="s">
        <v>344</v>
      </c>
      <c r="P143" s="28">
        <v>38</v>
      </c>
      <c r="Q143" s="13" t="s">
        <v>54</v>
      </c>
      <c r="R143" s="13" t="s">
        <v>28</v>
      </c>
      <c r="S143" s="13"/>
      <c r="T143" s="13"/>
      <c r="U143" s="13" t="s">
        <v>1138</v>
      </c>
      <c r="V143" s="13" t="s">
        <v>1138</v>
      </c>
      <c r="W143" s="59">
        <f>+J143/$W$2</f>
        <v>1.0225183149604044E-4</v>
      </c>
    </row>
    <row r="144" spans="1:29">
      <c r="A144" s="13" t="s">
        <v>920</v>
      </c>
      <c r="B144" s="13" t="s">
        <v>538</v>
      </c>
      <c r="C144" s="139">
        <v>46191</v>
      </c>
      <c r="D144" s="139" t="s">
        <v>516</v>
      </c>
      <c r="E144" s="28">
        <v>0.98969633999999995</v>
      </c>
      <c r="F144" s="13"/>
      <c r="G144" s="18">
        <v>6110818.4299999997</v>
      </c>
      <c r="H144" s="18">
        <v>6047854.6100000003</v>
      </c>
      <c r="I144" s="18">
        <v>6110818.4299999997</v>
      </c>
      <c r="J144" s="18">
        <v>6047854.6100000003</v>
      </c>
      <c r="K144" s="15">
        <v>90000065</v>
      </c>
      <c r="L144" s="13" t="s">
        <v>102</v>
      </c>
      <c r="M144" s="13" t="s">
        <v>103</v>
      </c>
      <c r="N144" s="139" t="s">
        <v>344</v>
      </c>
      <c r="O144" s="139" t="s">
        <v>344</v>
      </c>
      <c r="P144" s="28">
        <v>38</v>
      </c>
      <c r="Q144" s="13" t="s">
        <v>54</v>
      </c>
      <c r="R144" s="13" t="s">
        <v>28</v>
      </c>
      <c r="S144" s="13"/>
      <c r="T144" s="13"/>
      <c r="U144" s="13" t="s">
        <v>1145</v>
      </c>
      <c r="V144" s="13" t="s">
        <v>1145</v>
      </c>
      <c r="W144" s="59">
        <f>+J144/$W$2</f>
        <v>1.3585543119486987E-4</v>
      </c>
      <c r="AC144" s="56"/>
    </row>
    <row r="145" spans="1:29">
      <c r="A145" s="13" t="s">
        <v>921</v>
      </c>
      <c r="B145" s="13" t="s">
        <v>538</v>
      </c>
      <c r="C145" s="139">
        <v>46191</v>
      </c>
      <c r="D145" s="139" t="s">
        <v>516</v>
      </c>
      <c r="E145" s="28">
        <v>0.98969631000000002</v>
      </c>
      <c r="F145" s="13"/>
      <c r="G145" s="18">
        <v>3519950.15</v>
      </c>
      <c r="H145" s="18">
        <v>3483681.69</v>
      </c>
      <c r="I145" s="18">
        <v>3519950.15</v>
      </c>
      <c r="J145" s="18">
        <v>3483681.69</v>
      </c>
      <c r="K145" s="15">
        <v>90000184</v>
      </c>
      <c r="L145" s="13" t="s">
        <v>102</v>
      </c>
      <c r="M145" s="13" t="s">
        <v>103</v>
      </c>
      <c r="N145" s="139" t="s">
        <v>378</v>
      </c>
      <c r="O145" s="139" t="s">
        <v>378</v>
      </c>
      <c r="P145" s="28">
        <v>38</v>
      </c>
      <c r="Q145" s="13" t="s">
        <v>54</v>
      </c>
      <c r="R145" s="13" t="s">
        <v>28</v>
      </c>
      <c r="S145" s="13"/>
      <c r="T145" s="13"/>
      <c r="U145" s="13" t="s">
        <v>866</v>
      </c>
      <c r="V145" s="13" t="s">
        <v>866</v>
      </c>
      <c r="W145" s="59">
        <f>+J145/$W$2</f>
        <v>7.8255366350584758E-5</v>
      </c>
    </row>
    <row r="146" spans="1:29">
      <c r="A146" s="13" t="s">
        <v>1165</v>
      </c>
      <c r="B146" s="13" t="s">
        <v>538</v>
      </c>
      <c r="C146" s="139">
        <v>46191</v>
      </c>
      <c r="D146" s="139" t="s">
        <v>516</v>
      </c>
      <c r="E146" s="28">
        <v>0.98969633999999995</v>
      </c>
      <c r="F146" s="13"/>
      <c r="G146" s="18">
        <v>3926635</v>
      </c>
      <c r="H146" s="18">
        <v>3886176.28</v>
      </c>
      <c r="I146" s="18">
        <v>3926635</v>
      </c>
      <c r="J146" s="18">
        <v>3886176.28</v>
      </c>
      <c r="K146" s="15">
        <v>79398445</v>
      </c>
      <c r="L146" s="13" t="s">
        <v>102</v>
      </c>
      <c r="M146" s="13" t="s">
        <v>103</v>
      </c>
      <c r="N146" s="139" t="s">
        <v>344</v>
      </c>
      <c r="O146" s="139" t="s">
        <v>344</v>
      </c>
      <c r="P146" s="28">
        <v>38</v>
      </c>
      <c r="Q146" s="13" t="s">
        <v>54</v>
      </c>
      <c r="R146" s="13" t="s">
        <v>28</v>
      </c>
      <c r="S146" s="13"/>
      <c r="T146" s="13"/>
      <c r="U146" s="13" t="s">
        <v>1130</v>
      </c>
      <c r="V146" s="13" t="s">
        <v>1130</v>
      </c>
      <c r="W146" s="59">
        <f>+J146/$W$2</f>
        <v>8.7296766913957821E-5</v>
      </c>
    </row>
    <row r="147" spans="1:29">
      <c r="A147" s="13" t="s">
        <v>447</v>
      </c>
      <c r="B147" s="13" t="s">
        <v>538</v>
      </c>
      <c r="C147" s="139">
        <v>46191</v>
      </c>
      <c r="D147" s="139" t="s">
        <v>516</v>
      </c>
      <c r="E147" s="28">
        <v>0.98835636000000004</v>
      </c>
      <c r="F147" s="13"/>
      <c r="G147" s="18">
        <v>300000000</v>
      </c>
      <c r="H147" s="18">
        <v>296506908.48000002</v>
      </c>
      <c r="I147" s="18">
        <v>300000000</v>
      </c>
      <c r="J147" s="18">
        <v>296506908.48000002</v>
      </c>
      <c r="K147" s="15">
        <v>9564811</v>
      </c>
      <c r="L147" s="13" t="s">
        <v>102</v>
      </c>
      <c r="M147" s="13" t="s">
        <v>103</v>
      </c>
      <c r="N147" s="139" t="s">
        <v>260</v>
      </c>
      <c r="O147" s="139" t="s">
        <v>260</v>
      </c>
      <c r="P147" s="28">
        <v>43</v>
      </c>
      <c r="Q147" s="13" t="s">
        <v>54</v>
      </c>
      <c r="R147" s="13" t="s">
        <v>28</v>
      </c>
      <c r="S147" s="13"/>
      <c r="T147" s="13"/>
      <c r="U147" s="13" t="s">
        <v>461</v>
      </c>
      <c r="V147" s="13" t="s">
        <v>461</v>
      </c>
      <c r="W147" s="59">
        <f>+J147/$W$2</f>
        <v>6.6605559328762063E-3</v>
      </c>
    </row>
    <row r="148" spans="1:29">
      <c r="A148" s="13" t="s">
        <v>447</v>
      </c>
      <c r="B148" s="13" t="s">
        <v>538</v>
      </c>
      <c r="C148" s="139">
        <v>46191</v>
      </c>
      <c r="D148" s="139" t="s">
        <v>516</v>
      </c>
      <c r="E148" s="28">
        <v>0.98835636000000004</v>
      </c>
      <c r="F148" s="13"/>
      <c r="G148" s="18">
        <v>300000000</v>
      </c>
      <c r="H148" s="18">
        <v>296506908.48000002</v>
      </c>
      <c r="I148" s="18">
        <v>300000000</v>
      </c>
      <c r="J148" s="18">
        <v>296506908.48000002</v>
      </c>
      <c r="K148" s="15">
        <v>9564812</v>
      </c>
      <c r="L148" s="13" t="s">
        <v>102</v>
      </c>
      <c r="M148" s="13" t="s">
        <v>103</v>
      </c>
      <c r="N148" s="139" t="s">
        <v>260</v>
      </c>
      <c r="O148" s="139" t="s">
        <v>260</v>
      </c>
      <c r="P148" s="28">
        <v>43</v>
      </c>
      <c r="Q148" s="13" t="s">
        <v>54</v>
      </c>
      <c r="R148" s="13" t="s">
        <v>28</v>
      </c>
      <c r="S148" s="13"/>
      <c r="T148" s="13"/>
      <c r="U148" s="13" t="s">
        <v>462</v>
      </c>
      <c r="V148" s="13" t="s">
        <v>462</v>
      </c>
      <c r="W148" s="59">
        <f>+J148/$W$2</f>
        <v>6.6605559328762063E-3</v>
      </c>
    </row>
    <row r="149" spans="1:29">
      <c r="A149" s="13" t="s">
        <v>539</v>
      </c>
      <c r="B149" s="13" t="s">
        <v>538</v>
      </c>
      <c r="C149" s="139">
        <v>46191</v>
      </c>
      <c r="D149" s="139" t="s">
        <v>516</v>
      </c>
      <c r="E149" s="28">
        <v>0.9918479</v>
      </c>
      <c r="F149" s="13"/>
      <c r="G149" s="18">
        <v>10000000</v>
      </c>
      <c r="H149" s="18">
        <v>9918479.0299999993</v>
      </c>
      <c r="I149" s="18">
        <v>10000000</v>
      </c>
      <c r="J149" s="18">
        <v>9918479.0299999993</v>
      </c>
      <c r="K149" s="15">
        <v>515</v>
      </c>
      <c r="L149" s="13" t="s">
        <v>102</v>
      </c>
      <c r="M149" s="13" t="s">
        <v>103</v>
      </c>
      <c r="N149" s="139" t="s">
        <v>163</v>
      </c>
      <c r="O149" s="139" t="s">
        <v>163</v>
      </c>
      <c r="P149" s="28">
        <v>30</v>
      </c>
      <c r="Q149" s="13" t="s">
        <v>54</v>
      </c>
      <c r="R149" s="13" t="s">
        <v>28</v>
      </c>
      <c r="S149" s="13"/>
      <c r="T149" s="13"/>
      <c r="U149" s="13" t="s">
        <v>1588</v>
      </c>
      <c r="V149" s="13" t="s">
        <v>1588</v>
      </c>
      <c r="W149" s="59">
        <f>+J149/$W$2</f>
        <v>2.228028503181766E-4</v>
      </c>
    </row>
    <row r="150" spans="1:29">
      <c r="A150" s="13" t="s">
        <v>693</v>
      </c>
      <c r="B150" s="13" t="s">
        <v>538</v>
      </c>
      <c r="C150" s="139">
        <v>46191</v>
      </c>
      <c r="D150" s="139" t="s">
        <v>516</v>
      </c>
      <c r="E150" s="28">
        <v>0.98889194000000002</v>
      </c>
      <c r="F150" s="13"/>
      <c r="G150" s="18">
        <v>2000000</v>
      </c>
      <c r="H150" s="18">
        <v>1977783.87</v>
      </c>
      <c r="I150" s="18">
        <v>2000000</v>
      </c>
      <c r="J150" s="18">
        <v>1977783.87</v>
      </c>
      <c r="K150" s="15">
        <v>12384443</v>
      </c>
      <c r="L150" s="13" t="s">
        <v>102</v>
      </c>
      <c r="M150" s="13" t="s">
        <v>103</v>
      </c>
      <c r="N150" s="139" t="s">
        <v>231</v>
      </c>
      <c r="O150" s="139" t="s">
        <v>231</v>
      </c>
      <c r="P150" s="28">
        <v>41</v>
      </c>
      <c r="Q150" s="13" t="s">
        <v>54</v>
      </c>
      <c r="R150" s="13" t="s">
        <v>28</v>
      </c>
      <c r="S150" s="13"/>
      <c r="T150" s="13"/>
      <c r="U150" s="13" t="s">
        <v>671</v>
      </c>
      <c r="V150" s="13" t="s">
        <v>671</v>
      </c>
      <c r="W150" s="59">
        <f>+J150/$W$2</f>
        <v>4.4427767827756766E-5</v>
      </c>
    </row>
    <row r="151" spans="1:29">
      <c r="A151" s="13" t="s">
        <v>247</v>
      </c>
      <c r="B151" s="13" t="s">
        <v>538</v>
      </c>
      <c r="C151" s="139">
        <v>46191</v>
      </c>
      <c r="D151" s="139" t="s">
        <v>516</v>
      </c>
      <c r="E151" s="28">
        <v>0.98915989999999998</v>
      </c>
      <c r="F151" s="13"/>
      <c r="G151" s="18">
        <v>3800000</v>
      </c>
      <c r="H151" s="18">
        <v>3758807.64</v>
      </c>
      <c r="I151" s="18">
        <v>3800000</v>
      </c>
      <c r="J151" s="18">
        <v>3758807.64</v>
      </c>
      <c r="K151" s="15">
        <v>1017</v>
      </c>
      <c r="L151" s="13" t="s">
        <v>102</v>
      </c>
      <c r="M151" s="13" t="s">
        <v>103</v>
      </c>
      <c r="N151" s="139" t="s">
        <v>266</v>
      </c>
      <c r="O151" s="139" t="s">
        <v>266</v>
      </c>
      <c r="P151" s="28">
        <v>40</v>
      </c>
      <c r="Q151" s="13" t="s">
        <v>54</v>
      </c>
      <c r="R151" s="13" t="s">
        <v>28</v>
      </c>
      <c r="S151" s="13"/>
      <c r="T151" s="13"/>
      <c r="U151" s="13" t="s">
        <v>501</v>
      </c>
      <c r="V151" s="13" t="s">
        <v>501</v>
      </c>
      <c r="W151" s="59">
        <f>+J151/$W$2</f>
        <v>8.4435633070017063E-5</v>
      </c>
      <c r="AC151" s="56"/>
    </row>
    <row r="152" spans="1:29">
      <c r="A152" s="13" t="s">
        <v>148</v>
      </c>
      <c r="B152" s="13" t="s">
        <v>538</v>
      </c>
      <c r="C152" s="139">
        <v>46191</v>
      </c>
      <c r="D152" s="139" t="s">
        <v>516</v>
      </c>
      <c r="E152" s="28">
        <v>0.98755413999999997</v>
      </c>
      <c r="F152" s="13"/>
      <c r="G152" s="18">
        <v>20000000</v>
      </c>
      <c r="H152" s="18">
        <v>19751082.780000001</v>
      </c>
      <c r="I152" s="18">
        <v>20000000</v>
      </c>
      <c r="J152" s="18">
        <v>19751082.780000001</v>
      </c>
      <c r="K152" s="15">
        <v>3981</v>
      </c>
      <c r="L152" s="13" t="s">
        <v>102</v>
      </c>
      <c r="M152" s="13" t="s">
        <v>103</v>
      </c>
      <c r="N152" s="139" t="s">
        <v>242</v>
      </c>
      <c r="O152" s="139" t="s">
        <v>242</v>
      </c>
      <c r="P152" s="28">
        <v>46</v>
      </c>
      <c r="Q152" s="13" t="s">
        <v>54</v>
      </c>
      <c r="R152" s="13" t="s">
        <v>28</v>
      </c>
      <c r="S152" s="13"/>
      <c r="T152" s="13"/>
      <c r="U152" s="13" t="s">
        <v>511</v>
      </c>
      <c r="V152" s="13" t="s">
        <v>511</v>
      </c>
      <c r="W152" s="59">
        <f>+J152/$W$2</f>
        <v>4.4367664910556915E-4</v>
      </c>
    </row>
    <row r="153" spans="1:29">
      <c r="A153" s="13" t="s">
        <v>694</v>
      </c>
      <c r="B153" s="13" t="s">
        <v>538</v>
      </c>
      <c r="C153" s="139">
        <v>46191</v>
      </c>
      <c r="D153" s="139" t="s">
        <v>516</v>
      </c>
      <c r="E153" s="28">
        <v>0.98889194000000002</v>
      </c>
      <c r="F153" s="13"/>
      <c r="G153" s="18">
        <v>1149527</v>
      </c>
      <c r="H153" s="18">
        <v>1136757.98</v>
      </c>
      <c r="I153" s="18">
        <v>1149527</v>
      </c>
      <c r="J153" s="18">
        <v>1136757.98</v>
      </c>
      <c r="K153" s="15">
        <v>9939</v>
      </c>
      <c r="L153" s="13" t="s">
        <v>102</v>
      </c>
      <c r="M153" s="13" t="s">
        <v>103</v>
      </c>
      <c r="N153" s="139" t="s">
        <v>231</v>
      </c>
      <c r="O153" s="139" t="s">
        <v>231</v>
      </c>
      <c r="P153" s="28">
        <v>41</v>
      </c>
      <c r="Q153" s="13" t="s">
        <v>54</v>
      </c>
      <c r="R153" s="13" t="s">
        <v>28</v>
      </c>
      <c r="S153" s="13"/>
      <c r="T153" s="13"/>
      <c r="U153" s="13" t="s">
        <v>674</v>
      </c>
      <c r="V153" s="13" t="s">
        <v>674</v>
      </c>
      <c r="W153" s="59">
        <f>+J153/$W$2</f>
        <v>2.5535459348138867E-5</v>
      </c>
    </row>
    <row r="154" spans="1:29">
      <c r="A154" s="13" t="s">
        <v>339</v>
      </c>
      <c r="B154" s="13" t="s">
        <v>538</v>
      </c>
      <c r="C154" s="139">
        <v>46191</v>
      </c>
      <c r="D154" s="139" t="s">
        <v>516</v>
      </c>
      <c r="E154" s="28">
        <v>0.99050207000000001</v>
      </c>
      <c r="F154" s="13"/>
      <c r="G154" s="18">
        <v>5000000</v>
      </c>
      <c r="H154" s="18">
        <v>4952510.33</v>
      </c>
      <c r="I154" s="18">
        <v>5000000</v>
      </c>
      <c r="J154" s="18">
        <v>4952510.33</v>
      </c>
      <c r="K154" s="15">
        <v>90000053</v>
      </c>
      <c r="L154" s="13" t="s">
        <v>102</v>
      </c>
      <c r="M154" s="13" t="s">
        <v>103</v>
      </c>
      <c r="N154" s="139" t="s">
        <v>244</v>
      </c>
      <c r="O154" s="139" t="s">
        <v>244</v>
      </c>
      <c r="P154" s="28">
        <v>35</v>
      </c>
      <c r="Q154" s="13" t="s">
        <v>54</v>
      </c>
      <c r="R154" s="13" t="s">
        <v>28</v>
      </c>
      <c r="S154" s="13"/>
      <c r="T154" s="13"/>
      <c r="U154" s="13" t="s">
        <v>519</v>
      </c>
      <c r="V154" s="13" t="s">
        <v>519</v>
      </c>
      <c r="W154" s="59">
        <f>+J154/$W$2</f>
        <v>1.1125026472473305E-4</v>
      </c>
    </row>
    <row r="155" spans="1:29">
      <c r="A155" s="13" t="s">
        <v>338</v>
      </c>
      <c r="B155" s="13" t="s">
        <v>538</v>
      </c>
      <c r="C155" s="139">
        <v>46191</v>
      </c>
      <c r="D155" s="139" t="s">
        <v>516</v>
      </c>
      <c r="E155" s="28">
        <v>0.99184786999999996</v>
      </c>
      <c r="F155" s="13"/>
      <c r="G155" s="18">
        <v>17302222</v>
      </c>
      <c r="H155" s="18">
        <v>17161172</v>
      </c>
      <c r="I155" s="18">
        <v>17302222</v>
      </c>
      <c r="J155" s="18">
        <v>17161172</v>
      </c>
      <c r="K155" s="15">
        <v>1532</v>
      </c>
      <c r="L155" s="13" t="s">
        <v>102</v>
      </c>
      <c r="M155" s="13" t="s">
        <v>103</v>
      </c>
      <c r="N155" s="139" t="s">
        <v>428</v>
      </c>
      <c r="O155" s="139" t="s">
        <v>428</v>
      </c>
      <c r="P155" s="28">
        <v>30</v>
      </c>
      <c r="Q155" s="13" t="s">
        <v>54</v>
      </c>
      <c r="R155" s="13" t="s">
        <v>28</v>
      </c>
      <c r="S155" s="13"/>
      <c r="T155" s="13"/>
      <c r="U155" s="13" t="s">
        <v>965</v>
      </c>
      <c r="V155" s="13" t="s">
        <v>965</v>
      </c>
      <c r="W155" s="59">
        <f>+J155/$W$2</f>
        <v>3.8549842418737095E-4</v>
      </c>
    </row>
    <row r="156" spans="1:29">
      <c r="A156" s="13" t="s">
        <v>338</v>
      </c>
      <c r="B156" s="13" t="s">
        <v>538</v>
      </c>
      <c r="C156" s="139">
        <v>46191</v>
      </c>
      <c r="D156" s="139" t="s">
        <v>516</v>
      </c>
      <c r="E156" s="28">
        <v>0.99211746000000001</v>
      </c>
      <c r="F156" s="13"/>
      <c r="G156" s="18">
        <v>40000000</v>
      </c>
      <c r="H156" s="18">
        <v>39684698.549999997</v>
      </c>
      <c r="I156" s="18">
        <v>40000000</v>
      </c>
      <c r="J156" s="18">
        <v>39684698.549999997</v>
      </c>
      <c r="K156" s="15">
        <v>90041866</v>
      </c>
      <c r="L156" s="13" t="s">
        <v>102</v>
      </c>
      <c r="M156" s="13" t="s">
        <v>103</v>
      </c>
      <c r="N156" s="139" t="s">
        <v>428</v>
      </c>
      <c r="O156" s="139" t="s">
        <v>428</v>
      </c>
      <c r="P156" s="28">
        <v>29</v>
      </c>
      <c r="Q156" s="13" t="s">
        <v>54</v>
      </c>
      <c r="R156" s="13" t="s">
        <v>28</v>
      </c>
      <c r="S156" s="13"/>
      <c r="T156" s="13"/>
      <c r="U156" s="13" t="s">
        <v>941</v>
      </c>
      <c r="V156" s="13" t="s">
        <v>941</v>
      </c>
      <c r="W156" s="59">
        <f>+J156/$W$2</f>
        <v>8.9145361140695084E-4</v>
      </c>
    </row>
    <row r="157" spans="1:29">
      <c r="A157" s="13" t="s">
        <v>993</v>
      </c>
      <c r="B157" s="13" t="s">
        <v>538</v>
      </c>
      <c r="C157" s="139">
        <v>46191</v>
      </c>
      <c r="D157" s="139" t="s">
        <v>516</v>
      </c>
      <c r="E157" s="28">
        <v>0.99265709000000002</v>
      </c>
      <c r="F157" s="13"/>
      <c r="G157" s="18">
        <v>15200000</v>
      </c>
      <c r="H157" s="18">
        <v>15088387.75</v>
      </c>
      <c r="I157" s="18">
        <v>15200000</v>
      </c>
      <c r="J157" s="18">
        <v>15088387.75</v>
      </c>
      <c r="K157" s="15">
        <v>2601</v>
      </c>
      <c r="L157" s="13" t="s">
        <v>102</v>
      </c>
      <c r="M157" s="13" t="s">
        <v>103</v>
      </c>
      <c r="N157" s="139" t="s">
        <v>359</v>
      </c>
      <c r="O157" s="139" t="s">
        <v>359</v>
      </c>
      <c r="P157" s="28">
        <v>27</v>
      </c>
      <c r="Q157" s="13" t="s">
        <v>54</v>
      </c>
      <c r="R157" s="13" t="s">
        <v>28</v>
      </c>
      <c r="S157" s="13"/>
      <c r="T157" s="13"/>
      <c r="U157" s="13" t="s">
        <v>1323</v>
      </c>
      <c r="V157" s="13" t="s">
        <v>1323</v>
      </c>
      <c r="W157" s="59">
        <f>+J157/$W$2</f>
        <v>3.3893662397609158E-4</v>
      </c>
    </row>
    <row r="158" spans="1:29">
      <c r="A158" s="13" t="s">
        <v>313</v>
      </c>
      <c r="B158" s="13" t="s">
        <v>538</v>
      </c>
      <c r="C158" s="139">
        <v>46191</v>
      </c>
      <c r="D158" s="139" t="s">
        <v>516</v>
      </c>
      <c r="E158" s="28">
        <v>0.98969633999999995</v>
      </c>
      <c r="F158" s="13"/>
      <c r="G158" s="18">
        <v>5450000</v>
      </c>
      <c r="H158" s="18">
        <v>5393845.0599999996</v>
      </c>
      <c r="I158" s="18">
        <v>5450000</v>
      </c>
      <c r="J158" s="18">
        <v>5393845.0599999996</v>
      </c>
      <c r="K158" s="15">
        <v>28513</v>
      </c>
      <c r="L158" s="13" t="s">
        <v>102</v>
      </c>
      <c r="M158" s="13" t="s">
        <v>103</v>
      </c>
      <c r="N158" s="139" t="s">
        <v>319</v>
      </c>
      <c r="O158" s="139" t="s">
        <v>319</v>
      </c>
      <c r="P158" s="28">
        <v>38</v>
      </c>
      <c r="Q158" s="13" t="s">
        <v>54</v>
      </c>
      <c r="R158" s="13" t="s">
        <v>28</v>
      </c>
      <c r="S158" s="13"/>
      <c r="T158" s="13"/>
      <c r="U158" s="13" t="s">
        <v>712</v>
      </c>
      <c r="V158" s="13" t="s">
        <v>712</v>
      </c>
      <c r="W158" s="59">
        <f>+J158/$W$2</f>
        <v>1.2116414723544728E-4</v>
      </c>
    </row>
    <row r="159" spans="1:29">
      <c r="A159" s="13" t="s">
        <v>993</v>
      </c>
      <c r="B159" s="13" t="s">
        <v>538</v>
      </c>
      <c r="C159" s="139">
        <v>46191</v>
      </c>
      <c r="D159" s="139" t="s">
        <v>516</v>
      </c>
      <c r="E159" s="28">
        <v>0.99211742000000003</v>
      </c>
      <c r="F159" s="13"/>
      <c r="G159" s="18">
        <v>50000000</v>
      </c>
      <c r="H159" s="18">
        <v>49605871.240000002</v>
      </c>
      <c r="I159" s="18">
        <v>50000000</v>
      </c>
      <c r="J159" s="18">
        <v>49605871.240000002</v>
      </c>
      <c r="K159" s="15">
        <v>147631</v>
      </c>
      <c r="L159" s="13" t="s">
        <v>102</v>
      </c>
      <c r="M159" s="13" t="s">
        <v>103</v>
      </c>
      <c r="N159" s="139" t="s">
        <v>161</v>
      </c>
      <c r="O159" s="139" t="s">
        <v>161</v>
      </c>
      <c r="P159" s="28">
        <v>29</v>
      </c>
      <c r="Q159" s="13" t="s">
        <v>54</v>
      </c>
      <c r="R159" s="13" t="s">
        <v>28</v>
      </c>
      <c r="S159" s="13"/>
      <c r="T159" s="13"/>
      <c r="U159" s="13" t="s">
        <v>1277</v>
      </c>
      <c r="V159" s="13" t="s">
        <v>1277</v>
      </c>
      <c r="W159" s="59">
        <f>+J159/$W$2</f>
        <v>1.1143169705111998E-3</v>
      </c>
      <c r="AC159" s="56"/>
    </row>
    <row r="160" spans="1:29">
      <c r="A160" s="13" t="s">
        <v>339</v>
      </c>
      <c r="B160" s="13" t="s">
        <v>538</v>
      </c>
      <c r="C160" s="139">
        <v>46191</v>
      </c>
      <c r="D160" s="139" t="s">
        <v>516</v>
      </c>
      <c r="E160" s="28">
        <v>0.99211746000000001</v>
      </c>
      <c r="F160" s="13"/>
      <c r="G160" s="18">
        <v>4166666.66</v>
      </c>
      <c r="H160" s="18">
        <v>4133822.73</v>
      </c>
      <c r="I160" s="18">
        <v>4166666.66</v>
      </c>
      <c r="J160" s="18">
        <v>4133822.73</v>
      </c>
      <c r="K160" s="15">
        <v>13567712</v>
      </c>
      <c r="L160" s="13" t="s">
        <v>102</v>
      </c>
      <c r="M160" s="13" t="s">
        <v>103</v>
      </c>
      <c r="N160" s="139" t="s">
        <v>359</v>
      </c>
      <c r="O160" s="139" t="s">
        <v>359</v>
      </c>
      <c r="P160" s="28">
        <v>29</v>
      </c>
      <c r="Q160" s="13" t="s">
        <v>54</v>
      </c>
      <c r="R160" s="13" t="s">
        <v>28</v>
      </c>
      <c r="S160" s="13"/>
      <c r="T160" s="13"/>
      <c r="U160" s="13" t="s">
        <v>1339</v>
      </c>
      <c r="V160" s="13" t="s">
        <v>1339</v>
      </c>
      <c r="W160" s="59">
        <f>+J160/$W$2</f>
        <v>9.2859750387965103E-5</v>
      </c>
    </row>
    <row r="161" spans="1:29">
      <c r="A161" s="13" t="s">
        <v>380</v>
      </c>
      <c r="B161" s="13" t="s">
        <v>538</v>
      </c>
      <c r="C161" s="139">
        <v>46191</v>
      </c>
      <c r="D161" s="139" t="s">
        <v>516</v>
      </c>
      <c r="E161" s="28">
        <v>0.99023335999999995</v>
      </c>
      <c r="F161" s="13"/>
      <c r="G161" s="18">
        <v>16400000</v>
      </c>
      <c r="H161" s="18">
        <v>16239827.039999999</v>
      </c>
      <c r="I161" s="18">
        <v>16400000</v>
      </c>
      <c r="J161" s="18">
        <v>16239827.039999999</v>
      </c>
      <c r="K161" s="15">
        <v>95826365</v>
      </c>
      <c r="L161" s="13" t="s">
        <v>102</v>
      </c>
      <c r="M161" s="13" t="s">
        <v>103</v>
      </c>
      <c r="N161" s="139" t="s">
        <v>364</v>
      </c>
      <c r="O161" s="139" t="s">
        <v>364</v>
      </c>
      <c r="P161" s="28">
        <v>36</v>
      </c>
      <c r="Q161" s="13" t="s">
        <v>54</v>
      </c>
      <c r="R161" s="13" t="s">
        <v>28</v>
      </c>
      <c r="S161" s="13"/>
      <c r="T161" s="13"/>
      <c r="U161" s="13" t="s">
        <v>792</v>
      </c>
      <c r="V161" s="13" t="s">
        <v>792</v>
      </c>
      <c r="W161" s="59">
        <f>+J161/$W$2</f>
        <v>3.6480187559424592E-4</v>
      </c>
    </row>
    <row r="162" spans="1:29">
      <c r="A162" s="13" t="s">
        <v>426</v>
      </c>
      <c r="B162" s="13" t="s">
        <v>538</v>
      </c>
      <c r="C162" s="139">
        <v>46191</v>
      </c>
      <c r="D162" s="139" t="s">
        <v>516</v>
      </c>
      <c r="E162" s="28">
        <v>0.98835638000000003</v>
      </c>
      <c r="F162" s="13"/>
      <c r="G162" s="18">
        <v>3500000</v>
      </c>
      <c r="H162" s="18">
        <v>3459247.32</v>
      </c>
      <c r="I162" s="18">
        <v>3500000</v>
      </c>
      <c r="J162" s="18">
        <v>3459247.32</v>
      </c>
      <c r="K162" s="15">
        <v>3070</v>
      </c>
      <c r="L162" s="13" t="s">
        <v>102</v>
      </c>
      <c r="M162" s="13" t="s">
        <v>103</v>
      </c>
      <c r="N162" s="139" t="s">
        <v>230</v>
      </c>
      <c r="O162" s="139" t="s">
        <v>230</v>
      </c>
      <c r="P162" s="28">
        <v>43</v>
      </c>
      <c r="Q162" s="13" t="s">
        <v>54</v>
      </c>
      <c r="R162" s="13" t="s">
        <v>28</v>
      </c>
      <c r="S162" s="13"/>
      <c r="T162" s="13"/>
      <c r="U162" s="13" t="s">
        <v>424</v>
      </c>
      <c r="V162" s="13" t="s">
        <v>424</v>
      </c>
      <c r="W162" s="59">
        <f>+J162/$W$2</f>
        <v>7.7706487105565171E-5</v>
      </c>
    </row>
    <row r="163" spans="1:29">
      <c r="A163" s="13" t="s">
        <v>385</v>
      </c>
      <c r="B163" s="13" t="s">
        <v>538</v>
      </c>
      <c r="C163" s="139">
        <v>46191</v>
      </c>
      <c r="D163" s="139" t="s">
        <v>516</v>
      </c>
      <c r="E163" s="28">
        <v>0.99130910999999999</v>
      </c>
      <c r="F163" s="13"/>
      <c r="G163" s="18">
        <v>100000000</v>
      </c>
      <c r="H163" s="18">
        <v>99130910.799999997</v>
      </c>
      <c r="I163" s="18">
        <v>100000000</v>
      </c>
      <c r="J163" s="18">
        <v>99130910.799999997</v>
      </c>
      <c r="K163" s="15">
        <v>16751403</v>
      </c>
      <c r="L163" s="13" t="s">
        <v>102</v>
      </c>
      <c r="M163" s="13" t="s">
        <v>103</v>
      </c>
      <c r="N163" s="139" t="s">
        <v>383</v>
      </c>
      <c r="O163" s="139" t="s">
        <v>383</v>
      </c>
      <c r="P163" s="28">
        <v>32</v>
      </c>
      <c r="Q163" s="13" t="s">
        <v>54</v>
      </c>
      <c r="R163" s="13" t="s">
        <v>28</v>
      </c>
      <c r="S163" s="13"/>
      <c r="T163" s="13"/>
      <c r="U163" s="13" t="s">
        <v>1541</v>
      </c>
      <c r="V163" s="13" t="s">
        <v>1541</v>
      </c>
      <c r="W163" s="59">
        <f>+J163/$W$2</f>
        <v>2.2268181859408454E-3</v>
      </c>
    </row>
    <row r="164" spans="1:29">
      <c r="A164" s="13" t="s">
        <v>210</v>
      </c>
      <c r="B164" s="13" t="s">
        <v>538</v>
      </c>
      <c r="C164" s="139">
        <v>46191</v>
      </c>
      <c r="D164" s="139" t="s">
        <v>516</v>
      </c>
      <c r="E164" s="28">
        <v>0.99265707999999997</v>
      </c>
      <c r="F164" s="13"/>
      <c r="G164" s="18">
        <v>10622333.02</v>
      </c>
      <c r="H164" s="18">
        <v>10544334.060000001</v>
      </c>
      <c r="I164" s="18">
        <v>10622333.02</v>
      </c>
      <c r="J164" s="18">
        <v>10544334.060000001</v>
      </c>
      <c r="K164" s="15">
        <v>1518</v>
      </c>
      <c r="L164" s="13" t="s">
        <v>102</v>
      </c>
      <c r="M164" s="13" t="s">
        <v>103</v>
      </c>
      <c r="N164" s="139" t="s">
        <v>231</v>
      </c>
      <c r="O164" s="139" t="s">
        <v>231</v>
      </c>
      <c r="P164" s="28">
        <v>27</v>
      </c>
      <c r="Q164" s="13" t="s">
        <v>54</v>
      </c>
      <c r="R164" s="13" t="s">
        <v>28</v>
      </c>
      <c r="S164" s="13"/>
      <c r="T164" s="13"/>
      <c r="U164" s="13" t="s">
        <v>683</v>
      </c>
      <c r="V164" s="13" t="s">
        <v>683</v>
      </c>
      <c r="W164" s="59">
        <f>+J164/$W$2</f>
        <v>2.3686168778188482E-4</v>
      </c>
    </row>
    <row r="165" spans="1:29">
      <c r="A165" s="13" t="s">
        <v>590</v>
      </c>
      <c r="B165" s="13" t="s">
        <v>538</v>
      </c>
      <c r="C165" s="139">
        <v>46191</v>
      </c>
      <c r="D165" s="139" t="s">
        <v>516</v>
      </c>
      <c r="E165" s="28">
        <v>0.98889192999999997</v>
      </c>
      <c r="F165" s="13"/>
      <c r="G165" s="18">
        <v>10918371.689999999</v>
      </c>
      <c r="H165" s="18">
        <v>10797089.66</v>
      </c>
      <c r="I165" s="18">
        <v>10918371.689999999</v>
      </c>
      <c r="J165" s="18">
        <v>10797089.66</v>
      </c>
      <c r="K165" s="15">
        <v>30457</v>
      </c>
      <c r="L165" s="13" t="s">
        <v>102</v>
      </c>
      <c r="M165" s="13" t="s">
        <v>103</v>
      </c>
      <c r="N165" s="139" t="s">
        <v>231</v>
      </c>
      <c r="O165" s="139" t="s">
        <v>231</v>
      </c>
      <c r="P165" s="28">
        <v>41</v>
      </c>
      <c r="Q165" s="13" t="s">
        <v>54</v>
      </c>
      <c r="R165" s="13" t="s">
        <v>28</v>
      </c>
      <c r="S165" s="13"/>
      <c r="T165" s="13"/>
      <c r="U165" s="13" t="s">
        <v>649</v>
      </c>
      <c r="V165" s="13" t="s">
        <v>649</v>
      </c>
      <c r="W165" s="59">
        <f>+J165/$W$2</f>
        <v>2.4253944018157717E-4</v>
      </c>
    </row>
    <row r="166" spans="1:29">
      <c r="A166" s="13" t="s">
        <v>1402</v>
      </c>
      <c r="B166" s="13" t="s">
        <v>538</v>
      </c>
      <c r="C166" s="139">
        <v>46191</v>
      </c>
      <c r="D166" s="139" t="s">
        <v>516</v>
      </c>
      <c r="E166" s="28">
        <v>0.99238720999999996</v>
      </c>
      <c r="F166" s="13"/>
      <c r="G166" s="18">
        <v>5000000</v>
      </c>
      <c r="H166" s="18">
        <v>4961936.04</v>
      </c>
      <c r="I166" s="18">
        <v>5000000</v>
      </c>
      <c r="J166" s="18">
        <v>4961936.04</v>
      </c>
      <c r="K166" s="15">
        <v>6034641</v>
      </c>
      <c r="L166" s="13" t="s">
        <v>102</v>
      </c>
      <c r="M166" s="13" t="s">
        <v>103</v>
      </c>
      <c r="N166" s="139" t="s">
        <v>379</v>
      </c>
      <c r="O166" s="139" t="s">
        <v>379</v>
      </c>
      <c r="P166" s="28">
        <v>28</v>
      </c>
      <c r="Q166" s="13" t="s">
        <v>54</v>
      </c>
      <c r="R166" s="13" t="s">
        <v>28</v>
      </c>
      <c r="S166" s="13"/>
      <c r="T166" s="13"/>
      <c r="U166" s="13" t="s">
        <v>1362</v>
      </c>
      <c r="V166" s="13" t="s">
        <v>1362</v>
      </c>
      <c r="W166" s="59">
        <f>+J166/$W$2</f>
        <v>1.1146199830282709E-4</v>
      </c>
    </row>
    <row r="167" spans="1:29">
      <c r="A167" s="13" t="s">
        <v>1402</v>
      </c>
      <c r="B167" s="13" t="s">
        <v>538</v>
      </c>
      <c r="C167" s="139">
        <v>46191</v>
      </c>
      <c r="D167" s="139" t="s">
        <v>516</v>
      </c>
      <c r="E167" s="28">
        <v>0.99238720999999996</v>
      </c>
      <c r="F167" s="13"/>
      <c r="G167" s="18">
        <v>5000000</v>
      </c>
      <c r="H167" s="18">
        <v>4961936.04</v>
      </c>
      <c r="I167" s="18">
        <v>5000000</v>
      </c>
      <c r="J167" s="18">
        <v>4961936.04</v>
      </c>
      <c r="K167" s="15">
        <v>6034642</v>
      </c>
      <c r="L167" s="13" t="s">
        <v>102</v>
      </c>
      <c r="M167" s="13" t="s">
        <v>103</v>
      </c>
      <c r="N167" s="139" t="s">
        <v>379</v>
      </c>
      <c r="O167" s="139" t="s">
        <v>379</v>
      </c>
      <c r="P167" s="28">
        <v>28</v>
      </c>
      <c r="Q167" s="13" t="s">
        <v>54</v>
      </c>
      <c r="R167" s="13" t="s">
        <v>28</v>
      </c>
      <c r="S167" s="13"/>
      <c r="T167" s="13"/>
      <c r="U167" s="13" t="s">
        <v>1363</v>
      </c>
      <c r="V167" s="13" t="s">
        <v>1363</v>
      </c>
      <c r="W167" s="59">
        <f>+J167/$W$2</f>
        <v>1.1146199830282709E-4</v>
      </c>
    </row>
    <row r="168" spans="1:29">
      <c r="A168" s="13" t="s">
        <v>993</v>
      </c>
      <c r="B168" s="13" t="s">
        <v>538</v>
      </c>
      <c r="C168" s="139">
        <v>46191</v>
      </c>
      <c r="D168" s="139" t="s">
        <v>516</v>
      </c>
      <c r="E168" s="28">
        <v>0.99238718000000004</v>
      </c>
      <c r="F168" s="13"/>
      <c r="G168" s="18">
        <v>10000000</v>
      </c>
      <c r="H168" s="18">
        <v>9923871.8499999996</v>
      </c>
      <c r="I168" s="18">
        <v>10000000</v>
      </c>
      <c r="J168" s="18">
        <v>9923871.8499999996</v>
      </c>
      <c r="K168" s="15">
        <v>66404989</v>
      </c>
      <c r="L168" s="13" t="s">
        <v>102</v>
      </c>
      <c r="M168" s="13" t="s">
        <v>103</v>
      </c>
      <c r="N168" s="139" t="s">
        <v>344</v>
      </c>
      <c r="O168" s="139" t="s">
        <v>344</v>
      </c>
      <c r="P168" s="28">
        <v>28</v>
      </c>
      <c r="Q168" s="13" t="s">
        <v>54</v>
      </c>
      <c r="R168" s="13" t="s">
        <v>28</v>
      </c>
      <c r="S168" s="13"/>
      <c r="T168" s="13"/>
      <c r="U168" s="13" t="s">
        <v>1096</v>
      </c>
      <c r="V168" s="13" t="s">
        <v>1096</v>
      </c>
      <c r="W168" s="59">
        <f>+J168/$W$2</f>
        <v>2.2292399143907012E-4</v>
      </c>
    </row>
    <row r="169" spans="1:29">
      <c r="A169" s="13" t="s">
        <v>640</v>
      </c>
      <c r="B169" s="13" t="s">
        <v>538</v>
      </c>
      <c r="C169" s="139">
        <v>46192</v>
      </c>
      <c r="D169" s="139" t="s">
        <v>516</v>
      </c>
      <c r="E169" s="28">
        <v>0.98867760999999998</v>
      </c>
      <c r="F169" s="13"/>
      <c r="G169" s="18">
        <v>50000000</v>
      </c>
      <c r="H169" s="18">
        <v>49433880.700000003</v>
      </c>
      <c r="I169" s="18">
        <v>50000000</v>
      </c>
      <c r="J169" s="18">
        <v>49433880.700000003</v>
      </c>
      <c r="K169" s="15">
        <v>2423</v>
      </c>
      <c r="L169" s="13" t="s">
        <v>102</v>
      </c>
      <c r="M169" s="13" t="s">
        <v>103</v>
      </c>
      <c r="N169" s="139" t="s">
        <v>155</v>
      </c>
      <c r="O169" s="139" t="s">
        <v>155</v>
      </c>
      <c r="P169" s="28">
        <v>38</v>
      </c>
      <c r="Q169" s="13" t="s">
        <v>54</v>
      </c>
      <c r="R169" s="13" t="s">
        <v>28</v>
      </c>
      <c r="S169" s="13"/>
      <c r="T169" s="13"/>
      <c r="U169" s="13" t="s">
        <v>626</v>
      </c>
      <c r="V169" s="13" t="s">
        <v>626</v>
      </c>
      <c r="W169" s="59">
        <f>+J169/$W$2</f>
        <v>1.1104534766807588E-3</v>
      </c>
    </row>
    <row r="170" spans="1:29">
      <c r="A170" s="13" t="s">
        <v>1656</v>
      </c>
      <c r="B170" s="13" t="s">
        <v>538</v>
      </c>
      <c r="C170" s="139">
        <v>46192</v>
      </c>
      <c r="D170" s="139" t="s">
        <v>516</v>
      </c>
      <c r="E170" s="28">
        <v>0.98808883999999997</v>
      </c>
      <c r="F170" s="13"/>
      <c r="G170" s="18">
        <v>100000000</v>
      </c>
      <c r="H170" s="18">
        <v>98808884.299999997</v>
      </c>
      <c r="I170" s="18">
        <v>100000000</v>
      </c>
      <c r="J170" s="18">
        <v>98808884.299999997</v>
      </c>
      <c r="K170" s="15">
        <v>70233907</v>
      </c>
      <c r="L170" s="13" t="s">
        <v>102</v>
      </c>
      <c r="M170" s="13" t="s">
        <v>103</v>
      </c>
      <c r="N170" s="139" t="s">
        <v>371</v>
      </c>
      <c r="O170" s="139" t="s">
        <v>371</v>
      </c>
      <c r="P170" s="28">
        <v>40</v>
      </c>
      <c r="Q170" s="13" t="s">
        <v>54</v>
      </c>
      <c r="R170" s="13" t="s">
        <v>28</v>
      </c>
      <c r="S170" s="13"/>
      <c r="T170" s="13"/>
      <c r="U170" s="13" t="s">
        <v>1650</v>
      </c>
      <c r="V170" s="13" t="s">
        <v>1650</v>
      </c>
      <c r="W170" s="59">
        <f>+J170/$W$2</f>
        <v>2.2195843729881769E-3</v>
      </c>
    </row>
    <row r="171" spans="1:29">
      <c r="A171" s="13" t="s">
        <v>693</v>
      </c>
      <c r="B171" s="13" t="s">
        <v>538</v>
      </c>
      <c r="C171" s="139">
        <v>46192</v>
      </c>
      <c r="D171" s="139" t="s">
        <v>516</v>
      </c>
      <c r="E171" s="28">
        <v>0.98779466999999999</v>
      </c>
      <c r="F171" s="13"/>
      <c r="G171" s="18">
        <v>2000000</v>
      </c>
      <c r="H171" s="18">
        <v>1975589.34</v>
      </c>
      <c r="I171" s="18">
        <v>2000000</v>
      </c>
      <c r="J171" s="18">
        <v>1975589.34</v>
      </c>
      <c r="K171" s="15">
        <v>12384444</v>
      </c>
      <c r="L171" s="13" t="s">
        <v>102</v>
      </c>
      <c r="M171" s="13" t="s">
        <v>103</v>
      </c>
      <c r="N171" s="139" t="s">
        <v>231</v>
      </c>
      <c r="O171" s="139" t="s">
        <v>231</v>
      </c>
      <c r="P171" s="28">
        <v>41</v>
      </c>
      <c r="Q171" s="13" t="s">
        <v>54</v>
      </c>
      <c r="R171" s="13" t="s">
        <v>28</v>
      </c>
      <c r="S171" s="13"/>
      <c r="T171" s="13"/>
      <c r="U171" s="13" t="s">
        <v>672</v>
      </c>
      <c r="V171" s="13" t="s">
        <v>672</v>
      </c>
      <c r="W171" s="59">
        <f>+J171/$W$2</f>
        <v>4.4378471202978926E-5</v>
      </c>
    </row>
    <row r="172" spans="1:29">
      <c r="A172" s="13" t="s">
        <v>545</v>
      </c>
      <c r="B172" s="13" t="s">
        <v>538</v>
      </c>
      <c r="C172" s="139">
        <v>46192</v>
      </c>
      <c r="D172" s="139" t="s">
        <v>516</v>
      </c>
      <c r="E172" s="28">
        <v>0.98808881999999998</v>
      </c>
      <c r="F172" s="13"/>
      <c r="G172" s="18">
        <v>100000000</v>
      </c>
      <c r="H172" s="18">
        <v>98808881.680000007</v>
      </c>
      <c r="I172" s="18">
        <v>100000000</v>
      </c>
      <c r="J172" s="18">
        <v>98808881.680000007</v>
      </c>
      <c r="K172" s="15">
        <v>304</v>
      </c>
      <c r="L172" s="13" t="s">
        <v>102</v>
      </c>
      <c r="M172" s="13" t="s">
        <v>103</v>
      </c>
      <c r="N172" s="139" t="s">
        <v>336</v>
      </c>
      <c r="O172" s="139" t="s">
        <v>336</v>
      </c>
      <c r="P172" s="28">
        <v>40</v>
      </c>
      <c r="Q172" s="13" t="s">
        <v>54</v>
      </c>
      <c r="R172" s="13" t="s">
        <v>28</v>
      </c>
      <c r="S172" s="13"/>
      <c r="T172" s="13"/>
      <c r="U172" s="13" t="s">
        <v>549</v>
      </c>
      <c r="V172" s="13" t="s">
        <v>549</v>
      </c>
      <c r="W172" s="59">
        <f>+J172/$W$2</f>
        <v>2.2195843141340457E-3</v>
      </c>
    </row>
    <row r="173" spans="1:29">
      <c r="A173" s="13" t="s">
        <v>365</v>
      </c>
      <c r="B173" s="13" t="s">
        <v>538</v>
      </c>
      <c r="C173" s="139">
        <v>46192</v>
      </c>
      <c r="D173" s="139" t="s">
        <v>516</v>
      </c>
      <c r="E173" s="28">
        <v>0.98867764000000002</v>
      </c>
      <c r="F173" s="13"/>
      <c r="G173" s="18">
        <v>7000000</v>
      </c>
      <c r="H173" s="18">
        <v>6920743.5099999998</v>
      </c>
      <c r="I173" s="18">
        <v>7000000</v>
      </c>
      <c r="J173" s="18">
        <v>6920743.5099999998</v>
      </c>
      <c r="K173" s="15">
        <v>60524089</v>
      </c>
      <c r="L173" s="13" t="s">
        <v>102</v>
      </c>
      <c r="M173" s="13" t="s">
        <v>103</v>
      </c>
      <c r="N173" s="139" t="s">
        <v>312</v>
      </c>
      <c r="O173" s="139" t="s">
        <v>312</v>
      </c>
      <c r="P173" s="28">
        <v>38</v>
      </c>
      <c r="Q173" s="13" t="s">
        <v>54</v>
      </c>
      <c r="R173" s="13" t="s">
        <v>28</v>
      </c>
      <c r="S173" s="13"/>
      <c r="T173" s="13"/>
      <c r="U173" s="13" t="s">
        <v>555</v>
      </c>
      <c r="V173" s="13" t="s">
        <v>555</v>
      </c>
      <c r="W173" s="59">
        <f>+J173/$W$2</f>
        <v>1.5546349149754893E-4</v>
      </c>
      <c r="AC173" s="56"/>
    </row>
    <row r="174" spans="1:29">
      <c r="A174" s="13" t="s">
        <v>639</v>
      </c>
      <c r="B174" s="13" t="s">
        <v>538</v>
      </c>
      <c r="C174" s="139">
        <v>46192</v>
      </c>
      <c r="D174" s="139" t="s">
        <v>516</v>
      </c>
      <c r="E174" s="28">
        <v>0.99133599999999999</v>
      </c>
      <c r="F174" s="13"/>
      <c r="G174" s="18">
        <v>12500000</v>
      </c>
      <c r="H174" s="18">
        <v>12391699.99</v>
      </c>
      <c r="I174" s="18">
        <v>12500000</v>
      </c>
      <c r="J174" s="18">
        <v>12391699.99</v>
      </c>
      <c r="K174" s="15">
        <v>28996513</v>
      </c>
      <c r="L174" s="13" t="s">
        <v>102</v>
      </c>
      <c r="M174" s="13" t="s">
        <v>103</v>
      </c>
      <c r="N174" s="139" t="s">
        <v>155</v>
      </c>
      <c r="O174" s="139" t="s">
        <v>155</v>
      </c>
      <c r="P174" s="28">
        <v>29</v>
      </c>
      <c r="Q174" s="13" t="s">
        <v>54</v>
      </c>
      <c r="R174" s="13" t="s">
        <v>28</v>
      </c>
      <c r="S174" s="13"/>
      <c r="T174" s="13"/>
      <c r="U174" s="13" t="s">
        <v>614</v>
      </c>
      <c r="V174" s="13" t="s">
        <v>614</v>
      </c>
      <c r="W174" s="59">
        <f>+J174/$W$2</f>
        <v>2.7835982409288019E-4</v>
      </c>
    </row>
    <row r="175" spans="1:29">
      <c r="A175" s="13" t="s">
        <v>338</v>
      </c>
      <c r="B175" s="13" t="s">
        <v>538</v>
      </c>
      <c r="C175" s="139">
        <v>46192</v>
      </c>
      <c r="D175" s="139" t="s">
        <v>516</v>
      </c>
      <c r="E175" s="28">
        <v>0.99103993999999995</v>
      </c>
      <c r="F175" s="13"/>
      <c r="G175" s="18">
        <v>17224555</v>
      </c>
      <c r="H175" s="18">
        <v>17070222</v>
      </c>
      <c r="I175" s="18">
        <v>17224555</v>
      </c>
      <c r="J175" s="18">
        <v>17070222</v>
      </c>
      <c r="K175" s="15">
        <v>1533</v>
      </c>
      <c r="L175" s="13" t="s">
        <v>102</v>
      </c>
      <c r="M175" s="13" t="s">
        <v>103</v>
      </c>
      <c r="N175" s="139" t="s">
        <v>428</v>
      </c>
      <c r="O175" s="139" t="s">
        <v>428</v>
      </c>
      <c r="P175" s="28">
        <v>30</v>
      </c>
      <c r="Q175" s="13" t="s">
        <v>54</v>
      </c>
      <c r="R175" s="13" t="s">
        <v>28</v>
      </c>
      <c r="S175" s="13"/>
      <c r="T175" s="13"/>
      <c r="U175" s="13" t="s">
        <v>966</v>
      </c>
      <c r="V175" s="13" t="s">
        <v>966</v>
      </c>
      <c r="W175" s="59">
        <f>+J175/$W$2</f>
        <v>3.8345537714607093E-4</v>
      </c>
    </row>
    <row r="176" spans="1:29">
      <c r="A176" s="13" t="s">
        <v>385</v>
      </c>
      <c r="B176" s="13" t="s">
        <v>538</v>
      </c>
      <c r="C176" s="139">
        <v>46192</v>
      </c>
      <c r="D176" s="139" t="s">
        <v>516</v>
      </c>
      <c r="E176" s="28">
        <v>0.99044829000000001</v>
      </c>
      <c r="F176" s="13"/>
      <c r="G176" s="18">
        <v>100000000</v>
      </c>
      <c r="H176" s="18">
        <v>99044829.260000005</v>
      </c>
      <c r="I176" s="18">
        <v>100000000</v>
      </c>
      <c r="J176" s="18">
        <v>99044829.260000005</v>
      </c>
      <c r="K176" s="15">
        <v>16751404</v>
      </c>
      <c r="L176" s="13" t="s">
        <v>102</v>
      </c>
      <c r="M176" s="13" t="s">
        <v>103</v>
      </c>
      <c r="N176" s="139" t="s">
        <v>383</v>
      </c>
      <c r="O176" s="139" t="s">
        <v>383</v>
      </c>
      <c r="P176" s="28">
        <v>32</v>
      </c>
      <c r="Q176" s="13" t="s">
        <v>54</v>
      </c>
      <c r="R176" s="13" t="s">
        <v>28</v>
      </c>
      <c r="S176" s="13"/>
      <c r="T176" s="13"/>
      <c r="U176" s="13" t="s">
        <v>1540</v>
      </c>
      <c r="V176" s="13" t="s">
        <v>1540</v>
      </c>
      <c r="W176" s="59">
        <f>+J176/$W$2</f>
        <v>2.2248845011073378E-3</v>
      </c>
      <c r="AC176" s="56"/>
    </row>
    <row r="177" spans="1:29">
      <c r="A177" s="13" t="s">
        <v>474</v>
      </c>
      <c r="B177" s="13" t="s">
        <v>538</v>
      </c>
      <c r="C177" s="139">
        <v>46192</v>
      </c>
      <c r="D177" s="139" t="s">
        <v>516</v>
      </c>
      <c r="E177" s="28">
        <v>0.99222535000000001</v>
      </c>
      <c r="F177" s="13"/>
      <c r="G177" s="18">
        <v>105680999.8</v>
      </c>
      <c r="H177" s="18">
        <v>104859366.51000001</v>
      </c>
      <c r="I177" s="18">
        <v>105680999.8</v>
      </c>
      <c r="J177" s="18">
        <v>104859366.51000001</v>
      </c>
      <c r="K177" s="15">
        <v>76335659</v>
      </c>
      <c r="L177" s="13" t="s">
        <v>102</v>
      </c>
      <c r="M177" s="13" t="s">
        <v>103</v>
      </c>
      <c r="N177" s="139" t="s">
        <v>343</v>
      </c>
      <c r="O177" s="139" t="s">
        <v>343</v>
      </c>
      <c r="P177" s="28">
        <v>26</v>
      </c>
      <c r="Q177" s="13" t="s">
        <v>54</v>
      </c>
      <c r="R177" s="13" t="s">
        <v>28</v>
      </c>
      <c r="S177" s="13"/>
      <c r="T177" s="13"/>
      <c r="U177" s="13" t="s">
        <v>1407</v>
      </c>
      <c r="V177" s="13" t="s">
        <v>1407</v>
      </c>
      <c r="W177" s="59">
        <f>+J177/$W$2</f>
        <v>2.3554988290363258E-3</v>
      </c>
    </row>
    <row r="178" spans="1:29">
      <c r="A178" s="13" t="s">
        <v>590</v>
      </c>
      <c r="B178" s="13" t="s">
        <v>538</v>
      </c>
      <c r="C178" s="139">
        <v>46192</v>
      </c>
      <c r="D178" s="139" t="s">
        <v>516</v>
      </c>
      <c r="E178" s="28">
        <v>0.98779466999999999</v>
      </c>
      <c r="F178" s="13"/>
      <c r="G178" s="18">
        <v>10918371.689999999</v>
      </c>
      <c r="H178" s="18">
        <v>10785109.34</v>
      </c>
      <c r="I178" s="18">
        <v>10918371.689999999</v>
      </c>
      <c r="J178" s="18">
        <v>10785109.34</v>
      </c>
      <c r="K178" s="15">
        <v>30458</v>
      </c>
      <c r="L178" s="13" t="s">
        <v>102</v>
      </c>
      <c r="M178" s="13" t="s">
        <v>103</v>
      </c>
      <c r="N178" s="139" t="s">
        <v>231</v>
      </c>
      <c r="O178" s="139" t="s">
        <v>231</v>
      </c>
      <c r="P178" s="28">
        <v>41</v>
      </c>
      <c r="Q178" s="13" t="s">
        <v>54</v>
      </c>
      <c r="R178" s="13" t="s">
        <v>28</v>
      </c>
      <c r="S178" s="13"/>
      <c r="T178" s="13"/>
      <c r="U178" s="13" t="s">
        <v>650</v>
      </c>
      <c r="V178" s="13" t="s">
        <v>650</v>
      </c>
      <c r="W178" s="59">
        <f>+J178/$W$2</f>
        <v>2.4227032135442129E-4</v>
      </c>
    </row>
    <row r="179" spans="1:29">
      <c r="A179" s="13" t="s">
        <v>540</v>
      </c>
      <c r="B179" s="13" t="s">
        <v>538</v>
      </c>
      <c r="C179" s="139">
        <v>46195</v>
      </c>
      <c r="D179" s="139" t="s">
        <v>516</v>
      </c>
      <c r="E179" s="28">
        <v>0.98488938999999998</v>
      </c>
      <c r="F179" s="13"/>
      <c r="G179" s="18">
        <v>50000000</v>
      </c>
      <c r="H179" s="18">
        <v>49244469.719999999</v>
      </c>
      <c r="I179" s="18">
        <v>50000000</v>
      </c>
      <c r="J179" s="18">
        <v>49244469.719999999</v>
      </c>
      <c r="K179" s="15">
        <v>66452109</v>
      </c>
      <c r="L179" s="13" t="s">
        <v>102</v>
      </c>
      <c r="M179" s="13" t="s">
        <v>103</v>
      </c>
      <c r="N179" s="139" t="s">
        <v>344</v>
      </c>
      <c r="O179" s="139" t="s">
        <v>344</v>
      </c>
      <c r="P179" s="28">
        <v>40</v>
      </c>
      <c r="Q179" s="13" t="s">
        <v>54</v>
      </c>
      <c r="R179" s="13" t="s">
        <v>28</v>
      </c>
      <c r="S179" s="13"/>
      <c r="T179" s="13"/>
      <c r="U179" s="13" t="s">
        <v>1120</v>
      </c>
      <c r="V179" s="13" t="s">
        <v>1120</v>
      </c>
      <c r="W179" s="59">
        <f>+J179/$W$2</f>
        <v>1.1061986603830266E-3</v>
      </c>
    </row>
    <row r="180" spans="1:29">
      <c r="A180" s="13" t="s">
        <v>380</v>
      </c>
      <c r="B180" s="13" t="s">
        <v>538</v>
      </c>
      <c r="C180" s="139">
        <v>46195</v>
      </c>
      <c r="D180" s="139" t="s">
        <v>516</v>
      </c>
      <c r="E180" s="28">
        <v>0.98637991000000003</v>
      </c>
      <c r="F180" s="13"/>
      <c r="G180" s="18">
        <v>16400000</v>
      </c>
      <c r="H180" s="18">
        <v>16176630.48</v>
      </c>
      <c r="I180" s="18">
        <v>16400000</v>
      </c>
      <c r="J180" s="18">
        <v>16176630.48</v>
      </c>
      <c r="K180" s="15">
        <v>14199</v>
      </c>
      <c r="L180" s="13" t="s">
        <v>102</v>
      </c>
      <c r="M180" s="13" t="s">
        <v>103</v>
      </c>
      <c r="N180" s="139" t="s">
        <v>428</v>
      </c>
      <c r="O180" s="139" t="s">
        <v>428</v>
      </c>
      <c r="P180" s="28">
        <v>36</v>
      </c>
      <c r="Q180" s="13" t="s">
        <v>54</v>
      </c>
      <c r="R180" s="13" t="s">
        <v>28</v>
      </c>
      <c r="S180" s="13"/>
      <c r="T180" s="13"/>
      <c r="U180" s="13" t="s">
        <v>955</v>
      </c>
      <c r="V180" s="13" t="s">
        <v>955</v>
      </c>
      <c r="W180" s="59">
        <f>+J180/$W$2</f>
        <v>3.6338226542461055E-4</v>
      </c>
    </row>
    <row r="181" spans="1:29">
      <c r="A181" s="13" t="s">
        <v>1656</v>
      </c>
      <c r="B181" s="13" t="s">
        <v>538</v>
      </c>
      <c r="C181" s="139">
        <v>46195</v>
      </c>
      <c r="D181" s="139" t="s">
        <v>516</v>
      </c>
      <c r="E181" s="28">
        <v>0.98488945999999999</v>
      </c>
      <c r="F181" s="13"/>
      <c r="G181" s="18">
        <v>100000000</v>
      </c>
      <c r="H181" s="18">
        <v>98488945.75</v>
      </c>
      <c r="I181" s="18">
        <v>100000000</v>
      </c>
      <c r="J181" s="18">
        <v>98488945.75</v>
      </c>
      <c r="K181" s="15">
        <v>70233908</v>
      </c>
      <c r="L181" s="13" t="s">
        <v>102</v>
      </c>
      <c r="M181" s="13" t="s">
        <v>103</v>
      </c>
      <c r="N181" s="139" t="s">
        <v>371</v>
      </c>
      <c r="O181" s="139" t="s">
        <v>371</v>
      </c>
      <c r="P181" s="28">
        <v>40</v>
      </c>
      <c r="Q181" s="13" t="s">
        <v>54</v>
      </c>
      <c r="R181" s="13" t="s">
        <v>28</v>
      </c>
      <c r="S181" s="13"/>
      <c r="T181" s="13"/>
      <c r="U181" s="13" t="s">
        <v>1651</v>
      </c>
      <c r="V181" s="13" t="s">
        <v>1651</v>
      </c>
      <c r="W181" s="59">
        <f>+J181/$W$2</f>
        <v>2.2123974625101635E-3</v>
      </c>
    </row>
    <row r="182" spans="1:29">
      <c r="A182" s="13" t="s">
        <v>2027</v>
      </c>
      <c r="B182" s="13" t="s">
        <v>538</v>
      </c>
      <c r="C182" s="139">
        <v>46195</v>
      </c>
      <c r="D182" s="139" t="s">
        <v>516</v>
      </c>
      <c r="E182" s="28">
        <v>0.98750068999999996</v>
      </c>
      <c r="F182" s="13"/>
      <c r="G182" s="18">
        <v>6645581.25</v>
      </c>
      <c r="H182" s="18">
        <v>6562516.0899999999</v>
      </c>
      <c r="I182" s="18">
        <v>6645581.25</v>
      </c>
      <c r="J182" s="18">
        <v>6562516.0899999999</v>
      </c>
      <c r="K182" s="15">
        <v>41</v>
      </c>
      <c r="L182" s="13" t="s">
        <v>102</v>
      </c>
      <c r="M182" s="13" t="s">
        <v>103</v>
      </c>
      <c r="N182" s="139" t="s">
        <v>394</v>
      </c>
      <c r="O182" s="139" t="s">
        <v>394</v>
      </c>
      <c r="P182" s="28">
        <v>33</v>
      </c>
      <c r="Q182" s="13" t="s">
        <v>54</v>
      </c>
      <c r="R182" s="13" t="s">
        <v>28</v>
      </c>
      <c r="S182" s="13"/>
      <c r="T182" s="13"/>
      <c r="U182" s="13" t="s">
        <v>2028</v>
      </c>
      <c r="V182" s="13" t="s">
        <v>2028</v>
      </c>
      <c r="W182" s="59">
        <f>+J182/$W$2</f>
        <v>1.4741648247562969E-4</v>
      </c>
    </row>
    <row r="183" spans="1:29">
      <c r="A183" s="13" t="s">
        <v>591</v>
      </c>
      <c r="B183" s="13" t="s">
        <v>538</v>
      </c>
      <c r="C183" s="139">
        <v>46195</v>
      </c>
      <c r="D183" s="139" t="s">
        <v>516</v>
      </c>
      <c r="E183" s="28">
        <v>0.98451745999999996</v>
      </c>
      <c r="F183" s="13"/>
      <c r="G183" s="18">
        <v>2000000</v>
      </c>
      <c r="H183" s="18">
        <v>1969034.93</v>
      </c>
      <c r="I183" s="18">
        <v>2000000</v>
      </c>
      <c r="J183" s="18">
        <v>1969034.93</v>
      </c>
      <c r="K183" s="15">
        <v>11213038</v>
      </c>
      <c r="L183" s="13" t="s">
        <v>102</v>
      </c>
      <c r="M183" s="13" t="s">
        <v>103</v>
      </c>
      <c r="N183" s="139" t="s">
        <v>321</v>
      </c>
      <c r="O183" s="139" t="s">
        <v>321</v>
      </c>
      <c r="P183" s="28">
        <v>41</v>
      </c>
      <c r="Q183" s="13" t="s">
        <v>54</v>
      </c>
      <c r="R183" s="13" t="s">
        <v>28</v>
      </c>
      <c r="S183" s="13"/>
      <c r="T183" s="13"/>
      <c r="U183" s="13" t="s">
        <v>586</v>
      </c>
      <c r="V183" s="13" t="s">
        <v>586</v>
      </c>
      <c r="W183" s="59">
        <f>+J183/$W$2</f>
        <v>4.4231236810917708E-5</v>
      </c>
      <c r="AC183" s="56"/>
    </row>
    <row r="184" spans="1:29">
      <c r="A184" s="13" t="s">
        <v>339</v>
      </c>
      <c r="B184" s="13" t="s">
        <v>538</v>
      </c>
      <c r="C184" s="139">
        <v>46195</v>
      </c>
      <c r="D184" s="139" t="s">
        <v>516</v>
      </c>
      <c r="E184" s="28">
        <v>0.98675321000000005</v>
      </c>
      <c r="F184" s="13"/>
      <c r="G184" s="18">
        <v>5000000</v>
      </c>
      <c r="H184" s="18">
        <v>4933766.07</v>
      </c>
      <c r="I184" s="18">
        <v>5000000</v>
      </c>
      <c r="J184" s="18">
        <v>4933766.07</v>
      </c>
      <c r="K184" s="15">
        <v>90000058</v>
      </c>
      <c r="L184" s="13" t="s">
        <v>102</v>
      </c>
      <c r="M184" s="13" t="s">
        <v>103</v>
      </c>
      <c r="N184" s="139" t="s">
        <v>244</v>
      </c>
      <c r="O184" s="139" t="s">
        <v>244</v>
      </c>
      <c r="P184" s="28">
        <v>35</v>
      </c>
      <c r="Q184" s="13" t="s">
        <v>54</v>
      </c>
      <c r="R184" s="13" t="s">
        <v>28</v>
      </c>
      <c r="S184" s="13"/>
      <c r="T184" s="13"/>
      <c r="U184" s="13" t="s">
        <v>520</v>
      </c>
      <c r="V184" s="13" t="s">
        <v>520</v>
      </c>
      <c r="W184" s="59">
        <f>+J184/$W$2</f>
        <v>1.1082920474744489E-4</v>
      </c>
    </row>
    <row r="185" spans="1:29">
      <c r="A185" s="13" t="s">
        <v>1053</v>
      </c>
      <c r="B185" s="13" t="s">
        <v>538</v>
      </c>
      <c r="C185" s="139">
        <v>46195</v>
      </c>
      <c r="D185" s="139" t="s">
        <v>516</v>
      </c>
      <c r="E185" s="28">
        <v>0.98974998999999997</v>
      </c>
      <c r="F185" s="13"/>
      <c r="G185" s="18">
        <v>10000000</v>
      </c>
      <c r="H185" s="18">
        <v>9897499.8599999994</v>
      </c>
      <c r="I185" s="18">
        <v>10000000</v>
      </c>
      <c r="J185" s="18">
        <v>9897499.8599999994</v>
      </c>
      <c r="K185" s="15">
        <v>30172</v>
      </c>
      <c r="L185" s="13" t="s">
        <v>102</v>
      </c>
      <c r="M185" s="13" t="s">
        <v>103</v>
      </c>
      <c r="N185" s="139" t="s">
        <v>366</v>
      </c>
      <c r="O185" s="139" t="s">
        <v>366</v>
      </c>
      <c r="P185" s="28">
        <v>27</v>
      </c>
      <c r="Q185" s="13" t="s">
        <v>54</v>
      </c>
      <c r="R185" s="13" t="s">
        <v>28</v>
      </c>
      <c r="S185" s="13"/>
      <c r="T185" s="13"/>
      <c r="U185" s="13" t="s">
        <v>1044</v>
      </c>
      <c r="V185" s="13" t="s">
        <v>1044</v>
      </c>
      <c r="W185" s="59">
        <f>+J185/$W$2</f>
        <v>2.2233158664365841E-4</v>
      </c>
      <c r="AC185" s="56"/>
    </row>
    <row r="186" spans="1:29">
      <c r="A186" s="13" t="s">
        <v>1053</v>
      </c>
      <c r="B186" s="13" t="s">
        <v>538</v>
      </c>
      <c r="C186" s="139">
        <v>46195</v>
      </c>
      <c r="D186" s="139" t="s">
        <v>516</v>
      </c>
      <c r="E186" s="28">
        <v>0.98974998999999997</v>
      </c>
      <c r="F186" s="13"/>
      <c r="G186" s="18">
        <v>10000000</v>
      </c>
      <c r="H186" s="18">
        <v>9897499.8599999994</v>
      </c>
      <c r="I186" s="18">
        <v>10000000</v>
      </c>
      <c r="J186" s="18">
        <v>9897499.8599999994</v>
      </c>
      <c r="K186" s="15">
        <v>30173</v>
      </c>
      <c r="L186" s="13" t="s">
        <v>102</v>
      </c>
      <c r="M186" s="13" t="s">
        <v>103</v>
      </c>
      <c r="N186" s="139" t="s">
        <v>366</v>
      </c>
      <c r="O186" s="139" t="s">
        <v>366</v>
      </c>
      <c r="P186" s="28">
        <v>27</v>
      </c>
      <c r="Q186" s="13" t="s">
        <v>54</v>
      </c>
      <c r="R186" s="13" t="s">
        <v>28</v>
      </c>
      <c r="S186" s="13"/>
      <c r="T186" s="13"/>
      <c r="U186" s="13" t="s">
        <v>1050</v>
      </c>
      <c r="V186" s="13" t="s">
        <v>1050</v>
      </c>
      <c r="W186" s="59">
        <f>+J186/$W$2</f>
        <v>2.2233158664365841E-4</v>
      </c>
    </row>
    <row r="187" spans="1:29">
      <c r="A187" s="13" t="s">
        <v>1053</v>
      </c>
      <c r="B187" s="13" t="s">
        <v>538</v>
      </c>
      <c r="C187" s="139">
        <v>46195</v>
      </c>
      <c r="D187" s="139" t="s">
        <v>516</v>
      </c>
      <c r="E187" s="28">
        <v>0.98974998999999997</v>
      </c>
      <c r="F187" s="13"/>
      <c r="G187" s="18">
        <v>10000000</v>
      </c>
      <c r="H187" s="18">
        <v>9897499.8599999994</v>
      </c>
      <c r="I187" s="18">
        <v>10000000</v>
      </c>
      <c r="J187" s="18">
        <v>9897499.8599999994</v>
      </c>
      <c r="K187" s="15">
        <v>30171</v>
      </c>
      <c r="L187" s="13" t="s">
        <v>102</v>
      </c>
      <c r="M187" s="13" t="s">
        <v>103</v>
      </c>
      <c r="N187" s="139" t="s">
        <v>366</v>
      </c>
      <c r="O187" s="139" t="s">
        <v>366</v>
      </c>
      <c r="P187" s="28">
        <v>27</v>
      </c>
      <c r="Q187" s="13" t="s">
        <v>54</v>
      </c>
      <c r="R187" s="13" t="s">
        <v>28</v>
      </c>
      <c r="S187" s="13"/>
      <c r="T187" s="13"/>
      <c r="U187" s="13" t="s">
        <v>1051</v>
      </c>
      <c r="V187" s="13" t="s">
        <v>1051</v>
      </c>
      <c r="W187" s="59">
        <f>+J187/$W$2</f>
        <v>2.2233158664365841E-4</v>
      </c>
      <c r="AC187" s="56"/>
    </row>
    <row r="188" spans="1:29">
      <c r="A188" s="13" t="s">
        <v>141</v>
      </c>
      <c r="B188" s="13" t="s">
        <v>538</v>
      </c>
      <c r="C188" s="139">
        <v>46195</v>
      </c>
      <c r="D188" s="139" t="s">
        <v>516</v>
      </c>
      <c r="E188" s="28">
        <v>0.98600681000000001</v>
      </c>
      <c r="F188" s="13"/>
      <c r="G188" s="18">
        <v>85000000</v>
      </c>
      <c r="H188" s="18">
        <v>83810578.640000001</v>
      </c>
      <c r="I188" s="18">
        <v>85000000</v>
      </c>
      <c r="J188" s="18">
        <v>83810578.640000001</v>
      </c>
      <c r="K188" s="15">
        <v>7361</v>
      </c>
      <c r="L188" s="13" t="s">
        <v>102</v>
      </c>
      <c r="M188" s="13" t="s">
        <v>103</v>
      </c>
      <c r="N188" s="139" t="s">
        <v>363</v>
      </c>
      <c r="O188" s="139" t="s">
        <v>363</v>
      </c>
      <c r="P188" s="28">
        <v>37</v>
      </c>
      <c r="Q188" s="13" t="s">
        <v>54</v>
      </c>
      <c r="R188" s="13" t="s">
        <v>28</v>
      </c>
      <c r="S188" s="13"/>
      <c r="T188" s="13"/>
      <c r="U188" s="13" t="s">
        <v>726</v>
      </c>
      <c r="V188" s="13" t="s">
        <v>726</v>
      </c>
      <c r="W188" s="59">
        <f>+J188/$W$2</f>
        <v>1.8826712998361494E-3</v>
      </c>
    </row>
    <row r="189" spans="1:29">
      <c r="A189" s="13" t="s">
        <v>993</v>
      </c>
      <c r="B189" s="13" t="s">
        <v>538</v>
      </c>
      <c r="C189" s="139">
        <v>46195</v>
      </c>
      <c r="D189" s="139" t="s">
        <v>516</v>
      </c>
      <c r="E189" s="28">
        <v>0.98899915000000005</v>
      </c>
      <c r="F189" s="13"/>
      <c r="G189" s="18">
        <v>50000000</v>
      </c>
      <c r="H189" s="18">
        <v>49449957.299999997</v>
      </c>
      <c r="I189" s="18">
        <v>50000000</v>
      </c>
      <c r="J189" s="18">
        <v>49449957.299999997</v>
      </c>
      <c r="K189" s="15">
        <v>147632</v>
      </c>
      <c r="L189" s="13" t="s">
        <v>102</v>
      </c>
      <c r="M189" s="13" t="s">
        <v>103</v>
      </c>
      <c r="N189" s="139" t="s">
        <v>161</v>
      </c>
      <c r="O189" s="139" t="s">
        <v>161</v>
      </c>
      <c r="P189" s="28">
        <v>29</v>
      </c>
      <c r="Q189" s="13" t="s">
        <v>54</v>
      </c>
      <c r="R189" s="13" t="s">
        <v>28</v>
      </c>
      <c r="S189" s="13"/>
      <c r="T189" s="13"/>
      <c r="U189" s="13" t="s">
        <v>1274</v>
      </c>
      <c r="V189" s="13" t="s">
        <v>1274</v>
      </c>
      <c r="W189" s="59">
        <f>+J189/$W$2</f>
        <v>1.1108146119206065E-3</v>
      </c>
    </row>
    <row r="190" spans="1:29">
      <c r="A190" s="13" t="s">
        <v>385</v>
      </c>
      <c r="B190" s="13" t="s">
        <v>538</v>
      </c>
      <c r="C190" s="139">
        <v>46195</v>
      </c>
      <c r="D190" s="139" t="s">
        <v>516</v>
      </c>
      <c r="E190" s="28">
        <v>0.98787488999999995</v>
      </c>
      <c r="F190" s="13"/>
      <c r="G190" s="18">
        <v>150000000</v>
      </c>
      <c r="H190" s="18">
        <v>148181232.94999999</v>
      </c>
      <c r="I190" s="18">
        <v>150000000</v>
      </c>
      <c r="J190" s="18">
        <v>148181232.94999999</v>
      </c>
      <c r="K190" s="15">
        <v>16751405</v>
      </c>
      <c r="L190" s="13" t="s">
        <v>102</v>
      </c>
      <c r="M190" s="13" t="s">
        <v>103</v>
      </c>
      <c r="N190" s="139" t="s">
        <v>383</v>
      </c>
      <c r="O190" s="139" t="s">
        <v>383</v>
      </c>
      <c r="P190" s="28">
        <v>32</v>
      </c>
      <c r="Q190" s="13" t="s">
        <v>54</v>
      </c>
      <c r="R190" s="13" t="s">
        <v>28</v>
      </c>
      <c r="S190" s="13"/>
      <c r="T190" s="13"/>
      <c r="U190" s="13" t="s">
        <v>1542</v>
      </c>
      <c r="V190" s="13" t="s">
        <v>1542</v>
      </c>
      <c r="W190" s="59">
        <f>+J190/$W$2</f>
        <v>3.3286556300680822E-3</v>
      </c>
      <c r="AC190" s="56"/>
    </row>
    <row r="191" spans="1:29">
      <c r="A191" s="13" t="s">
        <v>265</v>
      </c>
      <c r="B191" s="13" t="s">
        <v>538</v>
      </c>
      <c r="C191" s="139">
        <v>46195</v>
      </c>
      <c r="D191" s="139" t="s">
        <v>516</v>
      </c>
      <c r="E191" s="28">
        <v>0.98451747999999994</v>
      </c>
      <c r="F191" s="13"/>
      <c r="G191" s="18">
        <v>45000000</v>
      </c>
      <c r="H191" s="18">
        <v>44303286.590000004</v>
      </c>
      <c r="I191" s="18">
        <v>45000000</v>
      </c>
      <c r="J191" s="18">
        <v>44303286.590000004</v>
      </c>
      <c r="K191" s="15">
        <v>64885035</v>
      </c>
      <c r="L191" s="13" t="s">
        <v>102</v>
      </c>
      <c r="M191" s="13" t="s">
        <v>103</v>
      </c>
      <c r="N191" s="139" t="s">
        <v>230</v>
      </c>
      <c r="O191" s="139" t="s">
        <v>230</v>
      </c>
      <c r="P191" s="28">
        <v>41</v>
      </c>
      <c r="Q191" s="13" t="s">
        <v>54</v>
      </c>
      <c r="R191" s="13" t="s">
        <v>28</v>
      </c>
      <c r="S191" s="13"/>
      <c r="T191" s="13"/>
      <c r="U191" s="13" t="s">
        <v>407</v>
      </c>
      <c r="V191" s="13" t="s">
        <v>407</v>
      </c>
      <c r="W191" s="59">
        <f>+J191/$W$2</f>
        <v>9.9520284318381546E-4</v>
      </c>
    </row>
    <row r="192" spans="1:29">
      <c r="A192" s="13" t="s">
        <v>1914</v>
      </c>
      <c r="B192" s="13" t="s">
        <v>538</v>
      </c>
      <c r="C192" s="139">
        <v>46195</v>
      </c>
      <c r="D192" s="139" t="s">
        <v>516</v>
      </c>
      <c r="E192" s="28">
        <v>0.98862415999999997</v>
      </c>
      <c r="F192" s="13"/>
      <c r="G192" s="18">
        <v>10000000</v>
      </c>
      <c r="H192" s="18">
        <v>9886241.5800000001</v>
      </c>
      <c r="I192" s="18">
        <v>10000000</v>
      </c>
      <c r="J192" s="18">
        <v>9886241.5800000001</v>
      </c>
      <c r="K192" s="15">
        <v>898798</v>
      </c>
      <c r="L192" s="13" t="s">
        <v>102</v>
      </c>
      <c r="M192" s="13" t="s">
        <v>103</v>
      </c>
      <c r="N192" s="139" t="s">
        <v>175</v>
      </c>
      <c r="O192" s="139" t="s">
        <v>175</v>
      </c>
      <c r="P192" s="28">
        <v>30</v>
      </c>
      <c r="Q192" s="13" t="s">
        <v>54</v>
      </c>
      <c r="R192" s="13" t="s">
        <v>28</v>
      </c>
      <c r="S192" s="13"/>
      <c r="T192" s="13"/>
      <c r="U192" s="13" t="s">
        <v>1911</v>
      </c>
      <c r="V192" s="13" t="s">
        <v>1911</v>
      </c>
      <c r="W192" s="59">
        <f>+J192/$W$2</f>
        <v>2.2207868729627933E-4</v>
      </c>
    </row>
    <row r="193" spans="1:29">
      <c r="A193" s="13" t="s">
        <v>210</v>
      </c>
      <c r="B193" s="13" t="s">
        <v>538</v>
      </c>
      <c r="C193" s="139">
        <v>46195</v>
      </c>
      <c r="D193" s="139" t="s">
        <v>516</v>
      </c>
      <c r="E193" s="28">
        <v>0.98975000000000002</v>
      </c>
      <c r="F193" s="13"/>
      <c r="G193" s="18">
        <v>38020423.149999999</v>
      </c>
      <c r="H193" s="18">
        <v>37630713.740000002</v>
      </c>
      <c r="I193" s="18">
        <v>38020423.149999999</v>
      </c>
      <c r="J193" s="18">
        <v>37630713.740000002</v>
      </c>
      <c r="K193" s="15">
        <v>2721</v>
      </c>
      <c r="L193" s="13" t="s">
        <v>102</v>
      </c>
      <c r="M193" s="13" t="s">
        <v>103</v>
      </c>
      <c r="N193" s="139" t="s">
        <v>155</v>
      </c>
      <c r="O193" s="139" t="s">
        <v>155</v>
      </c>
      <c r="P193" s="28">
        <v>27</v>
      </c>
      <c r="Q193" s="13" t="s">
        <v>54</v>
      </c>
      <c r="R193" s="13" t="s">
        <v>28</v>
      </c>
      <c r="S193" s="13"/>
      <c r="T193" s="13"/>
      <c r="U193" s="13" t="s">
        <v>624</v>
      </c>
      <c r="V193" s="13" t="s">
        <v>624</v>
      </c>
      <c r="W193" s="59">
        <f>+J193/$W$2</f>
        <v>8.4531411070386394E-4</v>
      </c>
    </row>
    <row r="194" spans="1:29">
      <c r="A194" s="13" t="s">
        <v>590</v>
      </c>
      <c r="B194" s="13" t="s">
        <v>538</v>
      </c>
      <c r="C194" s="139">
        <v>46195</v>
      </c>
      <c r="D194" s="139" t="s">
        <v>516</v>
      </c>
      <c r="E194" s="28">
        <v>0.98451749</v>
      </c>
      <c r="F194" s="13"/>
      <c r="G194" s="18">
        <v>10918371.689999999</v>
      </c>
      <c r="H194" s="18">
        <v>10749327.859999999</v>
      </c>
      <c r="I194" s="18">
        <v>10918371.689999999</v>
      </c>
      <c r="J194" s="18">
        <v>10749327.859999999</v>
      </c>
      <c r="K194" s="15">
        <v>30459</v>
      </c>
      <c r="L194" s="13" t="s">
        <v>102</v>
      </c>
      <c r="M194" s="13" t="s">
        <v>103</v>
      </c>
      <c r="N194" s="139" t="s">
        <v>231</v>
      </c>
      <c r="O194" s="139" t="s">
        <v>231</v>
      </c>
      <c r="P194" s="28">
        <v>41</v>
      </c>
      <c r="Q194" s="13" t="s">
        <v>54</v>
      </c>
      <c r="R194" s="13" t="s">
        <v>28</v>
      </c>
      <c r="S194" s="13"/>
      <c r="T194" s="13"/>
      <c r="U194" s="13" t="s">
        <v>651</v>
      </c>
      <c r="V194" s="13" t="s">
        <v>651</v>
      </c>
      <c r="W194" s="59">
        <f>+J194/$W$2</f>
        <v>2.4146654733740822E-4</v>
      </c>
      <c r="AC194" s="56"/>
    </row>
    <row r="195" spans="1:29">
      <c r="A195" s="13" t="s">
        <v>540</v>
      </c>
      <c r="B195" s="13" t="s">
        <v>538</v>
      </c>
      <c r="C195" s="139">
        <v>46196</v>
      </c>
      <c r="D195" s="139" t="s">
        <v>516</v>
      </c>
      <c r="E195" s="28">
        <v>0.98542127000000002</v>
      </c>
      <c r="F195" s="13"/>
      <c r="G195" s="18">
        <v>400000000</v>
      </c>
      <c r="H195" s="18">
        <v>394168508.83999997</v>
      </c>
      <c r="I195" s="18">
        <v>400000000</v>
      </c>
      <c r="J195" s="18">
        <v>394168508.83999997</v>
      </c>
      <c r="K195" s="15">
        <v>67040144</v>
      </c>
      <c r="L195" s="13" t="s">
        <v>102</v>
      </c>
      <c r="M195" s="13" t="s">
        <v>103</v>
      </c>
      <c r="N195" s="139" t="s">
        <v>382</v>
      </c>
      <c r="O195" s="139" t="s">
        <v>382</v>
      </c>
      <c r="P195" s="28">
        <v>36</v>
      </c>
      <c r="Q195" s="13" t="s">
        <v>54</v>
      </c>
      <c r="R195" s="13" t="s">
        <v>28</v>
      </c>
      <c r="S195" s="13"/>
      <c r="T195" s="13"/>
      <c r="U195" s="13" t="s">
        <v>1603</v>
      </c>
      <c r="V195" s="13" t="s">
        <v>1603</v>
      </c>
      <c r="W195" s="59">
        <f>+J195/$W$2</f>
        <v>8.854368397572485E-3</v>
      </c>
    </row>
    <row r="196" spans="1:29">
      <c r="A196" s="13" t="s">
        <v>194</v>
      </c>
      <c r="B196" s="13" t="s">
        <v>538</v>
      </c>
      <c r="C196" s="139">
        <v>46196</v>
      </c>
      <c r="D196" s="139" t="s">
        <v>516</v>
      </c>
      <c r="E196" s="28">
        <v>0.98342989999999997</v>
      </c>
      <c r="F196" s="13"/>
      <c r="G196" s="18">
        <v>64000000</v>
      </c>
      <c r="H196" s="18">
        <v>62939513.32</v>
      </c>
      <c r="I196" s="18">
        <v>64000000</v>
      </c>
      <c r="J196" s="18">
        <v>62939513.32</v>
      </c>
      <c r="K196" s="15">
        <v>70379137</v>
      </c>
      <c r="L196" s="13" t="s">
        <v>102</v>
      </c>
      <c r="M196" s="13" t="s">
        <v>103</v>
      </c>
      <c r="N196" s="139" t="s">
        <v>473</v>
      </c>
      <c r="O196" s="139" t="s">
        <v>473</v>
      </c>
      <c r="P196" s="28">
        <v>41</v>
      </c>
      <c r="Q196" s="13" t="s">
        <v>54</v>
      </c>
      <c r="R196" s="13" t="s">
        <v>28</v>
      </c>
      <c r="S196" s="13"/>
      <c r="T196" s="13"/>
      <c r="U196" s="13" t="s">
        <v>1438</v>
      </c>
      <c r="V196" s="13" t="s">
        <v>1438</v>
      </c>
      <c r="W196" s="59">
        <f>+J196/$W$2</f>
        <v>1.4138360249509791E-3</v>
      </c>
    </row>
    <row r="197" spans="1:29">
      <c r="A197" s="13" t="s">
        <v>1459</v>
      </c>
      <c r="B197" s="13" t="s">
        <v>538</v>
      </c>
      <c r="C197" s="139">
        <v>46196</v>
      </c>
      <c r="D197" s="139" t="s">
        <v>516</v>
      </c>
      <c r="E197" s="28">
        <v>0.98582044000000002</v>
      </c>
      <c r="F197" s="13"/>
      <c r="G197" s="18">
        <v>2000000</v>
      </c>
      <c r="H197" s="18">
        <v>1971640.87</v>
      </c>
      <c r="I197" s="18">
        <v>2000000</v>
      </c>
      <c r="J197" s="18">
        <v>1971640.87</v>
      </c>
      <c r="K197" s="15">
        <v>7740</v>
      </c>
      <c r="L197" s="13" t="s">
        <v>102</v>
      </c>
      <c r="M197" s="13" t="s">
        <v>103</v>
      </c>
      <c r="N197" s="139" t="s">
        <v>381</v>
      </c>
      <c r="O197" s="139" t="s">
        <v>381</v>
      </c>
      <c r="P197" s="28">
        <v>35</v>
      </c>
      <c r="Q197" s="13" t="s">
        <v>54</v>
      </c>
      <c r="R197" s="13" t="s">
        <v>28</v>
      </c>
      <c r="S197" s="13"/>
      <c r="T197" s="13"/>
      <c r="U197" s="13" t="s">
        <v>1453</v>
      </c>
      <c r="V197" s="13" t="s">
        <v>1453</v>
      </c>
      <c r="W197" s="59">
        <f>+J197/$W$2</f>
        <v>4.4289775106759445E-5</v>
      </c>
    </row>
    <row r="198" spans="1:29">
      <c r="A198" s="13" t="s">
        <v>1494</v>
      </c>
      <c r="B198" s="13" t="s">
        <v>538</v>
      </c>
      <c r="C198" s="139">
        <v>46196</v>
      </c>
      <c r="D198" s="139" t="s">
        <v>516</v>
      </c>
      <c r="E198" s="28">
        <v>0.98702005000000004</v>
      </c>
      <c r="F198" s="13"/>
      <c r="G198" s="18">
        <v>6600000</v>
      </c>
      <c r="H198" s="18">
        <v>6514332.3200000003</v>
      </c>
      <c r="I198" s="18">
        <v>6600000</v>
      </c>
      <c r="J198" s="18">
        <v>6514332.3200000003</v>
      </c>
      <c r="K198" s="15">
        <v>13668413</v>
      </c>
      <c r="L198" s="13" t="s">
        <v>102</v>
      </c>
      <c r="M198" s="13" t="s">
        <v>103</v>
      </c>
      <c r="N198" s="139" t="s">
        <v>471</v>
      </c>
      <c r="O198" s="139" t="s">
        <v>471</v>
      </c>
      <c r="P198" s="28">
        <v>32</v>
      </c>
      <c r="Q198" s="13" t="s">
        <v>54</v>
      </c>
      <c r="R198" s="13" t="s">
        <v>28</v>
      </c>
      <c r="S198" s="13"/>
      <c r="T198" s="13"/>
      <c r="U198" s="13" t="s">
        <v>1548</v>
      </c>
      <c r="V198" s="13" t="s">
        <v>1548</v>
      </c>
      <c r="W198" s="59">
        <f>+J198/$W$2</f>
        <v>1.4633411074679867E-4</v>
      </c>
    </row>
    <row r="199" spans="1:29">
      <c r="A199" s="13" t="s">
        <v>752</v>
      </c>
      <c r="B199" s="13" t="s">
        <v>538</v>
      </c>
      <c r="C199" s="139">
        <v>46196</v>
      </c>
      <c r="D199" s="139" t="s">
        <v>516</v>
      </c>
      <c r="E199" s="28">
        <v>0.99103993999999995</v>
      </c>
      <c r="F199" s="13"/>
      <c r="G199" s="18">
        <v>4000000</v>
      </c>
      <c r="H199" s="18">
        <v>3964159.75</v>
      </c>
      <c r="I199" s="18">
        <v>4000000</v>
      </c>
      <c r="J199" s="18">
        <v>3964159.75</v>
      </c>
      <c r="K199" s="15">
        <v>64816600</v>
      </c>
      <c r="L199" s="13" t="s">
        <v>102</v>
      </c>
      <c r="M199" s="13" t="s">
        <v>103</v>
      </c>
      <c r="N199" s="139" t="s">
        <v>320</v>
      </c>
      <c r="O199" s="139" t="s">
        <v>320</v>
      </c>
      <c r="P199" s="28">
        <v>22</v>
      </c>
      <c r="Q199" s="13" t="s">
        <v>54</v>
      </c>
      <c r="R199" s="13" t="s">
        <v>28</v>
      </c>
      <c r="S199" s="13"/>
      <c r="T199" s="13"/>
      <c r="U199" s="13" t="s">
        <v>744</v>
      </c>
      <c r="V199" s="13" t="s">
        <v>744</v>
      </c>
      <c r="W199" s="59">
        <f>+J199/$W$2</f>
        <v>8.904854148959072E-5</v>
      </c>
    </row>
    <row r="200" spans="1:29">
      <c r="A200" s="13" t="s">
        <v>916</v>
      </c>
      <c r="B200" s="13" t="s">
        <v>538</v>
      </c>
      <c r="C200" s="139">
        <v>46196</v>
      </c>
      <c r="D200" s="139" t="s">
        <v>516</v>
      </c>
      <c r="E200" s="28">
        <v>0.98661986999999995</v>
      </c>
      <c r="F200" s="13"/>
      <c r="G200" s="18">
        <v>10000000</v>
      </c>
      <c r="H200" s="18">
        <v>9866198.6999999993</v>
      </c>
      <c r="I200" s="18">
        <v>10000000</v>
      </c>
      <c r="J200" s="18">
        <v>9866198.6999999993</v>
      </c>
      <c r="K200" s="15">
        <v>13633521</v>
      </c>
      <c r="L200" s="13" t="s">
        <v>102</v>
      </c>
      <c r="M200" s="13" t="s">
        <v>103</v>
      </c>
      <c r="N200" s="139" t="s">
        <v>163</v>
      </c>
      <c r="O200" s="139" t="s">
        <v>163</v>
      </c>
      <c r="P200" s="28">
        <v>33</v>
      </c>
      <c r="Q200" s="13" t="s">
        <v>54</v>
      </c>
      <c r="R200" s="13" t="s">
        <v>28</v>
      </c>
      <c r="S200" s="13"/>
      <c r="T200" s="13"/>
      <c r="U200" s="13" t="s">
        <v>1580</v>
      </c>
      <c r="V200" s="13" t="s">
        <v>1580</v>
      </c>
      <c r="W200" s="59">
        <f>+J200/$W$2</f>
        <v>2.2162845588689909E-4</v>
      </c>
    </row>
    <row r="201" spans="1:29">
      <c r="A201" s="13" t="s">
        <v>994</v>
      </c>
      <c r="B201" s="13" t="s">
        <v>538</v>
      </c>
      <c r="C201" s="139">
        <v>46196</v>
      </c>
      <c r="D201" s="139" t="s">
        <v>516</v>
      </c>
      <c r="E201" s="28">
        <v>0.98582042999999997</v>
      </c>
      <c r="F201" s="13"/>
      <c r="G201" s="18">
        <v>10000000</v>
      </c>
      <c r="H201" s="18">
        <v>9858204.3100000005</v>
      </c>
      <c r="I201" s="18">
        <v>10000000</v>
      </c>
      <c r="J201" s="18">
        <v>9858204.3100000005</v>
      </c>
      <c r="K201" s="15">
        <v>29098105</v>
      </c>
      <c r="L201" s="13" t="s">
        <v>102</v>
      </c>
      <c r="M201" s="13" t="s">
        <v>103</v>
      </c>
      <c r="N201" s="139" t="s">
        <v>428</v>
      </c>
      <c r="O201" s="139" t="s">
        <v>428</v>
      </c>
      <c r="P201" s="28">
        <v>35</v>
      </c>
      <c r="Q201" s="13" t="s">
        <v>54</v>
      </c>
      <c r="R201" s="13" t="s">
        <v>28</v>
      </c>
      <c r="S201" s="13"/>
      <c r="T201" s="13"/>
      <c r="U201" s="13" t="s">
        <v>975</v>
      </c>
      <c r="V201" s="13" t="s">
        <v>975</v>
      </c>
      <c r="W201" s="59">
        <f>+J201/$W$2</f>
        <v>2.2144887463526088E-4</v>
      </c>
    </row>
    <row r="202" spans="1:29">
      <c r="A202" s="13" t="s">
        <v>1055</v>
      </c>
      <c r="B202" s="13" t="s">
        <v>538</v>
      </c>
      <c r="C202" s="139">
        <v>46196</v>
      </c>
      <c r="D202" s="139" t="s">
        <v>516</v>
      </c>
      <c r="E202" s="28">
        <v>0.98342995</v>
      </c>
      <c r="F202" s="13"/>
      <c r="G202" s="18">
        <v>130000000</v>
      </c>
      <c r="H202" s="18">
        <v>127845893.51000001</v>
      </c>
      <c r="I202" s="18">
        <v>130000000</v>
      </c>
      <c r="J202" s="18">
        <v>127845893.51000001</v>
      </c>
      <c r="K202" s="15">
        <v>70369601</v>
      </c>
      <c r="L202" s="13" t="s">
        <v>102</v>
      </c>
      <c r="M202" s="13" t="s">
        <v>103</v>
      </c>
      <c r="N202" s="139" t="s">
        <v>366</v>
      </c>
      <c r="O202" s="139" t="s">
        <v>366</v>
      </c>
      <c r="P202" s="28">
        <v>41</v>
      </c>
      <c r="Q202" s="13" t="s">
        <v>54</v>
      </c>
      <c r="R202" s="13" t="s">
        <v>28</v>
      </c>
      <c r="S202" s="13"/>
      <c r="T202" s="13"/>
      <c r="U202" s="13" t="s">
        <v>1042</v>
      </c>
      <c r="V202" s="13" t="s">
        <v>1042</v>
      </c>
      <c r="W202" s="59">
        <f>+J202/$W$2</f>
        <v>2.8718545846945324E-3</v>
      </c>
      <c r="AC202" s="56"/>
    </row>
    <row r="203" spans="1:29">
      <c r="A203" s="13" t="s">
        <v>1165</v>
      </c>
      <c r="B203" s="13" t="s">
        <v>538</v>
      </c>
      <c r="C203" s="139">
        <v>46196</v>
      </c>
      <c r="D203" s="139" t="s">
        <v>516</v>
      </c>
      <c r="E203" s="28">
        <v>0.98462369000000005</v>
      </c>
      <c r="F203" s="13"/>
      <c r="G203" s="18">
        <v>3926635.97</v>
      </c>
      <c r="H203" s="18">
        <v>3866258.79</v>
      </c>
      <c r="I203" s="18">
        <v>3926635.97</v>
      </c>
      <c r="J203" s="18">
        <v>3866258.79</v>
      </c>
      <c r="K203" s="15">
        <v>79398447</v>
      </c>
      <c r="L203" s="13" t="s">
        <v>102</v>
      </c>
      <c r="M203" s="13" t="s">
        <v>103</v>
      </c>
      <c r="N203" s="139" t="s">
        <v>344</v>
      </c>
      <c r="O203" s="139" t="s">
        <v>344</v>
      </c>
      <c r="P203" s="28">
        <v>38</v>
      </c>
      <c r="Q203" s="13" t="s">
        <v>54</v>
      </c>
      <c r="R203" s="13" t="s">
        <v>28</v>
      </c>
      <c r="S203" s="13"/>
      <c r="T203" s="13"/>
      <c r="U203" s="13" t="s">
        <v>1129</v>
      </c>
      <c r="V203" s="13" t="s">
        <v>1129</v>
      </c>
      <c r="W203" s="59">
        <f>+J203/$W$2</f>
        <v>8.6849352191422098E-5</v>
      </c>
      <c r="AC203" s="56"/>
    </row>
    <row r="204" spans="1:29">
      <c r="A204" s="13" t="s">
        <v>539</v>
      </c>
      <c r="B204" s="13" t="s">
        <v>538</v>
      </c>
      <c r="C204" s="139">
        <v>46196</v>
      </c>
      <c r="D204" s="139" t="s">
        <v>516</v>
      </c>
      <c r="E204" s="28">
        <v>0.98582042999999997</v>
      </c>
      <c r="F204" s="13"/>
      <c r="G204" s="18">
        <v>10000000</v>
      </c>
      <c r="H204" s="18">
        <v>9858204.3100000005</v>
      </c>
      <c r="I204" s="18">
        <v>10000000</v>
      </c>
      <c r="J204" s="18">
        <v>9858204.3100000005</v>
      </c>
      <c r="K204" s="15">
        <v>385</v>
      </c>
      <c r="L204" s="13" t="s">
        <v>102</v>
      </c>
      <c r="M204" s="13" t="s">
        <v>103</v>
      </c>
      <c r="N204" s="139" t="s">
        <v>428</v>
      </c>
      <c r="O204" s="139" t="s">
        <v>428</v>
      </c>
      <c r="P204" s="28">
        <v>35</v>
      </c>
      <c r="Q204" s="13" t="s">
        <v>54</v>
      </c>
      <c r="R204" s="13" t="s">
        <v>28</v>
      </c>
      <c r="S204" s="13"/>
      <c r="T204" s="13"/>
      <c r="U204" s="13" t="s">
        <v>960</v>
      </c>
      <c r="V204" s="13" t="s">
        <v>960</v>
      </c>
      <c r="W204" s="59">
        <f>+J204/$W$2</f>
        <v>2.2144887463526088E-4</v>
      </c>
    </row>
    <row r="205" spans="1:29">
      <c r="A205" s="13" t="s">
        <v>375</v>
      </c>
      <c r="B205" s="13" t="s">
        <v>538</v>
      </c>
      <c r="C205" s="139">
        <v>46196</v>
      </c>
      <c r="D205" s="139" t="s">
        <v>516</v>
      </c>
      <c r="E205" s="28">
        <v>0.98303258999999998</v>
      </c>
      <c r="F205" s="13"/>
      <c r="G205" s="18">
        <v>14350000</v>
      </c>
      <c r="H205" s="18">
        <v>14106517.68</v>
      </c>
      <c r="I205" s="18">
        <v>14350000</v>
      </c>
      <c r="J205" s="18">
        <v>14106517.68</v>
      </c>
      <c r="K205" s="15">
        <v>512</v>
      </c>
      <c r="L205" s="13" t="s">
        <v>102</v>
      </c>
      <c r="M205" s="13" t="s">
        <v>103</v>
      </c>
      <c r="N205" s="139" t="s">
        <v>212</v>
      </c>
      <c r="O205" s="139" t="s">
        <v>212</v>
      </c>
      <c r="P205" s="28">
        <v>42</v>
      </c>
      <c r="Q205" s="13" t="s">
        <v>54</v>
      </c>
      <c r="R205" s="13" t="s">
        <v>28</v>
      </c>
      <c r="S205" s="13"/>
      <c r="T205" s="13"/>
      <c r="U205" s="13" t="s">
        <v>372</v>
      </c>
      <c r="V205" s="13" t="s">
        <v>372</v>
      </c>
      <c r="W205" s="59">
        <f>+J205/$W$2</f>
        <v>3.1688047508709126E-4</v>
      </c>
      <c r="AC205" s="56"/>
    </row>
    <row r="206" spans="1:29">
      <c r="A206" s="13" t="s">
        <v>430</v>
      </c>
      <c r="B206" s="13" t="s">
        <v>538</v>
      </c>
      <c r="C206" s="139">
        <v>46196</v>
      </c>
      <c r="D206" s="139" t="s">
        <v>516</v>
      </c>
      <c r="E206" s="28">
        <v>0.98382751000000002</v>
      </c>
      <c r="F206" s="13"/>
      <c r="G206" s="18">
        <v>10000000</v>
      </c>
      <c r="H206" s="18">
        <v>9838275.1400000006</v>
      </c>
      <c r="I206" s="18">
        <v>10000000</v>
      </c>
      <c r="J206" s="18">
        <v>9838275.1400000006</v>
      </c>
      <c r="K206" s="15">
        <v>1343</v>
      </c>
      <c r="L206" s="13" t="s">
        <v>102</v>
      </c>
      <c r="M206" s="13" t="s">
        <v>103</v>
      </c>
      <c r="N206" s="139" t="s">
        <v>302</v>
      </c>
      <c r="O206" s="139" t="s">
        <v>302</v>
      </c>
      <c r="P206" s="28">
        <v>40</v>
      </c>
      <c r="Q206" s="13" t="s">
        <v>54</v>
      </c>
      <c r="R206" s="13" t="s">
        <v>28</v>
      </c>
      <c r="S206" s="13"/>
      <c r="T206" s="13"/>
      <c r="U206" s="13" t="s">
        <v>436</v>
      </c>
      <c r="V206" s="13" t="s">
        <v>436</v>
      </c>
      <c r="W206" s="59">
        <f>+J206/$W$2</f>
        <v>2.2100119754010897E-4</v>
      </c>
    </row>
    <row r="207" spans="1:29">
      <c r="A207" s="13" t="s">
        <v>1054</v>
      </c>
      <c r="B207" s="13" t="s">
        <v>538</v>
      </c>
      <c r="C207" s="139">
        <v>46196</v>
      </c>
      <c r="D207" s="139" t="s">
        <v>516</v>
      </c>
      <c r="E207" s="28">
        <v>0.98942808000000004</v>
      </c>
      <c r="F207" s="13"/>
      <c r="G207" s="18">
        <v>10000000</v>
      </c>
      <c r="H207" s="18">
        <v>9894280.7599999998</v>
      </c>
      <c r="I207" s="18">
        <v>10000000</v>
      </c>
      <c r="J207" s="18">
        <v>9894280.7599999998</v>
      </c>
      <c r="K207" s="15">
        <v>1742532</v>
      </c>
      <c r="L207" s="13" t="s">
        <v>102</v>
      </c>
      <c r="M207" s="13" t="s">
        <v>103</v>
      </c>
      <c r="N207" s="139" t="s">
        <v>366</v>
      </c>
      <c r="O207" s="139" t="s">
        <v>366</v>
      </c>
      <c r="P207" s="28">
        <v>26</v>
      </c>
      <c r="Q207" s="13" t="s">
        <v>54</v>
      </c>
      <c r="R207" s="13" t="s">
        <v>28</v>
      </c>
      <c r="S207" s="13"/>
      <c r="T207" s="13"/>
      <c r="U207" s="13" t="s">
        <v>1030</v>
      </c>
      <c r="V207" s="13" t="s">
        <v>1030</v>
      </c>
      <c r="W207" s="59">
        <f>+J207/$W$2</f>
        <v>2.2225927468400312E-4</v>
      </c>
    </row>
    <row r="208" spans="1:29">
      <c r="A208" s="13" t="s">
        <v>639</v>
      </c>
      <c r="B208" s="13" t="s">
        <v>538</v>
      </c>
      <c r="C208" s="139">
        <v>46196</v>
      </c>
      <c r="D208" s="139" t="s">
        <v>516</v>
      </c>
      <c r="E208" s="28">
        <v>0.98822259999999995</v>
      </c>
      <c r="F208" s="13"/>
      <c r="G208" s="18">
        <v>12500000</v>
      </c>
      <c r="H208" s="18">
        <v>12352782.539999999</v>
      </c>
      <c r="I208" s="18">
        <v>12500000</v>
      </c>
      <c r="J208" s="18">
        <v>12352782.539999999</v>
      </c>
      <c r="K208" s="15">
        <v>28996522</v>
      </c>
      <c r="L208" s="13" t="s">
        <v>102</v>
      </c>
      <c r="M208" s="13" t="s">
        <v>103</v>
      </c>
      <c r="N208" s="139" t="s">
        <v>155</v>
      </c>
      <c r="O208" s="139" t="s">
        <v>155</v>
      </c>
      <c r="P208" s="28">
        <v>29</v>
      </c>
      <c r="Q208" s="13" t="s">
        <v>54</v>
      </c>
      <c r="R208" s="13" t="s">
        <v>28</v>
      </c>
      <c r="S208" s="13"/>
      <c r="T208" s="13"/>
      <c r="U208" s="13" t="s">
        <v>616</v>
      </c>
      <c r="V208" s="13" t="s">
        <v>616</v>
      </c>
      <c r="W208" s="59">
        <f>+J208/$W$2</f>
        <v>2.7748560549939536E-4</v>
      </c>
    </row>
    <row r="209" spans="1:29">
      <c r="A209" s="13" t="s">
        <v>338</v>
      </c>
      <c r="B209" s="13" t="s">
        <v>538</v>
      </c>
      <c r="C209" s="139">
        <v>46196</v>
      </c>
      <c r="D209" s="139" t="s">
        <v>516</v>
      </c>
      <c r="E209" s="28">
        <v>0.98782141000000001</v>
      </c>
      <c r="F209" s="13"/>
      <c r="G209" s="18">
        <v>17098333</v>
      </c>
      <c r="H209" s="18">
        <v>16890099.449999999</v>
      </c>
      <c r="I209" s="18">
        <v>17098333</v>
      </c>
      <c r="J209" s="18">
        <v>16890099.449999999</v>
      </c>
      <c r="K209" s="15">
        <v>1535</v>
      </c>
      <c r="L209" s="13" t="s">
        <v>102</v>
      </c>
      <c r="M209" s="13" t="s">
        <v>103</v>
      </c>
      <c r="N209" s="139" t="s">
        <v>428</v>
      </c>
      <c r="O209" s="139" t="s">
        <v>428</v>
      </c>
      <c r="P209" s="28">
        <v>30</v>
      </c>
      <c r="Q209" s="13" t="s">
        <v>54</v>
      </c>
      <c r="R209" s="13" t="s">
        <v>28</v>
      </c>
      <c r="S209" s="13"/>
      <c r="T209" s="13"/>
      <c r="U209" s="13" t="s">
        <v>967</v>
      </c>
      <c r="V209" s="13" t="s">
        <v>967</v>
      </c>
      <c r="W209" s="59">
        <f>+J209/$W$2</f>
        <v>3.7940921064965612E-4</v>
      </c>
      <c r="AC209" s="56"/>
    </row>
    <row r="210" spans="1:29">
      <c r="A210" s="13" t="s">
        <v>150</v>
      </c>
      <c r="B210" s="13" t="s">
        <v>538</v>
      </c>
      <c r="C210" s="139">
        <v>46196</v>
      </c>
      <c r="D210" s="139" t="s">
        <v>516</v>
      </c>
      <c r="E210" s="28">
        <v>0.98862410000000001</v>
      </c>
      <c r="F210" s="13"/>
      <c r="G210" s="18">
        <v>50000000</v>
      </c>
      <c r="H210" s="18">
        <v>49431205.009999998</v>
      </c>
      <c r="I210" s="18">
        <v>50000000</v>
      </c>
      <c r="J210" s="18">
        <v>49431205.009999998</v>
      </c>
      <c r="K210" s="15">
        <v>4634</v>
      </c>
      <c r="L210" s="13" t="s">
        <v>102</v>
      </c>
      <c r="M210" s="13" t="s">
        <v>103</v>
      </c>
      <c r="N210" s="139" t="s">
        <v>367</v>
      </c>
      <c r="O210" s="139" t="s">
        <v>367</v>
      </c>
      <c r="P210" s="28">
        <v>28</v>
      </c>
      <c r="Q210" s="13" t="s">
        <v>54</v>
      </c>
      <c r="R210" s="13" t="s">
        <v>28</v>
      </c>
      <c r="S210" s="13"/>
      <c r="T210" s="13"/>
      <c r="U210" s="13" t="s">
        <v>1486</v>
      </c>
      <c r="V210" s="13" t="s">
        <v>1486</v>
      </c>
      <c r="W210" s="59">
        <f>+J210/$W$2</f>
        <v>1.1103933715621449E-3</v>
      </c>
    </row>
    <row r="211" spans="1:29">
      <c r="A211" s="13" t="s">
        <v>444</v>
      </c>
      <c r="B211" s="13" t="s">
        <v>538</v>
      </c>
      <c r="C211" s="139">
        <v>46196</v>
      </c>
      <c r="D211" s="139" t="s">
        <v>516</v>
      </c>
      <c r="E211" s="28">
        <v>0.98342993999999995</v>
      </c>
      <c r="F211" s="13"/>
      <c r="G211" s="18">
        <v>20000000</v>
      </c>
      <c r="H211" s="18">
        <v>19668598.789999999</v>
      </c>
      <c r="I211" s="18">
        <v>20000000</v>
      </c>
      <c r="J211" s="18">
        <v>19668598.789999999</v>
      </c>
      <c r="K211" s="15">
        <v>13318402</v>
      </c>
      <c r="L211" s="13" t="s">
        <v>102</v>
      </c>
      <c r="M211" s="13" t="s">
        <v>103</v>
      </c>
      <c r="N211" s="139" t="s">
        <v>321</v>
      </c>
      <c r="O211" s="139" t="s">
        <v>321</v>
      </c>
      <c r="P211" s="28">
        <v>41</v>
      </c>
      <c r="Q211" s="13" t="s">
        <v>54</v>
      </c>
      <c r="R211" s="13" t="s">
        <v>28</v>
      </c>
      <c r="S211" s="13"/>
      <c r="T211" s="13"/>
      <c r="U211" s="13" t="s">
        <v>567</v>
      </c>
      <c r="V211" s="13" t="s">
        <v>567</v>
      </c>
      <c r="W211" s="59">
        <f>+J211/$W$2</f>
        <v>4.4182377750882229E-4</v>
      </c>
    </row>
    <row r="212" spans="1:29">
      <c r="A212" s="13" t="s">
        <v>138</v>
      </c>
      <c r="B212" s="13" t="s">
        <v>538</v>
      </c>
      <c r="C212" s="139">
        <v>46196</v>
      </c>
      <c r="D212" s="139" t="s">
        <v>516</v>
      </c>
      <c r="E212" s="28">
        <v>0.98502237000000004</v>
      </c>
      <c r="F212" s="13"/>
      <c r="G212" s="18">
        <v>80000000</v>
      </c>
      <c r="H212" s="18">
        <v>78801789.819999993</v>
      </c>
      <c r="I212" s="18">
        <v>80000000</v>
      </c>
      <c r="J212" s="18">
        <v>78801789.819999993</v>
      </c>
      <c r="K212" s="15">
        <v>662</v>
      </c>
      <c r="L212" s="13" t="s">
        <v>102</v>
      </c>
      <c r="M212" s="13" t="s">
        <v>103</v>
      </c>
      <c r="N212" s="139" t="s">
        <v>382</v>
      </c>
      <c r="O212" s="139" t="s">
        <v>382</v>
      </c>
      <c r="P212" s="28">
        <v>37</v>
      </c>
      <c r="Q212" s="13" t="s">
        <v>54</v>
      </c>
      <c r="R212" s="13" t="s">
        <v>28</v>
      </c>
      <c r="S212" s="13"/>
      <c r="T212" s="13"/>
      <c r="U212" s="13" t="s">
        <v>1605</v>
      </c>
      <c r="V212" s="13" t="s">
        <v>1605</v>
      </c>
      <c r="W212" s="59">
        <f>+J212/$W$2</f>
        <v>1.7701568283771301E-3</v>
      </c>
      <c r="AC212" s="56"/>
    </row>
    <row r="213" spans="1:29">
      <c r="A213" s="13" t="s">
        <v>508</v>
      </c>
      <c r="B213" s="13" t="s">
        <v>538</v>
      </c>
      <c r="C213" s="139">
        <v>46196</v>
      </c>
      <c r="D213" s="139" t="s">
        <v>516</v>
      </c>
      <c r="E213" s="28">
        <v>0.98621994999999996</v>
      </c>
      <c r="F213" s="13"/>
      <c r="G213" s="18">
        <v>625000000</v>
      </c>
      <c r="H213" s="18">
        <v>616387471.05999994</v>
      </c>
      <c r="I213" s="18">
        <v>625000000</v>
      </c>
      <c r="J213" s="18">
        <v>616387471.05999994</v>
      </c>
      <c r="K213" s="15">
        <v>148747</v>
      </c>
      <c r="L213" s="13" t="s">
        <v>102</v>
      </c>
      <c r="M213" s="13" t="s">
        <v>103</v>
      </c>
      <c r="N213" s="139" t="s">
        <v>473</v>
      </c>
      <c r="O213" s="139" t="s">
        <v>473</v>
      </c>
      <c r="P213" s="28">
        <v>34</v>
      </c>
      <c r="Q213" s="13" t="s">
        <v>54</v>
      </c>
      <c r="R213" s="13" t="s">
        <v>28</v>
      </c>
      <c r="S213" s="13"/>
      <c r="T213" s="13"/>
      <c r="U213" s="13" t="s">
        <v>1445</v>
      </c>
      <c r="V213" s="13" t="s">
        <v>1445</v>
      </c>
      <c r="W213" s="59">
        <f>+J213/$W$2</f>
        <v>1.3846163815762041E-2</v>
      </c>
    </row>
    <row r="214" spans="1:29">
      <c r="A214" s="13" t="s">
        <v>508</v>
      </c>
      <c r="B214" s="13" t="s">
        <v>538</v>
      </c>
      <c r="C214" s="139">
        <v>46196</v>
      </c>
      <c r="D214" s="139" t="s">
        <v>516</v>
      </c>
      <c r="E214" s="28">
        <v>0.98621994999999996</v>
      </c>
      <c r="F214" s="13"/>
      <c r="G214" s="18">
        <v>625000000</v>
      </c>
      <c r="H214" s="18">
        <v>616387471.05999994</v>
      </c>
      <c r="I214" s="18">
        <v>625000000</v>
      </c>
      <c r="J214" s="18">
        <v>616387471.05999994</v>
      </c>
      <c r="K214" s="15">
        <v>148748</v>
      </c>
      <c r="L214" s="13" t="s">
        <v>102</v>
      </c>
      <c r="M214" s="13" t="s">
        <v>103</v>
      </c>
      <c r="N214" s="139" t="s">
        <v>473</v>
      </c>
      <c r="O214" s="139" t="s">
        <v>473</v>
      </c>
      <c r="P214" s="28">
        <v>34</v>
      </c>
      <c r="Q214" s="13" t="s">
        <v>54</v>
      </c>
      <c r="R214" s="13" t="s">
        <v>28</v>
      </c>
      <c r="S214" s="13"/>
      <c r="T214" s="13"/>
      <c r="U214" s="13" t="s">
        <v>1446</v>
      </c>
      <c r="V214" s="13" t="s">
        <v>1446</v>
      </c>
      <c r="W214" s="59">
        <f>+J214/$W$2</f>
        <v>1.3846163815762041E-2</v>
      </c>
    </row>
    <row r="215" spans="1:29">
      <c r="A215" s="13" t="s">
        <v>210</v>
      </c>
      <c r="B215" s="13" t="s">
        <v>538</v>
      </c>
      <c r="C215" s="139">
        <v>46196</v>
      </c>
      <c r="D215" s="139" t="s">
        <v>516</v>
      </c>
      <c r="E215" s="28">
        <v>0.98902592</v>
      </c>
      <c r="F215" s="13"/>
      <c r="G215" s="18">
        <v>8695148.9399999995</v>
      </c>
      <c r="H215" s="18">
        <v>8599727.7100000009</v>
      </c>
      <c r="I215" s="18">
        <v>8695148.9399999995</v>
      </c>
      <c r="J215" s="18">
        <v>8599727.7100000009</v>
      </c>
      <c r="K215" s="15">
        <v>5812</v>
      </c>
      <c r="L215" s="13" t="s">
        <v>102</v>
      </c>
      <c r="M215" s="13" t="s">
        <v>103</v>
      </c>
      <c r="N215" s="139" t="s">
        <v>152</v>
      </c>
      <c r="O215" s="139" t="s">
        <v>152</v>
      </c>
      <c r="P215" s="28">
        <v>27</v>
      </c>
      <c r="Q215" s="13" t="s">
        <v>54</v>
      </c>
      <c r="R215" s="13" t="s">
        <v>28</v>
      </c>
      <c r="S215" s="13"/>
      <c r="T215" s="13"/>
      <c r="U215" s="13" t="s">
        <v>758</v>
      </c>
      <c r="V215" s="13" t="s">
        <v>758</v>
      </c>
      <c r="W215" s="59">
        <f>+J215/$W$2</f>
        <v>1.9317920015284905E-4</v>
      </c>
    </row>
    <row r="216" spans="1:29">
      <c r="A216" s="13" t="s">
        <v>210</v>
      </c>
      <c r="B216" s="13" t="s">
        <v>538</v>
      </c>
      <c r="C216" s="139">
        <v>46196</v>
      </c>
      <c r="D216" s="139" t="s">
        <v>516</v>
      </c>
      <c r="E216" s="28">
        <v>0.98902592</v>
      </c>
      <c r="F216" s="13"/>
      <c r="G216" s="18">
        <v>9052127.2200000007</v>
      </c>
      <c r="H216" s="18">
        <v>8952788.4700000007</v>
      </c>
      <c r="I216" s="18">
        <v>9052127.2200000007</v>
      </c>
      <c r="J216" s="18">
        <v>8952788.4700000007</v>
      </c>
      <c r="K216" s="15">
        <v>5813</v>
      </c>
      <c r="L216" s="13" t="s">
        <v>102</v>
      </c>
      <c r="M216" s="13" t="s">
        <v>103</v>
      </c>
      <c r="N216" s="139" t="s">
        <v>152</v>
      </c>
      <c r="O216" s="139" t="s">
        <v>152</v>
      </c>
      <c r="P216" s="28">
        <v>27</v>
      </c>
      <c r="Q216" s="13" t="s">
        <v>54</v>
      </c>
      <c r="R216" s="13" t="s">
        <v>28</v>
      </c>
      <c r="S216" s="13"/>
      <c r="T216" s="13"/>
      <c r="U216" s="13" t="s">
        <v>759</v>
      </c>
      <c r="V216" s="13" t="s">
        <v>759</v>
      </c>
      <c r="W216" s="59">
        <f>+J216/$W$2</f>
        <v>2.0111014837843617E-4</v>
      </c>
      <c r="AC216" s="56"/>
    </row>
    <row r="217" spans="1:29">
      <c r="A217" s="13" t="s">
        <v>590</v>
      </c>
      <c r="B217" s="13" t="s">
        <v>538</v>
      </c>
      <c r="C217" s="139">
        <v>46196</v>
      </c>
      <c r="D217" s="139" t="s">
        <v>516</v>
      </c>
      <c r="E217" s="28">
        <v>0.98342989999999997</v>
      </c>
      <c r="F217" s="13"/>
      <c r="G217" s="18">
        <v>10918371.689999999</v>
      </c>
      <c r="H217" s="18">
        <v>10737453.15</v>
      </c>
      <c r="I217" s="18">
        <v>10918371.689999999</v>
      </c>
      <c r="J217" s="18">
        <v>10737453.15</v>
      </c>
      <c r="K217" s="15">
        <v>30460</v>
      </c>
      <c r="L217" s="13" t="s">
        <v>102</v>
      </c>
      <c r="M217" s="13" t="s">
        <v>103</v>
      </c>
      <c r="N217" s="139" t="s">
        <v>231</v>
      </c>
      <c r="O217" s="139" t="s">
        <v>231</v>
      </c>
      <c r="P217" s="28">
        <v>41</v>
      </c>
      <c r="Q217" s="13" t="s">
        <v>54</v>
      </c>
      <c r="R217" s="13" t="s">
        <v>28</v>
      </c>
      <c r="S217" s="13"/>
      <c r="T217" s="13"/>
      <c r="U217" s="13" t="s">
        <v>652</v>
      </c>
      <c r="V217" s="13" t="s">
        <v>652</v>
      </c>
      <c r="W217" s="59">
        <f>+J217/$W$2</f>
        <v>2.4119980087086842E-4</v>
      </c>
      <c r="AC217" s="56"/>
    </row>
    <row r="218" spans="1:29">
      <c r="A218" s="13" t="s">
        <v>145</v>
      </c>
      <c r="B218" s="13" t="s">
        <v>538</v>
      </c>
      <c r="C218" s="139">
        <v>46197</v>
      </c>
      <c r="D218" s="139" t="s">
        <v>516</v>
      </c>
      <c r="E218" s="28">
        <v>0.98446438000000003</v>
      </c>
      <c r="F218" s="13"/>
      <c r="G218" s="18">
        <v>5000000</v>
      </c>
      <c r="H218" s="18">
        <v>4922321.92</v>
      </c>
      <c r="I218" s="18">
        <v>5000000</v>
      </c>
      <c r="J218" s="18">
        <v>4922321.92</v>
      </c>
      <c r="K218" s="15">
        <v>13420541</v>
      </c>
      <c r="L218" s="13" t="s">
        <v>102</v>
      </c>
      <c r="M218" s="13" t="s">
        <v>103</v>
      </c>
      <c r="N218" s="139" t="s">
        <v>363</v>
      </c>
      <c r="O218" s="139" t="s">
        <v>363</v>
      </c>
      <c r="P218" s="28">
        <v>36</v>
      </c>
      <c r="Q218" s="13" t="s">
        <v>54</v>
      </c>
      <c r="R218" s="13" t="s">
        <v>28</v>
      </c>
      <c r="S218" s="13"/>
      <c r="T218" s="13"/>
      <c r="U218" s="13" t="s">
        <v>731</v>
      </c>
      <c r="V218" s="13" t="s">
        <v>731</v>
      </c>
      <c r="W218" s="59">
        <f>+J218/$W$2</f>
        <v>1.1057213012624978E-4</v>
      </c>
    </row>
    <row r="219" spans="1:29">
      <c r="A219" s="13" t="s">
        <v>1913</v>
      </c>
      <c r="B219" s="13" t="s">
        <v>538</v>
      </c>
      <c r="C219" s="139">
        <v>46197</v>
      </c>
      <c r="D219" s="139" t="s">
        <v>516</v>
      </c>
      <c r="E219" s="28">
        <v>0.98702022</v>
      </c>
      <c r="F219" s="13"/>
      <c r="G219" s="18">
        <v>7247198.9699999997</v>
      </c>
      <c r="H219" s="18">
        <v>7153131.9100000001</v>
      </c>
      <c r="I219" s="18">
        <v>7247198.9699999997</v>
      </c>
      <c r="J219" s="18">
        <v>7153131.9100000001</v>
      </c>
      <c r="K219" s="15">
        <v>30076085</v>
      </c>
      <c r="L219" s="13" t="s">
        <v>102</v>
      </c>
      <c r="M219" s="13" t="s">
        <v>103</v>
      </c>
      <c r="N219" s="139" t="s">
        <v>175</v>
      </c>
      <c r="O219" s="139" t="s">
        <v>175</v>
      </c>
      <c r="P219" s="28">
        <v>30</v>
      </c>
      <c r="Q219" s="13" t="s">
        <v>54</v>
      </c>
      <c r="R219" s="13" t="s">
        <v>28</v>
      </c>
      <c r="S219" s="13"/>
      <c r="T219" s="13"/>
      <c r="U219" s="13" t="s">
        <v>1912</v>
      </c>
      <c r="V219" s="13" t="s">
        <v>1912</v>
      </c>
      <c r="W219" s="59">
        <f>+J219/$W$2</f>
        <v>1.6068372715508002E-4</v>
      </c>
    </row>
    <row r="220" spans="1:29">
      <c r="A220" s="13" t="s">
        <v>1447</v>
      </c>
      <c r="B220" s="13" t="s">
        <v>538</v>
      </c>
      <c r="C220" s="139">
        <v>46197</v>
      </c>
      <c r="D220" s="139" t="s">
        <v>516</v>
      </c>
      <c r="E220" s="28">
        <v>0.98702009000000002</v>
      </c>
      <c r="F220" s="13"/>
      <c r="G220" s="18">
        <v>1500000000</v>
      </c>
      <c r="H220" s="18">
        <v>1480530140.55</v>
      </c>
      <c r="I220" s="18">
        <v>1500000000</v>
      </c>
      <c r="J220" s="18">
        <v>1480530140.55</v>
      </c>
      <c r="K220" s="15">
        <v>60854966</v>
      </c>
      <c r="L220" s="13" t="s">
        <v>102</v>
      </c>
      <c r="M220" s="13" t="s">
        <v>103</v>
      </c>
      <c r="N220" s="139" t="s">
        <v>473</v>
      </c>
      <c r="O220" s="139" t="s">
        <v>473</v>
      </c>
      <c r="P220" s="28">
        <v>30</v>
      </c>
      <c r="Q220" s="13" t="s">
        <v>54</v>
      </c>
      <c r="R220" s="13" t="s">
        <v>28</v>
      </c>
      <c r="S220" s="13"/>
      <c r="T220" s="13"/>
      <c r="U220" s="13" t="s">
        <v>1436</v>
      </c>
      <c r="V220" s="13" t="s">
        <v>1436</v>
      </c>
      <c r="W220" s="59">
        <f>+J220/$W$2</f>
        <v>3.3257753965983898E-2</v>
      </c>
    </row>
    <row r="221" spans="1:29">
      <c r="A221" s="13" t="s">
        <v>1459</v>
      </c>
      <c r="B221" s="13" t="s">
        <v>538</v>
      </c>
      <c r="C221" s="139">
        <v>46197</v>
      </c>
      <c r="D221" s="139" t="s">
        <v>516</v>
      </c>
      <c r="E221" s="28">
        <v>0.98488938000000004</v>
      </c>
      <c r="F221" s="13"/>
      <c r="G221" s="18">
        <v>2000000</v>
      </c>
      <c r="H221" s="18">
        <v>1969778.77</v>
      </c>
      <c r="I221" s="18">
        <v>2000000</v>
      </c>
      <c r="J221" s="18">
        <v>1969778.77</v>
      </c>
      <c r="K221" s="15">
        <v>7741</v>
      </c>
      <c r="L221" s="13" t="s">
        <v>102</v>
      </c>
      <c r="M221" s="13" t="s">
        <v>103</v>
      </c>
      <c r="N221" s="139" t="s">
        <v>381</v>
      </c>
      <c r="O221" s="139" t="s">
        <v>381</v>
      </c>
      <c r="P221" s="28">
        <v>35</v>
      </c>
      <c r="Q221" s="13" t="s">
        <v>54</v>
      </c>
      <c r="R221" s="13" t="s">
        <v>28</v>
      </c>
      <c r="S221" s="13"/>
      <c r="T221" s="13"/>
      <c r="U221" s="13" t="s">
        <v>1456</v>
      </c>
      <c r="V221" s="13" t="s">
        <v>1456</v>
      </c>
      <c r="W221" s="59">
        <f>+J221/$W$2</f>
        <v>4.4247945993008976E-5</v>
      </c>
    </row>
    <row r="222" spans="1:29">
      <c r="A222" s="13" t="s">
        <v>1494</v>
      </c>
      <c r="B222" s="13" t="s">
        <v>538</v>
      </c>
      <c r="C222" s="139">
        <v>46197</v>
      </c>
      <c r="D222" s="139" t="s">
        <v>516</v>
      </c>
      <c r="E222" s="28">
        <v>0.98787488000000001</v>
      </c>
      <c r="F222" s="13"/>
      <c r="G222" s="18">
        <v>3665841.29</v>
      </c>
      <c r="H222" s="18">
        <v>3621392.51</v>
      </c>
      <c r="I222" s="18">
        <v>3665841.29</v>
      </c>
      <c r="J222" s="18">
        <v>3621392.51</v>
      </c>
      <c r="K222" s="15">
        <v>13668324</v>
      </c>
      <c r="L222" s="13" t="s">
        <v>102</v>
      </c>
      <c r="M222" s="13" t="s">
        <v>103</v>
      </c>
      <c r="N222" s="139" t="s">
        <v>367</v>
      </c>
      <c r="O222" s="139" t="s">
        <v>367</v>
      </c>
      <c r="P222" s="28">
        <v>28</v>
      </c>
      <c r="Q222" s="13" t="s">
        <v>54</v>
      </c>
      <c r="R222" s="13" t="s">
        <v>28</v>
      </c>
      <c r="S222" s="13"/>
      <c r="T222" s="13"/>
      <c r="U222" s="13" t="s">
        <v>1481</v>
      </c>
      <c r="V222" s="13" t="s">
        <v>1481</v>
      </c>
      <c r="W222" s="59">
        <f>+J222/$W$2</f>
        <v>8.1348820812992723E-5</v>
      </c>
    </row>
    <row r="223" spans="1:29">
      <c r="A223" s="13" t="s">
        <v>1619</v>
      </c>
      <c r="B223" s="13" t="s">
        <v>538</v>
      </c>
      <c r="C223" s="139">
        <v>46197</v>
      </c>
      <c r="D223" s="139" t="s">
        <v>516</v>
      </c>
      <c r="E223" s="28">
        <v>0.98616674999999998</v>
      </c>
      <c r="F223" s="13"/>
      <c r="G223" s="18">
        <v>2000000</v>
      </c>
      <c r="H223" s="18">
        <v>1972333.5</v>
      </c>
      <c r="I223" s="18">
        <v>2000000</v>
      </c>
      <c r="J223" s="18">
        <v>1972333.5</v>
      </c>
      <c r="K223" s="15">
        <v>377</v>
      </c>
      <c r="L223" s="13" t="s">
        <v>102</v>
      </c>
      <c r="M223" s="13" t="s">
        <v>103</v>
      </c>
      <c r="N223" s="139" t="s">
        <v>472</v>
      </c>
      <c r="O223" s="139" t="s">
        <v>472</v>
      </c>
      <c r="P223" s="28">
        <v>32</v>
      </c>
      <c r="Q223" s="13" t="s">
        <v>54</v>
      </c>
      <c r="R223" s="13" t="s">
        <v>28</v>
      </c>
      <c r="S223" s="13"/>
      <c r="T223" s="13"/>
      <c r="U223" s="13" t="s">
        <v>1620</v>
      </c>
      <c r="V223" s="13" t="s">
        <v>1620</v>
      </c>
      <c r="W223" s="59">
        <f>+J223/$W$2</f>
        <v>4.43053339376799E-5</v>
      </c>
    </row>
    <row r="224" spans="1:29">
      <c r="A224" s="13" t="s">
        <v>751</v>
      </c>
      <c r="B224" s="13" t="s">
        <v>538</v>
      </c>
      <c r="C224" s="139">
        <v>46197</v>
      </c>
      <c r="D224" s="139" t="s">
        <v>516</v>
      </c>
      <c r="E224" s="28">
        <v>0.99044829000000001</v>
      </c>
      <c r="F224" s="13"/>
      <c r="G224" s="18">
        <v>4341150</v>
      </c>
      <c r="H224" s="18">
        <v>4299684.5999999996</v>
      </c>
      <c r="I224" s="18">
        <v>4341150</v>
      </c>
      <c r="J224" s="18">
        <v>4299684.5999999996</v>
      </c>
      <c r="K224" s="15">
        <v>9836</v>
      </c>
      <c r="L224" s="13" t="s">
        <v>102</v>
      </c>
      <c r="M224" s="13" t="s">
        <v>103</v>
      </c>
      <c r="N224" s="139" t="s">
        <v>320</v>
      </c>
      <c r="O224" s="139" t="s">
        <v>320</v>
      </c>
      <c r="P224" s="28">
        <v>22</v>
      </c>
      <c r="Q224" s="13" t="s">
        <v>54</v>
      </c>
      <c r="R224" s="13" t="s">
        <v>28</v>
      </c>
      <c r="S224" s="13"/>
      <c r="T224" s="13"/>
      <c r="U224" s="13" t="s">
        <v>742</v>
      </c>
      <c r="V224" s="13" t="s">
        <v>742</v>
      </c>
      <c r="W224" s="59">
        <f>+J224/$W$2</f>
        <v>9.6585573398058497E-5</v>
      </c>
      <c r="AC224" s="56"/>
    </row>
    <row r="225" spans="1:29">
      <c r="A225" s="13" t="s">
        <v>751</v>
      </c>
      <c r="B225" s="13" t="s">
        <v>538</v>
      </c>
      <c r="C225" s="139">
        <v>46197</v>
      </c>
      <c r="D225" s="139" t="s">
        <v>516</v>
      </c>
      <c r="E225" s="28">
        <v>0.98616672999999999</v>
      </c>
      <c r="F225" s="13"/>
      <c r="G225" s="18">
        <v>1659905.2</v>
      </c>
      <c r="H225" s="18">
        <v>1636943.29</v>
      </c>
      <c r="I225" s="18">
        <v>1659905.2</v>
      </c>
      <c r="J225" s="18">
        <v>1636943.29</v>
      </c>
      <c r="K225" s="15">
        <v>9946</v>
      </c>
      <c r="L225" s="13" t="s">
        <v>102</v>
      </c>
      <c r="M225" s="13" t="s">
        <v>103</v>
      </c>
      <c r="N225" s="139" t="s">
        <v>359</v>
      </c>
      <c r="O225" s="139" t="s">
        <v>359</v>
      </c>
      <c r="P225" s="28">
        <v>32</v>
      </c>
      <c r="Q225" s="13" t="s">
        <v>54</v>
      </c>
      <c r="R225" s="13" t="s">
        <v>28</v>
      </c>
      <c r="S225" s="13"/>
      <c r="T225" s="13"/>
      <c r="U225" s="13" t="s">
        <v>1355</v>
      </c>
      <c r="V225" s="13" t="s">
        <v>1355</v>
      </c>
      <c r="W225" s="59">
        <f>+J225/$W$2</f>
        <v>3.6771326502589136E-5</v>
      </c>
    </row>
    <row r="226" spans="1:29">
      <c r="A226" s="13" t="s">
        <v>919</v>
      </c>
      <c r="B226" s="13" t="s">
        <v>538</v>
      </c>
      <c r="C226" s="139">
        <v>46197</v>
      </c>
      <c r="D226" s="139" t="s">
        <v>516</v>
      </c>
      <c r="E226" s="28">
        <v>0.98361542000000002</v>
      </c>
      <c r="F226" s="13"/>
      <c r="G226" s="18">
        <v>3511491.25</v>
      </c>
      <c r="H226" s="18">
        <v>3453956.95</v>
      </c>
      <c r="I226" s="18">
        <v>3511491.25</v>
      </c>
      <c r="J226" s="18">
        <v>3453956.95</v>
      </c>
      <c r="K226" s="15">
        <v>13270632</v>
      </c>
      <c r="L226" s="13" t="s">
        <v>102</v>
      </c>
      <c r="M226" s="13" t="s">
        <v>103</v>
      </c>
      <c r="N226" s="139" t="s">
        <v>378</v>
      </c>
      <c r="O226" s="139" t="s">
        <v>378</v>
      </c>
      <c r="P226" s="28">
        <v>38</v>
      </c>
      <c r="Q226" s="13" t="s">
        <v>54</v>
      </c>
      <c r="R226" s="13" t="s">
        <v>28</v>
      </c>
      <c r="S226" s="13"/>
      <c r="T226" s="13"/>
      <c r="U226" s="13" t="s">
        <v>867</v>
      </c>
      <c r="V226" s="13" t="s">
        <v>867</v>
      </c>
      <c r="W226" s="59">
        <f>+J226/$W$2</f>
        <v>7.7587647360915566E-5</v>
      </c>
    </row>
    <row r="227" spans="1:29">
      <c r="A227" s="13" t="s">
        <v>539</v>
      </c>
      <c r="B227" s="13" t="s">
        <v>538</v>
      </c>
      <c r="C227" s="139">
        <v>46197</v>
      </c>
      <c r="D227" s="139" t="s">
        <v>516</v>
      </c>
      <c r="E227" s="28">
        <v>0.98702003000000005</v>
      </c>
      <c r="F227" s="13"/>
      <c r="G227" s="18">
        <v>10000000</v>
      </c>
      <c r="H227" s="18">
        <v>9870200.2799999993</v>
      </c>
      <c r="I227" s="18">
        <v>10000000</v>
      </c>
      <c r="J227" s="18">
        <v>9870200.2799999993</v>
      </c>
      <c r="K227" s="15">
        <v>516</v>
      </c>
      <c r="L227" s="13" t="s">
        <v>102</v>
      </c>
      <c r="M227" s="13" t="s">
        <v>103</v>
      </c>
      <c r="N227" s="139" t="s">
        <v>163</v>
      </c>
      <c r="O227" s="139" t="s">
        <v>163</v>
      </c>
      <c r="P227" s="28">
        <v>30</v>
      </c>
      <c r="Q227" s="13" t="s">
        <v>54</v>
      </c>
      <c r="R227" s="13" t="s">
        <v>28</v>
      </c>
      <c r="S227" s="13"/>
      <c r="T227" s="13"/>
      <c r="U227" s="13" t="s">
        <v>1591</v>
      </c>
      <c r="V227" s="13" t="s">
        <v>1591</v>
      </c>
      <c r="W227" s="59">
        <f>+J227/$W$2</f>
        <v>2.2171834501476633E-4</v>
      </c>
    </row>
    <row r="228" spans="1:29">
      <c r="A228" s="13" t="s">
        <v>693</v>
      </c>
      <c r="B228" s="13" t="s">
        <v>538</v>
      </c>
      <c r="C228" s="139">
        <v>46197</v>
      </c>
      <c r="D228" s="139" t="s">
        <v>516</v>
      </c>
      <c r="E228" s="28">
        <v>0.98234478000000003</v>
      </c>
      <c r="F228" s="13"/>
      <c r="G228" s="18">
        <v>2000000</v>
      </c>
      <c r="H228" s="18">
        <v>1964689.57</v>
      </c>
      <c r="I228" s="18">
        <v>2000000</v>
      </c>
      <c r="J228" s="18">
        <v>1964689.57</v>
      </c>
      <c r="K228" s="15">
        <v>12384445</v>
      </c>
      <c r="L228" s="13" t="s">
        <v>102</v>
      </c>
      <c r="M228" s="13" t="s">
        <v>103</v>
      </c>
      <c r="N228" s="139" t="s">
        <v>231</v>
      </c>
      <c r="O228" s="139" t="s">
        <v>231</v>
      </c>
      <c r="P228" s="28">
        <v>41</v>
      </c>
      <c r="Q228" s="13" t="s">
        <v>54</v>
      </c>
      <c r="R228" s="13" t="s">
        <v>28</v>
      </c>
      <c r="S228" s="13"/>
      <c r="T228" s="13"/>
      <c r="U228" s="13" t="s">
        <v>667</v>
      </c>
      <c r="V228" s="13" t="s">
        <v>667</v>
      </c>
      <c r="W228" s="59">
        <f>+J228/$W$2</f>
        <v>4.4133625212331856E-5</v>
      </c>
    </row>
    <row r="229" spans="1:29">
      <c r="A229" s="13" t="s">
        <v>339</v>
      </c>
      <c r="B229" s="13" t="s">
        <v>538</v>
      </c>
      <c r="C229" s="139">
        <v>46197</v>
      </c>
      <c r="D229" s="139" t="s">
        <v>516</v>
      </c>
      <c r="E229" s="28">
        <v>0.98702005999999998</v>
      </c>
      <c r="F229" s="13"/>
      <c r="G229" s="18">
        <v>3500000</v>
      </c>
      <c r="H229" s="18">
        <v>3454570.23</v>
      </c>
      <c r="I229" s="18">
        <v>3500000</v>
      </c>
      <c r="J229" s="18">
        <v>3454570.23</v>
      </c>
      <c r="K229" s="15">
        <v>325</v>
      </c>
      <c r="L229" s="13" t="s">
        <v>102</v>
      </c>
      <c r="M229" s="13" t="s">
        <v>103</v>
      </c>
      <c r="N229" s="139" t="s">
        <v>319</v>
      </c>
      <c r="O229" s="139" t="s">
        <v>319</v>
      </c>
      <c r="P229" s="28">
        <v>30</v>
      </c>
      <c r="Q229" s="13" t="s">
        <v>54</v>
      </c>
      <c r="R229" s="13" t="s">
        <v>28</v>
      </c>
      <c r="S229" s="13"/>
      <c r="T229" s="13"/>
      <c r="U229" s="13" t="s">
        <v>709</v>
      </c>
      <c r="V229" s="13" t="s">
        <v>709</v>
      </c>
      <c r="W229" s="59">
        <f>+J229/$W$2</f>
        <v>7.7601423720338199E-5</v>
      </c>
    </row>
    <row r="230" spans="1:29">
      <c r="A230" s="13" t="s">
        <v>339</v>
      </c>
      <c r="B230" s="13" t="s">
        <v>538</v>
      </c>
      <c r="C230" s="139">
        <v>46197</v>
      </c>
      <c r="D230" s="139" t="s">
        <v>516</v>
      </c>
      <c r="E230" s="28">
        <v>0.98787488999999995</v>
      </c>
      <c r="F230" s="13"/>
      <c r="G230" s="18">
        <v>9000000</v>
      </c>
      <c r="H230" s="18">
        <v>8890873.9700000007</v>
      </c>
      <c r="I230" s="18">
        <v>9000000</v>
      </c>
      <c r="J230" s="18">
        <v>8890873.9700000007</v>
      </c>
      <c r="K230" s="15">
        <v>66179070</v>
      </c>
      <c r="L230" s="13" t="s">
        <v>102</v>
      </c>
      <c r="M230" s="13" t="s">
        <v>103</v>
      </c>
      <c r="N230" s="139" t="s">
        <v>152</v>
      </c>
      <c r="O230" s="139" t="s">
        <v>152</v>
      </c>
      <c r="P230" s="28">
        <v>28</v>
      </c>
      <c r="Q230" s="13" t="s">
        <v>54</v>
      </c>
      <c r="R230" s="13" t="s">
        <v>28</v>
      </c>
      <c r="S230" s="13"/>
      <c r="T230" s="13"/>
      <c r="U230" s="13" t="s">
        <v>770</v>
      </c>
      <c r="V230" s="13" t="s">
        <v>770</v>
      </c>
      <c r="W230" s="59">
        <f>+J230/$W$2</f>
        <v>1.997193376468411E-4</v>
      </c>
    </row>
    <row r="231" spans="1:29">
      <c r="A231" s="13" t="s">
        <v>1054</v>
      </c>
      <c r="B231" s="13" t="s">
        <v>538</v>
      </c>
      <c r="C231" s="139">
        <v>46197</v>
      </c>
      <c r="D231" s="139" t="s">
        <v>516</v>
      </c>
      <c r="E231" s="28">
        <v>0.98873120000000003</v>
      </c>
      <c r="F231" s="13"/>
      <c r="G231" s="18">
        <v>10000000</v>
      </c>
      <c r="H231" s="18">
        <v>9887312.0399999991</v>
      </c>
      <c r="I231" s="18">
        <v>10000000</v>
      </c>
      <c r="J231" s="18">
        <v>9887312.0399999991</v>
      </c>
      <c r="K231" s="15">
        <v>1742533</v>
      </c>
      <c r="L231" s="13" t="s">
        <v>102</v>
      </c>
      <c r="M231" s="13" t="s">
        <v>103</v>
      </c>
      <c r="N231" s="139" t="s">
        <v>366</v>
      </c>
      <c r="O231" s="139" t="s">
        <v>366</v>
      </c>
      <c r="P231" s="28">
        <v>26</v>
      </c>
      <c r="Q231" s="13" t="s">
        <v>54</v>
      </c>
      <c r="R231" s="13" t="s">
        <v>28</v>
      </c>
      <c r="S231" s="13"/>
      <c r="T231" s="13"/>
      <c r="U231" s="13" t="s">
        <v>1034</v>
      </c>
      <c r="V231" s="13" t="s">
        <v>1034</v>
      </c>
      <c r="W231" s="59">
        <f>+J231/$W$2</f>
        <v>2.2210273347699212E-4</v>
      </c>
    </row>
    <row r="232" spans="1:29">
      <c r="A232" s="13" t="s">
        <v>338</v>
      </c>
      <c r="B232" s="13" t="s">
        <v>538</v>
      </c>
      <c r="C232" s="139">
        <v>46197</v>
      </c>
      <c r="D232" s="139" t="s">
        <v>516</v>
      </c>
      <c r="E232" s="28">
        <v>0.98702003000000005</v>
      </c>
      <c r="F232" s="13"/>
      <c r="G232" s="18">
        <v>14133915</v>
      </c>
      <c r="H232" s="18">
        <v>13950457.140000001</v>
      </c>
      <c r="I232" s="18">
        <v>14133915</v>
      </c>
      <c r="J232" s="18">
        <v>13950457.140000001</v>
      </c>
      <c r="K232" s="15">
        <v>1534</v>
      </c>
      <c r="L232" s="13" t="s">
        <v>102</v>
      </c>
      <c r="M232" s="13" t="s">
        <v>103</v>
      </c>
      <c r="N232" s="139" t="s">
        <v>428</v>
      </c>
      <c r="O232" s="139" t="s">
        <v>428</v>
      </c>
      <c r="P232" s="28">
        <v>30</v>
      </c>
      <c r="Q232" s="13" t="s">
        <v>54</v>
      </c>
      <c r="R232" s="13" t="s">
        <v>28</v>
      </c>
      <c r="S232" s="13"/>
      <c r="T232" s="13"/>
      <c r="U232" s="13" t="s">
        <v>962</v>
      </c>
      <c r="V232" s="13" t="s">
        <v>962</v>
      </c>
      <c r="W232" s="59">
        <f>+J232/$W$2</f>
        <v>3.1337482336075056E-4</v>
      </c>
    </row>
    <row r="233" spans="1:29">
      <c r="A233" s="13" t="s">
        <v>338</v>
      </c>
      <c r="B233" s="13" t="s">
        <v>538</v>
      </c>
      <c r="C233" s="139">
        <v>46197</v>
      </c>
      <c r="D233" s="139" t="s">
        <v>516</v>
      </c>
      <c r="E233" s="28">
        <v>0.98702002</v>
      </c>
      <c r="F233" s="13"/>
      <c r="G233" s="18">
        <v>17348580</v>
      </c>
      <c r="H233" s="18">
        <v>17123395.850000001</v>
      </c>
      <c r="I233" s="18">
        <v>17348580</v>
      </c>
      <c r="J233" s="18">
        <v>17123395.850000001</v>
      </c>
      <c r="K233" s="15">
        <v>1493</v>
      </c>
      <c r="L233" s="13" t="s">
        <v>102</v>
      </c>
      <c r="M233" s="13" t="s">
        <v>103</v>
      </c>
      <c r="N233" s="139" t="s">
        <v>428</v>
      </c>
      <c r="O233" s="139" t="s">
        <v>428</v>
      </c>
      <c r="P233" s="28">
        <v>30</v>
      </c>
      <c r="Q233" s="13" t="s">
        <v>54</v>
      </c>
      <c r="R233" s="13" t="s">
        <v>28</v>
      </c>
      <c r="S233" s="13"/>
      <c r="T233" s="13"/>
      <c r="U233" s="13" t="s">
        <v>970</v>
      </c>
      <c r="V233" s="13" t="s">
        <v>970</v>
      </c>
      <c r="W233" s="59">
        <f>+J233/$W$2</f>
        <v>3.8464984308248694E-4</v>
      </c>
    </row>
    <row r="234" spans="1:29">
      <c r="A234" s="13" t="s">
        <v>444</v>
      </c>
      <c r="B234" s="13" t="s">
        <v>538</v>
      </c>
      <c r="C234" s="139">
        <v>46197</v>
      </c>
      <c r="D234" s="139" t="s">
        <v>516</v>
      </c>
      <c r="E234" s="28">
        <v>0.98234474999999999</v>
      </c>
      <c r="F234" s="13"/>
      <c r="G234" s="18">
        <v>20000000</v>
      </c>
      <c r="H234" s="18">
        <v>19646895.059999999</v>
      </c>
      <c r="I234" s="18">
        <v>20000000</v>
      </c>
      <c r="J234" s="18">
        <v>19646895.059999999</v>
      </c>
      <c r="K234" s="15">
        <v>13318403</v>
      </c>
      <c r="L234" s="13" t="s">
        <v>102</v>
      </c>
      <c r="M234" s="13" t="s">
        <v>103</v>
      </c>
      <c r="N234" s="139" t="s">
        <v>321</v>
      </c>
      <c r="O234" s="139" t="s">
        <v>321</v>
      </c>
      <c r="P234" s="28">
        <v>41</v>
      </c>
      <c r="Q234" s="13" t="s">
        <v>54</v>
      </c>
      <c r="R234" s="13" t="s">
        <v>28</v>
      </c>
      <c r="S234" s="13"/>
      <c r="T234" s="13"/>
      <c r="U234" s="13" t="s">
        <v>568</v>
      </c>
      <c r="V234" s="13" t="s">
        <v>568</v>
      </c>
      <c r="W234" s="59">
        <f>+J234/$W$2</f>
        <v>4.4133623774673681E-4</v>
      </c>
    </row>
    <row r="235" spans="1:29">
      <c r="A235" s="13" t="s">
        <v>992</v>
      </c>
      <c r="B235" s="13" t="s">
        <v>538</v>
      </c>
      <c r="C235" s="139">
        <v>46197</v>
      </c>
      <c r="D235" s="139" t="s">
        <v>516</v>
      </c>
      <c r="E235" s="28">
        <v>0.98488938000000004</v>
      </c>
      <c r="F235" s="13"/>
      <c r="G235" s="18">
        <v>5450000</v>
      </c>
      <c r="H235" s="18">
        <v>5367647.13</v>
      </c>
      <c r="I235" s="18">
        <v>5450000</v>
      </c>
      <c r="J235" s="18">
        <v>5367647.13</v>
      </c>
      <c r="K235" s="15">
        <v>6921</v>
      </c>
      <c r="L235" s="13" t="s">
        <v>102</v>
      </c>
      <c r="M235" s="13" t="s">
        <v>103</v>
      </c>
      <c r="N235" s="139" t="s">
        <v>428</v>
      </c>
      <c r="O235" s="139" t="s">
        <v>428</v>
      </c>
      <c r="P235" s="28">
        <v>35</v>
      </c>
      <c r="Q235" s="13" t="s">
        <v>54</v>
      </c>
      <c r="R235" s="13" t="s">
        <v>28</v>
      </c>
      <c r="S235" s="13"/>
      <c r="T235" s="13"/>
      <c r="U235" s="13" t="s">
        <v>977</v>
      </c>
      <c r="V235" s="13" t="s">
        <v>977</v>
      </c>
      <c r="W235" s="59">
        <f>+J235/$W$2</f>
        <v>1.2057565242099225E-4</v>
      </c>
    </row>
    <row r="236" spans="1:29">
      <c r="A236" s="13" t="s">
        <v>993</v>
      </c>
      <c r="B236" s="13" t="s">
        <v>538</v>
      </c>
      <c r="C236" s="139">
        <v>46197</v>
      </c>
      <c r="D236" s="139" t="s">
        <v>516</v>
      </c>
      <c r="E236" s="28">
        <v>0.98744728000000004</v>
      </c>
      <c r="F236" s="13"/>
      <c r="G236" s="18">
        <v>50000000</v>
      </c>
      <c r="H236" s="18">
        <v>49372363.82</v>
      </c>
      <c r="I236" s="18">
        <v>50000000</v>
      </c>
      <c r="J236" s="18">
        <v>49372363.82</v>
      </c>
      <c r="K236" s="15">
        <v>147633</v>
      </c>
      <c r="L236" s="13" t="s">
        <v>102</v>
      </c>
      <c r="M236" s="13" t="s">
        <v>103</v>
      </c>
      <c r="N236" s="139" t="s">
        <v>161</v>
      </c>
      <c r="O236" s="139" t="s">
        <v>161</v>
      </c>
      <c r="P236" s="28">
        <v>29</v>
      </c>
      <c r="Q236" s="13" t="s">
        <v>54</v>
      </c>
      <c r="R236" s="13" t="s">
        <v>28</v>
      </c>
      <c r="S236" s="13"/>
      <c r="T236" s="13"/>
      <c r="U236" s="13" t="s">
        <v>1275</v>
      </c>
      <c r="V236" s="13" t="s">
        <v>1275</v>
      </c>
      <c r="W236" s="59">
        <f>+J236/$W$2</f>
        <v>1.1090715978498186E-3</v>
      </c>
    </row>
    <row r="237" spans="1:29">
      <c r="A237" s="13" t="s">
        <v>339</v>
      </c>
      <c r="B237" s="13" t="s">
        <v>538</v>
      </c>
      <c r="C237" s="139">
        <v>46197</v>
      </c>
      <c r="D237" s="139" t="s">
        <v>516</v>
      </c>
      <c r="E237" s="28">
        <v>0.98744728000000004</v>
      </c>
      <c r="F237" s="13"/>
      <c r="G237" s="18">
        <v>11000000</v>
      </c>
      <c r="H237" s="18">
        <v>10861920.029999999</v>
      </c>
      <c r="I237" s="18">
        <v>11000000</v>
      </c>
      <c r="J237" s="18">
        <v>10861920.029999999</v>
      </c>
      <c r="K237" s="15">
        <v>9798601</v>
      </c>
      <c r="L237" s="13" t="s">
        <v>102</v>
      </c>
      <c r="M237" s="13" t="s">
        <v>103</v>
      </c>
      <c r="N237" s="139" t="s">
        <v>161</v>
      </c>
      <c r="O237" s="139" t="s">
        <v>161</v>
      </c>
      <c r="P237" s="28">
        <v>29</v>
      </c>
      <c r="Q237" s="13" t="s">
        <v>54</v>
      </c>
      <c r="R237" s="13" t="s">
        <v>28</v>
      </c>
      <c r="S237" s="13"/>
      <c r="T237" s="13"/>
      <c r="U237" s="13" t="s">
        <v>1269</v>
      </c>
      <c r="V237" s="13" t="s">
        <v>1269</v>
      </c>
      <c r="W237" s="59">
        <f>+J237/$W$2</f>
        <v>2.4399575129334063E-4</v>
      </c>
    </row>
    <row r="238" spans="1:29">
      <c r="A238" s="13" t="s">
        <v>339</v>
      </c>
      <c r="B238" s="13" t="s">
        <v>538</v>
      </c>
      <c r="C238" s="139">
        <v>46197</v>
      </c>
      <c r="D238" s="139" t="s">
        <v>516</v>
      </c>
      <c r="E238" s="28">
        <v>0.98744732000000002</v>
      </c>
      <c r="F238" s="13"/>
      <c r="G238" s="18">
        <v>4166666.66</v>
      </c>
      <c r="H238" s="18">
        <v>4114363.84</v>
      </c>
      <c r="I238" s="18">
        <v>4166666.66</v>
      </c>
      <c r="J238" s="18">
        <v>4114363.84</v>
      </c>
      <c r="K238" s="15">
        <v>13567711</v>
      </c>
      <c r="L238" s="13" t="s">
        <v>102</v>
      </c>
      <c r="M238" s="13" t="s">
        <v>103</v>
      </c>
      <c r="N238" s="139" t="s">
        <v>359</v>
      </c>
      <c r="O238" s="139" t="s">
        <v>359</v>
      </c>
      <c r="P238" s="28">
        <v>29</v>
      </c>
      <c r="Q238" s="13" t="s">
        <v>54</v>
      </c>
      <c r="R238" s="13" t="s">
        <v>28</v>
      </c>
      <c r="S238" s="13"/>
      <c r="T238" s="13"/>
      <c r="U238" s="13" t="s">
        <v>1341</v>
      </c>
      <c r="V238" s="13" t="s">
        <v>1341</v>
      </c>
      <c r="W238" s="59">
        <f>+J238/$W$2</f>
        <v>9.2422637384760223E-5</v>
      </c>
    </row>
    <row r="239" spans="1:29">
      <c r="A239" s="13" t="s">
        <v>339</v>
      </c>
      <c r="B239" s="13" t="s">
        <v>538</v>
      </c>
      <c r="C239" s="139">
        <v>46197</v>
      </c>
      <c r="D239" s="139" t="s">
        <v>516</v>
      </c>
      <c r="E239" s="28">
        <v>0.98744732000000002</v>
      </c>
      <c r="F239" s="13"/>
      <c r="G239" s="18">
        <v>10000000</v>
      </c>
      <c r="H239" s="18">
        <v>9874473.2200000007</v>
      </c>
      <c r="I239" s="18">
        <v>10000000</v>
      </c>
      <c r="J239" s="18">
        <v>9874473.2200000007</v>
      </c>
      <c r="K239" s="15">
        <v>66581649</v>
      </c>
      <c r="L239" s="13" t="s">
        <v>102</v>
      </c>
      <c r="M239" s="13" t="s">
        <v>103</v>
      </c>
      <c r="N239" s="139" t="s">
        <v>359</v>
      </c>
      <c r="O239" s="139" t="s">
        <v>359</v>
      </c>
      <c r="P239" s="28">
        <v>29</v>
      </c>
      <c r="Q239" s="13" t="s">
        <v>54</v>
      </c>
      <c r="R239" s="13" t="s">
        <v>28</v>
      </c>
      <c r="S239" s="13"/>
      <c r="T239" s="13"/>
      <c r="U239" s="13" t="s">
        <v>1342</v>
      </c>
      <c r="V239" s="13" t="s">
        <v>1342</v>
      </c>
      <c r="W239" s="59">
        <f>+J239/$W$2</f>
        <v>2.218143298132782E-4</v>
      </c>
    </row>
    <row r="240" spans="1:29">
      <c r="A240" s="13" t="s">
        <v>339</v>
      </c>
      <c r="B240" s="13" t="s">
        <v>538</v>
      </c>
      <c r="C240" s="139">
        <v>46197</v>
      </c>
      <c r="D240" s="139" t="s">
        <v>516</v>
      </c>
      <c r="E240" s="28">
        <v>0.98744732000000002</v>
      </c>
      <c r="F240" s="13"/>
      <c r="G240" s="18">
        <v>10000000</v>
      </c>
      <c r="H240" s="18">
        <v>9874473.2200000007</v>
      </c>
      <c r="I240" s="18">
        <v>10000000</v>
      </c>
      <c r="J240" s="18">
        <v>9874473.2200000007</v>
      </c>
      <c r="K240" s="15">
        <v>66581682</v>
      </c>
      <c r="L240" s="13" t="s">
        <v>102</v>
      </c>
      <c r="M240" s="13" t="s">
        <v>103</v>
      </c>
      <c r="N240" s="139" t="s">
        <v>359</v>
      </c>
      <c r="O240" s="139" t="s">
        <v>359</v>
      </c>
      <c r="P240" s="28">
        <v>29</v>
      </c>
      <c r="Q240" s="13" t="s">
        <v>54</v>
      </c>
      <c r="R240" s="13" t="s">
        <v>28</v>
      </c>
      <c r="S240" s="13"/>
      <c r="T240" s="13"/>
      <c r="U240" s="13" t="s">
        <v>1344</v>
      </c>
      <c r="V240" s="13" t="s">
        <v>1344</v>
      </c>
      <c r="W240" s="59">
        <f>+J240/$W$2</f>
        <v>2.218143298132782E-4</v>
      </c>
      <c r="AC240" s="56"/>
    </row>
    <row r="241" spans="1:23">
      <c r="A241" s="13" t="s">
        <v>210</v>
      </c>
      <c r="B241" s="13" t="s">
        <v>538</v>
      </c>
      <c r="C241" s="139">
        <v>46197</v>
      </c>
      <c r="D241" s="139" t="s">
        <v>516</v>
      </c>
      <c r="E241" s="28">
        <v>0.98830286000000001</v>
      </c>
      <c r="F241" s="13"/>
      <c r="G241" s="18">
        <v>14148617.74</v>
      </c>
      <c r="H241" s="18">
        <v>13983119.359999999</v>
      </c>
      <c r="I241" s="18">
        <v>14148617.74</v>
      </c>
      <c r="J241" s="18">
        <v>13983119.359999999</v>
      </c>
      <c r="K241" s="15">
        <v>5814</v>
      </c>
      <c r="L241" s="13" t="s">
        <v>102</v>
      </c>
      <c r="M241" s="13" t="s">
        <v>103</v>
      </c>
      <c r="N241" s="139" t="s">
        <v>152</v>
      </c>
      <c r="O241" s="139" t="s">
        <v>152</v>
      </c>
      <c r="P241" s="28">
        <v>27</v>
      </c>
      <c r="Q241" s="13" t="s">
        <v>54</v>
      </c>
      <c r="R241" s="13" t="s">
        <v>28</v>
      </c>
      <c r="S241" s="13"/>
      <c r="T241" s="13"/>
      <c r="U241" s="13" t="s">
        <v>760</v>
      </c>
      <c r="V241" s="13" t="s">
        <v>760</v>
      </c>
      <c r="W241" s="59">
        <f>+J241/$W$2</f>
        <v>3.1410852816485491E-4</v>
      </c>
    </row>
    <row r="242" spans="1:23">
      <c r="A242" s="13" t="s">
        <v>590</v>
      </c>
      <c r="B242" s="13" t="s">
        <v>538</v>
      </c>
      <c r="C242" s="139">
        <v>46197</v>
      </c>
      <c r="D242" s="139" t="s">
        <v>516</v>
      </c>
      <c r="E242" s="28">
        <v>0.98234478000000003</v>
      </c>
      <c r="F242" s="13"/>
      <c r="G242" s="18">
        <v>10918371.689999999</v>
      </c>
      <c r="H242" s="18">
        <v>10725605.460000001</v>
      </c>
      <c r="I242" s="18">
        <v>10918371.689999999</v>
      </c>
      <c r="J242" s="18">
        <v>10725605.460000001</v>
      </c>
      <c r="K242" s="15">
        <v>30461</v>
      </c>
      <c r="L242" s="13" t="s">
        <v>102</v>
      </c>
      <c r="M242" s="13" t="s">
        <v>103</v>
      </c>
      <c r="N242" s="139" t="s">
        <v>231</v>
      </c>
      <c r="O242" s="139" t="s">
        <v>231</v>
      </c>
      <c r="P242" s="28">
        <v>41</v>
      </c>
      <c r="Q242" s="13" t="s">
        <v>54</v>
      </c>
      <c r="R242" s="13" t="s">
        <v>28</v>
      </c>
      <c r="S242" s="13"/>
      <c r="T242" s="13"/>
      <c r="U242" s="13" t="s">
        <v>653</v>
      </c>
      <c r="V242" s="13" t="s">
        <v>653</v>
      </c>
      <c r="W242" s="59">
        <f>+J242/$W$2</f>
        <v>2.4093366136563764E-4</v>
      </c>
    </row>
    <row r="243" spans="1:23">
      <c r="A243" s="13" t="s">
        <v>1052</v>
      </c>
      <c r="B243" s="13" t="s">
        <v>538</v>
      </c>
      <c r="C243" s="139">
        <v>46197</v>
      </c>
      <c r="D243" s="139" t="s">
        <v>516</v>
      </c>
      <c r="E243" s="28">
        <v>0.98873118000000004</v>
      </c>
      <c r="F243" s="13"/>
      <c r="G243" s="18">
        <v>44732891.780000001</v>
      </c>
      <c r="H243" s="18">
        <v>44228804.68</v>
      </c>
      <c r="I243" s="18">
        <v>44732891.780000001</v>
      </c>
      <c r="J243" s="18">
        <v>44228804.68</v>
      </c>
      <c r="K243" s="15">
        <v>1300</v>
      </c>
      <c r="L243" s="13" t="s">
        <v>102</v>
      </c>
      <c r="M243" s="13" t="s">
        <v>103</v>
      </c>
      <c r="N243" s="139" t="s">
        <v>379</v>
      </c>
      <c r="O243" s="139" t="s">
        <v>379</v>
      </c>
      <c r="P243" s="28">
        <v>26</v>
      </c>
      <c r="Q243" s="13" t="s">
        <v>54</v>
      </c>
      <c r="R243" s="13" t="s">
        <v>28</v>
      </c>
      <c r="S243" s="13"/>
      <c r="T243" s="13"/>
      <c r="U243" s="13" t="s">
        <v>1391</v>
      </c>
      <c r="V243" s="13" t="s">
        <v>1391</v>
      </c>
      <c r="W243" s="59">
        <f>+J243/$W$2</f>
        <v>9.9352972558232138E-4</v>
      </c>
    </row>
    <row r="244" spans="1:23">
      <c r="A244" s="13" t="s">
        <v>1052</v>
      </c>
      <c r="B244" s="13" t="s">
        <v>538</v>
      </c>
      <c r="C244" s="139">
        <v>46197</v>
      </c>
      <c r="D244" s="139" t="s">
        <v>516</v>
      </c>
      <c r="E244" s="28">
        <v>0.98873118000000004</v>
      </c>
      <c r="F244" s="13"/>
      <c r="G244" s="18">
        <v>44732891.770000003</v>
      </c>
      <c r="H244" s="18">
        <v>44228804.670000002</v>
      </c>
      <c r="I244" s="18">
        <v>44732891.770000003</v>
      </c>
      <c r="J244" s="18">
        <v>44228804.670000002</v>
      </c>
      <c r="K244" s="15">
        <v>1303</v>
      </c>
      <c r="L244" s="13" t="s">
        <v>102</v>
      </c>
      <c r="M244" s="13" t="s">
        <v>103</v>
      </c>
      <c r="N244" s="139" t="s">
        <v>379</v>
      </c>
      <c r="O244" s="139" t="s">
        <v>379</v>
      </c>
      <c r="P244" s="28">
        <v>26</v>
      </c>
      <c r="Q244" s="13" t="s">
        <v>54</v>
      </c>
      <c r="R244" s="13" t="s">
        <v>28</v>
      </c>
      <c r="S244" s="13"/>
      <c r="T244" s="13"/>
      <c r="U244" s="13" t="s">
        <v>1392</v>
      </c>
      <c r="V244" s="13" t="s">
        <v>1392</v>
      </c>
      <c r="W244" s="59">
        <f>+J244/$W$2</f>
        <v>9.9352972535768748E-4</v>
      </c>
    </row>
    <row r="245" spans="1:23">
      <c r="A245" s="13" t="s">
        <v>1402</v>
      </c>
      <c r="B245" s="13" t="s">
        <v>538</v>
      </c>
      <c r="C245" s="139">
        <v>46197</v>
      </c>
      <c r="D245" s="139" t="s">
        <v>516</v>
      </c>
      <c r="E245" s="28">
        <v>0.98787484999999997</v>
      </c>
      <c r="F245" s="13"/>
      <c r="G245" s="18">
        <v>5000000</v>
      </c>
      <c r="H245" s="18">
        <v>4939374.2699999996</v>
      </c>
      <c r="I245" s="18">
        <v>5000000</v>
      </c>
      <c r="J245" s="18">
        <v>4939374.2699999996</v>
      </c>
      <c r="K245" s="15">
        <v>6034643</v>
      </c>
      <c r="L245" s="13" t="s">
        <v>102</v>
      </c>
      <c r="M245" s="13" t="s">
        <v>103</v>
      </c>
      <c r="N245" s="139" t="s">
        <v>379</v>
      </c>
      <c r="O245" s="139" t="s">
        <v>379</v>
      </c>
      <c r="P245" s="28">
        <v>28</v>
      </c>
      <c r="Q245" s="13" t="s">
        <v>54</v>
      </c>
      <c r="R245" s="13" t="s">
        <v>28</v>
      </c>
      <c r="S245" s="13"/>
      <c r="T245" s="13"/>
      <c r="U245" s="13" t="s">
        <v>1364</v>
      </c>
      <c r="V245" s="13" t="s">
        <v>1364</v>
      </c>
      <c r="W245" s="59">
        <f>+J245/$W$2</f>
        <v>1.1095518403735163E-4</v>
      </c>
    </row>
    <row r="246" spans="1:23">
      <c r="A246" s="13" t="s">
        <v>261</v>
      </c>
      <c r="B246" s="13" t="s">
        <v>538</v>
      </c>
      <c r="C246" s="139">
        <v>46198</v>
      </c>
      <c r="D246" s="139" t="s">
        <v>516</v>
      </c>
      <c r="E246" s="28">
        <v>0.98486286999999995</v>
      </c>
      <c r="F246" s="13"/>
      <c r="G246" s="18">
        <v>50000000</v>
      </c>
      <c r="H246" s="18">
        <v>49243143.460000001</v>
      </c>
      <c r="I246" s="18">
        <v>50000000</v>
      </c>
      <c r="J246" s="18">
        <v>49243143.460000001</v>
      </c>
      <c r="K246" s="15">
        <v>4524</v>
      </c>
      <c r="L246" s="13" t="s">
        <v>102</v>
      </c>
      <c r="M246" s="13" t="s">
        <v>103</v>
      </c>
      <c r="N246" s="139" t="s">
        <v>428</v>
      </c>
      <c r="O246" s="139" t="s">
        <v>428</v>
      </c>
      <c r="P246" s="28">
        <v>33</v>
      </c>
      <c r="Q246" s="13" t="s">
        <v>54</v>
      </c>
      <c r="R246" s="13" t="s">
        <v>28</v>
      </c>
      <c r="S246" s="13"/>
      <c r="T246" s="13"/>
      <c r="U246" s="13" t="s">
        <v>969</v>
      </c>
      <c r="V246" s="13" t="s">
        <v>969</v>
      </c>
      <c r="W246" s="59">
        <f>+J246/$W$2</f>
        <v>1.106168868062312E-3</v>
      </c>
    </row>
    <row r="247" spans="1:23">
      <c r="A247" s="13" t="s">
        <v>148</v>
      </c>
      <c r="B247" s="13" t="s">
        <v>538</v>
      </c>
      <c r="C247" s="139">
        <v>46198</v>
      </c>
      <c r="D247" s="139" t="s">
        <v>516</v>
      </c>
      <c r="E247" s="28">
        <v>0.97902478000000004</v>
      </c>
      <c r="F247" s="13"/>
      <c r="G247" s="18">
        <v>20000000</v>
      </c>
      <c r="H247" s="18">
        <v>19580495.57</v>
      </c>
      <c r="I247" s="18">
        <v>20000000</v>
      </c>
      <c r="J247" s="18">
        <v>19580495.57</v>
      </c>
      <c r="K247" s="15">
        <v>3982</v>
      </c>
      <c r="L247" s="13" t="s">
        <v>102</v>
      </c>
      <c r="M247" s="13" t="s">
        <v>103</v>
      </c>
      <c r="N247" s="139" t="s">
        <v>242</v>
      </c>
      <c r="O247" s="139" t="s">
        <v>242</v>
      </c>
      <c r="P247" s="28">
        <v>46</v>
      </c>
      <c r="Q247" s="13" t="s">
        <v>54</v>
      </c>
      <c r="R247" s="13" t="s">
        <v>28</v>
      </c>
      <c r="S247" s="13"/>
      <c r="T247" s="13"/>
      <c r="U247" s="13" t="s">
        <v>512</v>
      </c>
      <c r="V247" s="13" t="s">
        <v>512</v>
      </c>
      <c r="W247" s="59">
        <f>+J247/$W$2</f>
        <v>4.3984467885076835E-4</v>
      </c>
    </row>
    <row r="248" spans="1:23">
      <c r="A248" s="13" t="s">
        <v>339</v>
      </c>
      <c r="B248" s="13" t="s">
        <v>538</v>
      </c>
      <c r="C248" s="139">
        <v>46198</v>
      </c>
      <c r="D248" s="139" t="s">
        <v>516</v>
      </c>
      <c r="E248" s="28">
        <v>0.98396015000000003</v>
      </c>
      <c r="F248" s="13"/>
      <c r="G248" s="18">
        <v>5000000</v>
      </c>
      <c r="H248" s="18">
        <v>4919800.7699999996</v>
      </c>
      <c r="I248" s="18">
        <v>5000000</v>
      </c>
      <c r="J248" s="18">
        <v>4919800.7699999996</v>
      </c>
      <c r="K248" s="15">
        <v>90000054</v>
      </c>
      <c r="L248" s="13" t="s">
        <v>102</v>
      </c>
      <c r="M248" s="13" t="s">
        <v>103</v>
      </c>
      <c r="N248" s="139" t="s">
        <v>244</v>
      </c>
      <c r="O248" s="139" t="s">
        <v>244</v>
      </c>
      <c r="P248" s="28">
        <v>35</v>
      </c>
      <c r="Q248" s="13" t="s">
        <v>54</v>
      </c>
      <c r="R248" s="13" t="s">
        <v>28</v>
      </c>
      <c r="S248" s="13"/>
      <c r="T248" s="13"/>
      <c r="U248" s="13" t="s">
        <v>521</v>
      </c>
      <c r="V248" s="13" t="s">
        <v>521</v>
      </c>
      <c r="W248" s="59">
        <f>+J248/$W$2</f>
        <v>1.105154965028504E-4</v>
      </c>
    </row>
    <row r="249" spans="1:23">
      <c r="A249" s="13" t="s">
        <v>1054</v>
      </c>
      <c r="B249" s="13" t="s">
        <v>538</v>
      </c>
      <c r="C249" s="139">
        <v>46198</v>
      </c>
      <c r="D249" s="139" t="s">
        <v>516</v>
      </c>
      <c r="E249" s="28">
        <v>0.98803531</v>
      </c>
      <c r="F249" s="13"/>
      <c r="G249" s="18">
        <v>10000000</v>
      </c>
      <c r="H249" s="18">
        <v>9880353.1099999994</v>
      </c>
      <c r="I249" s="18">
        <v>10000000</v>
      </c>
      <c r="J249" s="18">
        <v>9880353.1099999994</v>
      </c>
      <c r="K249" s="15">
        <v>1742534</v>
      </c>
      <c r="L249" s="13" t="s">
        <v>102</v>
      </c>
      <c r="M249" s="13" t="s">
        <v>103</v>
      </c>
      <c r="N249" s="139" t="s">
        <v>366</v>
      </c>
      <c r="O249" s="139" t="s">
        <v>366</v>
      </c>
      <c r="P249" s="28">
        <v>26</v>
      </c>
      <c r="Q249" s="13" t="s">
        <v>54</v>
      </c>
      <c r="R249" s="13" t="s">
        <v>28</v>
      </c>
      <c r="S249" s="13"/>
      <c r="T249" s="13"/>
      <c r="U249" s="13" t="s">
        <v>1029</v>
      </c>
      <c r="V249" s="13" t="s">
        <v>1029</v>
      </c>
      <c r="W249" s="59">
        <f>+J249/$W$2</f>
        <v>2.2194641218675447E-4</v>
      </c>
    </row>
    <row r="250" spans="1:23">
      <c r="A250" s="13" t="s">
        <v>338</v>
      </c>
      <c r="B250" s="13" t="s">
        <v>538</v>
      </c>
      <c r="C250" s="139">
        <v>46198</v>
      </c>
      <c r="D250" s="139" t="s">
        <v>516</v>
      </c>
      <c r="E250" s="28">
        <v>0.98622001000000004</v>
      </c>
      <c r="F250" s="13"/>
      <c r="G250" s="18">
        <v>13421110</v>
      </c>
      <c r="H250" s="18">
        <v>13236167.24</v>
      </c>
      <c r="I250" s="18">
        <v>13421110</v>
      </c>
      <c r="J250" s="18">
        <v>13236167.24</v>
      </c>
      <c r="K250" s="15">
        <v>1492</v>
      </c>
      <c r="L250" s="13" t="s">
        <v>102</v>
      </c>
      <c r="M250" s="13" t="s">
        <v>103</v>
      </c>
      <c r="N250" s="139" t="s">
        <v>428</v>
      </c>
      <c r="O250" s="139" t="s">
        <v>428</v>
      </c>
      <c r="P250" s="28">
        <v>30</v>
      </c>
      <c r="Q250" s="13" t="s">
        <v>54</v>
      </c>
      <c r="R250" s="13" t="s">
        <v>28</v>
      </c>
      <c r="S250" s="13"/>
      <c r="T250" s="13"/>
      <c r="U250" s="13" t="s">
        <v>971</v>
      </c>
      <c r="V250" s="13" t="s">
        <v>971</v>
      </c>
      <c r="W250" s="59">
        <f>+J250/$W$2</f>
        <v>2.9732943724941998E-4</v>
      </c>
    </row>
    <row r="251" spans="1:23">
      <c r="A251" s="13" t="s">
        <v>1053</v>
      </c>
      <c r="B251" s="13" t="s">
        <v>538</v>
      </c>
      <c r="C251" s="139">
        <v>46198</v>
      </c>
      <c r="D251" s="139" t="s">
        <v>516</v>
      </c>
      <c r="E251" s="28">
        <v>0.98758084999999995</v>
      </c>
      <c r="F251" s="13"/>
      <c r="G251" s="18">
        <v>10000000</v>
      </c>
      <c r="H251" s="18">
        <v>9875808.4700000007</v>
      </c>
      <c r="I251" s="18">
        <v>10000000</v>
      </c>
      <c r="J251" s="18">
        <v>9875808.4700000007</v>
      </c>
      <c r="K251" s="15">
        <v>30175</v>
      </c>
      <c r="L251" s="13" t="s">
        <v>102</v>
      </c>
      <c r="M251" s="13" t="s">
        <v>103</v>
      </c>
      <c r="N251" s="139" t="s">
        <v>366</v>
      </c>
      <c r="O251" s="139" t="s">
        <v>366</v>
      </c>
      <c r="P251" s="28">
        <v>27</v>
      </c>
      <c r="Q251" s="13" t="s">
        <v>54</v>
      </c>
      <c r="R251" s="13" t="s">
        <v>28</v>
      </c>
      <c r="S251" s="13"/>
      <c r="T251" s="13"/>
      <c r="U251" s="13" t="s">
        <v>1045</v>
      </c>
      <c r="V251" s="13" t="s">
        <v>1045</v>
      </c>
      <c r="W251" s="59">
        <f>+J251/$W$2</f>
        <v>2.2184432408003902E-4</v>
      </c>
    </row>
    <row r="252" spans="1:23">
      <c r="A252" s="13" t="s">
        <v>1053</v>
      </c>
      <c r="B252" s="13" t="s">
        <v>538</v>
      </c>
      <c r="C252" s="139">
        <v>46198</v>
      </c>
      <c r="D252" s="139" t="s">
        <v>516</v>
      </c>
      <c r="E252" s="28">
        <v>0.98758084999999995</v>
      </c>
      <c r="F252" s="13"/>
      <c r="G252" s="18">
        <v>10000000</v>
      </c>
      <c r="H252" s="18">
        <v>9875808.4700000007</v>
      </c>
      <c r="I252" s="18">
        <v>10000000</v>
      </c>
      <c r="J252" s="18">
        <v>9875808.4700000007</v>
      </c>
      <c r="K252" s="15">
        <v>30174</v>
      </c>
      <c r="L252" s="13" t="s">
        <v>102</v>
      </c>
      <c r="M252" s="13" t="s">
        <v>103</v>
      </c>
      <c r="N252" s="139" t="s">
        <v>366</v>
      </c>
      <c r="O252" s="139" t="s">
        <v>366</v>
      </c>
      <c r="P252" s="28">
        <v>27</v>
      </c>
      <c r="Q252" s="13" t="s">
        <v>54</v>
      </c>
      <c r="R252" s="13" t="s">
        <v>28</v>
      </c>
      <c r="S252" s="13"/>
      <c r="T252" s="13"/>
      <c r="U252" s="13" t="s">
        <v>1046</v>
      </c>
      <c r="V252" s="13" t="s">
        <v>1046</v>
      </c>
      <c r="W252" s="59">
        <f>+J252/$W$2</f>
        <v>2.2184432408003902E-4</v>
      </c>
    </row>
    <row r="253" spans="1:23">
      <c r="A253" s="13" t="s">
        <v>1053</v>
      </c>
      <c r="B253" s="13" t="s">
        <v>538</v>
      </c>
      <c r="C253" s="139">
        <v>46198</v>
      </c>
      <c r="D253" s="139" t="s">
        <v>516</v>
      </c>
      <c r="E253" s="28">
        <v>0.98758084999999995</v>
      </c>
      <c r="F253" s="13"/>
      <c r="G253" s="18">
        <v>10000000</v>
      </c>
      <c r="H253" s="18">
        <v>9875808.4700000007</v>
      </c>
      <c r="I253" s="18">
        <v>10000000</v>
      </c>
      <c r="J253" s="18">
        <v>9875808.4700000007</v>
      </c>
      <c r="K253" s="15">
        <v>30176</v>
      </c>
      <c r="L253" s="13" t="s">
        <v>102</v>
      </c>
      <c r="M253" s="13" t="s">
        <v>103</v>
      </c>
      <c r="N253" s="139" t="s">
        <v>366</v>
      </c>
      <c r="O253" s="139" t="s">
        <v>366</v>
      </c>
      <c r="P253" s="28">
        <v>27</v>
      </c>
      <c r="Q253" s="13" t="s">
        <v>54</v>
      </c>
      <c r="R253" s="13" t="s">
        <v>28</v>
      </c>
      <c r="S253" s="13"/>
      <c r="T253" s="13"/>
      <c r="U253" s="13" t="s">
        <v>1047</v>
      </c>
      <c r="V253" s="13" t="s">
        <v>1047</v>
      </c>
      <c r="W253" s="59">
        <f>+J253/$W$2</f>
        <v>2.2184432408003902E-4</v>
      </c>
    </row>
    <row r="254" spans="1:23">
      <c r="A254" s="13" t="s">
        <v>444</v>
      </c>
      <c r="B254" s="13" t="s">
        <v>538</v>
      </c>
      <c r="C254" s="139">
        <v>46198</v>
      </c>
      <c r="D254" s="139" t="s">
        <v>516</v>
      </c>
      <c r="E254" s="28">
        <v>0.98126195999999999</v>
      </c>
      <c r="F254" s="13"/>
      <c r="G254" s="18">
        <v>20000000</v>
      </c>
      <c r="H254" s="18">
        <v>19625239.109999999</v>
      </c>
      <c r="I254" s="18">
        <v>20000000</v>
      </c>
      <c r="J254" s="18">
        <v>19625239.109999999</v>
      </c>
      <c r="K254" s="15">
        <v>13318404</v>
      </c>
      <c r="L254" s="13" t="s">
        <v>102</v>
      </c>
      <c r="M254" s="13" t="s">
        <v>103</v>
      </c>
      <c r="N254" s="139" t="s">
        <v>321</v>
      </c>
      <c r="O254" s="139" t="s">
        <v>321</v>
      </c>
      <c r="P254" s="28">
        <v>41</v>
      </c>
      <c r="Q254" s="13" t="s">
        <v>54</v>
      </c>
      <c r="R254" s="13" t="s">
        <v>28</v>
      </c>
      <c r="S254" s="13"/>
      <c r="T254" s="13"/>
      <c r="U254" s="13" t="s">
        <v>570</v>
      </c>
      <c r="V254" s="13" t="s">
        <v>570</v>
      </c>
      <c r="W254" s="59">
        <f>+J254/$W$2</f>
        <v>4.4084977128632956E-4</v>
      </c>
    </row>
    <row r="255" spans="1:23">
      <c r="A255" s="13" t="s">
        <v>590</v>
      </c>
      <c r="B255" s="13" t="s">
        <v>538</v>
      </c>
      <c r="C255" s="139">
        <v>46198</v>
      </c>
      <c r="D255" s="139" t="s">
        <v>516</v>
      </c>
      <c r="E255" s="28">
        <v>0.98126199000000003</v>
      </c>
      <c r="F255" s="13"/>
      <c r="G255" s="18">
        <v>10918371.720000001</v>
      </c>
      <c r="H255" s="18">
        <v>10713783.119999999</v>
      </c>
      <c r="I255" s="18">
        <v>10918371.720000001</v>
      </c>
      <c r="J255" s="18">
        <v>10713783.119999999</v>
      </c>
      <c r="K255" s="15">
        <v>30462</v>
      </c>
      <c r="L255" s="13" t="s">
        <v>102</v>
      </c>
      <c r="M255" s="13" t="s">
        <v>103</v>
      </c>
      <c r="N255" s="139" t="s">
        <v>231</v>
      </c>
      <c r="O255" s="139" t="s">
        <v>231</v>
      </c>
      <c r="P255" s="28">
        <v>41</v>
      </c>
      <c r="Q255" s="13" t="s">
        <v>54</v>
      </c>
      <c r="R255" s="13" t="s">
        <v>28</v>
      </c>
      <c r="S255" s="13"/>
      <c r="T255" s="13"/>
      <c r="U255" s="13" t="s">
        <v>660</v>
      </c>
      <c r="V255" s="13" t="s">
        <v>660</v>
      </c>
      <c r="W255" s="59">
        <f>+J255/$W$2</f>
        <v>2.4066809130782294E-4</v>
      </c>
    </row>
    <row r="256" spans="1:23">
      <c r="A256" s="13" t="s">
        <v>1052</v>
      </c>
      <c r="B256" s="13" t="s">
        <v>538</v>
      </c>
      <c r="C256" s="139">
        <v>46198</v>
      </c>
      <c r="D256" s="139" t="s">
        <v>516</v>
      </c>
      <c r="E256" s="28">
        <v>0.98803536000000003</v>
      </c>
      <c r="F256" s="13"/>
      <c r="G256" s="18">
        <v>36057385.109999999</v>
      </c>
      <c r="H256" s="18">
        <v>35625971.509999998</v>
      </c>
      <c r="I256" s="18">
        <v>36057385.109999999</v>
      </c>
      <c r="J256" s="18">
        <v>35625971.509999998</v>
      </c>
      <c r="K256" s="15">
        <v>40627727</v>
      </c>
      <c r="L256" s="13" t="s">
        <v>102</v>
      </c>
      <c r="M256" s="13" t="s">
        <v>103</v>
      </c>
      <c r="N256" s="139" t="s">
        <v>379</v>
      </c>
      <c r="O256" s="139" t="s">
        <v>379</v>
      </c>
      <c r="P256" s="28">
        <v>26</v>
      </c>
      <c r="Q256" s="13" t="s">
        <v>54</v>
      </c>
      <c r="R256" s="13" t="s">
        <v>28</v>
      </c>
      <c r="S256" s="13"/>
      <c r="T256" s="13"/>
      <c r="U256" s="13" t="s">
        <v>1390</v>
      </c>
      <c r="V256" s="13" t="s">
        <v>1390</v>
      </c>
      <c r="W256" s="59">
        <f>+J256/$W$2</f>
        <v>8.0028076621160675E-4</v>
      </c>
    </row>
    <row r="257" spans="1:29">
      <c r="A257" s="13" t="s">
        <v>1402</v>
      </c>
      <c r="B257" s="13" t="s">
        <v>538</v>
      </c>
      <c r="C257" s="139">
        <v>46198</v>
      </c>
      <c r="D257" s="139" t="s">
        <v>516</v>
      </c>
      <c r="E257" s="28">
        <v>0.98712685</v>
      </c>
      <c r="F257" s="13"/>
      <c r="G257" s="18">
        <v>5000000</v>
      </c>
      <c r="H257" s="18">
        <v>4935634.2699999996</v>
      </c>
      <c r="I257" s="18">
        <v>5000000</v>
      </c>
      <c r="J257" s="18">
        <v>4935634.2699999996</v>
      </c>
      <c r="K257" s="15">
        <v>6034644</v>
      </c>
      <c r="L257" s="13" t="s">
        <v>102</v>
      </c>
      <c r="M257" s="13" t="s">
        <v>103</v>
      </c>
      <c r="N257" s="139" t="s">
        <v>379</v>
      </c>
      <c r="O257" s="139" t="s">
        <v>379</v>
      </c>
      <c r="P257" s="28">
        <v>28</v>
      </c>
      <c r="Q257" s="13" t="s">
        <v>54</v>
      </c>
      <c r="R257" s="13" t="s">
        <v>28</v>
      </c>
      <c r="S257" s="13"/>
      <c r="T257" s="13"/>
      <c r="U257" s="13" t="s">
        <v>1365</v>
      </c>
      <c r="V257" s="13" t="s">
        <v>1365</v>
      </c>
      <c r="W257" s="59">
        <f>+J257/$W$2</f>
        <v>1.1087117088798976E-4</v>
      </c>
    </row>
    <row r="258" spans="1:29">
      <c r="A258" s="13" t="s">
        <v>217</v>
      </c>
      <c r="B258" s="13" t="s">
        <v>538</v>
      </c>
      <c r="C258" s="139">
        <v>46199</v>
      </c>
      <c r="D258" s="139" t="s">
        <v>516</v>
      </c>
      <c r="E258" s="28">
        <v>0.97923494</v>
      </c>
      <c r="F258" s="13"/>
      <c r="G258" s="18">
        <v>15000000</v>
      </c>
      <c r="H258" s="18">
        <v>14688524.130000001</v>
      </c>
      <c r="I258" s="18">
        <v>15000000</v>
      </c>
      <c r="J258" s="18">
        <v>14688524.130000001</v>
      </c>
      <c r="K258" s="15">
        <v>16771103</v>
      </c>
      <c r="L258" s="13" t="s">
        <v>102</v>
      </c>
      <c r="M258" s="13" t="s">
        <v>103</v>
      </c>
      <c r="N258" s="139" t="s">
        <v>374</v>
      </c>
      <c r="O258" s="139" t="s">
        <v>374</v>
      </c>
      <c r="P258" s="28">
        <v>43</v>
      </c>
      <c r="Q258" s="13" t="s">
        <v>54</v>
      </c>
      <c r="R258" s="13" t="s">
        <v>28</v>
      </c>
      <c r="S258" s="13"/>
      <c r="T258" s="13"/>
      <c r="U258" s="13" t="s">
        <v>1191</v>
      </c>
      <c r="V258" s="13" t="s">
        <v>1191</v>
      </c>
      <c r="W258" s="59">
        <f>+J258/$W$2</f>
        <v>3.2995432396768556E-4</v>
      </c>
    </row>
    <row r="259" spans="1:29">
      <c r="A259" s="13" t="s">
        <v>1494</v>
      </c>
      <c r="B259" s="13" t="s">
        <v>538</v>
      </c>
      <c r="C259" s="139">
        <v>46199</v>
      </c>
      <c r="D259" s="139" t="s">
        <v>516</v>
      </c>
      <c r="E259" s="28">
        <v>0.98398668</v>
      </c>
      <c r="F259" s="13"/>
      <c r="G259" s="18">
        <v>6600000</v>
      </c>
      <c r="H259" s="18">
        <v>6494312.0700000003</v>
      </c>
      <c r="I259" s="18">
        <v>6600000</v>
      </c>
      <c r="J259" s="18">
        <v>6494312.0700000003</v>
      </c>
      <c r="K259" s="15">
        <v>13668414</v>
      </c>
      <c r="L259" s="13" t="s">
        <v>102</v>
      </c>
      <c r="M259" s="13" t="s">
        <v>103</v>
      </c>
      <c r="N259" s="139" t="s">
        <v>390</v>
      </c>
      <c r="O259" s="139" t="s">
        <v>390</v>
      </c>
      <c r="P259" s="28">
        <v>33</v>
      </c>
      <c r="Q259" s="13" t="s">
        <v>54</v>
      </c>
      <c r="R259" s="13" t="s">
        <v>28</v>
      </c>
      <c r="S259" s="13"/>
      <c r="T259" s="13"/>
      <c r="U259" s="13" t="s">
        <v>1559</v>
      </c>
      <c r="V259" s="13" t="s">
        <v>1559</v>
      </c>
      <c r="W259" s="59">
        <f>+J259/$W$2</f>
        <v>1.458843876843623E-4</v>
      </c>
      <c r="AC259" s="56"/>
    </row>
    <row r="260" spans="1:29">
      <c r="A260" s="13" t="s">
        <v>752</v>
      </c>
      <c r="B260" s="13" t="s">
        <v>538</v>
      </c>
      <c r="C260" s="139">
        <v>46199</v>
      </c>
      <c r="D260" s="139" t="s">
        <v>516</v>
      </c>
      <c r="E260" s="28">
        <v>0.98926716999999997</v>
      </c>
      <c r="F260" s="13"/>
      <c r="G260" s="18">
        <v>4000000</v>
      </c>
      <c r="H260" s="18">
        <v>3957068.68</v>
      </c>
      <c r="I260" s="18">
        <v>4000000</v>
      </c>
      <c r="J260" s="18">
        <v>3957068.68</v>
      </c>
      <c r="K260" s="15">
        <v>64816693</v>
      </c>
      <c r="L260" s="13" t="s">
        <v>102</v>
      </c>
      <c r="M260" s="13" t="s">
        <v>103</v>
      </c>
      <c r="N260" s="139" t="s">
        <v>320</v>
      </c>
      <c r="O260" s="139" t="s">
        <v>320</v>
      </c>
      <c r="P260" s="28">
        <v>22</v>
      </c>
      <c r="Q260" s="13" t="s">
        <v>54</v>
      </c>
      <c r="R260" s="13" t="s">
        <v>28</v>
      </c>
      <c r="S260" s="13"/>
      <c r="T260" s="13"/>
      <c r="U260" s="13" t="s">
        <v>745</v>
      </c>
      <c r="V260" s="13" t="s">
        <v>745</v>
      </c>
      <c r="W260" s="59">
        <f>+J260/$W$2</f>
        <v>8.8889251884498348E-5</v>
      </c>
    </row>
    <row r="261" spans="1:29">
      <c r="A261" s="13" t="s">
        <v>693</v>
      </c>
      <c r="B261" s="13" t="s">
        <v>538</v>
      </c>
      <c r="C261" s="139">
        <v>46199</v>
      </c>
      <c r="D261" s="139" t="s">
        <v>516</v>
      </c>
      <c r="E261" s="28">
        <v>0.98018156999999995</v>
      </c>
      <c r="F261" s="13"/>
      <c r="G261" s="18">
        <v>2000000</v>
      </c>
      <c r="H261" s="18">
        <v>1960363.13</v>
      </c>
      <c r="I261" s="18">
        <v>2000000</v>
      </c>
      <c r="J261" s="18">
        <v>1960363.13</v>
      </c>
      <c r="K261" s="15">
        <v>12384446</v>
      </c>
      <c r="L261" s="13" t="s">
        <v>102</v>
      </c>
      <c r="M261" s="13" t="s">
        <v>103</v>
      </c>
      <c r="N261" s="139" t="s">
        <v>231</v>
      </c>
      <c r="O261" s="139" t="s">
        <v>231</v>
      </c>
      <c r="P261" s="28">
        <v>41</v>
      </c>
      <c r="Q261" s="13" t="s">
        <v>54</v>
      </c>
      <c r="R261" s="13" t="s">
        <v>28</v>
      </c>
      <c r="S261" s="13"/>
      <c r="T261" s="13"/>
      <c r="U261" s="13" t="s">
        <v>668</v>
      </c>
      <c r="V261" s="13" t="s">
        <v>668</v>
      </c>
      <c r="W261" s="59">
        <f>+J261/$W$2</f>
        <v>4.4036438621442765E-5</v>
      </c>
    </row>
    <row r="262" spans="1:29">
      <c r="A262" s="13" t="s">
        <v>365</v>
      </c>
      <c r="B262" s="13" t="s">
        <v>538</v>
      </c>
      <c r="C262" s="139">
        <v>46199</v>
      </c>
      <c r="D262" s="139" t="s">
        <v>516</v>
      </c>
      <c r="E262" s="28">
        <v>0.98065557999999997</v>
      </c>
      <c r="F262" s="13"/>
      <c r="G262" s="18">
        <v>3500000</v>
      </c>
      <c r="H262" s="18">
        <v>3432294.53</v>
      </c>
      <c r="I262" s="18">
        <v>3500000</v>
      </c>
      <c r="J262" s="18">
        <v>3432294.53</v>
      </c>
      <c r="K262" s="15">
        <v>60524035</v>
      </c>
      <c r="L262" s="13" t="s">
        <v>102</v>
      </c>
      <c r="M262" s="13" t="s">
        <v>103</v>
      </c>
      <c r="N262" s="139" t="s">
        <v>243</v>
      </c>
      <c r="O262" s="139" t="s">
        <v>243</v>
      </c>
      <c r="P262" s="28">
        <v>40</v>
      </c>
      <c r="Q262" s="13" t="s">
        <v>54</v>
      </c>
      <c r="R262" s="13" t="s">
        <v>28</v>
      </c>
      <c r="S262" s="13"/>
      <c r="T262" s="13"/>
      <c r="U262" s="13" t="s">
        <v>486</v>
      </c>
      <c r="V262" s="13" t="s">
        <v>486</v>
      </c>
      <c r="W262" s="59">
        <f>+J262/$W$2</f>
        <v>7.7101035562252571E-5</v>
      </c>
    </row>
    <row r="263" spans="1:29">
      <c r="A263" s="13" t="s">
        <v>1054</v>
      </c>
      <c r="B263" s="13" t="s">
        <v>538</v>
      </c>
      <c r="C263" s="139">
        <v>46199</v>
      </c>
      <c r="D263" s="139" t="s">
        <v>516</v>
      </c>
      <c r="E263" s="28">
        <v>0.98734047000000003</v>
      </c>
      <c r="F263" s="13"/>
      <c r="G263" s="18">
        <v>10000000</v>
      </c>
      <c r="H263" s="18">
        <v>9873404.6699999999</v>
      </c>
      <c r="I263" s="18">
        <v>10000000</v>
      </c>
      <c r="J263" s="18">
        <v>9873404.6699999999</v>
      </c>
      <c r="K263" s="15">
        <v>1742535</v>
      </c>
      <c r="L263" s="13" t="s">
        <v>102</v>
      </c>
      <c r="M263" s="13" t="s">
        <v>103</v>
      </c>
      <c r="N263" s="139" t="s">
        <v>366</v>
      </c>
      <c r="O263" s="139" t="s">
        <v>366</v>
      </c>
      <c r="P263" s="28">
        <v>26</v>
      </c>
      <c r="Q263" s="13" t="s">
        <v>54</v>
      </c>
      <c r="R263" s="13" t="s">
        <v>28</v>
      </c>
      <c r="S263" s="13"/>
      <c r="T263" s="13"/>
      <c r="U263" s="13" t="s">
        <v>1033</v>
      </c>
      <c r="V263" s="13" t="s">
        <v>1033</v>
      </c>
      <c r="W263" s="59">
        <f>+J263/$W$2</f>
        <v>2.2179032653767643E-4</v>
      </c>
      <c r="AC263" s="56"/>
    </row>
    <row r="264" spans="1:29">
      <c r="A264" s="13" t="s">
        <v>639</v>
      </c>
      <c r="B264" s="13" t="s">
        <v>538</v>
      </c>
      <c r="C264" s="139">
        <v>46199</v>
      </c>
      <c r="D264" s="139" t="s">
        <v>516</v>
      </c>
      <c r="E264" s="28">
        <v>0.98590029000000001</v>
      </c>
      <c r="F264" s="13"/>
      <c r="G264" s="18">
        <v>15000000</v>
      </c>
      <c r="H264" s="18">
        <v>14788504.279999999</v>
      </c>
      <c r="I264" s="18">
        <v>15000000</v>
      </c>
      <c r="J264" s="18">
        <v>14788504.279999999</v>
      </c>
      <c r="K264" s="15">
        <v>799</v>
      </c>
      <c r="L264" s="13" t="s">
        <v>102</v>
      </c>
      <c r="M264" s="13" t="s">
        <v>103</v>
      </c>
      <c r="N264" s="139" t="s">
        <v>155</v>
      </c>
      <c r="O264" s="139" t="s">
        <v>155</v>
      </c>
      <c r="P264" s="28">
        <v>29</v>
      </c>
      <c r="Q264" s="13" t="s">
        <v>54</v>
      </c>
      <c r="R264" s="13" t="s">
        <v>28</v>
      </c>
      <c r="S264" s="13"/>
      <c r="T264" s="13"/>
      <c r="U264" s="13" t="s">
        <v>603</v>
      </c>
      <c r="V264" s="13" t="s">
        <v>603</v>
      </c>
      <c r="W264" s="59">
        <f>+J264/$W$2</f>
        <v>3.322002189610471E-4</v>
      </c>
    </row>
    <row r="265" spans="1:29">
      <c r="A265" s="13" t="s">
        <v>639</v>
      </c>
      <c r="B265" s="13" t="s">
        <v>538</v>
      </c>
      <c r="C265" s="139">
        <v>46199</v>
      </c>
      <c r="D265" s="139" t="s">
        <v>516</v>
      </c>
      <c r="E265" s="28">
        <v>0.98590029000000001</v>
      </c>
      <c r="F265" s="13"/>
      <c r="G265" s="18">
        <v>12500000</v>
      </c>
      <c r="H265" s="18">
        <v>12323753.57</v>
      </c>
      <c r="I265" s="18">
        <v>12500000</v>
      </c>
      <c r="J265" s="18">
        <v>12323753.57</v>
      </c>
      <c r="K265" s="15">
        <v>28996516</v>
      </c>
      <c r="L265" s="13" t="s">
        <v>102</v>
      </c>
      <c r="M265" s="13" t="s">
        <v>103</v>
      </c>
      <c r="N265" s="139" t="s">
        <v>155</v>
      </c>
      <c r="O265" s="139" t="s">
        <v>155</v>
      </c>
      <c r="P265" s="28">
        <v>29</v>
      </c>
      <c r="Q265" s="13" t="s">
        <v>54</v>
      </c>
      <c r="R265" s="13" t="s">
        <v>28</v>
      </c>
      <c r="S265" s="13"/>
      <c r="T265" s="13"/>
      <c r="U265" s="13" t="s">
        <v>618</v>
      </c>
      <c r="V265" s="13" t="s">
        <v>618</v>
      </c>
      <c r="W265" s="59">
        <f>+J265/$W$2</f>
        <v>2.7683351587575063E-4</v>
      </c>
    </row>
    <row r="266" spans="1:29">
      <c r="A266" s="13" t="s">
        <v>338</v>
      </c>
      <c r="B266" s="13" t="s">
        <v>538</v>
      </c>
      <c r="C266" s="139">
        <v>46199</v>
      </c>
      <c r="D266" s="139" t="s">
        <v>516</v>
      </c>
      <c r="E266" s="28">
        <v>0.98542121999999999</v>
      </c>
      <c r="F266" s="13"/>
      <c r="G266" s="18">
        <v>17111099</v>
      </c>
      <c r="H266" s="18">
        <v>16861639.98</v>
      </c>
      <c r="I266" s="18">
        <v>17111099</v>
      </c>
      <c r="J266" s="18">
        <v>16861639.98</v>
      </c>
      <c r="K266" s="15">
        <v>1536</v>
      </c>
      <c r="L266" s="13" t="s">
        <v>102</v>
      </c>
      <c r="M266" s="13" t="s">
        <v>103</v>
      </c>
      <c r="N266" s="139" t="s">
        <v>428</v>
      </c>
      <c r="O266" s="139" t="s">
        <v>428</v>
      </c>
      <c r="P266" s="28">
        <v>30</v>
      </c>
      <c r="Q266" s="13" t="s">
        <v>54</v>
      </c>
      <c r="R266" s="13" t="s">
        <v>28</v>
      </c>
      <c r="S266" s="13"/>
      <c r="T266" s="13"/>
      <c r="U266" s="13" t="s">
        <v>963</v>
      </c>
      <c r="V266" s="13" t="s">
        <v>963</v>
      </c>
      <c r="W266" s="59">
        <f>+J266/$W$2</f>
        <v>3.7876991393739152E-4</v>
      </c>
    </row>
    <row r="267" spans="1:29">
      <c r="A267" s="13" t="s">
        <v>444</v>
      </c>
      <c r="B267" s="13" t="s">
        <v>538</v>
      </c>
      <c r="C267" s="139">
        <v>46199</v>
      </c>
      <c r="D267" s="139" t="s">
        <v>516</v>
      </c>
      <c r="E267" s="28">
        <v>0.98018154000000002</v>
      </c>
      <c r="F267" s="13"/>
      <c r="G267" s="18">
        <v>20000000</v>
      </c>
      <c r="H267" s="18">
        <v>19603630.800000001</v>
      </c>
      <c r="I267" s="18">
        <v>20000000</v>
      </c>
      <c r="J267" s="18">
        <v>19603630.800000001</v>
      </c>
      <c r="K267" s="15">
        <v>13318405</v>
      </c>
      <c r="L267" s="13" t="s">
        <v>102</v>
      </c>
      <c r="M267" s="13" t="s">
        <v>103</v>
      </c>
      <c r="N267" s="139" t="s">
        <v>321</v>
      </c>
      <c r="O267" s="139" t="s">
        <v>321</v>
      </c>
      <c r="P267" s="28">
        <v>41</v>
      </c>
      <c r="Q267" s="13" t="s">
        <v>54</v>
      </c>
      <c r="R267" s="13" t="s">
        <v>28</v>
      </c>
      <c r="S267" s="13"/>
      <c r="T267" s="13"/>
      <c r="U267" s="13" t="s">
        <v>572</v>
      </c>
      <c r="V267" s="13" t="s">
        <v>572</v>
      </c>
      <c r="W267" s="59">
        <f>+J267/$W$2</f>
        <v>4.4036437498272326E-4</v>
      </c>
    </row>
    <row r="268" spans="1:29">
      <c r="A268" s="13" t="s">
        <v>590</v>
      </c>
      <c r="B268" s="13" t="s">
        <v>538</v>
      </c>
      <c r="C268" s="139">
        <v>46199</v>
      </c>
      <c r="D268" s="139" t="s">
        <v>516</v>
      </c>
      <c r="E268" s="28">
        <v>0.98018156999999995</v>
      </c>
      <c r="F268" s="13"/>
      <c r="G268" s="18">
        <v>11785044.42</v>
      </c>
      <c r="H268" s="18">
        <v>11551483.34</v>
      </c>
      <c r="I268" s="18">
        <v>11785044.42</v>
      </c>
      <c r="J268" s="18">
        <v>11551483.34</v>
      </c>
      <c r="K268" s="15">
        <v>9344726</v>
      </c>
      <c r="L268" s="13" t="s">
        <v>102</v>
      </c>
      <c r="M268" s="13" t="s">
        <v>103</v>
      </c>
      <c r="N268" s="139" t="s">
        <v>231</v>
      </c>
      <c r="O268" s="139" t="s">
        <v>231</v>
      </c>
      <c r="P268" s="28">
        <v>41</v>
      </c>
      <c r="Q268" s="13" t="s">
        <v>54</v>
      </c>
      <c r="R268" s="13" t="s">
        <v>28</v>
      </c>
      <c r="S268" s="13"/>
      <c r="T268" s="13"/>
      <c r="U268" s="13" t="s">
        <v>661</v>
      </c>
      <c r="V268" s="13" t="s">
        <v>661</v>
      </c>
      <c r="W268" s="59">
        <f>+J268/$W$2</f>
        <v>2.5948569390229695E-4</v>
      </c>
    </row>
    <row r="269" spans="1:29">
      <c r="A269" s="13" t="s">
        <v>1052</v>
      </c>
      <c r="B269" s="13" t="s">
        <v>538</v>
      </c>
      <c r="C269" s="139">
        <v>46199</v>
      </c>
      <c r="D269" s="139" t="s">
        <v>516</v>
      </c>
      <c r="E269" s="28">
        <v>0.98685990999999995</v>
      </c>
      <c r="F269" s="13"/>
      <c r="G269" s="18">
        <v>25000000</v>
      </c>
      <c r="H269" s="18">
        <v>24671497.670000002</v>
      </c>
      <c r="I269" s="18">
        <v>25000000</v>
      </c>
      <c r="J269" s="18">
        <v>24671497.670000002</v>
      </c>
      <c r="K269" s="15">
        <v>900</v>
      </c>
      <c r="L269" s="13" t="s">
        <v>102</v>
      </c>
      <c r="M269" s="13" t="s">
        <v>103</v>
      </c>
      <c r="N269" s="139" t="s">
        <v>344</v>
      </c>
      <c r="O269" s="139" t="s">
        <v>344</v>
      </c>
      <c r="P269" s="28">
        <v>27</v>
      </c>
      <c r="Q269" s="13" t="s">
        <v>54</v>
      </c>
      <c r="R269" s="13" t="s">
        <v>28</v>
      </c>
      <c r="S269" s="13"/>
      <c r="T269" s="13"/>
      <c r="U269" s="13" t="s">
        <v>1116</v>
      </c>
      <c r="V269" s="13" t="s">
        <v>1116</v>
      </c>
      <c r="W269" s="59">
        <f>+J269/$W$2</f>
        <v>5.542059408371057E-4</v>
      </c>
    </row>
    <row r="270" spans="1:29">
      <c r="A270" s="13" t="s">
        <v>217</v>
      </c>
      <c r="B270" s="13" t="s">
        <v>538</v>
      </c>
      <c r="C270" s="139">
        <v>46202</v>
      </c>
      <c r="D270" s="139" t="s">
        <v>516</v>
      </c>
      <c r="E270" s="28">
        <v>0.97585767000000001</v>
      </c>
      <c r="F270" s="13"/>
      <c r="G270" s="18">
        <v>15000000</v>
      </c>
      <c r="H270" s="18">
        <v>14637865.07</v>
      </c>
      <c r="I270" s="18">
        <v>15000000</v>
      </c>
      <c r="J270" s="18">
        <v>14637865.07</v>
      </c>
      <c r="K270" s="15">
        <v>16771105</v>
      </c>
      <c r="L270" s="13" t="s">
        <v>102</v>
      </c>
      <c r="M270" s="13" t="s">
        <v>103</v>
      </c>
      <c r="N270" s="139" t="s">
        <v>374</v>
      </c>
      <c r="O270" s="139" t="s">
        <v>374</v>
      </c>
      <c r="P270" s="28">
        <v>43</v>
      </c>
      <c r="Q270" s="13" t="s">
        <v>54</v>
      </c>
      <c r="R270" s="13" t="s">
        <v>28</v>
      </c>
      <c r="S270" s="13"/>
      <c r="T270" s="13"/>
      <c r="U270" s="13" t="s">
        <v>1192</v>
      </c>
      <c r="V270" s="13" t="s">
        <v>1192</v>
      </c>
      <c r="W270" s="59">
        <f>+J270/$W$2</f>
        <v>3.2881634878738824E-4</v>
      </c>
    </row>
    <row r="271" spans="1:29">
      <c r="A271" s="13" t="s">
        <v>194</v>
      </c>
      <c r="B271" s="13" t="s">
        <v>538</v>
      </c>
      <c r="C271" s="139">
        <v>46202</v>
      </c>
      <c r="D271" s="139" t="s">
        <v>516</v>
      </c>
      <c r="E271" s="28">
        <v>0.97695465000000004</v>
      </c>
      <c r="F271" s="13"/>
      <c r="G271" s="18">
        <v>192000000</v>
      </c>
      <c r="H271" s="18">
        <v>187575293.25999999</v>
      </c>
      <c r="I271" s="18">
        <v>192000000</v>
      </c>
      <c r="J271" s="18">
        <v>187575293.25999999</v>
      </c>
      <c r="K271" s="15">
        <v>70379138</v>
      </c>
      <c r="L271" s="13" t="s">
        <v>102</v>
      </c>
      <c r="M271" s="13" t="s">
        <v>103</v>
      </c>
      <c r="N271" s="139" t="s">
        <v>473</v>
      </c>
      <c r="O271" s="139" t="s">
        <v>473</v>
      </c>
      <c r="P271" s="28">
        <v>41</v>
      </c>
      <c r="Q271" s="13" t="s">
        <v>54</v>
      </c>
      <c r="R271" s="13" t="s">
        <v>28</v>
      </c>
      <c r="S271" s="13"/>
      <c r="T271" s="13"/>
      <c r="U271" s="13" t="s">
        <v>1437</v>
      </c>
      <c r="V271" s="13" t="s">
        <v>1437</v>
      </c>
      <c r="W271" s="59">
        <f>+J271/$W$2</f>
        <v>4.2135805158420407E-3</v>
      </c>
    </row>
    <row r="272" spans="1:29">
      <c r="A272" s="13" t="s">
        <v>1459</v>
      </c>
      <c r="B272" s="13" t="s">
        <v>538</v>
      </c>
      <c r="C272" s="139">
        <v>46202</v>
      </c>
      <c r="D272" s="139" t="s">
        <v>516</v>
      </c>
      <c r="E272" s="28">
        <v>0.98026062000000003</v>
      </c>
      <c r="F272" s="13"/>
      <c r="G272" s="18">
        <v>2000000</v>
      </c>
      <c r="H272" s="18">
        <v>1960521.23</v>
      </c>
      <c r="I272" s="18">
        <v>2000000</v>
      </c>
      <c r="J272" s="18">
        <v>1960521.23</v>
      </c>
      <c r="K272" s="15">
        <v>7742</v>
      </c>
      <c r="L272" s="13" t="s">
        <v>102</v>
      </c>
      <c r="M272" s="13" t="s">
        <v>103</v>
      </c>
      <c r="N272" s="139" t="s">
        <v>381</v>
      </c>
      <c r="O272" s="139" t="s">
        <v>381</v>
      </c>
      <c r="P272" s="28">
        <v>35</v>
      </c>
      <c r="Q272" s="13" t="s">
        <v>54</v>
      </c>
      <c r="R272" s="13" t="s">
        <v>28</v>
      </c>
      <c r="S272" s="13"/>
      <c r="T272" s="13"/>
      <c r="U272" s="13" t="s">
        <v>1457</v>
      </c>
      <c r="V272" s="13" t="s">
        <v>1457</v>
      </c>
      <c r="W272" s="59">
        <f>+J272/$W$2</f>
        <v>4.4039990086393069E-5</v>
      </c>
      <c r="AC272" s="56"/>
    </row>
    <row r="273" spans="1:29">
      <c r="A273" s="13" t="s">
        <v>1619</v>
      </c>
      <c r="B273" s="13" t="s">
        <v>538</v>
      </c>
      <c r="C273" s="139">
        <v>46202</v>
      </c>
      <c r="D273" s="139" t="s">
        <v>516</v>
      </c>
      <c r="E273" s="28">
        <v>0.98192197999999997</v>
      </c>
      <c r="F273" s="13"/>
      <c r="G273" s="18">
        <v>2000000</v>
      </c>
      <c r="H273" s="18">
        <v>1963843.97</v>
      </c>
      <c r="I273" s="18">
        <v>2000000</v>
      </c>
      <c r="J273" s="18">
        <v>1963843.97</v>
      </c>
      <c r="K273" s="15">
        <v>383</v>
      </c>
      <c r="L273" s="13" t="s">
        <v>102</v>
      </c>
      <c r="M273" s="13" t="s">
        <v>103</v>
      </c>
      <c r="N273" s="139" t="s">
        <v>371</v>
      </c>
      <c r="O273" s="139" t="s">
        <v>371</v>
      </c>
      <c r="P273" s="28">
        <v>32</v>
      </c>
      <c r="Q273" s="13" t="s">
        <v>54</v>
      </c>
      <c r="R273" s="13" t="s">
        <v>28</v>
      </c>
      <c r="S273" s="13"/>
      <c r="T273" s="13"/>
      <c r="U273" s="13" t="s">
        <v>1652</v>
      </c>
      <c r="V273" s="13" t="s">
        <v>1652</v>
      </c>
      <c r="W273" s="59">
        <f>+J273/$W$2</f>
        <v>4.4114630153748862E-5</v>
      </c>
      <c r="AC273" s="56"/>
    </row>
    <row r="274" spans="1:29">
      <c r="A274" s="13" t="s">
        <v>591</v>
      </c>
      <c r="B274" s="13" t="s">
        <v>538</v>
      </c>
      <c r="C274" s="139">
        <v>46202</v>
      </c>
      <c r="D274" s="139" t="s">
        <v>516</v>
      </c>
      <c r="E274" s="28">
        <v>0.97695460000000001</v>
      </c>
      <c r="F274" s="13"/>
      <c r="G274" s="18">
        <v>2000000</v>
      </c>
      <c r="H274" s="18">
        <v>1953909.2</v>
      </c>
      <c r="I274" s="18">
        <v>2000000</v>
      </c>
      <c r="J274" s="18">
        <v>1953909.2</v>
      </c>
      <c r="K274" s="15">
        <v>11213039</v>
      </c>
      <c r="L274" s="13" t="s">
        <v>102</v>
      </c>
      <c r="M274" s="13" t="s">
        <v>103</v>
      </c>
      <c r="N274" s="139" t="s">
        <v>321</v>
      </c>
      <c r="O274" s="139" t="s">
        <v>321</v>
      </c>
      <c r="P274" s="28">
        <v>41</v>
      </c>
      <c r="Q274" s="13" t="s">
        <v>54</v>
      </c>
      <c r="R274" s="13" t="s">
        <v>28</v>
      </c>
      <c r="S274" s="13"/>
      <c r="T274" s="13"/>
      <c r="U274" s="13" t="s">
        <v>587</v>
      </c>
      <c r="V274" s="13" t="s">
        <v>587</v>
      </c>
      <c r="W274" s="59">
        <f>+J274/$W$2</f>
        <v>4.3891461352709864E-5</v>
      </c>
    </row>
    <row r="275" spans="1:29">
      <c r="A275" s="13" t="s">
        <v>339</v>
      </c>
      <c r="B275" s="13" t="s">
        <v>538</v>
      </c>
      <c r="C275" s="139">
        <v>46202</v>
      </c>
      <c r="D275" s="139" t="s">
        <v>516</v>
      </c>
      <c r="E275" s="28">
        <v>0.98026057</v>
      </c>
      <c r="F275" s="13"/>
      <c r="G275" s="18">
        <v>5000000</v>
      </c>
      <c r="H275" s="18">
        <v>4901302.83</v>
      </c>
      <c r="I275" s="18">
        <v>5000000</v>
      </c>
      <c r="J275" s="18">
        <v>4901302.83</v>
      </c>
      <c r="K275" s="15">
        <v>90000059</v>
      </c>
      <c r="L275" s="13" t="s">
        <v>102</v>
      </c>
      <c r="M275" s="13" t="s">
        <v>103</v>
      </c>
      <c r="N275" s="139" t="s">
        <v>244</v>
      </c>
      <c r="O275" s="139" t="s">
        <v>244</v>
      </c>
      <c r="P275" s="28">
        <v>35</v>
      </c>
      <c r="Q275" s="13" t="s">
        <v>54</v>
      </c>
      <c r="R275" s="13" t="s">
        <v>28</v>
      </c>
      <c r="S275" s="13"/>
      <c r="T275" s="13"/>
      <c r="U275" s="13" t="s">
        <v>522</v>
      </c>
      <c r="V275" s="13" t="s">
        <v>522</v>
      </c>
      <c r="W275" s="59">
        <f>+J275/$W$2</f>
        <v>1.1009996971244748E-4</v>
      </c>
    </row>
    <row r="276" spans="1:29">
      <c r="A276" s="13" t="s">
        <v>1054</v>
      </c>
      <c r="B276" s="13" t="s">
        <v>538</v>
      </c>
      <c r="C276" s="139">
        <v>46202</v>
      </c>
      <c r="D276" s="139" t="s">
        <v>516</v>
      </c>
      <c r="E276" s="28">
        <v>0.98526157000000003</v>
      </c>
      <c r="F276" s="13"/>
      <c r="G276" s="18">
        <v>10000000</v>
      </c>
      <c r="H276" s="18">
        <v>9852615.7300000004</v>
      </c>
      <c r="I276" s="18">
        <v>10000000</v>
      </c>
      <c r="J276" s="18">
        <v>9852615.7300000004</v>
      </c>
      <c r="K276" s="15">
        <v>1742536</v>
      </c>
      <c r="L276" s="13" t="s">
        <v>102</v>
      </c>
      <c r="M276" s="13" t="s">
        <v>103</v>
      </c>
      <c r="N276" s="139" t="s">
        <v>366</v>
      </c>
      <c r="O276" s="139" t="s">
        <v>366</v>
      </c>
      <c r="P276" s="28">
        <v>26</v>
      </c>
      <c r="Q276" s="13" t="s">
        <v>54</v>
      </c>
      <c r="R276" s="13" t="s">
        <v>28</v>
      </c>
      <c r="S276" s="13"/>
      <c r="T276" s="13"/>
      <c r="U276" s="13" t="s">
        <v>1031</v>
      </c>
      <c r="V276" s="13" t="s">
        <v>1031</v>
      </c>
      <c r="W276" s="59">
        <f>+J276/$W$2</f>
        <v>2.2132333607743711E-4</v>
      </c>
    </row>
    <row r="277" spans="1:29">
      <c r="A277" s="13" t="s">
        <v>338</v>
      </c>
      <c r="B277" s="13" t="s">
        <v>538</v>
      </c>
      <c r="C277" s="139">
        <v>46202</v>
      </c>
      <c r="D277" s="139" t="s">
        <v>516</v>
      </c>
      <c r="E277" s="28">
        <v>0.98303266</v>
      </c>
      <c r="F277" s="13"/>
      <c r="G277" s="18">
        <v>17352660</v>
      </c>
      <c r="H277" s="18">
        <v>17058231.510000002</v>
      </c>
      <c r="I277" s="18">
        <v>17352660</v>
      </c>
      <c r="J277" s="18">
        <v>17058231.510000002</v>
      </c>
      <c r="K277" s="15">
        <v>1494</v>
      </c>
      <c r="L277" s="13" t="s">
        <v>102</v>
      </c>
      <c r="M277" s="13" t="s">
        <v>103</v>
      </c>
      <c r="N277" s="139" t="s">
        <v>428</v>
      </c>
      <c r="O277" s="139" t="s">
        <v>428</v>
      </c>
      <c r="P277" s="28">
        <v>30</v>
      </c>
      <c r="Q277" s="13" t="s">
        <v>54</v>
      </c>
      <c r="R277" s="13" t="s">
        <v>28</v>
      </c>
      <c r="S277" s="13"/>
      <c r="T277" s="13"/>
      <c r="U277" s="13" t="s">
        <v>972</v>
      </c>
      <c r="V277" s="13" t="s">
        <v>972</v>
      </c>
      <c r="W277" s="59">
        <f>+J277/$W$2</f>
        <v>3.8318602986604636E-4</v>
      </c>
    </row>
    <row r="278" spans="1:29">
      <c r="A278" s="13" t="s">
        <v>1053</v>
      </c>
      <c r="B278" s="13" t="s">
        <v>538</v>
      </c>
      <c r="C278" s="139">
        <v>46202</v>
      </c>
      <c r="D278" s="139" t="s">
        <v>516</v>
      </c>
      <c r="E278" s="28">
        <v>0.98470338000000002</v>
      </c>
      <c r="F278" s="13"/>
      <c r="G278" s="18">
        <v>10000000</v>
      </c>
      <c r="H278" s="18">
        <v>9847033.8300000001</v>
      </c>
      <c r="I278" s="18">
        <v>10000000</v>
      </c>
      <c r="J278" s="18">
        <v>9847033.8300000001</v>
      </c>
      <c r="K278" s="15">
        <v>30178</v>
      </c>
      <c r="L278" s="13" t="s">
        <v>102</v>
      </c>
      <c r="M278" s="13" t="s">
        <v>103</v>
      </c>
      <c r="N278" s="139" t="s">
        <v>366</v>
      </c>
      <c r="O278" s="139" t="s">
        <v>366</v>
      </c>
      <c r="P278" s="28">
        <v>27</v>
      </c>
      <c r="Q278" s="13" t="s">
        <v>54</v>
      </c>
      <c r="R278" s="13" t="s">
        <v>28</v>
      </c>
      <c r="S278" s="13"/>
      <c r="T278" s="13"/>
      <c r="U278" s="13" t="s">
        <v>1048</v>
      </c>
      <c r="V278" s="13" t="s">
        <v>1048</v>
      </c>
      <c r="W278" s="59">
        <f>+J278/$W$2</f>
        <v>2.2119794757518497E-4</v>
      </c>
    </row>
    <row r="279" spans="1:29">
      <c r="A279" s="13" t="s">
        <v>1053</v>
      </c>
      <c r="B279" s="13" t="s">
        <v>538</v>
      </c>
      <c r="C279" s="139">
        <v>46202</v>
      </c>
      <c r="D279" s="139" t="s">
        <v>516</v>
      </c>
      <c r="E279" s="28">
        <v>0.98470338000000002</v>
      </c>
      <c r="F279" s="13"/>
      <c r="G279" s="18">
        <v>10000000</v>
      </c>
      <c r="H279" s="18">
        <v>9847033.8300000001</v>
      </c>
      <c r="I279" s="18">
        <v>10000000</v>
      </c>
      <c r="J279" s="18">
        <v>9847033.8300000001</v>
      </c>
      <c r="K279" s="15">
        <v>30177</v>
      </c>
      <c r="L279" s="13" t="s">
        <v>102</v>
      </c>
      <c r="M279" s="13" t="s">
        <v>103</v>
      </c>
      <c r="N279" s="139" t="s">
        <v>366</v>
      </c>
      <c r="O279" s="139" t="s">
        <v>366</v>
      </c>
      <c r="P279" s="28">
        <v>27</v>
      </c>
      <c r="Q279" s="13" t="s">
        <v>54</v>
      </c>
      <c r="R279" s="13" t="s">
        <v>28</v>
      </c>
      <c r="S279" s="13"/>
      <c r="T279" s="13"/>
      <c r="U279" s="13" t="s">
        <v>1049</v>
      </c>
      <c r="V279" s="13" t="s">
        <v>1049</v>
      </c>
      <c r="W279" s="59">
        <f>+J279/$W$2</f>
        <v>2.2119794757518497E-4</v>
      </c>
    </row>
    <row r="280" spans="1:29">
      <c r="A280" s="13" t="s">
        <v>444</v>
      </c>
      <c r="B280" s="13" t="s">
        <v>538</v>
      </c>
      <c r="C280" s="139">
        <v>46202</v>
      </c>
      <c r="D280" s="139" t="s">
        <v>516</v>
      </c>
      <c r="E280" s="28">
        <v>0.97695460000000001</v>
      </c>
      <c r="F280" s="13"/>
      <c r="G280" s="18">
        <v>20000000</v>
      </c>
      <c r="H280" s="18">
        <v>19539091.989999998</v>
      </c>
      <c r="I280" s="18">
        <v>20000000</v>
      </c>
      <c r="J280" s="18">
        <v>19539091.989999998</v>
      </c>
      <c r="K280" s="15">
        <v>13318406</v>
      </c>
      <c r="L280" s="13" t="s">
        <v>102</v>
      </c>
      <c r="M280" s="13" t="s">
        <v>103</v>
      </c>
      <c r="N280" s="139" t="s">
        <v>321</v>
      </c>
      <c r="O280" s="139" t="s">
        <v>321</v>
      </c>
      <c r="P280" s="28">
        <v>41</v>
      </c>
      <c r="Q280" s="13" t="s">
        <v>54</v>
      </c>
      <c r="R280" s="13" t="s">
        <v>28</v>
      </c>
      <c r="S280" s="13"/>
      <c r="T280" s="13"/>
      <c r="U280" s="13" t="s">
        <v>566</v>
      </c>
      <c r="V280" s="13" t="s">
        <v>566</v>
      </c>
      <c r="W280" s="59">
        <f>+J280/$W$2</f>
        <v>4.3891461330246452E-4</v>
      </c>
    </row>
    <row r="281" spans="1:29">
      <c r="A281" s="13" t="s">
        <v>138</v>
      </c>
      <c r="B281" s="13" t="s">
        <v>538</v>
      </c>
      <c r="C281" s="139">
        <v>46202</v>
      </c>
      <c r="D281" s="139" t="s">
        <v>516</v>
      </c>
      <c r="E281" s="28">
        <v>0.97915605999999999</v>
      </c>
      <c r="F281" s="13"/>
      <c r="G281" s="18">
        <v>80000000</v>
      </c>
      <c r="H281" s="18">
        <v>78332484.459999993</v>
      </c>
      <c r="I281" s="18">
        <v>80000000</v>
      </c>
      <c r="J281" s="18">
        <v>78332484.459999993</v>
      </c>
      <c r="K281" s="15">
        <v>663</v>
      </c>
      <c r="L281" s="13" t="s">
        <v>102</v>
      </c>
      <c r="M281" s="13" t="s">
        <v>103</v>
      </c>
      <c r="N281" s="139" t="s">
        <v>382</v>
      </c>
      <c r="O281" s="139" t="s">
        <v>382</v>
      </c>
      <c r="P281" s="28">
        <v>37</v>
      </c>
      <c r="Q281" s="13" t="s">
        <v>54</v>
      </c>
      <c r="R281" s="13" t="s">
        <v>28</v>
      </c>
      <c r="S281" s="13"/>
      <c r="T281" s="13"/>
      <c r="U281" s="13" t="s">
        <v>1604</v>
      </c>
      <c r="V281" s="13" t="s">
        <v>1604</v>
      </c>
      <c r="W281" s="59">
        <f>+J281/$W$2</f>
        <v>1.7596146301669677E-3</v>
      </c>
      <c r="AC281" s="56"/>
    </row>
    <row r="282" spans="1:29">
      <c r="A282" s="13" t="s">
        <v>590</v>
      </c>
      <c r="B282" s="13" t="s">
        <v>538</v>
      </c>
      <c r="C282" s="139">
        <v>46202</v>
      </c>
      <c r="D282" s="139" t="s">
        <v>516</v>
      </c>
      <c r="E282" s="28">
        <v>0.97695460000000001</v>
      </c>
      <c r="F282" s="13"/>
      <c r="G282" s="18">
        <v>15909586.57</v>
      </c>
      <c r="H282" s="18">
        <v>15542943.779999999</v>
      </c>
      <c r="I282" s="18">
        <v>15909586.57</v>
      </c>
      <c r="J282" s="18">
        <v>15542943.779999999</v>
      </c>
      <c r="K282" s="15">
        <v>30494</v>
      </c>
      <c r="L282" s="13" t="s">
        <v>102</v>
      </c>
      <c r="M282" s="13" t="s">
        <v>103</v>
      </c>
      <c r="N282" s="139" t="s">
        <v>321</v>
      </c>
      <c r="O282" s="139" t="s">
        <v>321</v>
      </c>
      <c r="P282" s="28">
        <v>41</v>
      </c>
      <c r="Q282" s="13" t="s">
        <v>54</v>
      </c>
      <c r="R282" s="13" t="s">
        <v>28</v>
      </c>
      <c r="S282" s="13"/>
      <c r="T282" s="13"/>
      <c r="U282" s="13" t="s">
        <v>575</v>
      </c>
      <c r="V282" s="13" t="s">
        <v>575</v>
      </c>
      <c r="W282" s="59">
        <f>+J282/$W$2</f>
        <v>3.4914750195516359E-4</v>
      </c>
      <c r="AC282" s="56"/>
    </row>
    <row r="283" spans="1:29">
      <c r="A283" s="13" t="s">
        <v>590</v>
      </c>
      <c r="B283" s="13" t="s">
        <v>538</v>
      </c>
      <c r="C283" s="139">
        <v>46202</v>
      </c>
      <c r="D283" s="139" t="s">
        <v>516</v>
      </c>
      <c r="E283" s="28">
        <v>0.97695460000000001</v>
      </c>
      <c r="F283" s="13"/>
      <c r="G283" s="18">
        <v>15389210.15</v>
      </c>
      <c r="H283" s="18">
        <v>15034559.640000001</v>
      </c>
      <c r="I283" s="18">
        <v>15389210.15</v>
      </c>
      <c r="J283" s="18">
        <v>15034559.640000001</v>
      </c>
      <c r="K283" s="15">
        <v>9344720</v>
      </c>
      <c r="L283" s="13" t="s">
        <v>102</v>
      </c>
      <c r="M283" s="13" t="s">
        <v>103</v>
      </c>
      <c r="N283" s="139" t="s">
        <v>321</v>
      </c>
      <c r="O283" s="139" t="s">
        <v>321</v>
      </c>
      <c r="P283" s="28">
        <v>41</v>
      </c>
      <c r="Q283" s="13" t="s">
        <v>54</v>
      </c>
      <c r="R283" s="13" t="s">
        <v>28</v>
      </c>
      <c r="S283" s="13"/>
      <c r="T283" s="13"/>
      <c r="U283" s="13" t="s">
        <v>580</v>
      </c>
      <c r="V283" s="13" t="s">
        <v>580</v>
      </c>
      <c r="W283" s="59">
        <f>+J283/$W$2</f>
        <v>3.3772746112975543E-4</v>
      </c>
    </row>
    <row r="284" spans="1:29">
      <c r="A284" s="13" t="s">
        <v>819</v>
      </c>
      <c r="B284" s="13" t="s">
        <v>538</v>
      </c>
      <c r="C284" s="139">
        <v>46202</v>
      </c>
      <c r="D284" s="139" t="s">
        <v>516</v>
      </c>
      <c r="E284" s="28">
        <v>0.98470336999999997</v>
      </c>
      <c r="F284" s="13"/>
      <c r="G284" s="18">
        <v>3000000</v>
      </c>
      <c r="H284" s="18">
        <v>2954110.12</v>
      </c>
      <c r="I284" s="18">
        <v>3000000</v>
      </c>
      <c r="J284" s="18">
        <v>2954110.12</v>
      </c>
      <c r="K284" s="15">
        <v>13314552</v>
      </c>
      <c r="L284" s="13" t="s">
        <v>102</v>
      </c>
      <c r="M284" s="13" t="s">
        <v>103</v>
      </c>
      <c r="N284" s="139" t="s">
        <v>378</v>
      </c>
      <c r="O284" s="139" t="s">
        <v>378</v>
      </c>
      <c r="P284" s="28">
        <v>27</v>
      </c>
      <c r="Q284" s="13" t="s">
        <v>54</v>
      </c>
      <c r="R284" s="13" t="s">
        <v>28</v>
      </c>
      <c r="S284" s="13"/>
      <c r="T284" s="13"/>
      <c r="U284" s="13" t="s">
        <v>826</v>
      </c>
      <c r="V284" s="13" t="s">
        <v>826</v>
      </c>
      <c r="W284" s="59">
        <f>+J284/$W$2</f>
        <v>6.6359383621116637E-5</v>
      </c>
      <c r="AC284" s="56"/>
    </row>
    <row r="285" spans="1:29">
      <c r="A285" s="13" t="s">
        <v>1708</v>
      </c>
      <c r="B285" s="13" t="s">
        <v>538</v>
      </c>
      <c r="C285" s="139">
        <v>46203</v>
      </c>
      <c r="D285" s="139" t="s">
        <v>516</v>
      </c>
      <c r="E285" s="28">
        <v>0.97934010000000005</v>
      </c>
      <c r="F285" s="13"/>
      <c r="G285" s="18">
        <v>300000000</v>
      </c>
      <c r="H285" s="18">
        <v>293802030.08999997</v>
      </c>
      <c r="I285" s="18">
        <v>300000000</v>
      </c>
      <c r="J285" s="18">
        <v>293802030.08999997</v>
      </c>
      <c r="K285" s="15">
        <v>231702</v>
      </c>
      <c r="L285" s="13" t="s">
        <v>102</v>
      </c>
      <c r="M285" s="13" t="s">
        <v>103</v>
      </c>
      <c r="N285" s="139" t="s">
        <v>514</v>
      </c>
      <c r="O285" s="139" t="s">
        <v>514</v>
      </c>
      <c r="P285" s="28">
        <v>35</v>
      </c>
      <c r="Q285" s="13" t="s">
        <v>54</v>
      </c>
      <c r="R285" s="13" t="s">
        <v>28</v>
      </c>
      <c r="S285" s="13"/>
      <c r="T285" s="13"/>
      <c r="U285" s="13" t="s">
        <v>1709</v>
      </c>
      <c r="V285" s="13" t="s">
        <v>1709</v>
      </c>
      <c r="W285" s="59">
        <f>+J285/$W$2</f>
        <v>6.5997951435219889E-3</v>
      </c>
    </row>
    <row r="286" spans="1:29">
      <c r="A286" s="13" t="s">
        <v>1459</v>
      </c>
      <c r="B286" s="13" t="s">
        <v>538</v>
      </c>
      <c r="C286" s="139">
        <v>46203</v>
      </c>
      <c r="D286" s="139" t="s">
        <v>516</v>
      </c>
      <c r="E286" s="28">
        <v>0.97934001999999998</v>
      </c>
      <c r="F286" s="13"/>
      <c r="G286" s="18">
        <v>2000000</v>
      </c>
      <c r="H286" s="18">
        <v>1958680.04</v>
      </c>
      <c r="I286" s="18">
        <v>2000000</v>
      </c>
      <c r="J286" s="18">
        <v>1958680.04</v>
      </c>
      <c r="K286" s="15">
        <v>7743</v>
      </c>
      <c r="L286" s="13" t="s">
        <v>102</v>
      </c>
      <c r="M286" s="13" t="s">
        <v>103</v>
      </c>
      <c r="N286" s="139" t="s">
        <v>381</v>
      </c>
      <c r="O286" s="139" t="s">
        <v>381</v>
      </c>
      <c r="P286" s="28">
        <v>35</v>
      </c>
      <c r="Q286" s="13" t="s">
        <v>54</v>
      </c>
      <c r="R286" s="13" t="s">
        <v>28</v>
      </c>
      <c r="S286" s="13"/>
      <c r="T286" s="13"/>
      <c r="U286" s="13" t="s">
        <v>1458</v>
      </c>
      <c r="V286" s="13" t="s">
        <v>1458</v>
      </c>
      <c r="W286" s="59">
        <f>+J286/$W$2</f>
        <v>4.3998630682523128E-5</v>
      </c>
    </row>
    <row r="287" spans="1:29">
      <c r="A287" s="13" t="s">
        <v>916</v>
      </c>
      <c r="B287" s="13" t="s">
        <v>538</v>
      </c>
      <c r="C287" s="139">
        <v>46203</v>
      </c>
      <c r="D287" s="139" t="s">
        <v>516</v>
      </c>
      <c r="E287" s="28">
        <v>0.98049759000000003</v>
      </c>
      <c r="F287" s="13"/>
      <c r="G287" s="18">
        <v>10000000</v>
      </c>
      <c r="H287" s="18">
        <v>9804975.8499999996</v>
      </c>
      <c r="I287" s="18">
        <v>10000000</v>
      </c>
      <c r="J287" s="18">
        <v>9804975.8499999996</v>
      </c>
      <c r="K287" s="15">
        <v>13633522</v>
      </c>
      <c r="L287" s="13" t="s">
        <v>102</v>
      </c>
      <c r="M287" s="13" t="s">
        <v>103</v>
      </c>
      <c r="N287" s="139" t="s">
        <v>163</v>
      </c>
      <c r="O287" s="139" t="s">
        <v>163</v>
      </c>
      <c r="P287" s="28">
        <v>33</v>
      </c>
      <c r="Q287" s="13" t="s">
        <v>54</v>
      </c>
      <c r="R287" s="13" t="s">
        <v>28</v>
      </c>
      <c r="S287" s="13"/>
      <c r="T287" s="13"/>
      <c r="U287" s="13" t="s">
        <v>1581</v>
      </c>
      <c r="V287" s="13" t="s">
        <v>1581</v>
      </c>
      <c r="W287" s="59">
        <f>+J287/$W$2</f>
        <v>2.2025318197208373E-4</v>
      </c>
    </row>
    <row r="288" spans="1:29">
      <c r="A288" s="13" t="s">
        <v>994</v>
      </c>
      <c r="B288" s="13" t="s">
        <v>538</v>
      </c>
      <c r="C288" s="139">
        <v>46203</v>
      </c>
      <c r="D288" s="139" t="s">
        <v>516</v>
      </c>
      <c r="E288" s="28">
        <v>0.97934001000000004</v>
      </c>
      <c r="F288" s="13"/>
      <c r="G288" s="18">
        <v>10000000</v>
      </c>
      <c r="H288" s="18">
        <v>9793400.0999999996</v>
      </c>
      <c r="I288" s="18">
        <v>10000000</v>
      </c>
      <c r="J288" s="18">
        <v>9793400.0999999996</v>
      </c>
      <c r="K288" s="15">
        <v>29098103</v>
      </c>
      <c r="L288" s="13" t="s">
        <v>102</v>
      </c>
      <c r="M288" s="13" t="s">
        <v>103</v>
      </c>
      <c r="N288" s="139" t="s">
        <v>428</v>
      </c>
      <c r="O288" s="139" t="s">
        <v>428</v>
      </c>
      <c r="P288" s="28">
        <v>35</v>
      </c>
      <c r="Q288" s="13" t="s">
        <v>54</v>
      </c>
      <c r="R288" s="13" t="s">
        <v>28</v>
      </c>
      <c r="S288" s="13"/>
      <c r="T288" s="13"/>
      <c r="U288" s="13" t="s">
        <v>974</v>
      </c>
      <c r="V288" s="13" t="s">
        <v>974</v>
      </c>
      <c r="W288" s="59">
        <f>+J288/$W$2</f>
        <v>2.1999315116627473E-4</v>
      </c>
    </row>
    <row r="289" spans="1:29">
      <c r="A289" s="13" t="s">
        <v>1292</v>
      </c>
      <c r="B289" s="13" t="s">
        <v>538</v>
      </c>
      <c r="C289" s="139">
        <v>46203</v>
      </c>
      <c r="D289" s="139" t="s">
        <v>516</v>
      </c>
      <c r="E289" s="28">
        <v>0.98223897000000004</v>
      </c>
      <c r="F289" s="13"/>
      <c r="G289" s="18">
        <v>8200000</v>
      </c>
      <c r="H289" s="18">
        <v>8054359.5499999998</v>
      </c>
      <c r="I289" s="18">
        <v>8200000</v>
      </c>
      <c r="J289" s="18">
        <v>8054359.5499999998</v>
      </c>
      <c r="K289" s="15">
        <v>66589587</v>
      </c>
      <c r="L289" s="13" t="s">
        <v>102</v>
      </c>
      <c r="M289" s="13" t="s">
        <v>103</v>
      </c>
      <c r="N289" s="139" t="s">
        <v>334</v>
      </c>
      <c r="O289" s="139" t="s">
        <v>334</v>
      </c>
      <c r="P289" s="28">
        <v>30</v>
      </c>
      <c r="Q289" s="13" t="s">
        <v>54</v>
      </c>
      <c r="R289" s="13" t="s">
        <v>28</v>
      </c>
      <c r="S289" s="13"/>
      <c r="T289" s="13"/>
      <c r="U289" s="13" t="s">
        <v>1286</v>
      </c>
      <c r="V289" s="13" t="s">
        <v>1286</v>
      </c>
      <c r="W289" s="59">
        <f>+J289/$W$2</f>
        <v>1.8092837216266479E-4</v>
      </c>
    </row>
    <row r="290" spans="1:29">
      <c r="A290" s="13" t="s">
        <v>1417</v>
      </c>
      <c r="B290" s="13" t="s">
        <v>538</v>
      </c>
      <c r="C290" s="139">
        <v>46203</v>
      </c>
      <c r="D290" s="139" t="s">
        <v>516</v>
      </c>
      <c r="E290" s="28">
        <v>0.98049757999999998</v>
      </c>
      <c r="F290" s="13"/>
      <c r="G290" s="18">
        <v>2000000</v>
      </c>
      <c r="H290" s="18">
        <v>1960995.17</v>
      </c>
      <c r="I290" s="18">
        <v>2000000</v>
      </c>
      <c r="J290" s="18">
        <v>1960995.17</v>
      </c>
      <c r="K290" s="15">
        <v>148</v>
      </c>
      <c r="L290" s="13" t="s">
        <v>102</v>
      </c>
      <c r="M290" s="13" t="s">
        <v>103</v>
      </c>
      <c r="N290" s="139" t="s">
        <v>343</v>
      </c>
      <c r="O290" s="139" t="s">
        <v>343</v>
      </c>
      <c r="P290" s="28">
        <v>33</v>
      </c>
      <c r="Q290" s="13" t="s">
        <v>54</v>
      </c>
      <c r="R290" s="13" t="s">
        <v>28</v>
      </c>
      <c r="S290" s="13"/>
      <c r="T290" s="13"/>
      <c r="U290" s="13" t="s">
        <v>1418</v>
      </c>
      <c r="V290" s="13" t="s">
        <v>1418</v>
      </c>
      <c r="W290" s="59">
        <f>+J290/$W$2</f>
        <v>4.4050636394416745E-5</v>
      </c>
    </row>
    <row r="291" spans="1:29">
      <c r="A291" s="13" t="s">
        <v>539</v>
      </c>
      <c r="B291" s="13" t="s">
        <v>538</v>
      </c>
      <c r="C291" s="139">
        <v>46203</v>
      </c>
      <c r="D291" s="139" t="s">
        <v>516</v>
      </c>
      <c r="E291" s="28">
        <v>0.97934001000000004</v>
      </c>
      <c r="F291" s="13"/>
      <c r="G291" s="18">
        <v>10000000</v>
      </c>
      <c r="H291" s="18">
        <v>9793400.0999999996</v>
      </c>
      <c r="I291" s="18">
        <v>10000000</v>
      </c>
      <c r="J291" s="18">
        <v>9793400.0999999996</v>
      </c>
      <c r="K291" s="15">
        <v>386</v>
      </c>
      <c r="L291" s="13" t="s">
        <v>102</v>
      </c>
      <c r="M291" s="13" t="s">
        <v>103</v>
      </c>
      <c r="N291" s="139" t="s">
        <v>428</v>
      </c>
      <c r="O291" s="139" t="s">
        <v>428</v>
      </c>
      <c r="P291" s="28">
        <v>35</v>
      </c>
      <c r="Q291" s="13" t="s">
        <v>54</v>
      </c>
      <c r="R291" s="13" t="s">
        <v>28</v>
      </c>
      <c r="S291" s="13"/>
      <c r="T291" s="13"/>
      <c r="U291" s="13" t="s">
        <v>961</v>
      </c>
      <c r="V291" s="13" t="s">
        <v>961</v>
      </c>
      <c r="W291" s="59">
        <f>+J291/$W$2</f>
        <v>2.1999315116627473E-4</v>
      </c>
    </row>
    <row r="292" spans="1:29">
      <c r="A292" s="13" t="s">
        <v>122</v>
      </c>
      <c r="B292" s="13" t="s">
        <v>538</v>
      </c>
      <c r="C292" s="139">
        <v>46203</v>
      </c>
      <c r="D292" s="139" t="s">
        <v>516</v>
      </c>
      <c r="E292" s="28">
        <v>0.97302197999999995</v>
      </c>
      <c r="F292" s="13"/>
      <c r="G292" s="18">
        <v>10000000</v>
      </c>
      <c r="H292" s="18">
        <v>9730219.8100000005</v>
      </c>
      <c r="I292" s="18">
        <v>10000000</v>
      </c>
      <c r="J292" s="18">
        <v>9730219.8100000005</v>
      </c>
      <c r="K292" s="15">
        <v>3924</v>
      </c>
      <c r="L292" s="13" t="s">
        <v>102</v>
      </c>
      <c r="M292" s="13" t="s">
        <v>103</v>
      </c>
      <c r="N292" s="139" t="s">
        <v>121</v>
      </c>
      <c r="O292" s="139" t="s">
        <v>121</v>
      </c>
      <c r="P292" s="28">
        <v>46</v>
      </c>
      <c r="Q292" s="13" t="s">
        <v>54</v>
      </c>
      <c r="R292" s="13" t="s">
        <v>28</v>
      </c>
      <c r="S292" s="13"/>
      <c r="T292" s="13"/>
      <c r="U292" s="13" t="s">
        <v>172</v>
      </c>
      <c r="V292" s="13" t="s">
        <v>172</v>
      </c>
      <c r="W292" s="59">
        <f>+J292/$W$2</f>
        <v>2.1857390647630245E-4</v>
      </c>
    </row>
    <row r="293" spans="1:29">
      <c r="A293" s="13" t="s">
        <v>148</v>
      </c>
      <c r="B293" s="13" t="s">
        <v>538</v>
      </c>
      <c r="C293" s="139">
        <v>46203</v>
      </c>
      <c r="D293" s="139" t="s">
        <v>516</v>
      </c>
      <c r="E293" s="28">
        <v>0.97531002</v>
      </c>
      <c r="F293" s="13"/>
      <c r="G293" s="18">
        <v>10000000</v>
      </c>
      <c r="H293" s="18">
        <v>9753100.2400000002</v>
      </c>
      <c r="I293" s="18">
        <v>10000000</v>
      </c>
      <c r="J293" s="18">
        <v>9753100.2400000002</v>
      </c>
      <c r="K293" s="15">
        <v>4019</v>
      </c>
      <c r="L293" s="13" t="s">
        <v>102</v>
      </c>
      <c r="M293" s="13" t="s">
        <v>103</v>
      </c>
      <c r="N293" s="139" t="s">
        <v>246</v>
      </c>
      <c r="O293" s="139" t="s">
        <v>246</v>
      </c>
      <c r="P293" s="28">
        <v>42</v>
      </c>
      <c r="Q293" s="13" t="s">
        <v>54</v>
      </c>
      <c r="R293" s="13" t="s">
        <v>28</v>
      </c>
      <c r="S293" s="13"/>
      <c r="T293" s="13"/>
      <c r="U293" s="13" t="s">
        <v>559</v>
      </c>
      <c r="V293" s="13" t="s">
        <v>559</v>
      </c>
      <c r="W293" s="59">
        <f>+J293/$W$2</f>
        <v>2.1908787893166445E-4</v>
      </c>
      <c r="AC293" s="56"/>
    </row>
    <row r="294" spans="1:29">
      <c r="A294" s="13" t="s">
        <v>430</v>
      </c>
      <c r="B294" s="13" t="s">
        <v>538</v>
      </c>
      <c r="C294" s="139">
        <v>46203</v>
      </c>
      <c r="D294" s="139" t="s">
        <v>516</v>
      </c>
      <c r="E294" s="28">
        <v>0.97645802999999998</v>
      </c>
      <c r="F294" s="13"/>
      <c r="G294" s="18">
        <v>10000000</v>
      </c>
      <c r="H294" s="18">
        <v>9764580.3100000005</v>
      </c>
      <c r="I294" s="18">
        <v>10000000</v>
      </c>
      <c r="J294" s="18">
        <v>9764580.3100000005</v>
      </c>
      <c r="K294" s="15">
        <v>1344</v>
      </c>
      <c r="L294" s="13" t="s">
        <v>102</v>
      </c>
      <c r="M294" s="13" t="s">
        <v>103</v>
      </c>
      <c r="N294" s="139" t="s">
        <v>302</v>
      </c>
      <c r="O294" s="139" t="s">
        <v>302</v>
      </c>
      <c r="P294" s="28">
        <v>40</v>
      </c>
      <c r="Q294" s="13" t="s">
        <v>54</v>
      </c>
      <c r="R294" s="13" t="s">
        <v>28</v>
      </c>
      <c r="S294" s="13"/>
      <c r="T294" s="13"/>
      <c r="U294" s="13" t="s">
        <v>437</v>
      </c>
      <c r="V294" s="13" t="s">
        <v>437</v>
      </c>
      <c r="W294" s="59">
        <f>+J294/$W$2</f>
        <v>2.1934576043850797E-4</v>
      </c>
    </row>
    <row r="295" spans="1:29">
      <c r="A295" s="13" t="s">
        <v>339</v>
      </c>
      <c r="B295" s="13" t="s">
        <v>538</v>
      </c>
      <c r="C295" s="139">
        <v>46203</v>
      </c>
      <c r="D295" s="139" t="s">
        <v>516</v>
      </c>
      <c r="E295" s="28">
        <v>0.98282084999999997</v>
      </c>
      <c r="F295" s="13"/>
      <c r="G295" s="18">
        <v>15000000</v>
      </c>
      <c r="H295" s="18">
        <v>14742312.810000001</v>
      </c>
      <c r="I295" s="18">
        <v>15000000</v>
      </c>
      <c r="J295" s="18">
        <v>14742312.810000001</v>
      </c>
      <c r="K295" s="15">
        <v>15</v>
      </c>
      <c r="L295" s="13" t="s">
        <v>102</v>
      </c>
      <c r="M295" s="13" t="s">
        <v>103</v>
      </c>
      <c r="N295" s="139" t="s">
        <v>231</v>
      </c>
      <c r="O295" s="139" t="s">
        <v>231</v>
      </c>
      <c r="P295" s="28">
        <v>29</v>
      </c>
      <c r="Q295" s="13" t="s">
        <v>54</v>
      </c>
      <c r="R295" s="13" t="s">
        <v>28</v>
      </c>
      <c r="S295" s="13"/>
      <c r="T295" s="13"/>
      <c r="U295" s="13" t="s">
        <v>687</v>
      </c>
      <c r="V295" s="13" t="s">
        <v>687</v>
      </c>
      <c r="W295" s="59">
        <f>+J295/$W$2</f>
        <v>3.31162601081808E-4</v>
      </c>
    </row>
    <row r="296" spans="1:29">
      <c r="A296" s="13" t="s">
        <v>339</v>
      </c>
      <c r="B296" s="13" t="s">
        <v>538</v>
      </c>
      <c r="C296" s="139">
        <v>46203</v>
      </c>
      <c r="D296" s="139" t="s">
        <v>516</v>
      </c>
      <c r="E296" s="28">
        <v>0.98282084999999997</v>
      </c>
      <c r="F296" s="13"/>
      <c r="G296" s="18">
        <v>26000000</v>
      </c>
      <c r="H296" s="18">
        <v>25553342.199999999</v>
      </c>
      <c r="I296" s="18">
        <v>26000000</v>
      </c>
      <c r="J296" s="18">
        <v>25553342.199999999</v>
      </c>
      <c r="K296" s="15">
        <v>65889075</v>
      </c>
      <c r="L296" s="13" t="s">
        <v>102</v>
      </c>
      <c r="M296" s="13" t="s">
        <v>103</v>
      </c>
      <c r="N296" s="139" t="s">
        <v>231</v>
      </c>
      <c r="O296" s="139" t="s">
        <v>231</v>
      </c>
      <c r="P296" s="28">
        <v>29</v>
      </c>
      <c r="Q296" s="13" t="s">
        <v>54</v>
      </c>
      <c r="R296" s="13" t="s">
        <v>28</v>
      </c>
      <c r="S296" s="13"/>
      <c r="T296" s="13"/>
      <c r="U296" s="13" t="s">
        <v>688</v>
      </c>
      <c r="V296" s="13" t="s">
        <v>688</v>
      </c>
      <c r="W296" s="59">
        <f>+J296/$W$2</f>
        <v>5.740151751186135E-4</v>
      </c>
      <c r="AC296" s="56"/>
    </row>
    <row r="297" spans="1:29">
      <c r="A297" s="13" t="s">
        <v>339</v>
      </c>
      <c r="B297" s="13" t="s">
        <v>538</v>
      </c>
      <c r="C297" s="139">
        <v>46203</v>
      </c>
      <c r="D297" s="139" t="s">
        <v>516</v>
      </c>
      <c r="E297" s="28">
        <v>0.97933999000000005</v>
      </c>
      <c r="F297" s="13"/>
      <c r="G297" s="18">
        <v>5000000</v>
      </c>
      <c r="H297" s="18">
        <v>4896699.95</v>
      </c>
      <c r="I297" s="18">
        <v>5000000</v>
      </c>
      <c r="J297" s="18">
        <v>4896699.95</v>
      </c>
      <c r="K297" s="15">
        <v>90000060</v>
      </c>
      <c r="L297" s="13" t="s">
        <v>102</v>
      </c>
      <c r="M297" s="13" t="s">
        <v>103</v>
      </c>
      <c r="N297" s="139" t="s">
        <v>244</v>
      </c>
      <c r="O297" s="139" t="s">
        <v>244</v>
      </c>
      <c r="P297" s="28">
        <v>35</v>
      </c>
      <c r="Q297" s="13" t="s">
        <v>54</v>
      </c>
      <c r="R297" s="13" t="s">
        <v>28</v>
      </c>
      <c r="S297" s="13"/>
      <c r="T297" s="13"/>
      <c r="U297" s="13" t="s">
        <v>524</v>
      </c>
      <c r="V297" s="13" t="s">
        <v>524</v>
      </c>
      <c r="W297" s="59">
        <f>+J297/$W$2</f>
        <v>1.0999657333679648E-4</v>
      </c>
    </row>
    <row r="298" spans="1:29">
      <c r="A298" s="13" t="s">
        <v>1054</v>
      </c>
      <c r="B298" s="13" t="s">
        <v>538</v>
      </c>
      <c r="C298" s="139">
        <v>46203</v>
      </c>
      <c r="D298" s="139" t="s">
        <v>516</v>
      </c>
      <c r="E298" s="28">
        <v>0.98457063</v>
      </c>
      <c r="F298" s="13"/>
      <c r="G298" s="18">
        <v>10000000</v>
      </c>
      <c r="H298" s="18">
        <v>9845706.3300000001</v>
      </c>
      <c r="I298" s="18">
        <v>10000000</v>
      </c>
      <c r="J298" s="18">
        <v>9845706.3300000001</v>
      </c>
      <c r="K298" s="15">
        <v>1742537</v>
      </c>
      <c r="L298" s="13" t="s">
        <v>102</v>
      </c>
      <c r="M298" s="13" t="s">
        <v>103</v>
      </c>
      <c r="N298" s="139" t="s">
        <v>366</v>
      </c>
      <c r="O298" s="139" t="s">
        <v>366</v>
      </c>
      <c r="P298" s="28">
        <v>26</v>
      </c>
      <c r="Q298" s="13" t="s">
        <v>54</v>
      </c>
      <c r="R298" s="13" t="s">
        <v>28</v>
      </c>
      <c r="S298" s="13"/>
      <c r="T298" s="13"/>
      <c r="U298" s="13" t="s">
        <v>1035</v>
      </c>
      <c r="V298" s="13" t="s">
        <v>1035</v>
      </c>
      <c r="W298" s="59">
        <f>+J298/$W$2</f>
        <v>2.211681273998433E-4</v>
      </c>
      <c r="AC298" s="56"/>
    </row>
    <row r="299" spans="1:29">
      <c r="A299" s="13" t="s">
        <v>639</v>
      </c>
      <c r="B299" s="13" t="s">
        <v>538</v>
      </c>
      <c r="C299" s="139">
        <v>46203</v>
      </c>
      <c r="D299" s="139" t="s">
        <v>516</v>
      </c>
      <c r="E299" s="28">
        <v>0.98282084000000003</v>
      </c>
      <c r="F299" s="13"/>
      <c r="G299" s="18">
        <v>12500000</v>
      </c>
      <c r="H299" s="18">
        <v>12285260.449999999</v>
      </c>
      <c r="I299" s="18">
        <v>12500000</v>
      </c>
      <c r="J299" s="18">
        <v>12285260.449999999</v>
      </c>
      <c r="K299" s="15">
        <v>28996508</v>
      </c>
      <c r="L299" s="13" t="s">
        <v>102</v>
      </c>
      <c r="M299" s="13" t="s">
        <v>103</v>
      </c>
      <c r="N299" s="139" t="s">
        <v>155</v>
      </c>
      <c r="O299" s="139" t="s">
        <v>155</v>
      </c>
      <c r="P299" s="28">
        <v>29</v>
      </c>
      <c r="Q299" s="13" t="s">
        <v>54</v>
      </c>
      <c r="R299" s="13" t="s">
        <v>28</v>
      </c>
      <c r="S299" s="13"/>
      <c r="T299" s="13"/>
      <c r="U299" s="13" t="s">
        <v>620</v>
      </c>
      <c r="V299" s="13" t="s">
        <v>620</v>
      </c>
      <c r="W299" s="59">
        <f>+J299/$W$2</f>
        <v>2.7596882918057297E-4</v>
      </c>
    </row>
    <row r="300" spans="1:29">
      <c r="A300" s="13" t="s">
        <v>444</v>
      </c>
      <c r="B300" s="13" t="s">
        <v>538</v>
      </c>
      <c r="C300" s="139">
        <v>46203</v>
      </c>
      <c r="D300" s="139" t="s">
        <v>516</v>
      </c>
      <c r="E300" s="28">
        <v>0.97588372999999995</v>
      </c>
      <c r="F300" s="13"/>
      <c r="G300" s="18">
        <v>20000000</v>
      </c>
      <c r="H300" s="18">
        <v>19517674.609999999</v>
      </c>
      <c r="I300" s="18">
        <v>20000000</v>
      </c>
      <c r="J300" s="18">
        <v>19517674.609999999</v>
      </c>
      <c r="K300" s="15">
        <v>13318407</v>
      </c>
      <c r="L300" s="13" t="s">
        <v>102</v>
      </c>
      <c r="M300" s="13" t="s">
        <v>103</v>
      </c>
      <c r="N300" s="139" t="s">
        <v>321</v>
      </c>
      <c r="O300" s="139" t="s">
        <v>321</v>
      </c>
      <c r="P300" s="28">
        <v>41</v>
      </c>
      <c r="Q300" s="13" t="s">
        <v>54</v>
      </c>
      <c r="R300" s="13" t="s">
        <v>28</v>
      </c>
      <c r="S300" s="13"/>
      <c r="T300" s="13"/>
      <c r="U300" s="13" t="s">
        <v>573</v>
      </c>
      <c r="V300" s="13" t="s">
        <v>573</v>
      </c>
      <c r="W300" s="59">
        <f>+J300/$W$2</f>
        <v>4.3843350593752338E-4</v>
      </c>
    </row>
    <row r="301" spans="1:29">
      <c r="A301" s="13" t="s">
        <v>339</v>
      </c>
      <c r="B301" s="13" t="s">
        <v>538</v>
      </c>
      <c r="C301" s="139">
        <v>46203</v>
      </c>
      <c r="D301" s="139" t="s">
        <v>516</v>
      </c>
      <c r="E301" s="28">
        <v>0.9828209</v>
      </c>
      <c r="F301" s="13"/>
      <c r="G301" s="18">
        <v>11000000</v>
      </c>
      <c r="H301" s="18">
        <v>10811029.92</v>
      </c>
      <c r="I301" s="18">
        <v>11000000</v>
      </c>
      <c r="J301" s="18">
        <v>10811029.92</v>
      </c>
      <c r="K301" s="15">
        <v>9798600</v>
      </c>
      <c r="L301" s="13" t="s">
        <v>102</v>
      </c>
      <c r="M301" s="13" t="s">
        <v>103</v>
      </c>
      <c r="N301" s="139" t="s">
        <v>161</v>
      </c>
      <c r="O301" s="139" t="s">
        <v>161</v>
      </c>
      <c r="P301" s="28">
        <v>29</v>
      </c>
      <c r="Q301" s="13" t="s">
        <v>54</v>
      </c>
      <c r="R301" s="13" t="s">
        <v>28</v>
      </c>
      <c r="S301" s="13"/>
      <c r="T301" s="13"/>
      <c r="U301" s="13" t="s">
        <v>1270</v>
      </c>
      <c r="V301" s="13" t="s">
        <v>1270</v>
      </c>
      <c r="W301" s="59">
        <f>+J301/$W$2</f>
        <v>2.4285258594241229E-4</v>
      </c>
    </row>
    <row r="302" spans="1:29">
      <c r="A302" s="13" t="s">
        <v>210</v>
      </c>
      <c r="B302" s="13" t="s">
        <v>538</v>
      </c>
      <c r="C302" s="139">
        <v>46203</v>
      </c>
      <c r="D302" s="139" t="s">
        <v>516</v>
      </c>
      <c r="E302" s="28">
        <v>0.98398669999999999</v>
      </c>
      <c r="F302" s="13"/>
      <c r="G302" s="18">
        <v>10530592.43</v>
      </c>
      <c r="H302" s="18">
        <v>10361962.85</v>
      </c>
      <c r="I302" s="18">
        <v>10530592.43</v>
      </c>
      <c r="J302" s="18">
        <v>10361962.85</v>
      </c>
      <c r="K302" s="15">
        <v>5805</v>
      </c>
      <c r="L302" s="13" t="s">
        <v>102</v>
      </c>
      <c r="M302" s="13" t="s">
        <v>103</v>
      </c>
      <c r="N302" s="139" t="s">
        <v>152</v>
      </c>
      <c r="O302" s="139" t="s">
        <v>152</v>
      </c>
      <c r="P302" s="28">
        <v>27</v>
      </c>
      <c r="Q302" s="13" t="s">
        <v>54</v>
      </c>
      <c r="R302" s="13" t="s">
        <v>28</v>
      </c>
      <c r="S302" s="13"/>
      <c r="T302" s="13"/>
      <c r="U302" s="13" t="s">
        <v>753</v>
      </c>
      <c r="V302" s="13" t="s">
        <v>753</v>
      </c>
      <c r="W302" s="59">
        <f>+J302/$W$2</f>
        <v>2.3276500871636735E-4</v>
      </c>
    </row>
    <row r="303" spans="1:29">
      <c r="A303" s="13" t="s">
        <v>210</v>
      </c>
      <c r="B303" s="13" t="s">
        <v>538</v>
      </c>
      <c r="C303" s="139">
        <v>46203</v>
      </c>
      <c r="D303" s="139" t="s">
        <v>516</v>
      </c>
      <c r="E303" s="28">
        <v>0.98398669999999999</v>
      </c>
      <c r="F303" s="13"/>
      <c r="G303" s="18">
        <v>6111109.9900000002</v>
      </c>
      <c r="H303" s="18">
        <v>6013250.9400000004</v>
      </c>
      <c r="I303" s="18">
        <v>6111109.9900000002</v>
      </c>
      <c r="J303" s="18">
        <v>6013250.9400000004</v>
      </c>
      <c r="K303" s="15">
        <v>5806</v>
      </c>
      <c r="L303" s="13" t="s">
        <v>102</v>
      </c>
      <c r="M303" s="13" t="s">
        <v>103</v>
      </c>
      <c r="N303" s="139" t="s">
        <v>152</v>
      </c>
      <c r="O303" s="139" t="s">
        <v>152</v>
      </c>
      <c r="P303" s="28">
        <v>27</v>
      </c>
      <c r="Q303" s="13" t="s">
        <v>54</v>
      </c>
      <c r="R303" s="13" t="s">
        <v>28</v>
      </c>
      <c r="S303" s="13"/>
      <c r="T303" s="13"/>
      <c r="U303" s="13" t="s">
        <v>754</v>
      </c>
      <c r="V303" s="13" t="s">
        <v>754</v>
      </c>
      <c r="W303" s="59">
        <f>+J303/$W$2</f>
        <v>1.3507811480551721E-4</v>
      </c>
      <c r="AC303" s="56"/>
    </row>
    <row r="304" spans="1:29">
      <c r="A304" s="13" t="s">
        <v>210</v>
      </c>
      <c r="B304" s="13" t="s">
        <v>538</v>
      </c>
      <c r="C304" s="139">
        <v>46203</v>
      </c>
      <c r="D304" s="139" t="s">
        <v>516</v>
      </c>
      <c r="E304" s="28">
        <v>0.98398669999999999</v>
      </c>
      <c r="F304" s="13"/>
      <c r="G304" s="18">
        <v>10039730.84</v>
      </c>
      <c r="H304" s="18">
        <v>9878961.5700000003</v>
      </c>
      <c r="I304" s="18">
        <v>10039730.84</v>
      </c>
      <c r="J304" s="18">
        <v>9878961.5700000003</v>
      </c>
      <c r="K304" s="15">
        <v>5807</v>
      </c>
      <c r="L304" s="13" t="s">
        <v>102</v>
      </c>
      <c r="M304" s="13" t="s">
        <v>103</v>
      </c>
      <c r="N304" s="139" t="s">
        <v>152</v>
      </c>
      <c r="O304" s="139" t="s">
        <v>152</v>
      </c>
      <c r="P304" s="28">
        <v>27</v>
      </c>
      <c r="Q304" s="13" t="s">
        <v>54</v>
      </c>
      <c r="R304" s="13" t="s">
        <v>28</v>
      </c>
      <c r="S304" s="13"/>
      <c r="T304" s="13"/>
      <c r="U304" s="13" t="s">
        <v>755</v>
      </c>
      <c r="V304" s="13" t="s">
        <v>755</v>
      </c>
      <c r="W304" s="59">
        <f>+J304/$W$2</f>
        <v>2.2191515345470556E-4</v>
      </c>
    </row>
    <row r="305" spans="1:29">
      <c r="A305" s="13" t="s">
        <v>590</v>
      </c>
      <c r="B305" s="13" t="s">
        <v>538</v>
      </c>
      <c r="C305" s="139">
        <v>46203</v>
      </c>
      <c r="D305" s="139" t="s">
        <v>516</v>
      </c>
      <c r="E305" s="28">
        <v>0.97588372999999995</v>
      </c>
      <c r="F305" s="13"/>
      <c r="G305" s="18">
        <v>15909586.57</v>
      </c>
      <c r="H305" s="18">
        <v>15525906.689999999</v>
      </c>
      <c r="I305" s="18">
        <v>15909586.57</v>
      </c>
      <c r="J305" s="18">
        <v>15525906.689999999</v>
      </c>
      <c r="K305" s="15">
        <v>30495</v>
      </c>
      <c r="L305" s="13" t="s">
        <v>102</v>
      </c>
      <c r="M305" s="13" t="s">
        <v>103</v>
      </c>
      <c r="N305" s="139" t="s">
        <v>321</v>
      </c>
      <c r="O305" s="139" t="s">
        <v>321</v>
      </c>
      <c r="P305" s="28">
        <v>41</v>
      </c>
      <c r="Q305" s="13" t="s">
        <v>54</v>
      </c>
      <c r="R305" s="13" t="s">
        <v>28</v>
      </c>
      <c r="S305" s="13"/>
      <c r="T305" s="13"/>
      <c r="U305" s="13" t="s">
        <v>576</v>
      </c>
      <c r="V305" s="13" t="s">
        <v>576</v>
      </c>
      <c r="W305" s="59">
        <f>+J305/$W$2</f>
        <v>3.4876479083568188E-4</v>
      </c>
      <c r="AC305" s="56"/>
    </row>
    <row r="306" spans="1:29">
      <c r="A306" s="13" t="s">
        <v>590</v>
      </c>
      <c r="B306" s="13" t="s">
        <v>538</v>
      </c>
      <c r="C306" s="139">
        <v>46203</v>
      </c>
      <c r="D306" s="139" t="s">
        <v>516</v>
      </c>
      <c r="E306" s="28">
        <v>0.97588372999999995</v>
      </c>
      <c r="F306" s="13"/>
      <c r="G306" s="18">
        <v>14664256.84</v>
      </c>
      <c r="H306" s="18">
        <v>14310609.68</v>
      </c>
      <c r="I306" s="18">
        <v>14664256.84</v>
      </c>
      <c r="J306" s="18">
        <v>14310609.68</v>
      </c>
      <c r="K306" s="15">
        <v>30528</v>
      </c>
      <c r="L306" s="13" t="s">
        <v>102</v>
      </c>
      <c r="M306" s="13" t="s">
        <v>103</v>
      </c>
      <c r="N306" s="139" t="s">
        <v>321</v>
      </c>
      <c r="O306" s="139" t="s">
        <v>321</v>
      </c>
      <c r="P306" s="28">
        <v>41</v>
      </c>
      <c r="Q306" s="13" t="s">
        <v>54</v>
      </c>
      <c r="R306" s="13" t="s">
        <v>28</v>
      </c>
      <c r="S306" s="13"/>
      <c r="T306" s="13"/>
      <c r="U306" s="13" t="s">
        <v>581</v>
      </c>
      <c r="V306" s="13" t="s">
        <v>581</v>
      </c>
      <c r="W306" s="59">
        <f>+J306/$W$2</f>
        <v>3.2146507714045039E-4</v>
      </c>
    </row>
    <row r="307" spans="1:29">
      <c r="A307" s="13" t="s">
        <v>590</v>
      </c>
      <c r="B307" s="13" t="s">
        <v>538</v>
      </c>
      <c r="C307" s="139">
        <v>46203</v>
      </c>
      <c r="D307" s="139" t="s">
        <v>516</v>
      </c>
      <c r="E307" s="28">
        <v>0.97588366999999998</v>
      </c>
      <c r="F307" s="13"/>
      <c r="G307" s="18">
        <v>11785044.42</v>
      </c>
      <c r="H307" s="18">
        <v>11500832.460000001</v>
      </c>
      <c r="I307" s="18">
        <v>11785044.42</v>
      </c>
      <c r="J307" s="18">
        <v>11500832.460000001</v>
      </c>
      <c r="K307" s="15">
        <v>9344725</v>
      </c>
      <c r="L307" s="13" t="s">
        <v>102</v>
      </c>
      <c r="M307" s="13" t="s">
        <v>103</v>
      </c>
      <c r="N307" s="139" t="s">
        <v>231</v>
      </c>
      <c r="O307" s="139" t="s">
        <v>231</v>
      </c>
      <c r="P307" s="28">
        <v>41</v>
      </c>
      <c r="Q307" s="13" t="s">
        <v>54</v>
      </c>
      <c r="R307" s="13" t="s">
        <v>28</v>
      </c>
      <c r="S307" s="13"/>
      <c r="T307" s="13"/>
      <c r="U307" s="13" t="s">
        <v>662</v>
      </c>
      <c r="V307" s="13" t="s">
        <v>662</v>
      </c>
      <c r="W307" s="59">
        <f>+J307/$W$2</f>
        <v>2.5834790247268461E-4</v>
      </c>
      <c r="AC307" s="56"/>
    </row>
    <row r="308" spans="1:29">
      <c r="A308" s="13" t="s">
        <v>217</v>
      </c>
      <c r="B308" s="13" t="s">
        <v>538</v>
      </c>
      <c r="C308" s="139">
        <v>46204</v>
      </c>
      <c r="D308" s="139" t="s">
        <v>516</v>
      </c>
      <c r="E308" s="28">
        <v>0.97421672999999998</v>
      </c>
      <c r="F308" s="13"/>
      <c r="G308" s="18">
        <v>15000000</v>
      </c>
      <c r="H308" s="18">
        <v>14613250.960000001</v>
      </c>
      <c r="I308" s="18">
        <v>15000000</v>
      </c>
      <c r="J308" s="18">
        <v>14613250.960000001</v>
      </c>
      <c r="K308" s="15">
        <v>16771112</v>
      </c>
      <c r="L308" s="13" t="s">
        <v>102</v>
      </c>
      <c r="M308" s="13" t="s">
        <v>103</v>
      </c>
      <c r="N308" s="139" t="s">
        <v>334</v>
      </c>
      <c r="O308" s="139" t="s">
        <v>334</v>
      </c>
      <c r="P308" s="28">
        <v>42</v>
      </c>
      <c r="Q308" s="13" t="s">
        <v>54</v>
      </c>
      <c r="R308" s="13" t="s">
        <v>28</v>
      </c>
      <c r="S308" s="13"/>
      <c r="T308" s="13"/>
      <c r="U308" s="13" t="s">
        <v>1285</v>
      </c>
      <c r="V308" s="13" t="s">
        <v>1285</v>
      </c>
      <c r="W308" s="59">
        <f>+J308/$W$2</f>
        <v>3.2826343196924935E-4</v>
      </c>
    </row>
    <row r="309" spans="1:29">
      <c r="A309" s="13" t="s">
        <v>640</v>
      </c>
      <c r="B309" s="13" t="s">
        <v>538</v>
      </c>
      <c r="C309" s="139">
        <v>46204</v>
      </c>
      <c r="D309" s="139" t="s">
        <v>516</v>
      </c>
      <c r="E309" s="28">
        <v>0.97661485999999997</v>
      </c>
      <c r="F309" s="13"/>
      <c r="G309" s="18">
        <v>50000000</v>
      </c>
      <c r="H309" s="18">
        <v>48830742.850000001</v>
      </c>
      <c r="I309" s="18">
        <v>50000000</v>
      </c>
      <c r="J309" s="18">
        <v>48830742.850000001</v>
      </c>
      <c r="K309" s="15">
        <v>2609</v>
      </c>
      <c r="L309" s="13" t="s">
        <v>102</v>
      </c>
      <c r="M309" s="13" t="s">
        <v>103</v>
      </c>
      <c r="N309" s="139" t="s">
        <v>344</v>
      </c>
      <c r="O309" s="139" t="s">
        <v>344</v>
      </c>
      <c r="P309" s="28">
        <v>38</v>
      </c>
      <c r="Q309" s="13" t="s">
        <v>54</v>
      </c>
      <c r="R309" s="13" t="s">
        <v>28</v>
      </c>
      <c r="S309" s="13"/>
      <c r="T309" s="13"/>
      <c r="U309" s="13" t="s">
        <v>1161</v>
      </c>
      <c r="V309" s="13" t="s">
        <v>1161</v>
      </c>
      <c r="W309" s="59">
        <f>+J309/$W$2</f>
        <v>1.0969049445209065E-3</v>
      </c>
    </row>
    <row r="310" spans="1:29">
      <c r="A310" s="13" t="s">
        <v>1494</v>
      </c>
      <c r="B310" s="13" t="s">
        <v>538</v>
      </c>
      <c r="C310" s="139">
        <v>46204</v>
      </c>
      <c r="D310" s="139" t="s">
        <v>516</v>
      </c>
      <c r="E310" s="28">
        <v>0.97962923999999996</v>
      </c>
      <c r="F310" s="13"/>
      <c r="G310" s="18">
        <v>6885841.1299999999</v>
      </c>
      <c r="H310" s="18">
        <v>6745571.2800000003</v>
      </c>
      <c r="I310" s="18">
        <v>6885841.1299999999</v>
      </c>
      <c r="J310" s="18">
        <v>6745571.2800000003</v>
      </c>
      <c r="K310" s="15">
        <v>13668415</v>
      </c>
      <c r="L310" s="13" t="s">
        <v>102</v>
      </c>
      <c r="M310" s="13" t="s">
        <v>103</v>
      </c>
      <c r="N310" s="139" t="s">
        <v>390</v>
      </c>
      <c r="O310" s="139" t="s">
        <v>390</v>
      </c>
      <c r="P310" s="28">
        <v>33</v>
      </c>
      <c r="Q310" s="13" t="s">
        <v>54</v>
      </c>
      <c r="R310" s="13" t="s">
        <v>28</v>
      </c>
      <c r="S310" s="13"/>
      <c r="T310" s="13"/>
      <c r="U310" s="13" t="s">
        <v>1560</v>
      </c>
      <c r="V310" s="13" t="s">
        <v>1560</v>
      </c>
      <c r="W310" s="59">
        <f>+J310/$W$2</f>
        <v>1.5152852606358045E-4</v>
      </c>
    </row>
    <row r="311" spans="1:29">
      <c r="A311" s="13" t="s">
        <v>1619</v>
      </c>
      <c r="B311" s="13" t="s">
        <v>538</v>
      </c>
      <c r="C311" s="139">
        <v>46204</v>
      </c>
      <c r="D311" s="139" t="s">
        <v>516</v>
      </c>
      <c r="E311" s="28">
        <v>0.98023431999999999</v>
      </c>
      <c r="F311" s="13"/>
      <c r="G311" s="18">
        <v>2000000</v>
      </c>
      <c r="H311" s="18">
        <v>1960468.63</v>
      </c>
      <c r="I311" s="18">
        <v>2000000</v>
      </c>
      <c r="J311" s="18">
        <v>1960468.63</v>
      </c>
      <c r="K311" s="15">
        <v>378</v>
      </c>
      <c r="L311" s="13" t="s">
        <v>102</v>
      </c>
      <c r="M311" s="13" t="s">
        <v>103</v>
      </c>
      <c r="N311" s="139" t="s">
        <v>472</v>
      </c>
      <c r="O311" s="139" t="s">
        <v>472</v>
      </c>
      <c r="P311" s="28">
        <v>32</v>
      </c>
      <c r="Q311" s="13" t="s">
        <v>54</v>
      </c>
      <c r="R311" s="13" t="s">
        <v>28</v>
      </c>
      <c r="S311" s="13"/>
      <c r="T311" s="13"/>
      <c r="U311" s="13" t="s">
        <v>1622</v>
      </c>
      <c r="V311" s="13" t="s">
        <v>1622</v>
      </c>
      <c r="W311" s="59">
        <f>+J311/$W$2</f>
        <v>4.4038808511083856E-5</v>
      </c>
    </row>
    <row r="312" spans="1:29">
      <c r="A312" s="13" t="s">
        <v>1619</v>
      </c>
      <c r="B312" s="13" t="s">
        <v>538</v>
      </c>
      <c r="C312" s="139">
        <v>46204</v>
      </c>
      <c r="D312" s="139" t="s">
        <v>516</v>
      </c>
      <c r="E312" s="28">
        <v>0.98023419000000001</v>
      </c>
      <c r="F312" s="13"/>
      <c r="G312" s="18">
        <v>2000000</v>
      </c>
      <c r="H312" s="18">
        <v>1960468.37</v>
      </c>
      <c r="I312" s="18">
        <v>2000000</v>
      </c>
      <c r="J312" s="18">
        <v>1960468.37</v>
      </c>
      <c r="K312" s="15">
        <v>384</v>
      </c>
      <c r="L312" s="13" t="s">
        <v>102</v>
      </c>
      <c r="M312" s="13" t="s">
        <v>103</v>
      </c>
      <c r="N312" s="139" t="s">
        <v>371</v>
      </c>
      <c r="O312" s="139" t="s">
        <v>371</v>
      </c>
      <c r="P312" s="28">
        <v>32</v>
      </c>
      <c r="Q312" s="13" t="s">
        <v>54</v>
      </c>
      <c r="R312" s="13" t="s">
        <v>28</v>
      </c>
      <c r="S312" s="13"/>
      <c r="T312" s="13"/>
      <c r="U312" s="13" t="s">
        <v>1653</v>
      </c>
      <c r="V312" s="13" t="s">
        <v>1653</v>
      </c>
      <c r="W312" s="59">
        <f>+J312/$W$2</f>
        <v>4.4038802670597544E-5</v>
      </c>
    </row>
    <row r="313" spans="1:29">
      <c r="A313" s="13" t="s">
        <v>751</v>
      </c>
      <c r="B313" s="13" t="s">
        <v>538</v>
      </c>
      <c r="C313" s="139">
        <v>46204</v>
      </c>
      <c r="D313" s="139" t="s">
        <v>516</v>
      </c>
      <c r="E313" s="28">
        <v>0.98632655999999996</v>
      </c>
      <c r="F313" s="13"/>
      <c r="G313" s="18">
        <v>4341150</v>
      </c>
      <c r="H313" s="18">
        <v>4281791.55</v>
      </c>
      <c r="I313" s="18">
        <v>4341150</v>
      </c>
      <c r="J313" s="18">
        <v>4281791.55</v>
      </c>
      <c r="K313" s="15">
        <v>9837</v>
      </c>
      <c r="L313" s="13" t="s">
        <v>102</v>
      </c>
      <c r="M313" s="13" t="s">
        <v>103</v>
      </c>
      <c r="N313" s="139" t="s">
        <v>320</v>
      </c>
      <c r="O313" s="139" t="s">
        <v>320</v>
      </c>
      <c r="P313" s="28">
        <v>22</v>
      </c>
      <c r="Q313" s="13" t="s">
        <v>54</v>
      </c>
      <c r="R313" s="13" t="s">
        <v>28</v>
      </c>
      <c r="S313" s="13"/>
      <c r="T313" s="13"/>
      <c r="U313" s="13" t="s">
        <v>743</v>
      </c>
      <c r="V313" s="13" t="s">
        <v>743</v>
      </c>
      <c r="W313" s="59">
        <f>+J313/$W$2</f>
        <v>9.6183634499077367E-5</v>
      </c>
    </row>
    <row r="314" spans="1:29">
      <c r="A314" s="13" t="s">
        <v>751</v>
      </c>
      <c r="B314" s="13" t="s">
        <v>538</v>
      </c>
      <c r="C314" s="139">
        <v>46204</v>
      </c>
      <c r="D314" s="139" t="s">
        <v>516</v>
      </c>
      <c r="E314" s="28">
        <v>0.98023419000000001</v>
      </c>
      <c r="F314" s="13"/>
      <c r="G314" s="18">
        <v>2433059</v>
      </c>
      <c r="H314" s="18">
        <v>2384967.61</v>
      </c>
      <c r="I314" s="18">
        <v>2433059</v>
      </c>
      <c r="J314" s="18">
        <v>2384967.61</v>
      </c>
      <c r="K314" s="15">
        <v>9889</v>
      </c>
      <c r="L314" s="13" t="s">
        <v>102</v>
      </c>
      <c r="M314" s="13" t="s">
        <v>103</v>
      </c>
      <c r="N314" s="139" t="s">
        <v>359</v>
      </c>
      <c r="O314" s="139" t="s">
        <v>359</v>
      </c>
      <c r="P314" s="28">
        <v>32</v>
      </c>
      <c r="Q314" s="13" t="s">
        <v>54</v>
      </c>
      <c r="R314" s="13" t="s">
        <v>28</v>
      </c>
      <c r="S314" s="13"/>
      <c r="T314" s="13"/>
      <c r="U314" s="13" t="s">
        <v>1356</v>
      </c>
      <c r="V314" s="13" t="s">
        <v>1356</v>
      </c>
      <c r="W314" s="59">
        <f>+J314/$W$2</f>
        <v>5.3574502685068381E-5</v>
      </c>
      <c r="AC314" s="56"/>
    </row>
    <row r="315" spans="1:29">
      <c r="A315" s="13" t="s">
        <v>917</v>
      </c>
      <c r="B315" s="13" t="s">
        <v>538</v>
      </c>
      <c r="C315" s="139">
        <v>46204</v>
      </c>
      <c r="D315" s="139" t="s">
        <v>516</v>
      </c>
      <c r="E315" s="28">
        <v>0.97661485999999997</v>
      </c>
      <c r="F315" s="13"/>
      <c r="G315" s="18">
        <v>4298084.1900000004</v>
      </c>
      <c r="H315" s="18">
        <v>4197572.87</v>
      </c>
      <c r="I315" s="18">
        <v>4298084.1900000004</v>
      </c>
      <c r="J315" s="18">
        <v>4197572.87</v>
      </c>
      <c r="K315" s="15">
        <v>532</v>
      </c>
      <c r="L315" s="13" t="s">
        <v>102</v>
      </c>
      <c r="M315" s="13" t="s">
        <v>103</v>
      </c>
      <c r="N315" s="139" t="s">
        <v>344</v>
      </c>
      <c r="O315" s="139" t="s">
        <v>344</v>
      </c>
      <c r="P315" s="28">
        <v>38</v>
      </c>
      <c r="Q315" s="13" t="s">
        <v>54</v>
      </c>
      <c r="R315" s="13" t="s">
        <v>28</v>
      </c>
      <c r="S315" s="13"/>
      <c r="T315" s="13"/>
      <c r="U315" s="13" t="s">
        <v>1134</v>
      </c>
      <c r="V315" s="13" t="s">
        <v>1134</v>
      </c>
      <c r="W315" s="59">
        <f>+J315/$W$2</f>
        <v>9.4291795851510625E-5</v>
      </c>
      <c r="AC315" s="56"/>
    </row>
    <row r="316" spans="1:29">
      <c r="A316" s="13" t="s">
        <v>539</v>
      </c>
      <c r="B316" s="13" t="s">
        <v>538</v>
      </c>
      <c r="C316" s="139">
        <v>46204</v>
      </c>
      <c r="D316" s="139" t="s">
        <v>516</v>
      </c>
      <c r="E316" s="28">
        <v>0.98144666000000003</v>
      </c>
      <c r="F316" s="13"/>
      <c r="G316" s="18">
        <v>10000000</v>
      </c>
      <c r="H316" s="18">
        <v>9814466.5999999996</v>
      </c>
      <c r="I316" s="18">
        <v>10000000</v>
      </c>
      <c r="J316" s="18">
        <v>9814466.5999999996</v>
      </c>
      <c r="K316" s="15">
        <v>517</v>
      </c>
      <c r="L316" s="13" t="s">
        <v>102</v>
      </c>
      <c r="M316" s="13" t="s">
        <v>103</v>
      </c>
      <c r="N316" s="139" t="s">
        <v>163</v>
      </c>
      <c r="O316" s="139" t="s">
        <v>163</v>
      </c>
      <c r="P316" s="28">
        <v>30</v>
      </c>
      <c r="Q316" s="13" t="s">
        <v>54</v>
      </c>
      <c r="R316" s="13" t="s">
        <v>28</v>
      </c>
      <c r="S316" s="13"/>
      <c r="T316" s="13"/>
      <c r="U316" s="13" t="s">
        <v>1592</v>
      </c>
      <c r="V316" s="13" t="s">
        <v>1592</v>
      </c>
      <c r="W316" s="59">
        <f>+J316/$W$2</f>
        <v>2.2046637657029394E-4</v>
      </c>
    </row>
    <row r="317" spans="1:29">
      <c r="A317" s="13" t="s">
        <v>1293</v>
      </c>
      <c r="B317" s="13" t="s">
        <v>538</v>
      </c>
      <c r="C317" s="139">
        <v>46204</v>
      </c>
      <c r="D317" s="139" t="s">
        <v>516</v>
      </c>
      <c r="E317" s="28">
        <v>0.98327100000000001</v>
      </c>
      <c r="F317" s="13"/>
      <c r="G317" s="18">
        <v>200000000</v>
      </c>
      <c r="H317" s="18">
        <v>196654199.09999999</v>
      </c>
      <c r="I317" s="18">
        <v>200000000</v>
      </c>
      <c r="J317" s="18">
        <v>196654199.09999999</v>
      </c>
      <c r="K317" s="15">
        <v>18576</v>
      </c>
      <c r="L317" s="13" t="s">
        <v>102</v>
      </c>
      <c r="M317" s="13" t="s">
        <v>103</v>
      </c>
      <c r="N317" s="139" t="s">
        <v>334</v>
      </c>
      <c r="O317" s="139" t="s">
        <v>334</v>
      </c>
      <c r="P317" s="28">
        <v>27</v>
      </c>
      <c r="Q317" s="13" t="s">
        <v>54</v>
      </c>
      <c r="R317" s="13" t="s">
        <v>28</v>
      </c>
      <c r="S317" s="13"/>
      <c r="T317" s="13"/>
      <c r="U317" s="13" t="s">
        <v>1283</v>
      </c>
      <c r="V317" s="13" t="s">
        <v>1283</v>
      </c>
      <c r="W317" s="59">
        <f>+J317/$W$2</f>
        <v>4.417523690274738E-3</v>
      </c>
      <c r="AC317" s="56"/>
    </row>
    <row r="318" spans="1:29">
      <c r="A318" s="13" t="s">
        <v>313</v>
      </c>
      <c r="B318" s="13" t="s">
        <v>538</v>
      </c>
      <c r="C318" s="139">
        <v>46204</v>
      </c>
      <c r="D318" s="139" t="s">
        <v>516</v>
      </c>
      <c r="E318" s="28">
        <v>0.97661485999999997</v>
      </c>
      <c r="F318" s="13"/>
      <c r="G318" s="18">
        <v>5450000</v>
      </c>
      <c r="H318" s="18">
        <v>5322550.99</v>
      </c>
      <c r="I318" s="18">
        <v>5450000</v>
      </c>
      <c r="J318" s="18">
        <v>5322550.99</v>
      </c>
      <c r="K318" s="15">
        <v>28514</v>
      </c>
      <c r="L318" s="13" t="s">
        <v>102</v>
      </c>
      <c r="M318" s="13" t="s">
        <v>103</v>
      </c>
      <c r="N318" s="139" t="s">
        <v>319</v>
      </c>
      <c r="O318" s="139" t="s">
        <v>319</v>
      </c>
      <c r="P318" s="28">
        <v>38</v>
      </c>
      <c r="Q318" s="13" t="s">
        <v>54</v>
      </c>
      <c r="R318" s="13" t="s">
        <v>28</v>
      </c>
      <c r="S318" s="13"/>
      <c r="T318" s="13"/>
      <c r="U318" s="13" t="s">
        <v>717</v>
      </c>
      <c r="V318" s="13" t="s">
        <v>717</v>
      </c>
      <c r="W318" s="59">
        <f>+J318/$W$2</f>
        <v>1.1956263938744576E-4</v>
      </c>
    </row>
    <row r="319" spans="1:29">
      <c r="A319" s="13" t="s">
        <v>444</v>
      </c>
      <c r="B319" s="13" t="s">
        <v>538</v>
      </c>
      <c r="C319" s="139">
        <v>46204</v>
      </c>
      <c r="D319" s="139" t="s">
        <v>516</v>
      </c>
      <c r="E319" s="28">
        <v>0.97481512000000003</v>
      </c>
      <c r="F319" s="13"/>
      <c r="G319" s="18">
        <v>20000000</v>
      </c>
      <c r="H319" s="18">
        <v>19496302.350000001</v>
      </c>
      <c r="I319" s="18">
        <v>20000000</v>
      </c>
      <c r="J319" s="18">
        <v>19496302.350000001</v>
      </c>
      <c r="K319" s="15">
        <v>13318408</v>
      </c>
      <c r="L319" s="13" t="s">
        <v>102</v>
      </c>
      <c r="M319" s="13" t="s">
        <v>103</v>
      </c>
      <c r="N319" s="139" t="s">
        <v>321</v>
      </c>
      <c r="O319" s="139" t="s">
        <v>321</v>
      </c>
      <c r="P319" s="28">
        <v>41</v>
      </c>
      <c r="Q319" s="13" t="s">
        <v>54</v>
      </c>
      <c r="R319" s="13" t="s">
        <v>28</v>
      </c>
      <c r="S319" s="13"/>
      <c r="T319" s="13"/>
      <c r="U319" s="13" t="s">
        <v>571</v>
      </c>
      <c r="V319" s="13" t="s">
        <v>571</v>
      </c>
      <c r="W319" s="59">
        <f>+J319/$W$2</f>
        <v>4.3795341212159275E-4</v>
      </c>
    </row>
    <row r="320" spans="1:29">
      <c r="A320" s="13" t="s">
        <v>339</v>
      </c>
      <c r="B320" s="13" t="s">
        <v>538</v>
      </c>
      <c r="C320" s="139">
        <v>46204</v>
      </c>
      <c r="D320" s="139" t="s">
        <v>516</v>
      </c>
      <c r="E320" s="28">
        <v>0.98327094000000004</v>
      </c>
      <c r="F320" s="13"/>
      <c r="G320" s="18">
        <v>12000000</v>
      </c>
      <c r="H320" s="18">
        <v>11799251.300000001</v>
      </c>
      <c r="I320" s="18">
        <v>12000000</v>
      </c>
      <c r="J320" s="18">
        <v>11799251.300000001</v>
      </c>
      <c r="K320" s="15">
        <v>32526</v>
      </c>
      <c r="L320" s="13" t="s">
        <v>102</v>
      </c>
      <c r="M320" s="13" t="s">
        <v>103</v>
      </c>
      <c r="N320" s="139" t="s">
        <v>395</v>
      </c>
      <c r="O320" s="139" t="s">
        <v>395</v>
      </c>
      <c r="P320" s="28">
        <v>27</v>
      </c>
      <c r="Q320" s="13" t="s">
        <v>54</v>
      </c>
      <c r="R320" s="13" t="s">
        <v>28</v>
      </c>
      <c r="S320" s="13"/>
      <c r="T320" s="13"/>
      <c r="U320" s="13" t="s">
        <v>1254</v>
      </c>
      <c r="V320" s="13" t="s">
        <v>1254</v>
      </c>
      <c r="W320" s="59">
        <f>+J320/$W$2</f>
        <v>2.6505140690512215E-4</v>
      </c>
    </row>
    <row r="321" spans="1:29">
      <c r="A321" s="13" t="s">
        <v>339</v>
      </c>
      <c r="B321" s="13" t="s">
        <v>538</v>
      </c>
      <c r="C321" s="139">
        <v>46204</v>
      </c>
      <c r="D321" s="139" t="s">
        <v>516</v>
      </c>
      <c r="E321" s="28">
        <v>0.98205397000000005</v>
      </c>
      <c r="F321" s="13"/>
      <c r="G321" s="18">
        <v>25000000</v>
      </c>
      <c r="H321" s="18">
        <v>24551349.350000001</v>
      </c>
      <c r="I321" s="18">
        <v>25000000</v>
      </c>
      <c r="J321" s="18">
        <v>24551349.350000001</v>
      </c>
      <c r="K321" s="15">
        <v>3417</v>
      </c>
      <c r="L321" s="13" t="s">
        <v>102</v>
      </c>
      <c r="M321" s="13" t="s">
        <v>103</v>
      </c>
      <c r="N321" s="139" t="s">
        <v>359</v>
      </c>
      <c r="O321" s="139" t="s">
        <v>359</v>
      </c>
      <c r="P321" s="28">
        <v>29</v>
      </c>
      <c r="Q321" s="13" t="s">
        <v>54</v>
      </c>
      <c r="R321" s="13" t="s">
        <v>28</v>
      </c>
      <c r="S321" s="13"/>
      <c r="T321" s="13"/>
      <c r="U321" s="13" t="s">
        <v>1335</v>
      </c>
      <c r="V321" s="13" t="s">
        <v>1335</v>
      </c>
      <c r="W321" s="59">
        <f>+J321/$W$2</f>
        <v>5.5150699999386029E-4</v>
      </c>
    </row>
    <row r="322" spans="1:29">
      <c r="A322" s="13" t="s">
        <v>1291</v>
      </c>
      <c r="B322" s="13" t="s">
        <v>538</v>
      </c>
      <c r="C322" s="139">
        <v>46204</v>
      </c>
      <c r="D322" s="139" t="s">
        <v>516</v>
      </c>
      <c r="E322" s="28">
        <v>0.97902482000000002</v>
      </c>
      <c r="F322" s="13"/>
      <c r="G322" s="18">
        <v>10000000</v>
      </c>
      <c r="H322" s="18">
        <v>9790248.1999999993</v>
      </c>
      <c r="I322" s="18">
        <v>10000000</v>
      </c>
      <c r="J322" s="18">
        <v>9790248.1999999993</v>
      </c>
      <c r="K322" s="15">
        <v>16814</v>
      </c>
      <c r="L322" s="13" t="s">
        <v>102</v>
      </c>
      <c r="M322" s="13" t="s">
        <v>103</v>
      </c>
      <c r="N322" s="139" t="s">
        <v>334</v>
      </c>
      <c r="O322" s="139" t="s">
        <v>334</v>
      </c>
      <c r="P322" s="28">
        <v>34</v>
      </c>
      <c r="Q322" s="13" t="s">
        <v>54</v>
      </c>
      <c r="R322" s="13" t="s">
        <v>28</v>
      </c>
      <c r="S322" s="13"/>
      <c r="T322" s="13"/>
      <c r="U322" s="13" t="s">
        <v>1288</v>
      </c>
      <c r="V322" s="13" t="s">
        <v>1288</v>
      </c>
      <c r="W322" s="59">
        <f>+J322/$W$2</f>
        <v>2.1992234874769888E-4</v>
      </c>
    </row>
    <row r="323" spans="1:29">
      <c r="A323" s="13" t="s">
        <v>590</v>
      </c>
      <c r="B323" s="13" t="s">
        <v>538</v>
      </c>
      <c r="C323" s="139">
        <v>46204</v>
      </c>
      <c r="D323" s="139" t="s">
        <v>516</v>
      </c>
      <c r="E323" s="28">
        <v>0.97481512000000003</v>
      </c>
      <c r="F323" s="13"/>
      <c r="G323" s="18">
        <v>15389210.15</v>
      </c>
      <c r="H323" s="18">
        <v>15001634.710000001</v>
      </c>
      <c r="I323" s="18">
        <v>15389210.15</v>
      </c>
      <c r="J323" s="18">
        <v>15001634.710000001</v>
      </c>
      <c r="K323" s="15">
        <v>9344719</v>
      </c>
      <c r="L323" s="13" t="s">
        <v>102</v>
      </c>
      <c r="M323" s="13" t="s">
        <v>103</v>
      </c>
      <c r="N323" s="139" t="s">
        <v>321</v>
      </c>
      <c r="O323" s="139" t="s">
        <v>321</v>
      </c>
      <c r="P323" s="28">
        <v>41</v>
      </c>
      <c r="Q323" s="13" t="s">
        <v>54</v>
      </c>
      <c r="R323" s="13" t="s">
        <v>28</v>
      </c>
      <c r="S323" s="13"/>
      <c r="T323" s="13"/>
      <c r="U323" s="13" t="s">
        <v>577</v>
      </c>
      <c r="V323" s="13" t="s">
        <v>577</v>
      </c>
      <c r="W323" s="59">
        <f>+J323/$W$2</f>
        <v>3.3698785496349363E-4</v>
      </c>
    </row>
    <row r="324" spans="1:29">
      <c r="A324" s="13" t="s">
        <v>590</v>
      </c>
      <c r="B324" s="13" t="s">
        <v>538</v>
      </c>
      <c r="C324" s="139">
        <v>46204</v>
      </c>
      <c r="D324" s="139" t="s">
        <v>516</v>
      </c>
      <c r="E324" s="28">
        <v>0.97481512000000003</v>
      </c>
      <c r="F324" s="13"/>
      <c r="G324" s="18">
        <v>14664256.84</v>
      </c>
      <c r="H324" s="18">
        <v>14294939.25</v>
      </c>
      <c r="I324" s="18">
        <v>14664256.84</v>
      </c>
      <c r="J324" s="18">
        <v>14294939.25</v>
      </c>
      <c r="K324" s="15">
        <v>30529</v>
      </c>
      <c r="L324" s="13" t="s">
        <v>102</v>
      </c>
      <c r="M324" s="13" t="s">
        <v>103</v>
      </c>
      <c r="N324" s="139" t="s">
        <v>321</v>
      </c>
      <c r="O324" s="139" t="s">
        <v>321</v>
      </c>
      <c r="P324" s="28">
        <v>41</v>
      </c>
      <c r="Q324" s="13" t="s">
        <v>54</v>
      </c>
      <c r="R324" s="13" t="s">
        <v>28</v>
      </c>
      <c r="S324" s="13"/>
      <c r="T324" s="13"/>
      <c r="U324" s="13" t="s">
        <v>578</v>
      </c>
      <c r="V324" s="13" t="s">
        <v>578</v>
      </c>
      <c r="W324" s="59">
        <f>+J324/$W$2</f>
        <v>3.2111306586340364E-4</v>
      </c>
    </row>
    <row r="325" spans="1:29">
      <c r="A325" s="13" t="s">
        <v>590</v>
      </c>
      <c r="B325" s="13" t="s">
        <v>538</v>
      </c>
      <c r="C325" s="139">
        <v>46204</v>
      </c>
      <c r="D325" s="139" t="s">
        <v>516</v>
      </c>
      <c r="E325" s="28">
        <v>0.97481512000000003</v>
      </c>
      <c r="F325" s="13"/>
      <c r="G325" s="18">
        <v>15909586.57</v>
      </c>
      <c r="H325" s="18">
        <v>15508905.5</v>
      </c>
      <c r="I325" s="18">
        <v>15909586.57</v>
      </c>
      <c r="J325" s="18">
        <v>15508905.5</v>
      </c>
      <c r="K325" s="15">
        <v>30496</v>
      </c>
      <c r="L325" s="13" t="s">
        <v>102</v>
      </c>
      <c r="M325" s="13" t="s">
        <v>103</v>
      </c>
      <c r="N325" s="139" t="s">
        <v>321</v>
      </c>
      <c r="O325" s="139" t="s">
        <v>321</v>
      </c>
      <c r="P325" s="28">
        <v>41</v>
      </c>
      <c r="Q325" s="13" t="s">
        <v>54</v>
      </c>
      <c r="R325" s="13" t="s">
        <v>28</v>
      </c>
      <c r="S325" s="13"/>
      <c r="T325" s="13"/>
      <c r="U325" s="13" t="s">
        <v>582</v>
      </c>
      <c r="V325" s="13" t="s">
        <v>582</v>
      </c>
      <c r="W325" s="59">
        <f>+J325/$W$2</f>
        <v>3.4838288615258041E-4</v>
      </c>
    </row>
    <row r="326" spans="1:29">
      <c r="A326" s="13" t="s">
        <v>198</v>
      </c>
      <c r="B326" s="13" t="s">
        <v>538</v>
      </c>
      <c r="C326" s="139">
        <v>46204</v>
      </c>
      <c r="D326" s="139" t="s">
        <v>516</v>
      </c>
      <c r="E326" s="28">
        <v>0.98205397000000005</v>
      </c>
      <c r="F326" s="13"/>
      <c r="G326" s="18">
        <v>6530318</v>
      </c>
      <c r="H326" s="18">
        <v>6413124.75</v>
      </c>
      <c r="I326" s="18">
        <v>6530318</v>
      </c>
      <c r="J326" s="18">
        <v>6413124.75</v>
      </c>
      <c r="K326" s="15">
        <v>68</v>
      </c>
      <c r="L326" s="13" t="s">
        <v>102</v>
      </c>
      <c r="M326" s="13" t="s">
        <v>103</v>
      </c>
      <c r="N326" s="139" t="s">
        <v>257</v>
      </c>
      <c r="O326" s="139" t="s">
        <v>257</v>
      </c>
      <c r="P326" s="28">
        <v>29</v>
      </c>
      <c r="Q326" s="13" t="s">
        <v>54</v>
      </c>
      <c r="R326" s="13" t="s">
        <v>28</v>
      </c>
      <c r="S326" s="13"/>
      <c r="T326" s="13"/>
      <c r="U326" s="13" t="s">
        <v>387</v>
      </c>
      <c r="V326" s="13" t="s">
        <v>387</v>
      </c>
      <c r="W326" s="59">
        <f>+J326/$W$2</f>
        <v>1.4406064371606016E-4</v>
      </c>
    </row>
    <row r="327" spans="1:29">
      <c r="A327" s="13" t="s">
        <v>198</v>
      </c>
      <c r="B327" s="13" t="s">
        <v>538</v>
      </c>
      <c r="C327" s="139">
        <v>46204</v>
      </c>
      <c r="D327" s="139" t="s">
        <v>516</v>
      </c>
      <c r="E327" s="28">
        <v>0.98755424000000003</v>
      </c>
      <c r="F327" s="13"/>
      <c r="G327" s="18">
        <v>1695872.63</v>
      </c>
      <c r="H327" s="18">
        <v>1674766.21</v>
      </c>
      <c r="I327" s="18">
        <v>1695872.63</v>
      </c>
      <c r="J327" s="18">
        <v>1674766.21</v>
      </c>
      <c r="K327" s="15">
        <v>6118</v>
      </c>
      <c r="L327" s="13" t="s">
        <v>102</v>
      </c>
      <c r="M327" s="13" t="s">
        <v>103</v>
      </c>
      <c r="N327" s="139" t="s">
        <v>335</v>
      </c>
      <c r="O327" s="139" t="s">
        <v>335</v>
      </c>
      <c r="P327" s="28">
        <v>20</v>
      </c>
      <c r="Q327" s="13" t="s">
        <v>54</v>
      </c>
      <c r="R327" s="13" t="s">
        <v>28</v>
      </c>
      <c r="S327" s="13"/>
      <c r="T327" s="13"/>
      <c r="U327" s="13" t="s">
        <v>1740</v>
      </c>
      <c r="V327" s="13" t="s">
        <v>1740</v>
      </c>
      <c r="W327" s="59">
        <f>+J327/$W$2</f>
        <v>3.762095822110842E-5</v>
      </c>
      <c r="AC327" s="56"/>
    </row>
    <row r="328" spans="1:29">
      <c r="A328" s="13" t="s">
        <v>1052</v>
      </c>
      <c r="B328" s="13" t="s">
        <v>538</v>
      </c>
      <c r="C328" s="139">
        <v>46204</v>
      </c>
      <c r="D328" s="139" t="s">
        <v>516</v>
      </c>
      <c r="E328" s="28">
        <v>0.98388059999999999</v>
      </c>
      <c r="F328" s="13"/>
      <c r="G328" s="18">
        <v>14000000</v>
      </c>
      <c r="H328" s="18">
        <v>13774328.41</v>
      </c>
      <c r="I328" s="18">
        <v>14000000</v>
      </c>
      <c r="J328" s="18">
        <v>13774328.41</v>
      </c>
      <c r="K328" s="15">
        <v>61</v>
      </c>
      <c r="L328" s="13" t="s">
        <v>102</v>
      </c>
      <c r="M328" s="13" t="s">
        <v>103</v>
      </c>
      <c r="N328" s="139" t="s">
        <v>344</v>
      </c>
      <c r="O328" s="139" t="s">
        <v>344</v>
      </c>
      <c r="P328" s="28">
        <v>26</v>
      </c>
      <c r="Q328" s="13" t="s">
        <v>54</v>
      </c>
      <c r="R328" s="13" t="s">
        <v>28</v>
      </c>
      <c r="S328" s="13"/>
      <c r="T328" s="13"/>
      <c r="U328" s="13" t="s">
        <v>1106</v>
      </c>
      <c r="V328" s="13" t="s">
        <v>1106</v>
      </c>
      <c r="W328" s="59">
        <f>+J328/$W$2</f>
        <v>3.0941837167614982E-4</v>
      </c>
    </row>
    <row r="329" spans="1:29">
      <c r="A329" s="13" t="s">
        <v>1052</v>
      </c>
      <c r="B329" s="13" t="s">
        <v>538</v>
      </c>
      <c r="C329" s="139">
        <v>46204</v>
      </c>
      <c r="D329" s="139" t="s">
        <v>516</v>
      </c>
      <c r="E329" s="28">
        <v>0.98388054000000003</v>
      </c>
      <c r="F329" s="13"/>
      <c r="G329" s="18">
        <v>19183831</v>
      </c>
      <c r="H329" s="18">
        <v>18874598.07</v>
      </c>
      <c r="I329" s="18">
        <v>19183831</v>
      </c>
      <c r="J329" s="18">
        <v>18874598.07</v>
      </c>
      <c r="K329" s="15">
        <v>76811</v>
      </c>
      <c r="L329" s="13" t="s">
        <v>102</v>
      </c>
      <c r="M329" s="13" t="s">
        <v>103</v>
      </c>
      <c r="N329" s="139" t="s">
        <v>379</v>
      </c>
      <c r="O329" s="139" t="s">
        <v>379</v>
      </c>
      <c r="P329" s="28">
        <v>26</v>
      </c>
      <c r="Q329" s="13" t="s">
        <v>54</v>
      </c>
      <c r="R329" s="13" t="s">
        <v>28</v>
      </c>
      <c r="S329" s="13"/>
      <c r="T329" s="13"/>
      <c r="U329" s="13" t="s">
        <v>1389</v>
      </c>
      <c r="V329" s="13" t="s">
        <v>1389</v>
      </c>
      <c r="W329" s="59">
        <f>+J329/$W$2</f>
        <v>4.2398781465246042E-4</v>
      </c>
      <c r="AC329" s="56"/>
    </row>
    <row r="330" spans="1:29">
      <c r="A330" s="13" t="s">
        <v>1402</v>
      </c>
      <c r="B330" s="13" t="s">
        <v>538</v>
      </c>
      <c r="C330" s="139">
        <v>46204</v>
      </c>
      <c r="D330" s="139" t="s">
        <v>516</v>
      </c>
      <c r="E330" s="28">
        <v>0.98266207999999999</v>
      </c>
      <c r="F330" s="13"/>
      <c r="G330" s="18">
        <v>5000000</v>
      </c>
      <c r="H330" s="18">
        <v>4913310.41</v>
      </c>
      <c r="I330" s="18">
        <v>5000000</v>
      </c>
      <c r="J330" s="18">
        <v>4913310.41</v>
      </c>
      <c r="K330" s="15">
        <v>6034645</v>
      </c>
      <c r="L330" s="13" t="s">
        <v>102</v>
      </c>
      <c r="M330" s="13" t="s">
        <v>103</v>
      </c>
      <c r="N330" s="139" t="s">
        <v>379</v>
      </c>
      <c r="O330" s="139" t="s">
        <v>379</v>
      </c>
      <c r="P330" s="28">
        <v>28</v>
      </c>
      <c r="Q330" s="13" t="s">
        <v>54</v>
      </c>
      <c r="R330" s="13" t="s">
        <v>28</v>
      </c>
      <c r="S330" s="13"/>
      <c r="T330" s="13"/>
      <c r="U330" s="13" t="s">
        <v>1366</v>
      </c>
      <c r="V330" s="13" t="s">
        <v>1366</v>
      </c>
      <c r="W330" s="59">
        <f>+J330/$W$2</f>
        <v>1.1036970089213053E-4</v>
      </c>
    </row>
    <row r="331" spans="1:29">
      <c r="A331" s="13" t="s">
        <v>217</v>
      </c>
      <c r="B331" s="13" t="s">
        <v>538</v>
      </c>
      <c r="C331" s="139">
        <v>46205</v>
      </c>
      <c r="D331" s="139" t="s">
        <v>516</v>
      </c>
      <c r="E331" s="28">
        <v>0.97312580000000004</v>
      </c>
      <c r="F331" s="13"/>
      <c r="G331" s="18">
        <v>15000000</v>
      </c>
      <c r="H331" s="18">
        <v>14596887.029999999</v>
      </c>
      <c r="I331" s="18">
        <v>15000000</v>
      </c>
      <c r="J331" s="18">
        <v>14596887.029999999</v>
      </c>
      <c r="K331" s="15">
        <v>16771113</v>
      </c>
      <c r="L331" s="13" t="s">
        <v>102</v>
      </c>
      <c r="M331" s="13" t="s">
        <v>103</v>
      </c>
      <c r="N331" s="139" t="s">
        <v>334</v>
      </c>
      <c r="O331" s="139" t="s">
        <v>334</v>
      </c>
      <c r="P331" s="28">
        <v>42</v>
      </c>
      <c r="Q331" s="13" t="s">
        <v>54</v>
      </c>
      <c r="R331" s="13" t="s">
        <v>28</v>
      </c>
      <c r="S331" s="13"/>
      <c r="T331" s="13"/>
      <c r="U331" s="13" t="s">
        <v>1284</v>
      </c>
      <c r="V331" s="13" t="s">
        <v>1284</v>
      </c>
      <c r="W331" s="59">
        <f>+J331/$W$2</f>
        <v>3.2789584231811633E-4</v>
      </c>
    </row>
    <row r="332" spans="1:29">
      <c r="A332" s="13" t="s">
        <v>1619</v>
      </c>
      <c r="B332" s="13" t="s">
        <v>538</v>
      </c>
      <c r="C332" s="139">
        <v>46205</v>
      </c>
      <c r="D332" s="139" t="s">
        <v>516</v>
      </c>
      <c r="E332" s="28">
        <v>0.97939264999999998</v>
      </c>
      <c r="F332" s="13"/>
      <c r="G332" s="18">
        <v>2000000</v>
      </c>
      <c r="H332" s="18">
        <v>1958785.3</v>
      </c>
      <c r="I332" s="18">
        <v>2000000</v>
      </c>
      <c r="J332" s="18">
        <v>1958785.3</v>
      </c>
      <c r="K332" s="15">
        <v>385</v>
      </c>
      <c r="L332" s="13" t="s">
        <v>102</v>
      </c>
      <c r="M332" s="13" t="s">
        <v>103</v>
      </c>
      <c r="N332" s="139" t="s">
        <v>371</v>
      </c>
      <c r="O332" s="139" t="s">
        <v>371</v>
      </c>
      <c r="P332" s="28">
        <v>32</v>
      </c>
      <c r="Q332" s="13" t="s">
        <v>54</v>
      </c>
      <c r="R332" s="13" t="s">
        <v>28</v>
      </c>
      <c r="S332" s="13"/>
      <c r="T332" s="13"/>
      <c r="U332" s="13" t="s">
        <v>1654</v>
      </c>
      <c r="V332" s="13" t="s">
        <v>1654</v>
      </c>
      <c r="W332" s="59">
        <f>+J332/$W$2</f>
        <v>4.4000995180946072E-5</v>
      </c>
    </row>
    <row r="333" spans="1:29">
      <c r="A333" s="13" t="s">
        <v>752</v>
      </c>
      <c r="B333" s="13" t="s">
        <v>538</v>
      </c>
      <c r="C333" s="139">
        <v>46205</v>
      </c>
      <c r="D333" s="139" t="s">
        <v>516</v>
      </c>
      <c r="E333" s="28">
        <v>0.98574052000000001</v>
      </c>
      <c r="F333" s="13"/>
      <c r="G333" s="18">
        <v>4000000</v>
      </c>
      <c r="H333" s="18">
        <v>3942962.1</v>
      </c>
      <c r="I333" s="18">
        <v>4000000</v>
      </c>
      <c r="J333" s="18">
        <v>3942962.1</v>
      </c>
      <c r="K333" s="15">
        <v>64816755</v>
      </c>
      <c r="L333" s="13" t="s">
        <v>102</v>
      </c>
      <c r="M333" s="13" t="s">
        <v>103</v>
      </c>
      <c r="N333" s="139" t="s">
        <v>320</v>
      </c>
      <c r="O333" s="139" t="s">
        <v>320</v>
      </c>
      <c r="P333" s="28">
        <v>22</v>
      </c>
      <c r="Q333" s="13" t="s">
        <v>54</v>
      </c>
      <c r="R333" s="13" t="s">
        <v>28</v>
      </c>
      <c r="S333" s="13"/>
      <c r="T333" s="13"/>
      <c r="U333" s="13" t="s">
        <v>746</v>
      </c>
      <c r="V333" s="13" t="s">
        <v>746</v>
      </c>
      <c r="W333" s="59">
        <f>+J333/$W$2</f>
        <v>8.8572370009491611E-5</v>
      </c>
      <c r="AC333" s="56"/>
    </row>
    <row r="334" spans="1:29">
      <c r="A334" s="13" t="s">
        <v>914</v>
      </c>
      <c r="B334" s="13" t="s">
        <v>538</v>
      </c>
      <c r="C334" s="139">
        <v>46205</v>
      </c>
      <c r="D334" s="139" t="s">
        <v>516</v>
      </c>
      <c r="E334" s="28">
        <v>0.98065557999999997</v>
      </c>
      <c r="F334" s="13"/>
      <c r="G334" s="18">
        <v>10000000</v>
      </c>
      <c r="H334" s="18">
        <v>9806555.7799999993</v>
      </c>
      <c r="I334" s="18">
        <v>10000000</v>
      </c>
      <c r="J334" s="18">
        <v>9806555.7799999993</v>
      </c>
      <c r="K334" s="15">
        <v>3463101</v>
      </c>
      <c r="L334" s="13" t="s">
        <v>102</v>
      </c>
      <c r="M334" s="13" t="s">
        <v>103</v>
      </c>
      <c r="N334" s="139" t="s">
        <v>378</v>
      </c>
      <c r="O334" s="139" t="s">
        <v>378</v>
      </c>
      <c r="P334" s="28">
        <v>30</v>
      </c>
      <c r="Q334" s="13" t="s">
        <v>54</v>
      </c>
      <c r="R334" s="13" t="s">
        <v>28</v>
      </c>
      <c r="S334" s="13"/>
      <c r="T334" s="13"/>
      <c r="U334" s="13" t="s">
        <v>881</v>
      </c>
      <c r="V334" s="13" t="s">
        <v>881</v>
      </c>
      <c r="W334" s="59">
        <f>+J334/$W$2</f>
        <v>2.2028867258573915E-4</v>
      </c>
    </row>
    <row r="335" spans="1:29">
      <c r="A335" s="13" t="s">
        <v>920</v>
      </c>
      <c r="B335" s="13" t="s">
        <v>538</v>
      </c>
      <c r="C335" s="139">
        <v>46205</v>
      </c>
      <c r="D335" s="139" t="s">
        <v>516</v>
      </c>
      <c r="E335" s="28">
        <v>0.97562285999999998</v>
      </c>
      <c r="F335" s="13"/>
      <c r="G335" s="18">
        <v>7272516.8499999996</v>
      </c>
      <c r="H335" s="18">
        <v>7095233.71</v>
      </c>
      <c r="I335" s="18">
        <v>7272516.8499999996</v>
      </c>
      <c r="J335" s="18">
        <v>7095233.71</v>
      </c>
      <c r="K335" s="15">
        <v>90000056</v>
      </c>
      <c r="L335" s="13" t="s">
        <v>102</v>
      </c>
      <c r="M335" s="13" t="s">
        <v>103</v>
      </c>
      <c r="N335" s="139" t="s">
        <v>344</v>
      </c>
      <c r="O335" s="139" t="s">
        <v>344</v>
      </c>
      <c r="P335" s="28">
        <v>38</v>
      </c>
      <c r="Q335" s="13" t="s">
        <v>54</v>
      </c>
      <c r="R335" s="13" t="s">
        <v>28</v>
      </c>
      <c r="S335" s="13"/>
      <c r="T335" s="13"/>
      <c r="U335" s="13" t="s">
        <v>1144</v>
      </c>
      <c r="V335" s="13" t="s">
        <v>1144</v>
      </c>
      <c r="W335" s="59">
        <f>+J335/$W$2</f>
        <v>1.593831362127315E-4</v>
      </c>
    </row>
    <row r="336" spans="1:29">
      <c r="A336" s="13" t="s">
        <v>430</v>
      </c>
      <c r="B336" s="13" t="s">
        <v>538</v>
      </c>
      <c r="C336" s="139">
        <v>46205</v>
      </c>
      <c r="D336" s="139" t="s">
        <v>516</v>
      </c>
      <c r="E336" s="28">
        <v>0.97437273000000002</v>
      </c>
      <c r="F336" s="13"/>
      <c r="G336" s="18">
        <v>10000000</v>
      </c>
      <c r="H336" s="18">
        <v>9743727.3000000007</v>
      </c>
      <c r="I336" s="18">
        <v>10000000</v>
      </c>
      <c r="J336" s="18">
        <v>9743727.3000000007</v>
      </c>
      <c r="K336" s="15">
        <v>1345</v>
      </c>
      <c r="L336" s="13" t="s">
        <v>102</v>
      </c>
      <c r="M336" s="13" t="s">
        <v>103</v>
      </c>
      <c r="N336" s="139" t="s">
        <v>302</v>
      </c>
      <c r="O336" s="139" t="s">
        <v>302</v>
      </c>
      <c r="P336" s="28">
        <v>40</v>
      </c>
      <c r="Q336" s="13" t="s">
        <v>54</v>
      </c>
      <c r="R336" s="13" t="s">
        <v>28</v>
      </c>
      <c r="S336" s="13"/>
      <c r="T336" s="13"/>
      <c r="U336" s="13" t="s">
        <v>442</v>
      </c>
      <c r="V336" s="13" t="s">
        <v>442</v>
      </c>
      <c r="W336" s="59">
        <f>+J336/$W$2</f>
        <v>2.1887733074765913E-4</v>
      </c>
    </row>
    <row r="337" spans="1:29">
      <c r="A337" s="13" t="s">
        <v>545</v>
      </c>
      <c r="B337" s="13" t="s">
        <v>538</v>
      </c>
      <c r="C337" s="139">
        <v>46205</v>
      </c>
      <c r="D337" s="139" t="s">
        <v>516</v>
      </c>
      <c r="E337" s="28">
        <v>0.97437275000000001</v>
      </c>
      <c r="F337" s="13"/>
      <c r="G337" s="18">
        <v>50000000</v>
      </c>
      <c r="H337" s="18">
        <v>48718637.329999998</v>
      </c>
      <c r="I337" s="18">
        <v>50000000</v>
      </c>
      <c r="J337" s="18">
        <v>48718637.329999998</v>
      </c>
      <c r="K337" s="15">
        <v>306</v>
      </c>
      <c r="L337" s="13" t="s">
        <v>102</v>
      </c>
      <c r="M337" s="13" t="s">
        <v>103</v>
      </c>
      <c r="N337" s="139" t="s">
        <v>336</v>
      </c>
      <c r="O337" s="139" t="s">
        <v>336</v>
      </c>
      <c r="P337" s="28">
        <v>40</v>
      </c>
      <c r="Q337" s="13" t="s">
        <v>54</v>
      </c>
      <c r="R337" s="13" t="s">
        <v>28</v>
      </c>
      <c r="S337" s="13"/>
      <c r="T337" s="13"/>
      <c r="U337" s="13" t="s">
        <v>546</v>
      </c>
      <c r="V337" s="13" t="s">
        <v>546</v>
      </c>
      <c r="W337" s="59">
        <f>+J337/$W$2</f>
        <v>1.0943866723829251E-3</v>
      </c>
    </row>
    <row r="338" spans="1:29">
      <c r="A338" s="13" t="s">
        <v>591</v>
      </c>
      <c r="B338" s="13" t="s">
        <v>538</v>
      </c>
      <c r="C338" s="139">
        <v>46205</v>
      </c>
      <c r="D338" s="139" t="s">
        <v>516</v>
      </c>
      <c r="E338" s="28">
        <v>0.97374883000000001</v>
      </c>
      <c r="F338" s="13"/>
      <c r="G338" s="18">
        <v>2000000</v>
      </c>
      <c r="H338" s="18">
        <v>1947497.67</v>
      </c>
      <c r="I338" s="18">
        <v>2000000</v>
      </c>
      <c r="J338" s="18">
        <v>1947497.67</v>
      </c>
      <c r="K338" s="15">
        <v>11213040</v>
      </c>
      <c r="L338" s="13" t="s">
        <v>102</v>
      </c>
      <c r="M338" s="13" t="s">
        <v>103</v>
      </c>
      <c r="N338" s="139" t="s">
        <v>321</v>
      </c>
      <c r="O338" s="139" t="s">
        <v>321</v>
      </c>
      <c r="P338" s="28">
        <v>41</v>
      </c>
      <c r="Q338" s="13" t="s">
        <v>54</v>
      </c>
      <c r="R338" s="13" t="s">
        <v>28</v>
      </c>
      <c r="S338" s="13"/>
      <c r="T338" s="13"/>
      <c r="U338" s="13" t="s">
        <v>585</v>
      </c>
      <c r="V338" s="13" t="s">
        <v>585</v>
      </c>
      <c r="W338" s="59">
        <f>+J338/$W$2</f>
        <v>4.374743653251518E-5</v>
      </c>
    </row>
    <row r="339" spans="1:29">
      <c r="A339" s="13" t="s">
        <v>597</v>
      </c>
      <c r="B339" s="13" t="s">
        <v>538</v>
      </c>
      <c r="C339" s="139">
        <v>46205</v>
      </c>
      <c r="D339" s="139" t="s">
        <v>516</v>
      </c>
      <c r="E339" s="28">
        <v>0.97437269000000004</v>
      </c>
      <c r="F339" s="13"/>
      <c r="G339" s="18">
        <v>2000000</v>
      </c>
      <c r="H339" s="18">
        <v>1948745.37</v>
      </c>
      <c r="I339" s="18">
        <v>2000000</v>
      </c>
      <c r="J339" s="18">
        <v>1948745.37</v>
      </c>
      <c r="K339" s="15">
        <v>38</v>
      </c>
      <c r="L339" s="13" t="s">
        <v>102</v>
      </c>
      <c r="M339" s="13" t="s">
        <v>103</v>
      </c>
      <c r="N339" s="139" t="s">
        <v>368</v>
      </c>
      <c r="O339" s="139" t="s">
        <v>368</v>
      </c>
      <c r="P339" s="28">
        <v>40</v>
      </c>
      <c r="Q339" s="13" t="s">
        <v>54</v>
      </c>
      <c r="R339" s="13" t="s">
        <v>28</v>
      </c>
      <c r="S339" s="13"/>
      <c r="T339" s="13"/>
      <c r="U339" s="13" t="s">
        <v>592</v>
      </c>
      <c r="V339" s="13" t="s">
        <v>592</v>
      </c>
      <c r="W339" s="59">
        <f>+J339/$W$2</f>
        <v>4.3775464127825027E-5</v>
      </c>
    </row>
    <row r="340" spans="1:29">
      <c r="A340" s="13" t="s">
        <v>247</v>
      </c>
      <c r="B340" s="13" t="s">
        <v>538</v>
      </c>
      <c r="C340" s="139">
        <v>46205</v>
      </c>
      <c r="D340" s="139" t="s">
        <v>516</v>
      </c>
      <c r="E340" s="28">
        <v>0.97437269999999998</v>
      </c>
      <c r="F340" s="13"/>
      <c r="G340" s="18">
        <v>3800000</v>
      </c>
      <c r="H340" s="18">
        <v>3702616.27</v>
      </c>
      <c r="I340" s="18">
        <v>3800000</v>
      </c>
      <c r="J340" s="18">
        <v>3702616.27</v>
      </c>
      <c r="K340" s="15">
        <v>1018</v>
      </c>
      <c r="L340" s="13" t="s">
        <v>102</v>
      </c>
      <c r="M340" s="13" t="s">
        <v>103</v>
      </c>
      <c r="N340" s="139" t="s">
        <v>266</v>
      </c>
      <c r="O340" s="139" t="s">
        <v>266</v>
      </c>
      <c r="P340" s="28">
        <v>40</v>
      </c>
      <c r="Q340" s="13" t="s">
        <v>54</v>
      </c>
      <c r="R340" s="13" t="s">
        <v>28</v>
      </c>
      <c r="S340" s="13"/>
      <c r="T340" s="13"/>
      <c r="U340" s="13" t="s">
        <v>507</v>
      </c>
      <c r="V340" s="13" t="s">
        <v>507</v>
      </c>
      <c r="W340" s="59">
        <f>+J340/$W$2</f>
        <v>8.3173383347915936E-5</v>
      </c>
    </row>
    <row r="341" spans="1:29">
      <c r="A341" s="13" t="s">
        <v>339</v>
      </c>
      <c r="B341" s="13" t="s">
        <v>538</v>
      </c>
      <c r="C341" s="139">
        <v>46205</v>
      </c>
      <c r="D341" s="139" t="s">
        <v>516</v>
      </c>
      <c r="E341" s="28">
        <v>0.98065557000000003</v>
      </c>
      <c r="F341" s="13"/>
      <c r="G341" s="18">
        <v>35000000</v>
      </c>
      <c r="H341" s="18">
        <v>34322945.119999997</v>
      </c>
      <c r="I341" s="18">
        <v>35000000</v>
      </c>
      <c r="J341" s="18">
        <v>34322945.119999997</v>
      </c>
      <c r="K341" s="15">
        <v>1451</v>
      </c>
      <c r="L341" s="13" t="s">
        <v>102</v>
      </c>
      <c r="M341" s="13" t="s">
        <v>103</v>
      </c>
      <c r="N341" s="139" t="s">
        <v>324</v>
      </c>
      <c r="O341" s="139" t="s">
        <v>324</v>
      </c>
      <c r="P341" s="28">
        <v>30</v>
      </c>
      <c r="Q341" s="13" t="s">
        <v>54</v>
      </c>
      <c r="R341" s="13" t="s">
        <v>28</v>
      </c>
      <c r="S341" s="13"/>
      <c r="T341" s="13"/>
      <c r="U341" s="13" t="s">
        <v>697</v>
      </c>
      <c r="V341" s="13" t="s">
        <v>697</v>
      </c>
      <c r="W341" s="59">
        <f>+J341/$W$2</f>
        <v>7.7101035157911199E-4</v>
      </c>
    </row>
    <row r="342" spans="1:29">
      <c r="A342" s="13" t="s">
        <v>339</v>
      </c>
      <c r="B342" s="13" t="s">
        <v>538</v>
      </c>
      <c r="C342" s="139">
        <v>46205</v>
      </c>
      <c r="D342" s="139" t="s">
        <v>516</v>
      </c>
      <c r="E342" s="28">
        <v>0.98128837000000002</v>
      </c>
      <c r="F342" s="13"/>
      <c r="G342" s="18">
        <v>30000000</v>
      </c>
      <c r="H342" s="18">
        <v>29438651.050000001</v>
      </c>
      <c r="I342" s="18">
        <v>30000000</v>
      </c>
      <c r="J342" s="18">
        <v>29438651.050000001</v>
      </c>
      <c r="K342" s="15">
        <v>10941</v>
      </c>
      <c r="L342" s="13" t="s">
        <v>102</v>
      </c>
      <c r="M342" s="13" t="s">
        <v>103</v>
      </c>
      <c r="N342" s="139" t="s">
        <v>231</v>
      </c>
      <c r="O342" s="139" t="s">
        <v>231</v>
      </c>
      <c r="P342" s="28">
        <v>29</v>
      </c>
      <c r="Q342" s="13" t="s">
        <v>54</v>
      </c>
      <c r="R342" s="13" t="s">
        <v>28</v>
      </c>
      <c r="S342" s="13"/>
      <c r="T342" s="13"/>
      <c r="U342" s="13" t="s">
        <v>689</v>
      </c>
      <c r="V342" s="13" t="s">
        <v>689</v>
      </c>
      <c r="W342" s="59">
        <f>+J342/$W$2</f>
        <v>6.612924565977717E-4</v>
      </c>
    </row>
    <row r="343" spans="1:29">
      <c r="A343" s="13" t="s">
        <v>339</v>
      </c>
      <c r="B343" s="13" t="s">
        <v>538</v>
      </c>
      <c r="C343" s="139">
        <v>46205</v>
      </c>
      <c r="D343" s="139" t="s">
        <v>516</v>
      </c>
      <c r="E343" s="28">
        <v>0.98128837000000002</v>
      </c>
      <c r="F343" s="13"/>
      <c r="G343" s="18">
        <v>33000000</v>
      </c>
      <c r="H343" s="18">
        <v>32382516.149999999</v>
      </c>
      <c r="I343" s="18">
        <v>33000000</v>
      </c>
      <c r="J343" s="18">
        <v>32382516.149999999</v>
      </c>
      <c r="K343" s="15">
        <v>67</v>
      </c>
      <c r="L343" s="13" t="s">
        <v>102</v>
      </c>
      <c r="M343" s="13" t="s">
        <v>103</v>
      </c>
      <c r="N343" s="139" t="s">
        <v>231</v>
      </c>
      <c r="O343" s="139" t="s">
        <v>231</v>
      </c>
      <c r="P343" s="28">
        <v>29</v>
      </c>
      <c r="Q343" s="13" t="s">
        <v>54</v>
      </c>
      <c r="R343" s="13" t="s">
        <v>28</v>
      </c>
      <c r="S343" s="13"/>
      <c r="T343" s="13"/>
      <c r="U343" s="13" t="s">
        <v>690</v>
      </c>
      <c r="V343" s="13" t="s">
        <v>690</v>
      </c>
      <c r="W343" s="59">
        <f>+J343/$W$2</f>
        <v>7.2742170214523173E-4</v>
      </c>
    </row>
    <row r="344" spans="1:29">
      <c r="A344" s="13" t="s">
        <v>339</v>
      </c>
      <c r="B344" s="13" t="s">
        <v>538</v>
      </c>
      <c r="C344" s="139">
        <v>46205</v>
      </c>
      <c r="D344" s="139" t="s">
        <v>516</v>
      </c>
      <c r="E344" s="28">
        <v>0.97750402000000003</v>
      </c>
      <c r="F344" s="13"/>
      <c r="G344" s="18">
        <v>5000000</v>
      </c>
      <c r="H344" s="18">
        <v>4887520.1100000003</v>
      </c>
      <c r="I344" s="18">
        <v>5000000</v>
      </c>
      <c r="J344" s="18">
        <v>4887520.1100000003</v>
      </c>
      <c r="K344" s="15">
        <v>90000055</v>
      </c>
      <c r="L344" s="13" t="s">
        <v>102</v>
      </c>
      <c r="M344" s="13" t="s">
        <v>103</v>
      </c>
      <c r="N344" s="139" t="s">
        <v>244</v>
      </c>
      <c r="O344" s="139" t="s">
        <v>244</v>
      </c>
      <c r="P344" s="28">
        <v>35</v>
      </c>
      <c r="Q344" s="13" t="s">
        <v>54</v>
      </c>
      <c r="R344" s="13" t="s">
        <v>28</v>
      </c>
      <c r="S344" s="13"/>
      <c r="T344" s="13"/>
      <c r="U344" s="13" t="s">
        <v>525</v>
      </c>
      <c r="V344" s="13" t="s">
        <v>525</v>
      </c>
      <c r="W344" s="59">
        <f>+J344/$W$2</f>
        <v>1.0979036283705367E-4</v>
      </c>
      <c r="AC344" s="56"/>
    </row>
    <row r="345" spans="1:29">
      <c r="A345" s="13" t="s">
        <v>639</v>
      </c>
      <c r="B345" s="13" t="s">
        <v>538</v>
      </c>
      <c r="C345" s="139">
        <v>46205</v>
      </c>
      <c r="D345" s="139" t="s">
        <v>516</v>
      </c>
      <c r="E345" s="28">
        <v>0.98128835000000003</v>
      </c>
      <c r="F345" s="13"/>
      <c r="G345" s="18">
        <v>15000000</v>
      </c>
      <c r="H345" s="18">
        <v>14719325.220000001</v>
      </c>
      <c r="I345" s="18">
        <v>15000000</v>
      </c>
      <c r="J345" s="18">
        <v>14719325.220000001</v>
      </c>
      <c r="K345" s="15">
        <v>800</v>
      </c>
      <c r="L345" s="13" t="s">
        <v>102</v>
      </c>
      <c r="M345" s="13" t="s">
        <v>103</v>
      </c>
      <c r="N345" s="139" t="s">
        <v>155</v>
      </c>
      <c r="O345" s="139" t="s">
        <v>155</v>
      </c>
      <c r="P345" s="28">
        <v>29</v>
      </c>
      <c r="Q345" s="13" t="s">
        <v>54</v>
      </c>
      <c r="R345" s="13" t="s">
        <v>28</v>
      </c>
      <c r="S345" s="13"/>
      <c r="T345" s="13"/>
      <c r="U345" s="13" t="s">
        <v>604</v>
      </c>
      <c r="V345" s="13" t="s">
        <v>604</v>
      </c>
      <c r="W345" s="59">
        <f>+J345/$W$2</f>
        <v>3.306462214475461E-4</v>
      </c>
    </row>
    <row r="346" spans="1:29">
      <c r="A346" s="13" t="s">
        <v>338</v>
      </c>
      <c r="B346" s="13" t="s">
        <v>538</v>
      </c>
      <c r="C346" s="139">
        <v>46205</v>
      </c>
      <c r="D346" s="139" t="s">
        <v>516</v>
      </c>
      <c r="E346" s="28">
        <v>0.98128831000000005</v>
      </c>
      <c r="F346" s="13"/>
      <c r="G346" s="18">
        <v>70000000</v>
      </c>
      <c r="H346" s="18">
        <v>68690181.739999995</v>
      </c>
      <c r="I346" s="18">
        <v>70000000</v>
      </c>
      <c r="J346" s="18">
        <v>68690181.739999995</v>
      </c>
      <c r="K346" s="15">
        <v>90041867</v>
      </c>
      <c r="L346" s="13" t="s">
        <v>102</v>
      </c>
      <c r="M346" s="13" t="s">
        <v>103</v>
      </c>
      <c r="N346" s="139" t="s">
        <v>428</v>
      </c>
      <c r="O346" s="139" t="s">
        <v>428</v>
      </c>
      <c r="P346" s="28">
        <v>29</v>
      </c>
      <c r="Q346" s="13" t="s">
        <v>54</v>
      </c>
      <c r="R346" s="13" t="s">
        <v>28</v>
      </c>
      <c r="S346" s="13"/>
      <c r="T346" s="13"/>
      <c r="U346" s="13" t="s">
        <v>943</v>
      </c>
      <c r="V346" s="13" t="s">
        <v>943</v>
      </c>
      <c r="W346" s="59">
        <f>+J346/$W$2</f>
        <v>1.5430156412344169E-3</v>
      </c>
    </row>
    <row r="347" spans="1:29">
      <c r="A347" s="13" t="s">
        <v>706</v>
      </c>
      <c r="B347" s="13" t="s">
        <v>538</v>
      </c>
      <c r="C347" s="139">
        <v>46205</v>
      </c>
      <c r="D347" s="139" t="s">
        <v>516</v>
      </c>
      <c r="E347" s="28">
        <v>0.97939255000000003</v>
      </c>
      <c r="F347" s="13"/>
      <c r="G347" s="18">
        <v>50000000</v>
      </c>
      <c r="H347" s="18">
        <v>48969627.310000002</v>
      </c>
      <c r="I347" s="18">
        <v>50000000</v>
      </c>
      <c r="J347" s="18">
        <v>48969627.310000002</v>
      </c>
      <c r="K347" s="15">
        <v>11915481</v>
      </c>
      <c r="L347" s="13" t="s">
        <v>102</v>
      </c>
      <c r="M347" s="13" t="s">
        <v>103</v>
      </c>
      <c r="N347" s="139" t="s">
        <v>323</v>
      </c>
      <c r="O347" s="139" t="s">
        <v>323</v>
      </c>
      <c r="P347" s="28">
        <v>32</v>
      </c>
      <c r="Q347" s="13" t="s">
        <v>54</v>
      </c>
      <c r="R347" s="13" t="s">
        <v>28</v>
      </c>
      <c r="S347" s="13"/>
      <c r="T347" s="13"/>
      <c r="U347" s="13" t="s">
        <v>704</v>
      </c>
      <c r="V347" s="13" t="s">
        <v>704</v>
      </c>
      <c r="W347" s="59">
        <f>+J347/$W$2</f>
        <v>1.1000247629385596E-3</v>
      </c>
    </row>
    <row r="348" spans="1:29">
      <c r="A348" s="13" t="s">
        <v>444</v>
      </c>
      <c r="B348" s="13" t="s">
        <v>538</v>
      </c>
      <c r="C348" s="139">
        <v>46205</v>
      </c>
      <c r="D348" s="139" t="s">
        <v>516</v>
      </c>
      <c r="E348" s="28">
        <v>0.97374883999999995</v>
      </c>
      <c r="F348" s="13"/>
      <c r="G348" s="18">
        <v>20000000</v>
      </c>
      <c r="H348" s="18">
        <v>19474976.809999999</v>
      </c>
      <c r="I348" s="18">
        <v>20000000</v>
      </c>
      <c r="J348" s="18">
        <v>19474976.809999999</v>
      </c>
      <c r="K348" s="15">
        <v>13318409</v>
      </c>
      <c r="L348" s="13" t="s">
        <v>102</v>
      </c>
      <c r="M348" s="13" t="s">
        <v>103</v>
      </c>
      <c r="N348" s="139" t="s">
        <v>321</v>
      </c>
      <c r="O348" s="139" t="s">
        <v>321</v>
      </c>
      <c r="P348" s="28">
        <v>41</v>
      </c>
      <c r="Q348" s="13" t="s">
        <v>54</v>
      </c>
      <c r="R348" s="13" t="s">
        <v>28</v>
      </c>
      <c r="S348" s="13"/>
      <c r="T348" s="13"/>
      <c r="U348" s="13" t="s">
        <v>574</v>
      </c>
      <c r="V348" s="13" t="s">
        <v>574</v>
      </c>
      <c r="W348" s="59">
        <f>+J348/$W$2</f>
        <v>4.3747436779612676E-4</v>
      </c>
      <c r="AC348" s="56"/>
    </row>
    <row r="349" spans="1:29">
      <c r="A349" s="13" t="s">
        <v>339</v>
      </c>
      <c r="B349" s="13" t="s">
        <v>538</v>
      </c>
      <c r="C349" s="139">
        <v>46205</v>
      </c>
      <c r="D349" s="139" t="s">
        <v>516</v>
      </c>
      <c r="E349" s="28">
        <v>0.98255634999999997</v>
      </c>
      <c r="F349" s="13"/>
      <c r="G349" s="18">
        <v>7000000</v>
      </c>
      <c r="H349" s="18">
        <v>6877894.4299999997</v>
      </c>
      <c r="I349" s="18">
        <v>7000000</v>
      </c>
      <c r="J349" s="18">
        <v>6877894.4299999997</v>
      </c>
      <c r="K349" s="15">
        <v>66547883</v>
      </c>
      <c r="L349" s="13" t="s">
        <v>102</v>
      </c>
      <c r="M349" s="13" t="s">
        <v>103</v>
      </c>
      <c r="N349" s="139" t="s">
        <v>395</v>
      </c>
      <c r="O349" s="139" t="s">
        <v>395</v>
      </c>
      <c r="P349" s="28">
        <v>27</v>
      </c>
      <c r="Q349" s="13" t="s">
        <v>54</v>
      </c>
      <c r="R349" s="13" t="s">
        <v>28</v>
      </c>
      <c r="S349" s="13"/>
      <c r="T349" s="13"/>
      <c r="U349" s="13" t="s">
        <v>1255</v>
      </c>
      <c r="V349" s="13" t="s">
        <v>1255</v>
      </c>
      <c r="W349" s="59">
        <f>+J349/$W$2</f>
        <v>1.5450095509165086E-4</v>
      </c>
    </row>
    <row r="350" spans="1:29">
      <c r="A350" s="13" t="s">
        <v>1357</v>
      </c>
      <c r="B350" s="13" t="s">
        <v>538</v>
      </c>
      <c r="C350" s="139">
        <v>46205</v>
      </c>
      <c r="D350" s="139" t="s">
        <v>516</v>
      </c>
      <c r="E350" s="28">
        <v>0.98319153999999997</v>
      </c>
      <c r="F350" s="13"/>
      <c r="G350" s="18">
        <v>1000000000</v>
      </c>
      <c r="H350" s="18">
        <v>983191537</v>
      </c>
      <c r="I350" s="18">
        <v>1000000000</v>
      </c>
      <c r="J350" s="18">
        <v>983191537</v>
      </c>
      <c r="K350" s="15">
        <v>10452</v>
      </c>
      <c r="L350" s="13" t="s">
        <v>102</v>
      </c>
      <c r="M350" s="13" t="s">
        <v>103</v>
      </c>
      <c r="N350" s="139" t="s">
        <v>359</v>
      </c>
      <c r="O350" s="139" t="s">
        <v>359</v>
      </c>
      <c r="P350" s="28">
        <v>26</v>
      </c>
      <c r="Q350" s="13" t="s">
        <v>54</v>
      </c>
      <c r="R350" s="13" t="s">
        <v>28</v>
      </c>
      <c r="S350" s="13"/>
      <c r="T350" s="13"/>
      <c r="U350" s="13" t="s">
        <v>1353</v>
      </c>
      <c r="V350" s="13" t="s">
        <v>1353</v>
      </c>
      <c r="W350" s="59">
        <f>+J350/$W$2</f>
        <v>2.2085833542595999E-2</v>
      </c>
    </row>
    <row r="351" spans="1:29">
      <c r="A351" s="13" t="s">
        <v>265</v>
      </c>
      <c r="B351" s="13" t="s">
        <v>538</v>
      </c>
      <c r="C351" s="139">
        <v>46205</v>
      </c>
      <c r="D351" s="139" t="s">
        <v>516</v>
      </c>
      <c r="E351" s="28">
        <v>0.97687615999999999</v>
      </c>
      <c r="F351" s="13"/>
      <c r="G351" s="18">
        <v>25000000</v>
      </c>
      <c r="H351" s="18">
        <v>24421904.079999998</v>
      </c>
      <c r="I351" s="18">
        <v>25000000</v>
      </c>
      <c r="J351" s="18">
        <v>24421904.079999998</v>
      </c>
      <c r="K351" s="15">
        <v>1173719</v>
      </c>
      <c r="L351" s="13" t="s">
        <v>102</v>
      </c>
      <c r="M351" s="13" t="s">
        <v>103</v>
      </c>
      <c r="N351" s="139" t="s">
        <v>363</v>
      </c>
      <c r="O351" s="139" t="s">
        <v>363</v>
      </c>
      <c r="P351" s="28">
        <v>36</v>
      </c>
      <c r="Q351" s="13" t="s">
        <v>54</v>
      </c>
      <c r="R351" s="13" t="s">
        <v>28</v>
      </c>
      <c r="S351" s="13"/>
      <c r="T351" s="13"/>
      <c r="U351" s="13" t="s">
        <v>738</v>
      </c>
      <c r="V351" s="13" t="s">
        <v>738</v>
      </c>
      <c r="W351" s="59">
        <f>+J351/$W$2</f>
        <v>5.4859921796105327E-4</v>
      </c>
      <c r="AC351" s="56"/>
    </row>
    <row r="352" spans="1:29">
      <c r="A352" s="13" t="s">
        <v>590</v>
      </c>
      <c r="B352" s="13" t="s">
        <v>538</v>
      </c>
      <c r="C352" s="139">
        <v>46205</v>
      </c>
      <c r="D352" s="139" t="s">
        <v>516</v>
      </c>
      <c r="E352" s="28">
        <v>0.97374883999999995</v>
      </c>
      <c r="F352" s="13"/>
      <c r="G352" s="18">
        <v>15909586.57</v>
      </c>
      <c r="H352" s="18">
        <v>15491941.48</v>
      </c>
      <c r="I352" s="18">
        <v>15909586.57</v>
      </c>
      <c r="J352" s="18">
        <v>15491941.48</v>
      </c>
      <c r="K352" s="15">
        <v>30497</v>
      </c>
      <c r="L352" s="13" t="s">
        <v>102</v>
      </c>
      <c r="M352" s="13" t="s">
        <v>103</v>
      </c>
      <c r="N352" s="139" t="s">
        <v>321</v>
      </c>
      <c r="O352" s="139" t="s">
        <v>321</v>
      </c>
      <c r="P352" s="28">
        <v>41</v>
      </c>
      <c r="Q352" s="13" t="s">
        <v>54</v>
      </c>
      <c r="R352" s="13" t="s">
        <v>28</v>
      </c>
      <c r="S352" s="13"/>
      <c r="T352" s="13"/>
      <c r="U352" s="13" t="s">
        <v>579</v>
      </c>
      <c r="V352" s="13" t="s">
        <v>579</v>
      </c>
      <c r="W352" s="59">
        <f>+J352/$W$2</f>
        <v>3.4800181643438848E-4</v>
      </c>
    </row>
    <row r="353" spans="1:23">
      <c r="A353" s="13" t="s">
        <v>590</v>
      </c>
      <c r="B353" s="13" t="s">
        <v>538</v>
      </c>
      <c r="C353" s="139">
        <v>46205</v>
      </c>
      <c r="D353" s="139" t="s">
        <v>516</v>
      </c>
      <c r="E353" s="28">
        <v>0.97374883999999995</v>
      </c>
      <c r="F353" s="13"/>
      <c r="G353" s="18">
        <v>14664256.859999999</v>
      </c>
      <c r="H353" s="18">
        <v>14279303.109999999</v>
      </c>
      <c r="I353" s="18">
        <v>14664256.859999999</v>
      </c>
      <c r="J353" s="18">
        <v>14279303.109999999</v>
      </c>
      <c r="K353" s="15">
        <v>30530</v>
      </c>
      <c r="L353" s="13" t="s">
        <v>102</v>
      </c>
      <c r="M353" s="13" t="s">
        <v>103</v>
      </c>
      <c r="N353" s="139" t="s">
        <v>321</v>
      </c>
      <c r="O353" s="139" t="s">
        <v>321</v>
      </c>
      <c r="P353" s="28">
        <v>41</v>
      </c>
      <c r="Q353" s="13" t="s">
        <v>54</v>
      </c>
      <c r="R353" s="13" t="s">
        <v>28</v>
      </c>
      <c r="S353" s="13"/>
      <c r="T353" s="13"/>
      <c r="U353" s="13" t="s">
        <v>583</v>
      </c>
      <c r="V353" s="13" t="s">
        <v>583</v>
      </c>
      <c r="W353" s="59">
        <f>+J353/$W$2</f>
        <v>3.2076182485664878E-4</v>
      </c>
    </row>
    <row r="354" spans="1:23">
      <c r="A354" s="13" t="s">
        <v>590</v>
      </c>
      <c r="B354" s="13" t="s">
        <v>538</v>
      </c>
      <c r="C354" s="139">
        <v>46205</v>
      </c>
      <c r="D354" s="139" t="s">
        <v>516</v>
      </c>
      <c r="E354" s="28">
        <v>0.97374888000000004</v>
      </c>
      <c r="F354" s="13"/>
      <c r="G354" s="18">
        <v>11785044.42</v>
      </c>
      <c r="H354" s="18">
        <v>11475673.800000001</v>
      </c>
      <c r="I354" s="18">
        <v>11785044.42</v>
      </c>
      <c r="J354" s="18">
        <v>11475673.800000001</v>
      </c>
      <c r="K354" s="15">
        <v>9344724</v>
      </c>
      <c r="L354" s="13" t="s">
        <v>102</v>
      </c>
      <c r="M354" s="13" t="s">
        <v>103</v>
      </c>
      <c r="N354" s="139" t="s">
        <v>231</v>
      </c>
      <c r="O354" s="139" t="s">
        <v>231</v>
      </c>
      <c r="P354" s="28">
        <v>41</v>
      </c>
      <c r="Q354" s="13" t="s">
        <v>54</v>
      </c>
      <c r="R354" s="13" t="s">
        <v>28</v>
      </c>
      <c r="S354" s="13"/>
      <c r="T354" s="13"/>
      <c r="U354" s="13" t="s">
        <v>663</v>
      </c>
      <c r="V354" s="13" t="s">
        <v>663</v>
      </c>
      <c r="W354" s="59">
        <f>+J354/$W$2</f>
        <v>2.577827532052181E-4</v>
      </c>
    </row>
    <row r="355" spans="1:23">
      <c r="A355" s="13" t="s">
        <v>1402</v>
      </c>
      <c r="B355" s="13" t="s">
        <v>538</v>
      </c>
      <c r="C355" s="139">
        <v>46205</v>
      </c>
      <c r="D355" s="139" t="s">
        <v>516</v>
      </c>
      <c r="E355" s="28">
        <v>0.98192197000000003</v>
      </c>
      <c r="F355" s="13"/>
      <c r="G355" s="18">
        <v>5000000</v>
      </c>
      <c r="H355" s="18">
        <v>4909609.8499999996</v>
      </c>
      <c r="I355" s="18">
        <v>5000000</v>
      </c>
      <c r="J355" s="18">
        <v>4909609.8499999996</v>
      </c>
      <c r="K355" s="15">
        <v>6034646</v>
      </c>
      <c r="L355" s="13" t="s">
        <v>102</v>
      </c>
      <c r="M355" s="13" t="s">
        <v>103</v>
      </c>
      <c r="N355" s="139" t="s">
        <v>379</v>
      </c>
      <c r="O355" s="139" t="s">
        <v>379</v>
      </c>
      <c r="P355" s="28">
        <v>28</v>
      </c>
      <c r="Q355" s="13" t="s">
        <v>54</v>
      </c>
      <c r="R355" s="13" t="s">
        <v>28</v>
      </c>
      <c r="S355" s="13"/>
      <c r="T355" s="13"/>
      <c r="U355" s="13" t="s">
        <v>1367</v>
      </c>
      <c r="V355" s="13" t="s">
        <v>1367</v>
      </c>
      <c r="W355" s="59">
        <f>+J355/$W$2</f>
        <v>1.1028657369961647E-4</v>
      </c>
    </row>
    <row r="356" spans="1:23">
      <c r="A356" s="13" t="s">
        <v>380</v>
      </c>
      <c r="B356" s="13" t="s">
        <v>538</v>
      </c>
      <c r="C356" s="139">
        <v>46206</v>
      </c>
      <c r="D356" s="139" t="s">
        <v>516</v>
      </c>
      <c r="E356" s="28">
        <v>0.97593585999999999</v>
      </c>
      <c r="F356" s="13"/>
      <c r="G356" s="18">
        <v>16500000</v>
      </c>
      <c r="H356" s="18">
        <v>16102941.710000001</v>
      </c>
      <c r="I356" s="18">
        <v>16500000</v>
      </c>
      <c r="J356" s="18">
        <v>16102941.710000001</v>
      </c>
      <c r="K356" s="15">
        <v>32225</v>
      </c>
      <c r="L356" s="13" t="s">
        <v>102</v>
      </c>
      <c r="M356" s="13" t="s">
        <v>103</v>
      </c>
      <c r="N356" s="139" t="s">
        <v>344</v>
      </c>
      <c r="O356" s="139" t="s">
        <v>344</v>
      </c>
      <c r="P356" s="28">
        <v>36</v>
      </c>
      <c r="Q356" s="13" t="s">
        <v>54</v>
      </c>
      <c r="R356" s="13" t="s">
        <v>28</v>
      </c>
      <c r="S356" s="13"/>
      <c r="T356" s="13"/>
      <c r="U356" s="13" t="s">
        <v>1119</v>
      </c>
      <c r="V356" s="13" t="s">
        <v>1119</v>
      </c>
      <c r="W356" s="59">
        <f>+J356/$W$2</f>
        <v>3.6172696445126764E-4</v>
      </c>
    </row>
    <row r="357" spans="1:23">
      <c r="A357" s="13" t="s">
        <v>1459</v>
      </c>
      <c r="B357" s="13" t="s">
        <v>538</v>
      </c>
      <c r="C357" s="139">
        <v>46206</v>
      </c>
      <c r="D357" s="139" t="s">
        <v>516</v>
      </c>
      <c r="E357" s="28">
        <v>0.97658873000000002</v>
      </c>
      <c r="F357" s="13"/>
      <c r="G357" s="18">
        <v>2000000</v>
      </c>
      <c r="H357" s="18">
        <v>1953177.45</v>
      </c>
      <c r="I357" s="18">
        <v>2000000</v>
      </c>
      <c r="J357" s="18">
        <v>1953177.45</v>
      </c>
      <c r="K357" s="15">
        <v>7744</v>
      </c>
      <c r="L357" s="13" t="s">
        <v>102</v>
      </c>
      <c r="M357" s="13" t="s">
        <v>103</v>
      </c>
      <c r="N357" s="139" t="s">
        <v>381</v>
      </c>
      <c r="O357" s="139" t="s">
        <v>381</v>
      </c>
      <c r="P357" s="28">
        <v>35</v>
      </c>
      <c r="Q357" s="13" t="s">
        <v>54</v>
      </c>
      <c r="R357" s="13" t="s">
        <v>28</v>
      </c>
      <c r="S357" s="13"/>
      <c r="T357" s="13"/>
      <c r="U357" s="13" t="s">
        <v>1449</v>
      </c>
      <c r="V357" s="13" t="s">
        <v>1449</v>
      </c>
      <c r="W357" s="59">
        <f>+J357/$W$2</f>
        <v>4.3875023753232443E-5</v>
      </c>
    </row>
    <row r="358" spans="1:23">
      <c r="A358" s="13" t="s">
        <v>1706</v>
      </c>
      <c r="B358" s="13" t="s">
        <v>538</v>
      </c>
      <c r="C358" s="139">
        <v>46206</v>
      </c>
      <c r="D358" s="139" t="s">
        <v>516</v>
      </c>
      <c r="E358" s="28">
        <v>0.97789704</v>
      </c>
      <c r="F358" s="13"/>
      <c r="G358" s="18">
        <v>9676723.3300000001</v>
      </c>
      <c r="H358" s="18">
        <v>9462839.0600000005</v>
      </c>
      <c r="I358" s="18">
        <v>9676723.3300000001</v>
      </c>
      <c r="J358" s="18">
        <v>9462839.0600000005</v>
      </c>
      <c r="K358" s="15">
        <v>263806</v>
      </c>
      <c r="L358" s="13" t="s">
        <v>102</v>
      </c>
      <c r="M358" s="13" t="s">
        <v>103</v>
      </c>
      <c r="N358" s="139" t="s">
        <v>514</v>
      </c>
      <c r="O358" s="139" t="s">
        <v>514</v>
      </c>
      <c r="P358" s="28">
        <v>33</v>
      </c>
      <c r="Q358" s="13" t="s">
        <v>54</v>
      </c>
      <c r="R358" s="13" t="s">
        <v>28</v>
      </c>
      <c r="S358" s="13"/>
      <c r="T358" s="13"/>
      <c r="U358" s="13" t="s">
        <v>1707</v>
      </c>
      <c r="V358" s="13" t="s">
        <v>1707</v>
      </c>
      <c r="W358" s="59">
        <f>+J358/$W$2</f>
        <v>2.1256762335163955E-4</v>
      </c>
    </row>
    <row r="359" spans="1:23">
      <c r="A359" s="13" t="s">
        <v>820</v>
      </c>
      <c r="B359" s="13" t="s">
        <v>538</v>
      </c>
      <c r="C359" s="139">
        <v>46206</v>
      </c>
      <c r="D359" s="139" t="s">
        <v>516</v>
      </c>
      <c r="E359" s="28">
        <v>0.97658869000000004</v>
      </c>
      <c r="F359" s="13"/>
      <c r="G359" s="18">
        <v>6238663.2000000002</v>
      </c>
      <c r="H359" s="18">
        <v>6092607.9500000002</v>
      </c>
      <c r="I359" s="18">
        <v>6238663.2000000002</v>
      </c>
      <c r="J359" s="18">
        <v>6092607.9500000002</v>
      </c>
      <c r="K359" s="15">
        <v>9266641</v>
      </c>
      <c r="L359" s="13" t="s">
        <v>102</v>
      </c>
      <c r="M359" s="13" t="s">
        <v>103</v>
      </c>
      <c r="N359" s="139" t="s">
        <v>364</v>
      </c>
      <c r="O359" s="139" t="s">
        <v>364</v>
      </c>
      <c r="P359" s="28">
        <v>35</v>
      </c>
      <c r="Q359" s="13" t="s">
        <v>54</v>
      </c>
      <c r="R359" s="13" t="s">
        <v>28</v>
      </c>
      <c r="S359" s="13"/>
      <c r="T359" s="13"/>
      <c r="U359" s="13" t="s">
        <v>793</v>
      </c>
      <c r="V359" s="13" t="s">
        <v>793</v>
      </c>
      <c r="W359" s="59">
        <f>+J359/$W$2</f>
        <v>1.3686074377183846E-4</v>
      </c>
    </row>
    <row r="360" spans="1:23">
      <c r="A360" s="13" t="s">
        <v>917</v>
      </c>
      <c r="B360" s="13" t="s">
        <v>538</v>
      </c>
      <c r="C360" s="139">
        <v>46206</v>
      </c>
      <c r="D360" s="139" t="s">
        <v>516</v>
      </c>
      <c r="E360" s="28">
        <v>0.97463288000000003</v>
      </c>
      <c r="F360" s="13"/>
      <c r="G360" s="18">
        <v>4298084.1900000004</v>
      </c>
      <c r="H360" s="18">
        <v>4189054.16</v>
      </c>
      <c r="I360" s="18">
        <v>4298084.1900000004</v>
      </c>
      <c r="J360" s="18">
        <v>4189054.16</v>
      </c>
      <c r="K360" s="15">
        <v>533</v>
      </c>
      <c r="L360" s="13" t="s">
        <v>102</v>
      </c>
      <c r="M360" s="13" t="s">
        <v>103</v>
      </c>
      <c r="N360" s="139" t="s">
        <v>344</v>
      </c>
      <c r="O360" s="139" t="s">
        <v>344</v>
      </c>
      <c r="P360" s="28">
        <v>38</v>
      </c>
      <c r="Q360" s="13" t="s">
        <v>54</v>
      </c>
      <c r="R360" s="13" t="s">
        <v>28</v>
      </c>
      <c r="S360" s="13"/>
      <c r="T360" s="13"/>
      <c r="U360" s="13" t="s">
        <v>1131</v>
      </c>
      <c r="V360" s="13" t="s">
        <v>1131</v>
      </c>
      <c r="W360" s="59">
        <f>+J360/$W$2</f>
        <v>9.4100436585307291E-5</v>
      </c>
    </row>
    <row r="361" spans="1:23">
      <c r="A361" s="13" t="s">
        <v>558</v>
      </c>
      <c r="B361" s="13" t="s">
        <v>538</v>
      </c>
      <c r="C361" s="139">
        <v>46206</v>
      </c>
      <c r="D361" s="139" t="s">
        <v>516</v>
      </c>
      <c r="E361" s="28">
        <v>0.97920868999999999</v>
      </c>
      <c r="F361" s="13"/>
      <c r="G361" s="18">
        <v>15000000</v>
      </c>
      <c r="H361" s="18">
        <v>14688130.35</v>
      </c>
      <c r="I361" s="18">
        <v>15000000</v>
      </c>
      <c r="J361" s="18">
        <v>14688130.35</v>
      </c>
      <c r="K361" s="15">
        <v>70219532</v>
      </c>
      <c r="L361" s="13" t="s">
        <v>102</v>
      </c>
      <c r="M361" s="13" t="s">
        <v>103</v>
      </c>
      <c r="N361" s="139" t="s">
        <v>343</v>
      </c>
      <c r="O361" s="139" t="s">
        <v>343</v>
      </c>
      <c r="P361" s="28">
        <v>31</v>
      </c>
      <c r="Q361" s="13" t="s">
        <v>54</v>
      </c>
      <c r="R361" s="13" t="s">
        <v>28</v>
      </c>
      <c r="S361" s="13"/>
      <c r="T361" s="13"/>
      <c r="U361" s="13" t="s">
        <v>1420</v>
      </c>
      <c r="V361" s="13" t="s">
        <v>1420</v>
      </c>
      <c r="W361" s="59">
        <f>+J361/$W$2</f>
        <v>3.2994547832652092E-4</v>
      </c>
    </row>
    <row r="362" spans="1:23">
      <c r="A362" s="13" t="s">
        <v>558</v>
      </c>
      <c r="B362" s="13" t="s">
        <v>538</v>
      </c>
      <c r="C362" s="139">
        <v>46206</v>
      </c>
      <c r="D362" s="139" t="s">
        <v>516</v>
      </c>
      <c r="E362" s="28">
        <v>0.97920863000000002</v>
      </c>
      <c r="F362" s="13"/>
      <c r="G362" s="18">
        <v>25000000</v>
      </c>
      <c r="H362" s="18">
        <v>24480215.870000001</v>
      </c>
      <c r="I362" s="18">
        <v>25000000</v>
      </c>
      <c r="J362" s="18">
        <v>24480215.870000001</v>
      </c>
      <c r="K362" s="15">
        <v>70219533</v>
      </c>
      <c r="L362" s="13" t="s">
        <v>102</v>
      </c>
      <c r="M362" s="13" t="s">
        <v>103</v>
      </c>
      <c r="N362" s="139" t="s">
        <v>473</v>
      </c>
      <c r="O362" s="139" t="s">
        <v>473</v>
      </c>
      <c r="P362" s="28">
        <v>31</v>
      </c>
      <c r="Q362" s="13" t="s">
        <v>54</v>
      </c>
      <c r="R362" s="13" t="s">
        <v>28</v>
      </c>
      <c r="S362" s="13"/>
      <c r="T362" s="13"/>
      <c r="U362" s="13" t="s">
        <v>1440</v>
      </c>
      <c r="V362" s="13" t="s">
        <v>1440</v>
      </c>
      <c r="W362" s="59">
        <f>+J362/$W$2</f>
        <v>5.4990909954469726E-4</v>
      </c>
    </row>
    <row r="363" spans="1:23">
      <c r="A363" s="13" t="s">
        <v>132</v>
      </c>
      <c r="B363" s="13" t="s">
        <v>538</v>
      </c>
      <c r="C363" s="139">
        <v>46206</v>
      </c>
      <c r="D363" s="139" t="s">
        <v>516</v>
      </c>
      <c r="E363" s="28">
        <v>0.97463292000000001</v>
      </c>
      <c r="F363" s="13"/>
      <c r="G363" s="18">
        <v>22500000</v>
      </c>
      <c r="H363" s="18">
        <v>21929240.789999999</v>
      </c>
      <c r="I363" s="18">
        <v>22500000</v>
      </c>
      <c r="J363" s="18">
        <v>21929240.789999999</v>
      </c>
      <c r="K363" s="15">
        <v>65800963</v>
      </c>
      <c r="L363" s="13" t="s">
        <v>102</v>
      </c>
      <c r="M363" s="13" t="s">
        <v>103</v>
      </c>
      <c r="N363" s="139" t="s">
        <v>246</v>
      </c>
      <c r="O363" s="139" t="s">
        <v>246</v>
      </c>
      <c r="P363" s="28">
        <v>38</v>
      </c>
      <c r="Q363" s="13" t="s">
        <v>54</v>
      </c>
      <c r="R363" s="13" t="s">
        <v>28</v>
      </c>
      <c r="S363" s="13"/>
      <c r="T363" s="13"/>
      <c r="U363" s="13" t="s">
        <v>563</v>
      </c>
      <c r="V363" s="13" t="s">
        <v>563</v>
      </c>
      <c r="W363" s="59">
        <f>+J363/$W$2</f>
        <v>4.9260550317719665E-4</v>
      </c>
    </row>
    <row r="364" spans="1:23">
      <c r="A364" s="13" t="s">
        <v>132</v>
      </c>
      <c r="B364" s="13" t="s">
        <v>130</v>
      </c>
      <c r="C364" s="139">
        <v>46206</v>
      </c>
      <c r="D364" s="139" t="s">
        <v>516</v>
      </c>
      <c r="E364" s="28">
        <v>0.99319749000000002</v>
      </c>
      <c r="F364" s="13" t="s">
        <v>2102</v>
      </c>
      <c r="G364" s="18">
        <v>50000</v>
      </c>
      <c r="H364" s="18">
        <v>49659.87</v>
      </c>
      <c r="I364" s="18">
        <v>72269885.819999993</v>
      </c>
      <c r="J364" s="18">
        <v>71778262.689999998</v>
      </c>
      <c r="K364" s="15">
        <v>142720</v>
      </c>
      <c r="L364" s="13" t="s">
        <v>102</v>
      </c>
      <c r="M364" s="13" t="s">
        <v>103</v>
      </c>
      <c r="N364" s="139" t="s">
        <v>311</v>
      </c>
      <c r="O364" s="139" t="s">
        <v>311</v>
      </c>
      <c r="P364" s="28">
        <v>10</v>
      </c>
      <c r="Q364" s="13" t="s">
        <v>54</v>
      </c>
      <c r="R364" s="13" t="s">
        <v>28</v>
      </c>
      <c r="S364" s="13"/>
      <c r="T364" s="13"/>
      <c r="U364" s="13" t="s">
        <v>536</v>
      </c>
      <c r="V364" s="13" t="s">
        <v>536</v>
      </c>
      <c r="W364" s="59">
        <f>+J364/$W$2</f>
        <v>1.6123844663932139E-3</v>
      </c>
    </row>
    <row r="365" spans="1:23">
      <c r="A365" s="13" t="s">
        <v>129</v>
      </c>
      <c r="B365" s="13" t="s">
        <v>130</v>
      </c>
      <c r="C365" s="139">
        <v>46206</v>
      </c>
      <c r="D365" s="139" t="s">
        <v>516</v>
      </c>
      <c r="E365" s="28">
        <v>0.99319731</v>
      </c>
      <c r="F365" s="13" t="s">
        <v>2102</v>
      </c>
      <c r="G365" s="18">
        <v>50000</v>
      </c>
      <c r="H365" s="18">
        <v>49659.87</v>
      </c>
      <c r="I365" s="18">
        <v>72269885.819999993</v>
      </c>
      <c r="J365" s="18">
        <v>71778262.689999998</v>
      </c>
      <c r="K365" s="15">
        <v>141980</v>
      </c>
      <c r="L365" s="13" t="s">
        <v>102</v>
      </c>
      <c r="M365" s="13" t="s">
        <v>103</v>
      </c>
      <c r="N365" s="139" t="s">
        <v>259</v>
      </c>
      <c r="O365" s="139" t="s">
        <v>259</v>
      </c>
      <c r="P365" s="28">
        <v>10</v>
      </c>
      <c r="Q365" s="13" t="s">
        <v>54</v>
      </c>
      <c r="R365" s="13" t="s">
        <v>28</v>
      </c>
      <c r="S365" s="13"/>
      <c r="T365" s="13"/>
      <c r="U365" s="13" t="s">
        <v>476</v>
      </c>
      <c r="V365" s="13" t="s">
        <v>476</v>
      </c>
      <c r="W365" s="59">
        <f>+J365/$W$2</f>
        <v>1.6123844663932139E-3</v>
      </c>
    </row>
    <row r="366" spans="1:23">
      <c r="A366" s="13" t="s">
        <v>129</v>
      </c>
      <c r="B366" s="13" t="s">
        <v>130</v>
      </c>
      <c r="C366" s="139">
        <v>46206</v>
      </c>
      <c r="D366" s="139" t="s">
        <v>516</v>
      </c>
      <c r="E366" s="28">
        <v>0.99387353000000001</v>
      </c>
      <c r="F366" s="13" t="s">
        <v>2102</v>
      </c>
      <c r="G366" s="18">
        <v>50000</v>
      </c>
      <c r="H366" s="18">
        <v>49693.68</v>
      </c>
      <c r="I366" s="18">
        <v>72269885.819999993</v>
      </c>
      <c r="J366" s="18">
        <v>71827131.590000004</v>
      </c>
      <c r="K366" s="15">
        <v>144915</v>
      </c>
      <c r="L366" s="13" t="s">
        <v>102</v>
      </c>
      <c r="M366" s="13" t="s">
        <v>103</v>
      </c>
      <c r="N366" s="139" t="s">
        <v>231</v>
      </c>
      <c r="O366" s="139" t="s">
        <v>231</v>
      </c>
      <c r="P366" s="28">
        <v>9</v>
      </c>
      <c r="Q366" s="13" t="s">
        <v>54</v>
      </c>
      <c r="R366" s="13" t="s">
        <v>28</v>
      </c>
      <c r="S366" s="13"/>
      <c r="T366" s="13"/>
      <c r="U366" s="13" t="s">
        <v>691</v>
      </c>
      <c r="V366" s="13" t="s">
        <v>691</v>
      </c>
      <c r="W366" s="59">
        <f>+J366/$W$2</f>
        <v>1.6134822284773985E-3</v>
      </c>
    </row>
    <row r="367" spans="1:23">
      <c r="A367" s="13" t="s">
        <v>1181</v>
      </c>
      <c r="B367" s="13" t="s">
        <v>130</v>
      </c>
      <c r="C367" s="139">
        <v>46206</v>
      </c>
      <c r="D367" s="139" t="s">
        <v>516</v>
      </c>
      <c r="E367" s="28">
        <v>0.99319721999999999</v>
      </c>
      <c r="F367" s="13" t="s">
        <v>2102</v>
      </c>
      <c r="G367" s="18">
        <v>100000</v>
      </c>
      <c r="H367" s="18">
        <v>99319.72</v>
      </c>
      <c r="I367" s="18">
        <v>144539771.63999999</v>
      </c>
      <c r="J367" s="18">
        <v>143556496.47999999</v>
      </c>
      <c r="K367" s="15">
        <v>150423</v>
      </c>
      <c r="L367" s="13" t="s">
        <v>102</v>
      </c>
      <c r="M367" s="13" t="s">
        <v>103</v>
      </c>
      <c r="N367" s="139" t="s">
        <v>390</v>
      </c>
      <c r="O367" s="139" t="s">
        <v>390</v>
      </c>
      <c r="P367" s="28">
        <v>10</v>
      </c>
      <c r="Q367" s="13" t="s">
        <v>54</v>
      </c>
      <c r="R367" s="13" t="s">
        <v>28</v>
      </c>
      <c r="S367" s="13"/>
      <c r="T367" s="13"/>
      <c r="U367" s="13" t="s">
        <v>1569</v>
      </c>
      <c r="V367" s="13" t="s">
        <v>1569</v>
      </c>
      <c r="W367" s="59">
        <f>+J367/$W$2</f>
        <v>3.2247682835939099E-3</v>
      </c>
    </row>
    <row r="368" spans="1:23">
      <c r="A368" s="13" t="s">
        <v>1181</v>
      </c>
      <c r="B368" s="13" t="s">
        <v>130</v>
      </c>
      <c r="C368" s="139">
        <v>46206</v>
      </c>
      <c r="D368" s="139" t="s">
        <v>516</v>
      </c>
      <c r="E368" s="28">
        <v>0.99319767000000003</v>
      </c>
      <c r="F368" s="13" t="s">
        <v>2102</v>
      </c>
      <c r="G368" s="18">
        <v>25000</v>
      </c>
      <c r="H368" s="18">
        <v>24829.94</v>
      </c>
      <c r="I368" s="18">
        <v>36134942.909999996</v>
      </c>
      <c r="J368" s="18">
        <v>35889138.57</v>
      </c>
      <c r="K368" s="15">
        <v>150610</v>
      </c>
      <c r="L368" s="13" t="s">
        <v>102</v>
      </c>
      <c r="M368" s="13" t="s">
        <v>103</v>
      </c>
      <c r="N368" s="139" t="s">
        <v>163</v>
      </c>
      <c r="O368" s="139" t="s">
        <v>163</v>
      </c>
      <c r="P368" s="28">
        <v>10</v>
      </c>
      <c r="Q368" s="13" t="s">
        <v>54</v>
      </c>
      <c r="R368" s="13" t="s">
        <v>28</v>
      </c>
      <c r="S368" s="13"/>
      <c r="T368" s="13"/>
      <c r="U368" s="13" t="s">
        <v>1599</v>
      </c>
      <c r="V368" s="13" t="s">
        <v>1599</v>
      </c>
      <c r="W368" s="59">
        <f>+J368/$W$2</f>
        <v>8.0619239549473642E-4</v>
      </c>
    </row>
    <row r="369" spans="1:29">
      <c r="A369" s="13" t="s">
        <v>639</v>
      </c>
      <c r="B369" s="13" t="s">
        <v>538</v>
      </c>
      <c r="C369" s="139">
        <v>46206</v>
      </c>
      <c r="D369" s="139" t="s">
        <v>516</v>
      </c>
      <c r="E369" s="28">
        <v>0.98052386000000002</v>
      </c>
      <c r="F369" s="13"/>
      <c r="G369" s="18">
        <v>15000000</v>
      </c>
      <c r="H369" s="18">
        <v>14707857.9</v>
      </c>
      <c r="I369" s="18">
        <v>15000000</v>
      </c>
      <c r="J369" s="18">
        <v>14707857.9</v>
      </c>
      <c r="K369" s="15">
        <v>801</v>
      </c>
      <c r="L369" s="13" t="s">
        <v>102</v>
      </c>
      <c r="M369" s="13" t="s">
        <v>103</v>
      </c>
      <c r="N369" s="139" t="s">
        <v>155</v>
      </c>
      <c r="O369" s="139" t="s">
        <v>155</v>
      </c>
      <c r="P369" s="28">
        <v>29</v>
      </c>
      <c r="Q369" s="13" t="s">
        <v>54</v>
      </c>
      <c r="R369" s="13" t="s">
        <v>28</v>
      </c>
      <c r="S369" s="13"/>
      <c r="T369" s="13"/>
      <c r="U369" s="13" t="s">
        <v>600</v>
      </c>
      <c r="V369" s="13" t="s">
        <v>600</v>
      </c>
      <c r="W369" s="59">
        <f>+J369/$W$2</f>
        <v>3.3038862634916631E-4</v>
      </c>
    </row>
    <row r="370" spans="1:29">
      <c r="A370" s="13" t="s">
        <v>639</v>
      </c>
      <c r="B370" s="13" t="s">
        <v>538</v>
      </c>
      <c r="C370" s="139">
        <v>46206</v>
      </c>
      <c r="D370" s="139" t="s">
        <v>516</v>
      </c>
      <c r="E370" s="28">
        <v>0.98052386000000002</v>
      </c>
      <c r="F370" s="13"/>
      <c r="G370" s="18">
        <v>12500000</v>
      </c>
      <c r="H370" s="18">
        <v>12256548.25</v>
      </c>
      <c r="I370" s="18">
        <v>12500000</v>
      </c>
      <c r="J370" s="18">
        <v>12256548.25</v>
      </c>
      <c r="K370" s="15">
        <v>28996520</v>
      </c>
      <c r="L370" s="13" t="s">
        <v>102</v>
      </c>
      <c r="M370" s="13" t="s">
        <v>103</v>
      </c>
      <c r="N370" s="139" t="s">
        <v>155</v>
      </c>
      <c r="O370" s="139" t="s">
        <v>155</v>
      </c>
      <c r="P370" s="28">
        <v>29</v>
      </c>
      <c r="Q370" s="13" t="s">
        <v>54</v>
      </c>
      <c r="R370" s="13" t="s">
        <v>28</v>
      </c>
      <c r="S370" s="13"/>
      <c r="T370" s="13"/>
      <c r="U370" s="13" t="s">
        <v>605</v>
      </c>
      <c r="V370" s="13" t="s">
        <v>605</v>
      </c>
      <c r="W370" s="59">
        <f>+J370/$W$2</f>
        <v>2.7532385529097195E-4</v>
      </c>
      <c r="AC370" s="56"/>
    </row>
    <row r="371" spans="1:29">
      <c r="A371" s="13" t="s">
        <v>150</v>
      </c>
      <c r="B371" s="13" t="s">
        <v>538</v>
      </c>
      <c r="C371" s="139">
        <v>46206</v>
      </c>
      <c r="D371" s="139" t="s">
        <v>516</v>
      </c>
      <c r="E371" s="28">
        <v>0.98118285000000005</v>
      </c>
      <c r="F371" s="13"/>
      <c r="G371" s="18">
        <v>500000000</v>
      </c>
      <c r="H371" s="18">
        <v>490591423.89999998</v>
      </c>
      <c r="I371" s="18">
        <v>500000000</v>
      </c>
      <c r="J371" s="18">
        <v>490591423.89999998</v>
      </c>
      <c r="K371" s="15">
        <v>147165</v>
      </c>
      <c r="L371" s="13" t="s">
        <v>102</v>
      </c>
      <c r="M371" s="13" t="s">
        <v>103</v>
      </c>
      <c r="N371" s="139" t="s">
        <v>431</v>
      </c>
      <c r="O371" s="139" t="s">
        <v>431</v>
      </c>
      <c r="P371" s="28">
        <v>28</v>
      </c>
      <c r="Q371" s="13" t="s">
        <v>54</v>
      </c>
      <c r="R371" s="13" t="s">
        <v>28</v>
      </c>
      <c r="S371" s="13"/>
      <c r="T371" s="13"/>
      <c r="U371" s="13" t="s">
        <v>1175</v>
      </c>
      <c r="V371" s="13" t="s">
        <v>1175</v>
      </c>
      <c r="W371" s="59">
        <f>+J371/$W$2</f>
        <v>1.1020355767851316E-2</v>
      </c>
      <c r="AC371" s="56"/>
    </row>
    <row r="372" spans="1:29">
      <c r="A372" s="13" t="s">
        <v>141</v>
      </c>
      <c r="B372" s="13" t="s">
        <v>538</v>
      </c>
      <c r="C372" s="139">
        <v>46206</v>
      </c>
      <c r="D372" s="139" t="s">
        <v>516</v>
      </c>
      <c r="E372" s="28">
        <v>0.97528391999999997</v>
      </c>
      <c r="F372" s="13"/>
      <c r="G372" s="18">
        <v>100000000</v>
      </c>
      <c r="H372" s="18">
        <v>97528392.390000001</v>
      </c>
      <c r="I372" s="18">
        <v>100000000</v>
      </c>
      <c r="J372" s="18">
        <v>97528392.390000001</v>
      </c>
      <c r="K372" s="15">
        <v>7353</v>
      </c>
      <c r="L372" s="13" t="s">
        <v>102</v>
      </c>
      <c r="M372" s="13" t="s">
        <v>103</v>
      </c>
      <c r="N372" s="139" t="s">
        <v>155</v>
      </c>
      <c r="O372" s="139" t="s">
        <v>155</v>
      </c>
      <c r="P372" s="28">
        <v>37</v>
      </c>
      <c r="Q372" s="13" t="s">
        <v>54</v>
      </c>
      <c r="R372" s="13" t="s">
        <v>28</v>
      </c>
      <c r="S372" s="13"/>
      <c r="T372" s="13"/>
      <c r="U372" s="13" t="s">
        <v>599</v>
      </c>
      <c r="V372" s="13" t="s">
        <v>599</v>
      </c>
      <c r="W372" s="59">
        <f>+J372/$W$2</f>
        <v>2.1908201595947285E-3</v>
      </c>
    </row>
    <row r="373" spans="1:29">
      <c r="A373" s="13" t="s">
        <v>739</v>
      </c>
      <c r="B373" s="13" t="s">
        <v>538</v>
      </c>
      <c r="C373" s="139">
        <v>46206</v>
      </c>
      <c r="D373" s="139" t="s">
        <v>516</v>
      </c>
      <c r="E373" s="28">
        <v>0.98582044999999996</v>
      </c>
      <c r="F373" s="13"/>
      <c r="G373" s="18">
        <v>8168237.8700000001</v>
      </c>
      <c r="H373" s="18">
        <v>8052415.9400000004</v>
      </c>
      <c r="I373" s="18">
        <v>8168237.8700000001</v>
      </c>
      <c r="J373" s="18">
        <v>8052415.9400000004</v>
      </c>
      <c r="K373" s="15">
        <v>40012237</v>
      </c>
      <c r="L373" s="13" t="s">
        <v>102</v>
      </c>
      <c r="M373" s="13" t="s">
        <v>103</v>
      </c>
      <c r="N373" s="139" t="s">
        <v>371</v>
      </c>
      <c r="O373" s="139" t="s">
        <v>371</v>
      </c>
      <c r="P373" s="28">
        <v>21</v>
      </c>
      <c r="Q373" s="13" t="s">
        <v>54</v>
      </c>
      <c r="R373" s="13" t="s">
        <v>28</v>
      </c>
      <c r="S373" s="13"/>
      <c r="T373" s="13"/>
      <c r="U373" s="13" t="s">
        <v>1646</v>
      </c>
      <c r="V373" s="13" t="s">
        <v>1646</v>
      </c>
      <c r="W373" s="59">
        <f>+J373/$W$2</f>
        <v>1.8088471205645324E-4</v>
      </c>
    </row>
    <row r="374" spans="1:29">
      <c r="A374" s="13" t="s">
        <v>993</v>
      </c>
      <c r="B374" s="13" t="s">
        <v>538</v>
      </c>
      <c r="C374" s="139">
        <v>46206</v>
      </c>
      <c r="D374" s="139" t="s">
        <v>516</v>
      </c>
      <c r="E374" s="28">
        <v>0.98052388999999995</v>
      </c>
      <c r="F374" s="13"/>
      <c r="G374" s="18">
        <v>5000000</v>
      </c>
      <c r="H374" s="18">
        <v>4902619.46</v>
      </c>
      <c r="I374" s="18">
        <v>5000000</v>
      </c>
      <c r="J374" s="18">
        <v>4902619.46</v>
      </c>
      <c r="K374" s="15">
        <v>16779597</v>
      </c>
      <c r="L374" s="13" t="s">
        <v>102</v>
      </c>
      <c r="M374" s="13" t="s">
        <v>103</v>
      </c>
      <c r="N374" s="139" t="s">
        <v>359</v>
      </c>
      <c r="O374" s="139" t="s">
        <v>359</v>
      </c>
      <c r="P374" s="28">
        <v>29</v>
      </c>
      <c r="Q374" s="13" t="s">
        <v>54</v>
      </c>
      <c r="R374" s="13" t="s">
        <v>28</v>
      </c>
      <c r="S374" s="13"/>
      <c r="T374" s="13"/>
      <c r="U374" s="13" t="s">
        <v>1313</v>
      </c>
      <c r="V374" s="13" t="s">
        <v>1313</v>
      </c>
      <c r="W374" s="59">
        <f>+J374/$W$2</f>
        <v>1.101295457105342E-4</v>
      </c>
      <c r="AC374" s="56"/>
    </row>
    <row r="375" spans="1:29">
      <c r="A375" s="13" t="s">
        <v>339</v>
      </c>
      <c r="B375" s="13" t="s">
        <v>538</v>
      </c>
      <c r="C375" s="139">
        <v>46206</v>
      </c>
      <c r="D375" s="139" t="s">
        <v>516</v>
      </c>
      <c r="E375" s="28">
        <v>0.98184269999999996</v>
      </c>
      <c r="F375" s="13"/>
      <c r="G375" s="18">
        <v>10000000</v>
      </c>
      <c r="H375" s="18">
        <v>9818426.9800000004</v>
      </c>
      <c r="I375" s="18">
        <v>10000000</v>
      </c>
      <c r="J375" s="18">
        <v>9818426.9800000004</v>
      </c>
      <c r="K375" s="15">
        <v>32529</v>
      </c>
      <c r="L375" s="13" t="s">
        <v>102</v>
      </c>
      <c r="M375" s="13" t="s">
        <v>103</v>
      </c>
      <c r="N375" s="139" t="s">
        <v>395</v>
      </c>
      <c r="O375" s="139" t="s">
        <v>395</v>
      </c>
      <c r="P375" s="28">
        <v>27</v>
      </c>
      <c r="Q375" s="13" t="s">
        <v>54</v>
      </c>
      <c r="R375" s="13" t="s">
        <v>28</v>
      </c>
      <c r="S375" s="13"/>
      <c r="T375" s="13"/>
      <c r="U375" s="13" t="s">
        <v>1253</v>
      </c>
      <c r="V375" s="13" t="s">
        <v>1253</v>
      </c>
      <c r="W375" s="59">
        <f>+J375/$W$2</f>
        <v>2.2055534020571369E-4</v>
      </c>
    </row>
    <row r="376" spans="1:29">
      <c r="A376" s="13" t="s">
        <v>362</v>
      </c>
      <c r="B376" s="13" t="s">
        <v>538</v>
      </c>
      <c r="C376" s="139">
        <v>46206</v>
      </c>
      <c r="D376" s="139" t="s">
        <v>516</v>
      </c>
      <c r="E376" s="28">
        <v>0.97986583000000005</v>
      </c>
      <c r="F376" s="13"/>
      <c r="G376" s="18">
        <v>1000000000</v>
      </c>
      <c r="H376" s="18">
        <v>979865827.70000005</v>
      </c>
      <c r="I376" s="18">
        <v>1000000000</v>
      </c>
      <c r="J376" s="18">
        <v>979865827.70000005</v>
      </c>
      <c r="K376" s="15">
        <v>147160</v>
      </c>
      <c r="L376" s="13" t="s">
        <v>102</v>
      </c>
      <c r="M376" s="13" t="s">
        <v>103</v>
      </c>
      <c r="N376" s="139" t="s">
        <v>431</v>
      </c>
      <c r="O376" s="139" t="s">
        <v>431</v>
      </c>
      <c r="P376" s="28">
        <v>30</v>
      </c>
      <c r="Q376" s="13" t="s">
        <v>54</v>
      </c>
      <c r="R376" s="13" t="s">
        <v>28</v>
      </c>
      <c r="S376" s="13"/>
      <c r="T376" s="13"/>
      <c r="U376" s="13" t="s">
        <v>1174</v>
      </c>
      <c r="V376" s="13" t="s">
        <v>1174</v>
      </c>
      <c r="W376" s="59">
        <f>+J376/$W$2</f>
        <v>2.2011126774640098E-2</v>
      </c>
    </row>
    <row r="377" spans="1:29">
      <c r="A377" s="13" t="s">
        <v>198</v>
      </c>
      <c r="B377" s="13" t="s">
        <v>538</v>
      </c>
      <c r="C377" s="139">
        <v>46206</v>
      </c>
      <c r="D377" s="139" t="s">
        <v>516</v>
      </c>
      <c r="E377" s="28">
        <v>0.98648654999999996</v>
      </c>
      <c r="F377" s="13"/>
      <c r="G377" s="18">
        <v>2500000</v>
      </c>
      <c r="H377" s="18">
        <v>2466216.37</v>
      </c>
      <c r="I377" s="18">
        <v>2500000</v>
      </c>
      <c r="J377" s="18">
        <v>2466216.37</v>
      </c>
      <c r="K377" s="15">
        <v>6119</v>
      </c>
      <c r="L377" s="13" t="s">
        <v>102</v>
      </c>
      <c r="M377" s="13" t="s">
        <v>103</v>
      </c>
      <c r="N377" s="139" t="s">
        <v>335</v>
      </c>
      <c r="O377" s="139" t="s">
        <v>335</v>
      </c>
      <c r="P377" s="28">
        <v>20</v>
      </c>
      <c r="Q377" s="13" t="s">
        <v>54</v>
      </c>
      <c r="R377" s="13" t="s">
        <v>28</v>
      </c>
      <c r="S377" s="13"/>
      <c r="T377" s="13"/>
      <c r="U377" s="13" t="s">
        <v>1752</v>
      </c>
      <c r="V377" s="13" t="s">
        <v>1752</v>
      </c>
      <c r="W377" s="59">
        <f>+J377/$W$2</f>
        <v>5.53996268052146E-5</v>
      </c>
    </row>
    <row r="378" spans="1:29">
      <c r="A378" s="13" t="s">
        <v>1459</v>
      </c>
      <c r="B378" s="13" t="s">
        <v>538</v>
      </c>
      <c r="C378" s="139">
        <v>46209</v>
      </c>
      <c r="D378" s="139" t="s">
        <v>516</v>
      </c>
      <c r="E378" s="28">
        <v>0.97385286000000004</v>
      </c>
      <c r="F378" s="13"/>
      <c r="G378" s="18">
        <v>2000000</v>
      </c>
      <c r="H378" s="18">
        <v>1947705.71</v>
      </c>
      <c r="I378" s="18">
        <v>2000000</v>
      </c>
      <c r="J378" s="18">
        <v>1947705.71</v>
      </c>
      <c r="K378" s="15">
        <v>7745</v>
      </c>
      <c r="L378" s="13" t="s">
        <v>102</v>
      </c>
      <c r="M378" s="13" t="s">
        <v>103</v>
      </c>
      <c r="N378" s="139" t="s">
        <v>381</v>
      </c>
      <c r="O378" s="139" t="s">
        <v>381</v>
      </c>
      <c r="P378" s="28">
        <v>35</v>
      </c>
      <c r="Q378" s="13" t="s">
        <v>54</v>
      </c>
      <c r="R378" s="13" t="s">
        <v>28</v>
      </c>
      <c r="S378" s="13"/>
      <c r="T378" s="13"/>
      <c r="U378" s="13" t="s">
        <v>1450</v>
      </c>
      <c r="V378" s="13" t="s">
        <v>1450</v>
      </c>
      <c r="W378" s="59">
        <f>+J378/$W$2</f>
        <v>4.3752109820106958E-5</v>
      </c>
    </row>
    <row r="379" spans="1:29">
      <c r="A379" s="13" t="s">
        <v>558</v>
      </c>
      <c r="B379" s="13" t="s">
        <v>538</v>
      </c>
      <c r="C379" s="139">
        <v>46209</v>
      </c>
      <c r="D379" s="139" t="s">
        <v>516</v>
      </c>
      <c r="E379" s="28">
        <v>0.97677157000000003</v>
      </c>
      <c r="F379" s="13"/>
      <c r="G379" s="18">
        <v>42000000</v>
      </c>
      <c r="H379" s="18">
        <v>41024405.969999999</v>
      </c>
      <c r="I379" s="18">
        <v>42000000</v>
      </c>
      <c r="J379" s="18">
        <v>41024405.969999999</v>
      </c>
      <c r="K379" s="15">
        <v>148257</v>
      </c>
      <c r="L379" s="13" t="s">
        <v>102</v>
      </c>
      <c r="M379" s="13" t="s">
        <v>103</v>
      </c>
      <c r="N379" s="139" t="s">
        <v>343</v>
      </c>
      <c r="O379" s="139" t="s">
        <v>343</v>
      </c>
      <c r="P379" s="28">
        <v>31</v>
      </c>
      <c r="Q379" s="13" t="s">
        <v>54</v>
      </c>
      <c r="R379" s="13" t="s">
        <v>28</v>
      </c>
      <c r="S379" s="13"/>
      <c r="T379" s="13"/>
      <c r="U379" s="13" t="s">
        <v>1419</v>
      </c>
      <c r="V379" s="13" t="s">
        <v>1419</v>
      </c>
      <c r="W379" s="59">
        <f>+J379/$W$2</f>
        <v>9.2154800701595282E-4</v>
      </c>
    </row>
    <row r="380" spans="1:29">
      <c r="A380" s="13" t="s">
        <v>1054</v>
      </c>
      <c r="B380" s="13" t="s">
        <v>538</v>
      </c>
      <c r="C380" s="139">
        <v>46209</v>
      </c>
      <c r="D380" s="139" t="s">
        <v>516</v>
      </c>
      <c r="E380" s="28">
        <v>0.98044483999999998</v>
      </c>
      <c r="F380" s="13"/>
      <c r="G380" s="18">
        <v>10000000</v>
      </c>
      <c r="H380" s="18">
        <v>9804448.4299999997</v>
      </c>
      <c r="I380" s="18">
        <v>10000000</v>
      </c>
      <c r="J380" s="18">
        <v>9804448.4299999997</v>
      </c>
      <c r="K380" s="15">
        <v>1742541</v>
      </c>
      <c r="L380" s="13" t="s">
        <v>102</v>
      </c>
      <c r="M380" s="13" t="s">
        <v>103</v>
      </c>
      <c r="N380" s="139" t="s">
        <v>366</v>
      </c>
      <c r="O380" s="139" t="s">
        <v>366</v>
      </c>
      <c r="P380" s="28">
        <v>26</v>
      </c>
      <c r="Q380" s="13" t="s">
        <v>54</v>
      </c>
      <c r="R380" s="13" t="s">
        <v>28</v>
      </c>
      <c r="S380" s="13"/>
      <c r="T380" s="13"/>
      <c r="U380" s="13" t="s">
        <v>1028</v>
      </c>
      <c r="V380" s="13" t="s">
        <v>1028</v>
      </c>
      <c r="W380" s="59">
        <f>+J380/$W$2</f>
        <v>2.20241334320951E-4</v>
      </c>
    </row>
    <row r="381" spans="1:29">
      <c r="A381" s="13" t="s">
        <v>639</v>
      </c>
      <c r="B381" s="13" t="s">
        <v>538</v>
      </c>
      <c r="C381" s="139">
        <v>46209</v>
      </c>
      <c r="D381" s="139" t="s">
        <v>516</v>
      </c>
      <c r="E381" s="28">
        <v>0.97823760000000004</v>
      </c>
      <c r="F381" s="13"/>
      <c r="G381" s="18">
        <v>15000000</v>
      </c>
      <c r="H381" s="18">
        <v>14673563.970000001</v>
      </c>
      <c r="I381" s="18">
        <v>15000000</v>
      </c>
      <c r="J381" s="18">
        <v>14673563.970000001</v>
      </c>
      <c r="K381" s="15">
        <v>802</v>
      </c>
      <c r="L381" s="13" t="s">
        <v>102</v>
      </c>
      <c r="M381" s="13" t="s">
        <v>103</v>
      </c>
      <c r="N381" s="139" t="s">
        <v>155</v>
      </c>
      <c r="O381" s="139" t="s">
        <v>155</v>
      </c>
      <c r="P381" s="28">
        <v>29</v>
      </c>
      <c r="Q381" s="13" t="s">
        <v>54</v>
      </c>
      <c r="R381" s="13" t="s">
        <v>28</v>
      </c>
      <c r="S381" s="13"/>
      <c r="T381" s="13"/>
      <c r="U381" s="13" t="s">
        <v>601</v>
      </c>
      <c r="V381" s="13" t="s">
        <v>601</v>
      </c>
      <c r="W381" s="59">
        <f>+J381/$W$2</f>
        <v>3.2961826777609264E-4</v>
      </c>
    </row>
    <row r="382" spans="1:29">
      <c r="A382" s="13" t="s">
        <v>1357</v>
      </c>
      <c r="B382" s="13" t="s">
        <v>538</v>
      </c>
      <c r="C382" s="139">
        <v>46209</v>
      </c>
      <c r="D382" s="139" t="s">
        <v>516</v>
      </c>
      <c r="E382" s="28">
        <v>0.98044489000000001</v>
      </c>
      <c r="F382" s="13"/>
      <c r="G382" s="18">
        <v>1000000000</v>
      </c>
      <c r="H382" s="18">
        <v>980444893.60000002</v>
      </c>
      <c r="I382" s="18">
        <v>1000000000</v>
      </c>
      <c r="J382" s="18">
        <v>980444893.60000002</v>
      </c>
      <c r="K382" s="15">
        <v>10453</v>
      </c>
      <c r="L382" s="13" t="s">
        <v>102</v>
      </c>
      <c r="M382" s="13" t="s">
        <v>103</v>
      </c>
      <c r="N382" s="139" t="s">
        <v>359</v>
      </c>
      <c r="O382" s="139" t="s">
        <v>359</v>
      </c>
      <c r="P382" s="28">
        <v>26</v>
      </c>
      <c r="Q382" s="13" t="s">
        <v>54</v>
      </c>
      <c r="R382" s="13" t="s">
        <v>28</v>
      </c>
      <c r="S382" s="13"/>
      <c r="T382" s="13"/>
      <c r="U382" s="13" t="s">
        <v>1352</v>
      </c>
      <c r="V382" s="13" t="s">
        <v>1352</v>
      </c>
      <c r="W382" s="59">
        <f>+J382/$W$2</f>
        <v>2.2024134568743591E-2</v>
      </c>
    </row>
    <row r="383" spans="1:29">
      <c r="A383" s="13" t="s">
        <v>357</v>
      </c>
      <c r="B383" s="13" t="s">
        <v>538</v>
      </c>
      <c r="C383" s="139">
        <v>46209</v>
      </c>
      <c r="D383" s="139" t="s">
        <v>516</v>
      </c>
      <c r="E383" s="28">
        <v>0.97312591000000004</v>
      </c>
      <c r="F383" s="13"/>
      <c r="G383" s="18">
        <v>3000000</v>
      </c>
      <c r="H383" s="18">
        <v>2919377.74</v>
      </c>
      <c r="I383" s="18">
        <v>3000000</v>
      </c>
      <c r="J383" s="18">
        <v>2919377.74</v>
      </c>
      <c r="K383" s="15">
        <v>40743051</v>
      </c>
      <c r="L383" s="13" t="s">
        <v>102</v>
      </c>
      <c r="M383" s="13" t="s">
        <v>103</v>
      </c>
      <c r="N383" s="139" t="s">
        <v>391</v>
      </c>
      <c r="O383" s="139" t="s">
        <v>391</v>
      </c>
      <c r="P383" s="28">
        <v>36</v>
      </c>
      <c r="Q383" s="13" t="s">
        <v>54</v>
      </c>
      <c r="R383" s="13" t="s">
        <v>28</v>
      </c>
      <c r="S383" s="13"/>
      <c r="T383" s="13"/>
      <c r="U383" s="13" t="s">
        <v>1662</v>
      </c>
      <c r="V383" s="13" t="s">
        <v>1662</v>
      </c>
      <c r="W383" s="59">
        <f>+J383/$W$2</f>
        <v>6.5579175966401854E-5</v>
      </c>
      <c r="AC383" s="56"/>
    </row>
    <row r="384" spans="1:29">
      <c r="A384" s="13" t="s">
        <v>1708</v>
      </c>
      <c r="B384" s="13" t="s">
        <v>538</v>
      </c>
      <c r="C384" s="139">
        <v>46210</v>
      </c>
      <c r="D384" s="139" t="s">
        <v>516</v>
      </c>
      <c r="E384" s="28">
        <v>0.97294417</v>
      </c>
      <c r="F384" s="13"/>
      <c r="G384" s="18">
        <v>300000000</v>
      </c>
      <c r="H384" s="18">
        <v>291883249.62</v>
      </c>
      <c r="I384" s="18">
        <v>300000000</v>
      </c>
      <c r="J384" s="18">
        <v>291883249.62</v>
      </c>
      <c r="K384" s="15">
        <v>231704</v>
      </c>
      <c r="L384" s="13" t="s">
        <v>102</v>
      </c>
      <c r="M384" s="13" t="s">
        <v>103</v>
      </c>
      <c r="N384" s="139" t="s">
        <v>429</v>
      </c>
      <c r="O384" s="139" t="s">
        <v>429</v>
      </c>
      <c r="P384" s="28">
        <v>35</v>
      </c>
      <c r="Q384" s="13" t="s">
        <v>54</v>
      </c>
      <c r="R384" s="13" t="s">
        <v>28</v>
      </c>
      <c r="S384" s="13"/>
      <c r="T384" s="13"/>
      <c r="U384" s="13" t="s">
        <v>1722</v>
      </c>
      <c r="V384" s="13" t="s">
        <v>1722</v>
      </c>
      <c r="W384" s="59">
        <f>+J384/$W$2</f>
        <v>6.5566927931961201E-3</v>
      </c>
    </row>
    <row r="385" spans="1:29">
      <c r="A385" s="13" t="s">
        <v>194</v>
      </c>
      <c r="B385" s="13" t="s">
        <v>538</v>
      </c>
      <c r="C385" s="139">
        <v>46210</v>
      </c>
      <c r="D385" s="139" t="s">
        <v>516</v>
      </c>
      <c r="E385" s="28">
        <v>0.96919822</v>
      </c>
      <c r="F385" s="13"/>
      <c r="G385" s="18">
        <v>267500000</v>
      </c>
      <c r="H385" s="18">
        <v>259260522.72999999</v>
      </c>
      <c r="I385" s="18">
        <v>267500000</v>
      </c>
      <c r="J385" s="18">
        <v>259260522.72999999</v>
      </c>
      <c r="K385" s="15">
        <v>70379142</v>
      </c>
      <c r="L385" s="13" t="s">
        <v>102</v>
      </c>
      <c r="M385" s="13" t="s">
        <v>103</v>
      </c>
      <c r="N385" s="139" t="s">
        <v>367</v>
      </c>
      <c r="O385" s="139" t="s">
        <v>367</v>
      </c>
      <c r="P385" s="28">
        <v>40</v>
      </c>
      <c r="Q385" s="13" t="s">
        <v>54</v>
      </c>
      <c r="R385" s="13" t="s">
        <v>28</v>
      </c>
      <c r="S385" s="13"/>
      <c r="T385" s="13"/>
      <c r="U385" s="13" t="s">
        <v>1490</v>
      </c>
      <c r="V385" s="13" t="s">
        <v>1490</v>
      </c>
      <c r="W385" s="59">
        <f>+J385/$W$2</f>
        <v>5.8238751389712235E-3</v>
      </c>
    </row>
    <row r="386" spans="1:29">
      <c r="A386" s="13" t="s">
        <v>1459</v>
      </c>
      <c r="B386" s="13" t="s">
        <v>538</v>
      </c>
      <c r="C386" s="139">
        <v>46210</v>
      </c>
      <c r="D386" s="139" t="s">
        <v>516</v>
      </c>
      <c r="E386" s="28">
        <v>0.97294424999999995</v>
      </c>
      <c r="F386" s="13"/>
      <c r="G386" s="18">
        <v>2000000</v>
      </c>
      <c r="H386" s="18">
        <v>1945888.49</v>
      </c>
      <c r="I386" s="18">
        <v>2000000</v>
      </c>
      <c r="J386" s="18">
        <v>1945888.49</v>
      </c>
      <c r="K386" s="15">
        <v>7746</v>
      </c>
      <c r="L386" s="13" t="s">
        <v>102</v>
      </c>
      <c r="M386" s="13" t="s">
        <v>103</v>
      </c>
      <c r="N386" s="139" t="s">
        <v>381</v>
      </c>
      <c r="O386" s="139" t="s">
        <v>381</v>
      </c>
      <c r="P386" s="28">
        <v>35</v>
      </c>
      <c r="Q386" s="13" t="s">
        <v>54</v>
      </c>
      <c r="R386" s="13" t="s">
        <v>28</v>
      </c>
      <c r="S386" s="13"/>
      <c r="T386" s="13"/>
      <c r="U386" s="13" t="s">
        <v>1451</v>
      </c>
      <c r="V386" s="13" t="s">
        <v>1451</v>
      </c>
      <c r="W386" s="59">
        <f>+J386/$W$2</f>
        <v>4.3711288864148837E-5</v>
      </c>
    </row>
    <row r="387" spans="1:29">
      <c r="A387" s="13" t="s">
        <v>916</v>
      </c>
      <c r="B387" s="13" t="s">
        <v>538</v>
      </c>
      <c r="C387" s="139">
        <v>46210</v>
      </c>
      <c r="D387" s="139" t="s">
        <v>516</v>
      </c>
      <c r="E387" s="28">
        <v>0.97445081</v>
      </c>
      <c r="F387" s="13"/>
      <c r="G387" s="18">
        <v>10000000</v>
      </c>
      <c r="H387" s="18">
        <v>9744508.1199999992</v>
      </c>
      <c r="I387" s="18">
        <v>10000000</v>
      </c>
      <c r="J387" s="18">
        <v>9744508.1199999992</v>
      </c>
      <c r="K387" s="15">
        <v>13633523</v>
      </c>
      <c r="L387" s="13" t="s">
        <v>102</v>
      </c>
      <c r="M387" s="13" t="s">
        <v>103</v>
      </c>
      <c r="N387" s="139" t="s">
        <v>163</v>
      </c>
      <c r="O387" s="139" t="s">
        <v>163</v>
      </c>
      <c r="P387" s="28">
        <v>33</v>
      </c>
      <c r="Q387" s="13" t="s">
        <v>54</v>
      </c>
      <c r="R387" s="13" t="s">
        <v>28</v>
      </c>
      <c r="S387" s="13"/>
      <c r="T387" s="13"/>
      <c r="U387" s="13" t="s">
        <v>1587</v>
      </c>
      <c r="V387" s="13" t="s">
        <v>1587</v>
      </c>
      <c r="W387" s="59">
        <f>+J387/$W$2</f>
        <v>2.1889487062661225E-4</v>
      </c>
    </row>
    <row r="388" spans="1:29">
      <c r="A388" s="13" t="s">
        <v>920</v>
      </c>
      <c r="B388" s="13" t="s">
        <v>538</v>
      </c>
      <c r="C388" s="139">
        <v>46210</v>
      </c>
      <c r="D388" s="139" t="s">
        <v>516</v>
      </c>
      <c r="E388" s="28">
        <v>0.97069307000000005</v>
      </c>
      <c r="F388" s="13"/>
      <c r="G388" s="18">
        <v>7162509.1500000004</v>
      </c>
      <c r="H388" s="18">
        <v>6952598</v>
      </c>
      <c r="I388" s="18">
        <v>7162509.1500000004</v>
      </c>
      <c r="J388" s="18">
        <v>6952598</v>
      </c>
      <c r="K388" s="15">
        <v>65964534</v>
      </c>
      <c r="L388" s="13" t="s">
        <v>102</v>
      </c>
      <c r="M388" s="13" t="s">
        <v>103</v>
      </c>
      <c r="N388" s="139" t="s">
        <v>344</v>
      </c>
      <c r="O388" s="139" t="s">
        <v>344</v>
      </c>
      <c r="P388" s="28">
        <v>38</v>
      </c>
      <c r="Q388" s="13" t="s">
        <v>54</v>
      </c>
      <c r="R388" s="13" t="s">
        <v>28</v>
      </c>
      <c r="S388" s="13"/>
      <c r="T388" s="13"/>
      <c r="U388" s="13" t="s">
        <v>1141</v>
      </c>
      <c r="V388" s="13" t="s">
        <v>1141</v>
      </c>
      <c r="W388" s="59">
        <f>+J388/$W$2</f>
        <v>1.5617905193236609E-4</v>
      </c>
    </row>
    <row r="389" spans="1:29">
      <c r="A389" s="13" t="s">
        <v>994</v>
      </c>
      <c r="B389" s="13" t="s">
        <v>538</v>
      </c>
      <c r="C389" s="139">
        <v>46210</v>
      </c>
      <c r="D389" s="139" t="s">
        <v>516</v>
      </c>
      <c r="E389" s="28">
        <v>0.97294422999999997</v>
      </c>
      <c r="F389" s="13"/>
      <c r="G389" s="18">
        <v>10000000</v>
      </c>
      <c r="H389" s="18">
        <v>9729442.3300000001</v>
      </c>
      <c r="I389" s="18">
        <v>10000000</v>
      </c>
      <c r="J389" s="18">
        <v>9729442.3300000001</v>
      </c>
      <c r="K389" s="15">
        <v>29098102</v>
      </c>
      <c r="L389" s="13" t="s">
        <v>102</v>
      </c>
      <c r="M389" s="13" t="s">
        <v>103</v>
      </c>
      <c r="N389" s="139" t="s">
        <v>428</v>
      </c>
      <c r="O389" s="139" t="s">
        <v>428</v>
      </c>
      <c r="P389" s="28">
        <v>35</v>
      </c>
      <c r="Q389" s="13" t="s">
        <v>54</v>
      </c>
      <c r="R389" s="13" t="s">
        <v>28</v>
      </c>
      <c r="S389" s="13"/>
      <c r="T389" s="13"/>
      <c r="U389" s="13" t="s">
        <v>976</v>
      </c>
      <c r="V389" s="13" t="s">
        <v>976</v>
      </c>
      <c r="W389" s="59">
        <f>+J389/$W$2</f>
        <v>2.185564416251351E-4</v>
      </c>
    </row>
    <row r="390" spans="1:29">
      <c r="A390" s="13" t="s">
        <v>1408</v>
      </c>
      <c r="B390" s="13" t="s">
        <v>538</v>
      </c>
      <c r="C390" s="139">
        <v>46210</v>
      </c>
      <c r="D390" s="139" t="s">
        <v>516</v>
      </c>
      <c r="E390" s="28">
        <v>0.97445079999999995</v>
      </c>
      <c r="F390" s="13"/>
      <c r="G390" s="18">
        <v>1862351.88</v>
      </c>
      <c r="H390" s="18">
        <v>1814770.28</v>
      </c>
      <c r="I390" s="18">
        <v>1862351.88</v>
      </c>
      <c r="J390" s="18">
        <v>1814770.28</v>
      </c>
      <c r="K390" s="15">
        <v>11123599</v>
      </c>
      <c r="L390" s="13" t="s">
        <v>102</v>
      </c>
      <c r="M390" s="13" t="s">
        <v>103</v>
      </c>
      <c r="N390" s="139" t="s">
        <v>343</v>
      </c>
      <c r="O390" s="139" t="s">
        <v>343</v>
      </c>
      <c r="P390" s="28">
        <v>33</v>
      </c>
      <c r="Q390" s="13" t="s">
        <v>54</v>
      </c>
      <c r="R390" s="13" t="s">
        <v>28</v>
      </c>
      <c r="S390" s="13"/>
      <c r="T390" s="13"/>
      <c r="U390" s="13" t="s">
        <v>1409</v>
      </c>
      <c r="V390" s="13" t="s">
        <v>1409</v>
      </c>
      <c r="W390" s="59">
        <f>+J390/$W$2</f>
        <v>4.0765926896022839E-5</v>
      </c>
    </row>
    <row r="391" spans="1:29">
      <c r="A391" s="13" t="s">
        <v>445</v>
      </c>
      <c r="B391" s="13" t="s">
        <v>538</v>
      </c>
      <c r="C391" s="139">
        <v>46210</v>
      </c>
      <c r="D391" s="139" t="s">
        <v>516</v>
      </c>
      <c r="E391" s="28">
        <v>0.97144242999999997</v>
      </c>
      <c r="F391" s="13"/>
      <c r="G391" s="18">
        <v>9500000</v>
      </c>
      <c r="H391" s="18">
        <v>9228703.0899999999</v>
      </c>
      <c r="I391" s="18">
        <v>9500000</v>
      </c>
      <c r="J391" s="18">
        <v>9228703.0899999999</v>
      </c>
      <c r="K391" s="15">
        <v>10949772</v>
      </c>
      <c r="L391" s="13" t="s">
        <v>102</v>
      </c>
      <c r="M391" s="13" t="s">
        <v>103</v>
      </c>
      <c r="N391" s="139" t="s">
        <v>384</v>
      </c>
      <c r="O391" s="139" t="s">
        <v>384</v>
      </c>
      <c r="P391" s="28">
        <v>37</v>
      </c>
      <c r="Q391" s="13" t="s">
        <v>54</v>
      </c>
      <c r="R391" s="13" t="s">
        <v>28</v>
      </c>
      <c r="S391" s="13"/>
      <c r="T391" s="13"/>
      <c r="U391" s="13" t="s">
        <v>1522</v>
      </c>
      <c r="V391" s="13" t="s">
        <v>1522</v>
      </c>
      <c r="W391" s="59">
        <f>+J391/$W$2</f>
        <v>2.0730813131458162E-4</v>
      </c>
      <c r="AC391" s="56"/>
    </row>
    <row r="392" spans="1:29">
      <c r="A392" s="13" t="s">
        <v>539</v>
      </c>
      <c r="B392" s="13" t="s">
        <v>538</v>
      </c>
      <c r="C392" s="139">
        <v>46210</v>
      </c>
      <c r="D392" s="139" t="s">
        <v>516</v>
      </c>
      <c r="E392" s="28">
        <v>0.97294422999999997</v>
      </c>
      <c r="F392" s="13"/>
      <c r="G392" s="18">
        <v>10000000</v>
      </c>
      <c r="H392" s="18">
        <v>9729442.3300000001</v>
      </c>
      <c r="I392" s="18">
        <v>10000000</v>
      </c>
      <c r="J392" s="18">
        <v>9729442.3300000001</v>
      </c>
      <c r="K392" s="15">
        <v>387</v>
      </c>
      <c r="L392" s="13" t="s">
        <v>102</v>
      </c>
      <c r="M392" s="13" t="s">
        <v>103</v>
      </c>
      <c r="N392" s="139" t="s">
        <v>428</v>
      </c>
      <c r="O392" s="139" t="s">
        <v>428</v>
      </c>
      <c r="P392" s="28">
        <v>35</v>
      </c>
      <c r="Q392" s="13" t="s">
        <v>54</v>
      </c>
      <c r="R392" s="13" t="s">
        <v>28</v>
      </c>
      <c r="S392" s="13"/>
      <c r="T392" s="13"/>
      <c r="U392" s="13" t="s">
        <v>957</v>
      </c>
      <c r="V392" s="13" t="s">
        <v>957</v>
      </c>
      <c r="W392" s="59">
        <f>+J392/$W$2</f>
        <v>2.185564416251351E-4</v>
      </c>
      <c r="AC392" s="56"/>
    </row>
    <row r="393" spans="1:29">
      <c r="A393" s="13" t="s">
        <v>1054</v>
      </c>
      <c r="B393" s="13" t="s">
        <v>538</v>
      </c>
      <c r="C393" s="139">
        <v>46210</v>
      </c>
      <c r="D393" s="139" t="s">
        <v>516</v>
      </c>
      <c r="E393" s="28">
        <v>0.97976065000000001</v>
      </c>
      <c r="F393" s="13"/>
      <c r="G393" s="18">
        <v>10000000</v>
      </c>
      <c r="H393" s="18">
        <v>9797606.5</v>
      </c>
      <c r="I393" s="18">
        <v>10000000</v>
      </c>
      <c r="J393" s="18">
        <v>9797606.5</v>
      </c>
      <c r="K393" s="15">
        <v>1742542</v>
      </c>
      <c r="L393" s="13" t="s">
        <v>102</v>
      </c>
      <c r="M393" s="13" t="s">
        <v>103</v>
      </c>
      <c r="N393" s="139" t="s">
        <v>366</v>
      </c>
      <c r="O393" s="139" t="s">
        <v>366</v>
      </c>
      <c r="P393" s="28">
        <v>26</v>
      </c>
      <c r="Q393" s="13" t="s">
        <v>54</v>
      </c>
      <c r="R393" s="13" t="s">
        <v>28</v>
      </c>
      <c r="S393" s="13"/>
      <c r="T393" s="13"/>
      <c r="U393" s="13" t="s">
        <v>1032</v>
      </c>
      <c r="V393" s="13" t="s">
        <v>1032</v>
      </c>
      <c r="W393" s="59">
        <f>+J393/$W$2</f>
        <v>2.2008764124955703E-4</v>
      </c>
    </row>
    <row r="394" spans="1:29">
      <c r="A394" s="13" t="s">
        <v>639</v>
      </c>
      <c r="B394" s="13" t="s">
        <v>538</v>
      </c>
      <c r="C394" s="139">
        <v>46210</v>
      </c>
      <c r="D394" s="139" t="s">
        <v>516</v>
      </c>
      <c r="E394" s="28">
        <v>0.97747784999999998</v>
      </c>
      <c r="F394" s="13"/>
      <c r="G394" s="18">
        <v>12500000</v>
      </c>
      <c r="H394" s="18">
        <v>12218473.140000001</v>
      </c>
      <c r="I394" s="18">
        <v>12500000</v>
      </c>
      <c r="J394" s="18">
        <v>12218473.140000001</v>
      </c>
      <c r="K394" s="15">
        <v>28996507</v>
      </c>
      <c r="L394" s="13" t="s">
        <v>102</v>
      </c>
      <c r="M394" s="13" t="s">
        <v>103</v>
      </c>
      <c r="N394" s="139" t="s">
        <v>155</v>
      </c>
      <c r="O394" s="139" t="s">
        <v>155</v>
      </c>
      <c r="P394" s="28">
        <v>29</v>
      </c>
      <c r="Q394" s="13" t="s">
        <v>54</v>
      </c>
      <c r="R394" s="13" t="s">
        <v>28</v>
      </c>
      <c r="S394" s="13"/>
      <c r="T394" s="13"/>
      <c r="U394" s="13" t="s">
        <v>606</v>
      </c>
      <c r="V394" s="13" t="s">
        <v>606</v>
      </c>
      <c r="W394" s="59">
        <f>+J394/$W$2</f>
        <v>2.7446855852535703E-4</v>
      </c>
    </row>
    <row r="395" spans="1:29">
      <c r="A395" s="13" t="s">
        <v>310</v>
      </c>
      <c r="B395" s="13" t="s">
        <v>538</v>
      </c>
      <c r="C395" s="139">
        <v>46210</v>
      </c>
      <c r="D395" s="139" t="s">
        <v>516</v>
      </c>
      <c r="E395" s="28">
        <v>0.96770805999999998</v>
      </c>
      <c r="F395" s="13"/>
      <c r="G395" s="18">
        <v>9040891.3100000005</v>
      </c>
      <c r="H395" s="18">
        <v>8748943.3599999994</v>
      </c>
      <c r="I395" s="18">
        <v>9040891.3100000005</v>
      </c>
      <c r="J395" s="18">
        <v>8748943.3599999994</v>
      </c>
      <c r="K395" s="15">
        <v>90022248</v>
      </c>
      <c r="L395" s="13" t="s">
        <v>102</v>
      </c>
      <c r="M395" s="13" t="s">
        <v>103</v>
      </c>
      <c r="N395" s="139" t="s">
        <v>394</v>
      </c>
      <c r="O395" s="139" t="s">
        <v>394</v>
      </c>
      <c r="P395" s="28">
        <v>42</v>
      </c>
      <c r="Q395" s="13" t="s">
        <v>54</v>
      </c>
      <c r="R395" s="13" t="s">
        <v>28</v>
      </c>
      <c r="S395" s="13"/>
      <c r="T395" s="13"/>
      <c r="U395" s="13" t="s">
        <v>1995</v>
      </c>
      <c r="V395" s="13" t="s">
        <v>1995</v>
      </c>
      <c r="W395" s="59">
        <f>+J395/$W$2</f>
        <v>1.9653109231610537E-4</v>
      </c>
    </row>
    <row r="396" spans="1:29">
      <c r="A396" s="13" t="s">
        <v>993</v>
      </c>
      <c r="B396" s="13" t="s">
        <v>538</v>
      </c>
      <c r="C396" s="139">
        <v>46210</v>
      </c>
      <c r="D396" s="139" t="s">
        <v>516</v>
      </c>
      <c r="E396" s="28">
        <v>0.97747790000000001</v>
      </c>
      <c r="F396" s="13"/>
      <c r="G396" s="18">
        <v>12000000</v>
      </c>
      <c r="H396" s="18">
        <v>11729734.779999999</v>
      </c>
      <c r="I396" s="18">
        <v>12000000</v>
      </c>
      <c r="J396" s="18">
        <v>11729734.779999999</v>
      </c>
      <c r="K396" s="15">
        <v>90000619</v>
      </c>
      <c r="L396" s="13" t="s">
        <v>102</v>
      </c>
      <c r="M396" s="13" t="s">
        <v>103</v>
      </c>
      <c r="N396" s="139" t="s">
        <v>379</v>
      </c>
      <c r="O396" s="139" t="s">
        <v>379</v>
      </c>
      <c r="P396" s="28">
        <v>29</v>
      </c>
      <c r="Q396" s="13" t="s">
        <v>54</v>
      </c>
      <c r="R396" s="13" t="s">
        <v>28</v>
      </c>
      <c r="S396" s="13"/>
      <c r="T396" s="13"/>
      <c r="U396" s="13" t="s">
        <v>1386</v>
      </c>
      <c r="V396" s="13" t="s">
        <v>1386</v>
      </c>
      <c r="W396" s="59">
        <f>+J396/$W$2</f>
        <v>2.634898288896468E-4</v>
      </c>
    </row>
    <row r="397" spans="1:29">
      <c r="A397" s="13" t="s">
        <v>993</v>
      </c>
      <c r="B397" s="13" t="s">
        <v>538</v>
      </c>
      <c r="C397" s="139">
        <v>46210</v>
      </c>
      <c r="D397" s="139" t="s">
        <v>516</v>
      </c>
      <c r="E397" s="28">
        <v>0.97747788000000002</v>
      </c>
      <c r="F397" s="13"/>
      <c r="G397" s="18">
        <v>5000000</v>
      </c>
      <c r="H397" s="18">
        <v>4887389.41</v>
      </c>
      <c r="I397" s="18">
        <v>5000000</v>
      </c>
      <c r="J397" s="18">
        <v>4887389.41</v>
      </c>
      <c r="K397" s="15">
        <v>16779598</v>
      </c>
      <c r="L397" s="13" t="s">
        <v>102</v>
      </c>
      <c r="M397" s="13" t="s">
        <v>103</v>
      </c>
      <c r="N397" s="139" t="s">
        <v>359</v>
      </c>
      <c r="O397" s="139" t="s">
        <v>359</v>
      </c>
      <c r="P397" s="28">
        <v>29</v>
      </c>
      <c r="Q397" s="13" t="s">
        <v>54</v>
      </c>
      <c r="R397" s="13" t="s">
        <v>28</v>
      </c>
      <c r="S397" s="13"/>
      <c r="T397" s="13"/>
      <c r="U397" s="13" t="s">
        <v>1312</v>
      </c>
      <c r="V397" s="13" t="s">
        <v>1312</v>
      </c>
      <c r="W397" s="59">
        <f>+J397/$W$2</f>
        <v>1.097874268695078E-4</v>
      </c>
    </row>
    <row r="398" spans="1:29">
      <c r="A398" s="13" t="s">
        <v>339</v>
      </c>
      <c r="B398" s="13" t="s">
        <v>538</v>
      </c>
      <c r="C398" s="139">
        <v>46210</v>
      </c>
      <c r="D398" s="139" t="s">
        <v>516</v>
      </c>
      <c r="E398" s="28">
        <v>0.97899853000000003</v>
      </c>
      <c r="F398" s="13"/>
      <c r="G398" s="18">
        <v>10000000</v>
      </c>
      <c r="H398" s="18">
        <v>9789985.3000000007</v>
      </c>
      <c r="I398" s="18">
        <v>10000000</v>
      </c>
      <c r="J398" s="18">
        <v>9789985.3000000007</v>
      </c>
      <c r="K398" s="15">
        <v>32530</v>
      </c>
      <c r="L398" s="13" t="s">
        <v>102</v>
      </c>
      <c r="M398" s="13" t="s">
        <v>103</v>
      </c>
      <c r="N398" s="139" t="s">
        <v>395</v>
      </c>
      <c r="O398" s="139" t="s">
        <v>395</v>
      </c>
      <c r="P398" s="28">
        <v>27</v>
      </c>
      <c r="Q398" s="13" t="s">
        <v>54</v>
      </c>
      <c r="R398" s="13" t="s">
        <v>28</v>
      </c>
      <c r="S398" s="13"/>
      <c r="T398" s="13"/>
      <c r="U398" s="13" t="s">
        <v>1252</v>
      </c>
      <c r="V398" s="13" t="s">
        <v>1252</v>
      </c>
      <c r="W398" s="59">
        <f>+J398/$W$2</f>
        <v>2.1991644311749375E-4</v>
      </c>
    </row>
    <row r="399" spans="1:29">
      <c r="A399" s="13" t="s">
        <v>357</v>
      </c>
      <c r="B399" s="13" t="s">
        <v>538</v>
      </c>
      <c r="C399" s="139">
        <v>46210</v>
      </c>
      <c r="D399" s="139" t="s">
        <v>516</v>
      </c>
      <c r="E399" s="28">
        <v>0.97219274</v>
      </c>
      <c r="F399" s="13"/>
      <c r="G399" s="18">
        <v>3000000</v>
      </c>
      <c r="H399" s="18">
        <v>2916578.23</v>
      </c>
      <c r="I399" s="18">
        <v>3000000</v>
      </c>
      <c r="J399" s="18">
        <v>2916578.23</v>
      </c>
      <c r="K399" s="15">
        <v>40743052</v>
      </c>
      <c r="L399" s="13" t="s">
        <v>102</v>
      </c>
      <c r="M399" s="13" t="s">
        <v>103</v>
      </c>
      <c r="N399" s="139" t="s">
        <v>391</v>
      </c>
      <c r="O399" s="139" t="s">
        <v>391</v>
      </c>
      <c r="P399" s="28">
        <v>36</v>
      </c>
      <c r="Q399" s="13" t="s">
        <v>54</v>
      </c>
      <c r="R399" s="13" t="s">
        <v>28</v>
      </c>
      <c r="S399" s="13"/>
      <c r="T399" s="13"/>
      <c r="U399" s="13" t="s">
        <v>1660</v>
      </c>
      <c r="V399" s="13" t="s">
        <v>1660</v>
      </c>
      <c r="W399" s="59">
        <f>+J399/$W$2</f>
        <v>6.5516289428495426E-5</v>
      </c>
    </row>
    <row r="400" spans="1:29">
      <c r="A400" s="13" t="s">
        <v>1052</v>
      </c>
      <c r="B400" s="13" t="s">
        <v>538</v>
      </c>
      <c r="C400" s="139">
        <v>46210</v>
      </c>
      <c r="D400" s="139" t="s">
        <v>516</v>
      </c>
      <c r="E400" s="28">
        <v>0.98052404000000004</v>
      </c>
      <c r="F400" s="13"/>
      <c r="G400" s="18">
        <v>319651714</v>
      </c>
      <c r="H400" s="18">
        <v>313426191.25</v>
      </c>
      <c r="I400" s="18">
        <v>319651714</v>
      </c>
      <c r="J400" s="18">
        <v>313426191.25</v>
      </c>
      <c r="K400" s="15">
        <v>77043555</v>
      </c>
      <c r="L400" s="13" t="s">
        <v>102</v>
      </c>
      <c r="M400" s="13" t="s">
        <v>103</v>
      </c>
      <c r="N400" s="139" t="s">
        <v>394</v>
      </c>
      <c r="O400" s="139" t="s">
        <v>394</v>
      </c>
      <c r="P400" s="28">
        <v>25</v>
      </c>
      <c r="Q400" s="13" t="s">
        <v>54</v>
      </c>
      <c r="R400" s="13" t="s">
        <v>28</v>
      </c>
      <c r="S400" s="13"/>
      <c r="T400" s="13"/>
      <c r="U400" s="13" t="s">
        <v>2001</v>
      </c>
      <c r="V400" s="13" t="s">
        <v>2001</v>
      </c>
      <c r="W400" s="59">
        <f>+J400/$W$2</f>
        <v>7.0406207003766734E-3</v>
      </c>
      <c r="AC400" s="56"/>
    </row>
    <row r="401" spans="1:29">
      <c r="A401" s="13" t="s">
        <v>993</v>
      </c>
      <c r="B401" s="13" t="s">
        <v>538</v>
      </c>
      <c r="C401" s="139">
        <v>46210</v>
      </c>
      <c r="D401" s="139" t="s">
        <v>516</v>
      </c>
      <c r="E401" s="28">
        <v>0.97671936000000004</v>
      </c>
      <c r="F401" s="13"/>
      <c r="G401" s="18">
        <v>20000000</v>
      </c>
      <c r="H401" s="18">
        <v>19534387.210000001</v>
      </c>
      <c r="I401" s="18">
        <v>20000000</v>
      </c>
      <c r="J401" s="18">
        <v>19534387.210000001</v>
      </c>
      <c r="K401" s="15">
        <v>107</v>
      </c>
      <c r="L401" s="13" t="s">
        <v>102</v>
      </c>
      <c r="M401" s="13" t="s">
        <v>103</v>
      </c>
      <c r="N401" s="139" t="s">
        <v>428</v>
      </c>
      <c r="O401" s="139" t="s">
        <v>428</v>
      </c>
      <c r="P401" s="28">
        <v>30</v>
      </c>
      <c r="Q401" s="13" t="s">
        <v>54</v>
      </c>
      <c r="R401" s="13" t="s">
        <v>28</v>
      </c>
      <c r="S401" s="13"/>
      <c r="T401" s="13"/>
      <c r="U401" s="13" t="s">
        <v>924</v>
      </c>
      <c r="V401" s="13" t="s">
        <v>924</v>
      </c>
      <c r="W401" s="59">
        <f>+J401/$W$2</f>
        <v>4.388089279054446E-4</v>
      </c>
    </row>
    <row r="402" spans="1:29">
      <c r="A402" s="13" t="s">
        <v>789</v>
      </c>
      <c r="B402" s="13" t="s">
        <v>538</v>
      </c>
      <c r="C402" s="139">
        <v>46211</v>
      </c>
      <c r="D402" s="139" t="s">
        <v>516</v>
      </c>
      <c r="E402" s="28">
        <v>0.97126140000000005</v>
      </c>
      <c r="F402" s="13"/>
      <c r="G402" s="18">
        <v>5000000</v>
      </c>
      <c r="H402" s="18">
        <v>4856306.9800000004</v>
      </c>
      <c r="I402" s="18">
        <v>5000000</v>
      </c>
      <c r="J402" s="18">
        <v>4856306.9800000004</v>
      </c>
      <c r="K402" s="15">
        <v>66205682</v>
      </c>
      <c r="L402" s="13" t="s">
        <v>102</v>
      </c>
      <c r="M402" s="13" t="s">
        <v>103</v>
      </c>
      <c r="N402" s="139" t="s">
        <v>152</v>
      </c>
      <c r="O402" s="139" t="s">
        <v>152</v>
      </c>
      <c r="P402" s="28">
        <v>36</v>
      </c>
      <c r="Q402" s="13" t="s">
        <v>54</v>
      </c>
      <c r="R402" s="13" t="s">
        <v>28</v>
      </c>
      <c r="S402" s="13"/>
      <c r="T402" s="13"/>
      <c r="U402" s="13" t="s">
        <v>785</v>
      </c>
      <c r="V402" s="13" t="s">
        <v>785</v>
      </c>
      <c r="W402" s="59">
        <f>+J402/$W$2</f>
        <v>1.0908920953418162E-4</v>
      </c>
    </row>
    <row r="403" spans="1:29">
      <c r="A403" s="13" t="s">
        <v>380</v>
      </c>
      <c r="B403" s="13" t="s">
        <v>538</v>
      </c>
      <c r="C403" s="139">
        <v>46211</v>
      </c>
      <c r="D403" s="139" t="s">
        <v>516</v>
      </c>
      <c r="E403" s="28">
        <v>0.97126137000000001</v>
      </c>
      <c r="F403" s="13"/>
      <c r="G403" s="18">
        <v>16500000</v>
      </c>
      <c r="H403" s="18">
        <v>16025812.609999999</v>
      </c>
      <c r="I403" s="18">
        <v>16500000</v>
      </c>
      <c r="J403" s="18">
        <v>16025812.609999999</v>
      </c>
      <c r="K403" s="15">
        <v>32344</v>
      </c>
      <c r="L403" s="13" t="s">
        <v>102</v>
      </c>
      <c r="M403" s="13" t="s">
        <v>103</v>
      </c>
      <c r="N403" s="139" t="s">
        <v>374</v>
      </c>
      <c r="O403" s="139" t="s">
        <v>374</v>
      </c>
      <c r="P403" s="28">
        <v>36</v>
      </c>
      <c r="Q403" s="13" t="s">
        <v>54</v>
      </c>
      <c r="R403" s="13" t="s">
        <v>28</v>
      </c>
      <c r="S403" s="13"/>
      <c r="T403" s="13"/>
      <c r="U403" s="13" t="s">
        <v>1185</v>
      </c>
      <c r="V403" s="13" t="s">
        <v>1185</v>
      </c>
      <c r="W403" s="59">
        <f>+J403/$W$2</f>
        <v>3.5999438193831391E-4</v>
      </c>
    </row>
    <row r="404" spans="1:29">
      <c r="A404" s="13" t="s">
        <v>1530</v>
      </c>
      <c r="B404" s="13" t="s">
        <v>538</v>
      </c>
      <c r="C404" s="139">
        <v>46211</v>
      </c>
      <c r="D404" s="139" t="s">
        <v>516</v>
      </c>
      <c r="E404" s="28">
        <v>0.97048670000000004</v>
      </c>
      <c r="F404" s="13"/>
      <c r="G404" s="18">
        <v>28270320.699999999</v>
      </c>
      <c r="H404" s="18">
        <v>27435970.129999999</v>
      </c>
      <c r="I404" s="18">
        <v>28270320.699999999</v>
      </c>
      <c r="J404" s="18">
        <v>27435970.129999999</v>
      </c>
      <c r="K404" s="15">
        <v>29253353</v>
      </c>
      <c r="L404" s="13" t="s">
        <v>102</v>
      </c>
      <c r="M404" s="13" t="s">
        <v>103</v>
      </c>
      <c r="N404" s="139" t="s">
        <v>384</v>
      </c>
      <c r="O404" s="139" t="s">
        <v>384</v>
      </c>
      <c r="P404" s="28">
        <v>37</v>
      </c>
      <c r="Q404" s="13" t="s">
        <v>54</v>
      </c>
      <c r="R404" s="13" t="s">
        <v>28</v>
      </c>
      <c r="S404" s="13"/>
      <c r="T404" s="13"/>
      <c r="U404" s="13" t="s">
        <v>1524</v>
      </c>
      <c r="V404" s="13" t="s">
        <v>1524</v>
      </c>
      <c r="W404" s="59">
        <f>+J404/$W$2</f>
        <v>6.1630541615495602E-4</v>
      </c>
    </row>
    <row r="405" spans="1:29">
      <c r="A405" s="13" t="s">
        <v>1619</v>
      </c>
      <c r="B405" s="13" t="s">
        <v>538</v>
      </c>
      <c r="C405" s="139">
        <v>46211</v>
      </c>
      <c r="D405" s="139" t="s">
        <v>516</v>
      </c>
      <c r="E405" s="28">
        <v>0.97437282000000003</v>
      </c>
      <c r="F405" s="13"/>
      <c r="G405" s="18">
        <v>2000000</v>
      </c>
      <c r="H405" s="18">
        <v>1948745.65</v>
      </c>
      <c r="I405" s="18">
        <v>2000000</v>
      </c>
      <c r="J405" s="18">
        <v>1948745.65</v>
      </c>
      <c r="K405" s="15">
        <v>379</v>
      </c>
      <c r="L405" s="13" t="s">
        <v>102</v>
      </c>
      <c r="M405" s="13" t="s">
        <v>103</v>
      </c>
      <c r="N405" s="139" t="s">
        <v>472</v>
      </c>
      <c r="O405" s="139" t="s">
        <v>472</v>
      </c>
      <c r="P405" s="28">
        <v>32</v>
      </c>
      <c r="Q405" s="13" t="s">
        <v>54</v>
      </c>
      <c r="R405" s="13" t="s">
        <v>28</v>
      </c>
      <c r="S405" s="13"/>
      <c r="T405" s="13"/>
      <c r="U405" s="13" t="s">
        <v>1621</v>
      </c>
      <c r="V405" s="13" t="s">
        <v>1621</v>
      </c>
      <c r="W405" s="59">
        <f>+J405/$W$2</f>
        <v>4.3775470417579517E-5</v>
      </c>
      <c r="AC405"/>
    </row>
    <row r="406" spans="1:29">
      <c r="A406" s="13" t="s">
        <v>1821</v>
      </c>
      <c r="B406" s="13" t="s">
        <v>538</v>
      </c>
      <c r="C406" s="139">
        <v>46211</v>
      </c>
      <c r="D406" s="139" t="s">
        <v>516</v>
      </c>
      <c r="E406" s="28">
        <v>0.97359297</v>
      </c>
      <c r="F406" s="13"/>
      <c r="G406" s="18">
        <v>8970000</v>
      </c>
      <c r="H406" s="18">
        <v>8733128.9100000001</v>
      </c>
      <c r="I406" s="18">
        <v>8970000</v>
      </c>
      <c r="J406" s="18">
        <v>8733128.9100000001</v>
      </c>
      <c r="K406" s="15">
        <v>67244927</v>
      </c>
      <c r="L406" s="13" t="s">
        <v>102</v>
      </c>
      <c r="M406" s="13" t="s">
        <v>103</v>
      </c>
      <c r="N406" s="139" t="s">
        <v>335</v>
      </c>
      <c r="O406" s="139" t="s">
        <v>335</v>
      </c>
      <c r="P406" s="28">
        <v>33</v>
      </c>
      <c r="Q406" s="13" t="s">
        <v>54</v>
      </c>
      <c r="R406" s="13" t="s">
        <v>28</v>
      </c>
      <c r="S406" s="13"/>
      <c r="T406" s="13"/>
      <c r="U406" s="13" t="s">
        <v>1735</v>
      </c>
      <c r="V406" s="13" t="s">
        <v>1735</v>
      </c>
      <c r="W406" s="59">
        <f>+J406/$W$2</f>
        <v>1.9617584585890596E-4</v>
      </c>
    </row>
    <row r="407" spans="1:29">
      <c r="A407" s="13" t="s">
        <v>1821</v>
      </c>
      <c r="B407" s="13" t="s">
        <v>538</v>
      </c>
      <c r="C407" s="139">
        <v>46211</v>
      </c>
      <c r="D407" s="139" t="s">
        <v>516</v>
      </c>
      <c r="E407" s="28">
        <v>0.97359297</v>
      </c>
      <c r="F407" s="13"/>
      <c r="G407" s="18">
        <v>7821000</v>
      </c>
      <c r="H407" s="18">
        <v>7614470.5800000001</v>
      </c>
      <c r="I407" s="18">
        <v>7821000</v>
      </c>
      <c r="J407" s="18">
        <v>7614470.5800000001</v>
      </c>
      <c r="K407" s="15">
        <v>67244959</v>
      </c>
      <c r="L407" s="13" t="s">
        <v>102</v>
      </c>
      <c r="M407" s="13" t="s">
        <v>103</v>
      </c>
      <c r="N407" s="139" t="s">
        <v>335</v>
      </c>
      <c r="O407" s="139" t="s">
        <v>335</v>
      </c>
      <c r="P407" s="28">
        <v>33</v>
      </c>
      <c r="Q407" s="13" t="s">
        <v>54</v>
      </c>
      <c r="R407" s="13" t="s">
        <v>28</v>
      </c>
      <c r="S407" s="13"/>
      <c r="T407" s="13"/>
      <c r="U407" s="13" t="s">
        <v>1736</v>
      </c>
      <c r="V407" s="13" t="s">
        <v>1736</v>
      </c>
      <c r="W407" s="59">
        <f>+J407/$W$2</f>
        <v>1.7104696635003114E-4</v>
      </c>
    </row>
    <row r="408" spans="1:29">
      <c r="A408" s="13" t="s">
        <v>751</v>
      </c>
      <c r="B408" s="13" t="s">
        <v>538</v>
      </c>
      <c r="C408" s="139">
        <v>46211</v>
      </c>
      <c r="D408" s="139" t="s">
        <v>516</v>
      </c>
      <c r="E408" s="28">
        <v>0.98223899999999997</v>
      </c>
      <c r="F408" s="13"/>
      <c r="G408" s="18">
        <v>1977599</v>
      </c>
      <c r="H408" s="18">
        <v>1942474.86</v>
      </c>
      <c r="I408" s="18">
        <v>1977599</v>
      </c>
      <c r="J408" s="18">
        <v>1942474.86</v>
      </c>
      <c r="K408" s="15">
        <v>9866</v>
      </c>
      <c r="L408" s="13" t="s">
        <v>102</v>
      </c>
      <c r="M408" s="13" t="s">
        <v>103</v>
      </c>
      <c r="N408" s="139" t="s">
        <v>320</v>
      </c>
      <c r="O408" s="139" t="s">
        <v>320</v>
      </c>
      <c r="P408" s="28">
        <v>22</v>
      </c>
      <c r="Q408" s="13" t="s">
        <v>54</v>
      </c>
      <c r="R408" s="13" t="s">
        <v>28</v>
      </c>
      <c r="S408" s="13"/>
      <c r="T408" s="13"/>
      <c r="U408" s="13" t="s">
        <v>740</v>
      </c>
      <c r="V408" s="13" t="s">
        <v>740</v>
      </c>
      <c r="W408" s="59">
        <f>+J408/$W$2</f>
        <v>4.3634607097556277E-5</v>
      </c>
    </row>
    <row r="409" spans="1:29">
      <c r="A409" s="13" t="s">
        <v>1163</v>
      </c>
      <c r="B409" s="13" t="s">
        <v>538</v>
      </c>
      <c r="C409" s="139">
        <v>46211</v>
      </c>
      <c r="D409" s="139" t="s">
        <v>516</v>
      </c>
      <c r="E409" s="28">
        <v>0.97203740000000005</v>
      </c>
      <c r="F409" s="13"/>
      <c r="G409" s="18">
        <v>75000000</v>
      </c>
      <c r="H409" s="18">
        <v>72902805.010000005</v>
      </c>
      <c r="I409" s="18">
        <v>75000000</v>
      </c>
      <c r="J409" s="18">
        <v>72902805.010000005</v>
      </c>
      <c r="K409" s="15">
        <v>95275287</v>
      </c>
      <c r="L409" s="13" t="s">
        <v>102</v>
      </c>
      <c r="M409" s="13" t="s">
        <v>103</v>
      </c>
      <c r="N409" s="139" t="s">
        <v>514</v>
      </c>
      <c r="O409" s="139" t="s">
        <v>514</v>
      </c>
      <c r="P409" s="28">
        <v>35</v>
      </c>
      <c r="Q409" s="13" t="s">
        <v>54</v>
      </c>
      <c r="R409" s="13" t="s">
        <v>28</v>
      </c>
      <c r="S409" s="13"/>
      <c r="T409" s="13"/>
      <c r="U409" s="13" t="s">
        <v>1710</v>
      </c>
      <c r="V409" s="13" t="s">
        <v>1710</v>
      </c>
      <c r="W409" s="59">
        <f>+J409/$W$2</f>
        <v>1.6376455203755418E-3</v>
      </c>
    </row>
    <row r="410" spans="1:29">
      <c r="A410" s="13" t="s">
        <v>558</v>
      </c>
      <c r="B410" s="13" t="s">
        <v>538</v>
      </c>
      <c r="C410" s="139">
        <v>46211</v>
      </c>
      <c r="D410" s="139" t="s">
        <v>516</v>
      </c>
      <c r="E410" s="28">
        <v>0.97515362000000005</v>
      </c>
      <c r="F410" s="13"/>
      <c r="G410" s="18">
        <v>25000000</v>
      </c>
      <c r="H410" s="18">
        <v>24378840.539999999</v>
      </c>
      <c r="I410" s="18">
        <v>25000000</v>
      </c>
      <c r="J410" s="18">
        <v>24378840.539999999</v>
      </c>
      <c r="K410" s="15">
        <v>70219531</v>
      </c>
      <c r="L410" s="13" t="s">
        <v>102</v>
      </c>
      <c r="M410" s="13" t="s">
        <v>103</v>
      </c>
      <c r="N410" s="139" t="s">
        <v>473</v>
      </c>
      <c r="O410" s="139" t="s">
        <v>473</v>
      </c>
      <c r="P410" s="28">
        <v>31</v>
      </c>
      <c r="Q410" s="13" t="s">
        <v>54</v>
      </c>
      <c r="R410" s="13" t="s">
        <v>28</v>
      </c>
      <c r="S410" s="13"/>
      <c r="T410" s="13"/>
      <c r="U410" s="13" t="s">
        <v>1441</v>
      </c>
      <c r="V410" s="13" t="s">
        <v>1441</v>
      </c>
      <c r="W410" s="59">
        <f>+J410/$W$2</f>
        <v>5.4763186405247825E-4</v>
      </c>
      <c r="AC410" s="56"/>
    </row>
    <row r="411" spans="1:29">
      <c r="A411" s="13" t="s">
        <v>365</v>
      </c>
      <c r="B411" s="13" t="s">
        <v>538</v>
      </c>
      <c r="C411" s="139">
        <v>46211</v>
      </c>
      <c r="D411" s="139" t="s">
        <v>516</v>
      </c>
      <c r="E411" s="28">
        <v>0.96971315999999996</v>
      </c>
      <c r="F411" s="13"/>
      <c r="G411" s="18">
        <v>5000000</v>
      </c>
      <c r="H411" s="18">
        <v>4848565.82</v>
      </c>
      <c r="I411" s="18">
        <v>5000000</v>
      </c>
      <c r="J411" s="18">
        <v>4848565.82</v>
      </c>
      <c r="K411" s="15">
        <v>60524151</v>
      </c>
      <c r="L411" s="13" t="s">
        <v>102</v>
      </c>
      <c r="M411" s="13" t="s">
        <v>103</v>
      </c>
      <c r="N411" s="139" t="s">
        <v>155</v>
      </c>
      <c r="O411" s="139" t="s">
        <v>155</v>
      </c>
      <c r="P411" s="28">
        <v>38</v>
      </c>
      <c r="Q411" s="13" t="s">
        <v>54</v>
      </c>
      <c r="R411" s="13" t="s">
        <v>28</v>
      </c>
      <c r="S411" s="13"/>
      <c r="T411" s="13"/>
      <c r="U411" s="13" t="s">
        <v>637</v>
      </c>
      <c r="V411" s="13" t="s">
        <v>637</v>
      </c>
      <c r="W411" s="59">
        <f>+J411/$W$2</f>
        <v>1.0891531669158425E-4</v>
      </c>
    </row>
    <row r="412" spans="1:29">
      <c r="A412" s="13" t="s">
        <v>187</v>
      </c>
      <c r="B412" s="13" t="s">
        <v>538</v>
      </c>
      <c r="C412" s="139">
        <v>46211</v>
      </c>
      <c r="D412" s="139" t="s">
        <v>516</v>
      </c>
      <c r="E412" s="28">
        <v>0.97359302000000003</v>
      </c>
      <c r="F412" s="13"/>
      <c r="G412" s="18">
        <v>38136774.549999997</v>
      </c>
      <c r="H412" s="18">
        <v>37129697.549999997</v>
      </c>
      <c r="I412" s="18">
        <v>38136774.549999997</v>
      </c>
      <c r="J412" s="18">
        <v>37129697.549999997</v>
      </c>
      <c r="K412" s="15">
        <v>66789069</v>
      </c>
      <c r="L412" s="13" t="s">
        <v>102</v>
      </c>
      <c r="M412" s="13" t="s">
        <v>103</v>
      </c>
      <c r="N412" s="139" t="s">
        <v>367</v>
      </c>
      <c r="O412" s="139" t="s">
        <v>367</v>
      </c>
      <c r="P412" s="28">
        <v>33</v>
      </c>
      <c r="Q412" s="13" t="s">
        <v>54</v>
      </c>
      <c r="R412" s="13" t="s">
        <v>28</v>
      </c>
      <c r="S412" s="13"/>
      <c r="T412" s="13"/>
      <c r="U412" s="13" t="s">
        <v>1491</v>
      </c>
      <c r="V412" s="13" t="s">
        <v>1491</v>
      </c>
      <c r="W412" s="59">
        <f>+J412/$W$2</f>
        <v>8.3405957915220986E-4</v>
      </c>
    </row>
    <row r="413" spans="1:29">
      <c r="A413" s="13" t="s">
        <v>339</v>
      </c>
      <c r="B413" s="13" t="s">
        <v>538</v>
      </c>
      <c r="C413" s="139">
        <v>46211</v>
      </c>
      <c r="D413" s="139" t="s">
        <v>516</v>
      </c>
      <c r="E413" s="28">
        <v>0.97593584</v>
      </c>
      <c r="F413" s="13"/>
      <c r="G413" s="18">
        <v>35000000</v>
      </c>
      <c r="H413" s="18">
        <v>34157754.229999997</v>
      </c>
      <c r="I413" s="18">
        <v>35000000</v>
      </c>
      <c r="J413" s="18">
        <v>34157754.229999997</v>
      </c>
      <c r="K413" s="15">
        <v>10948</v>
      </c>
      <c r="L413" s="13" t="s">
        <v>102</v>
      </c>
      <c r="M413" s="13" t="s">
        <v>103</v>
      </c>
      <c r="N413" s="139" t="s">
        <v>319</v>
      </c>
      <c r="O413" s="139" t="s">
        <v>319</v>
      </c>
      <c r="P413" s="28">
        <v>30</v>
      </c>
      <c r="Q413" s="13" t="s">
        <v>54</v>
      </c>
      <c r="R413" s="13" t="s">
        <v>28</v>
      </c>
      <c r="S413" s="13"/>
      <c r="T413" s="13"/>
      <c r="U413" s="13" t="s">
        <v>710</v>
      </c>
      <c r="V413" s="13" t="s">
        <v>710</v>
      </c>
      <c r="W413" s="59">
        <f>+J413/$W$2</f>
        <v>7.6729960106713599E-4</v>
      </c>
    </row>
    <row r="414" spans="1:29">
      <c r="A414" s="13" t="s">
        <v>1527</v>
      </c>
      <c r="B414" s="13" t="s">
        <v>538</v>
      </c>
      <c r="C414" s="139">
        <v>46211</v>
      </c>
      <c r="D414" s="139" t="s">
        <v>516</v>
      </c>
      <c r="E414" s="28">
        <v>0.97048670000000004</v>
      </c>
      <c r="F414" s="13"/>
      <c r="G414" s="18">
        <v>50000000</v>
      </c>
      <c r="H414" s="18">
        <v>48524334.789999999</v>
      </c>
      <c r="I414" s="18">
        <v>50000000</v>
      </c>
      <c r="J414" s="18">
        <v>48524334.789999999</v>
      </c>
      <c r="K414" s="15">
        <v>29239213</v>
      </c>
      <c r="L414" s="13" t="s">
        <v>102</v>
      </c>
      <c r="M414" s="13" t="s">
        <v>103</v>
      </c>
      <c r="N414" s="139" t="s">
        <v>384</v>
      </c>
      <c r="O414" s="139" t="s">
        <v>384</v>
      </c>
      <c r="P414" s="28">
        <v>37</v>
      </c>
      <c r="Q414" s="13" t="s">
        <v>54</v>
      </c>
      <c r="R414" s="13" t="s">
        <v>28</v>
      </c>
      <c r="S414" s="13"/>
      <c r="T414" s="13"/>
      <c r="U414" s="13" t="s">
        <v>1520</v>
      </c>
      <c r="V414" s="13" t="s">
        <v>1520</v>
      </c>
      <c r="W414" s="59">
        <f>+J414/$W$2</f>
        <v>1.0900219749726547E-3</v>
      </c>
    </row>
    <row r="415" spans="1:29">
      <c r="A415" s="13" t="s">
        <v>993</v>
      </c>
      <c r="B415" s="13" t="s">
        <v>538</v>
      </c>
      <c r="C415" s="139">
        <v>46211</v>
      </c>
      <c r="D415" s="139" t="s">
        <v>516</v>
      </c>
      <c r="E415" s="28">
        <v>0.97671931000000001</v>
      </c>
      <c r="F415" s="13"/>
      <c r="G415" s="18">
        <v>5000000</v>
      </c>
      <c r="H415" s="18">
        <v>4883596.53</v>
      </c>
      <c r="I415" s="18">
        <v>5000000</v>
      </c>
      <c r="J415" s="18">
        <v>4883596.53</v>
      </c>
      <c r="K415" s="15">
        <v>16779599</v>
      </c>
      <c r="L415" s="13" t="s">
        <v>102</v>
      </c>
      <c r="M415" s="13" t="s">
        <v>103</v>
      </c>
      <c r="N415" s="139" t="s">
        <v>359</v>
      </c>
      <c r="O415" s="139" t="s">
        <v>359</v>
      </c>
      <c r="P415" s="28">
        <v>29</v>
      </c>
      <c r="Q415" s="13" t="s">
        <v>54</v>
      </c>
      <c r="R415" s="13" t="s">
        <v>28</v>
      </c>
      <c r="S415" s="13"/>
      <c r="T415" s="13"/>
      <c r="U415" s="13" t="s">
        <v>1311</v>
      </c>
      <c r="V415" s="13" t="s">
        <v>1311</v>
      </c>
      <c r="W415" s="59">
        <f>+J415/$W$2</f>
        <v>1.0970222585508222E-4</v>
      </c>
    </row>
    <row r="416" spans="1:29">
      <c r="A416" s="13" t="s">
        <v>339</v>
      </c>
      <c r="B416" s="13" t="s">
        <v>538</v>
      </c>
      <c r="C416" s="139">
        <v>46211</v>
      </c>
      <c r="D416" s="139" t="s">
        <v>516</v>
      </c>
      <c r="E416" s="28">
        <v>0.97671934999999999</v>
      </c>
      <c r="F416" s="13"/>
      <c r="G416" s="18">
        <v>1200000</v>
      </c>
      <c r="H416" s="18">
        <v>1172063.22</v>
      </c>
      <c r="I416" s="18">
        <v>1200000</v>
      </c>
      <c r="J416" s="18">
        <v>1172063.22</v>
      </c>
      <c r="K416" s="15">
        <v>543</v>
      </c>
      <c r="L416" s="13" t="s">
        <v>102</v>
      </c>
      <c r="M416" s="13" t="s">
        <v>103</v>
      </c>
      <c r="N416" s="139" t="s">
        <v>161</v>
      </c>
      <c r="O416" s="139" t="s">
        <v>161</v>
      </c>
      <c r="P416" s="28">
        <v>29</v>
      </c>
      <c r="Q416" s="13" t="s">
        <v>54</v>
      </c>
      <c r="R416" s="13" t="s">
        <v>28</v>
      </c>
      <c r="S416" s="13"/>
      <c r="T416" s="13"/>
      <c r="U416" s="13" t="s">
        <v>1264</v>
      </c>
      <c r="V416" s="13" t="s">
        <v>1264</v>
      </c>
      <c r="W416" s="59">
        <f>+J416/$W$2</f>
        <v>2.6328535391287723E-5</v>
      </c>
      <c r="AC416" s="56"/>
    </row>
    <row r="417" spans="1:29">
      <c r="A417" s="13" t="s">
        <v>339</v>
      </c>
      <c r="B417" s="13" t="s">
        <v>538</v>
      </c>
      <c r="C417" s="139">
        <v>46211</v>
      </c>
      <c r="D417" s="139" t="s">
        <v>516</v>
      </c>
      <c r="E417" s="28">
        <v>0.97671936000000004</v>
      </c>
      <c r="F417" s="13"/>
      <c r="G417" s="18">
        <v>12500000</v>
      </c>
      <c r="H417" s="18">
        <v>12208991.970000001</v>
      </c>
      <c r="I417" s="18">
        <v>12500000</v>
      </c>
      <c r="J417" s="18">
        <v>12208991.970000001</v>
      </c>
      <c r="K417" s="15">
        <v>9798605</v>
      </c>
      <c r="L417" s="13" t="s">
        <v>102</v>
      </c>
      <c r="M417" s="13" t="s">
        <v>103</v>
      </c>
      <c r="N417" s="139" t="s">
        <v>161</v>
      </c>
      <c r="O417" s="139" t="s">
        <v>161</v>
      </c>
      <c r="P417" s="28">
        <v>29</v>
      </c>
      <c r="Q417" s="13" t="s">
        <v>54</v>
      </c>
      <c r="R417" s="13" t="s">
        <v>28</v>
      </c>
      <c r="S417" s="13"/>
      <c r="T417" s="13"/>
      <c r="U417" s="13" t="s">
        <v>1266</v>
      </c>
      <c r="V417" s="13" t="s">
        <v>1266</v>
      </c>
      <c r="W417" s="59">
        <f>+J417/$W$2</f>
        <v>2.7425557912660431E-4</v>
      </c>
    </row>
    <row r="418" spans="1:29">
      <c r="A418" s="13" t="s">
        <v>339</v>
      </c>
      <c r="B418" s="13" t="s">
        <v>538</v>
      </c>
      <c r="C418" s="139">
        <v>46211</v>
      </c>
      <c r="D418" s="139" t="s">
        <v>516</v>
      </c>
      <c r="E418" s="28">
        <v>0.97671931000000001</v>
      </c>
      <c r="F418" s="13"/>
      <c r="G418" s="18">
        <v>7000000</v>
      </c>
      <c r="H418" s="18">
        <v>6837035.1500000004</v>
      </c>
      <c r="I418" s="18">
        <v>7000000</v>
      </c>
      <c r="J418" s="18">
        <v>6837035.1500000004</v>
      </c>
      <c r="K418" s="15">
        <v>66582572</v>
      </c>
      <c r="L418" s="13" t="s">
        <v>102</v>
      </c>
      <c r="M418" s="13" t="s">
        <v>103</v>
      </c>
      <c r="N418" s="139" t="s">
        <v>359</v>
      </c>
      <c r="O418" s="139" t="s">
        <v>359</v>
      </c>
      <c r="P418" s="28">
        <v>29</v>
      </c>
      <c r="Q418" s="13" t="s">
        <v>54</v>
      </c>
      <c r="R418" s="13" t="s">
        <v>28</v>
      </c>
      <c r="S418" s="13"/>
      <c r="T418" s="13"/>
      <c r="U418" s="13" t="s">
        <v>1332</v>
      </c>
      <c r="V418" s="13" t="s">
        <v>1332</v>
      </c>
      <c r="W418" s="59">
        <f>+J418/$W$2</f>
        <v>1.5358311637682237E-4</v>
      </c>
    </row>
    <row r="419" spans="1:29">
      <c r="A419" s="13" t="s">
        <v>198</v>
      </c>
      <c r="B419" s="13" t="s">
        <v>538</v>
      </c>
      <c r="C419" s="139">
        <v>46211</v>
      </c>
      <c r="D419" s="139" t="s">
        <v>516</v>
      </c>
      <c r="E419" s="28">
        <v>0.98382749999999997</v>
      </c>
      <c r="F419" s="13"/>
      <c r="G419" s="18">
        <v>2500000</v>
      </c>
      <c r="H419" s="18">
        <v>2459568.75</v>
      </c>
      <c r="I419" s="18">
        <v>2500000</v>
      </c>
      <c r="J419" s="18">
        <v>2459568.75</v>
      </c>
      <c r="K419" s="15">
        <v>6120</v>
      </c>
      <c r="L419" s="13" t="s">
        <v>102</v>
      </c>
      <c r="M419" s="13" t="s">
        <v>103</v>
      </c>
      <c r="N419" s="139" t="s">
        <v>335</v>
      </c>
      <c r="O419" s="139" t="s">
        <v>335</v>
      </c>
      <c r="P419" s="28">
        <v>20</v>
      </c>
      <c r="Q419" s="13" t="s">
        <v>54</v>
      </c>
      <c r="R419" s="13" t="s">
        <v>28</v>
      </c>
      <c r="S419" s="13"/>
      <c r="T419" s="13"/>
      <c r="U419" s="13" t="s">
        <v>1754</v>
      </c>
      <c r="V419" s="13" t="s">
        <v>1754</v>
      </c>
      <c r="W419" s="59">
        <f>+J419/$W$2</f>
        <v>5.5250298598807926E-5</v>
      </c>
    </row>
    <row r="420" spans="1:29">
      <c r="A420" s="13" t="s">
        <v>1402</v>
      </c>
      <c r="B420" s="13" t="s">
        <v>538</v>
      </c>
      <c r="C420" s="139">
        <v>46211</v>
      </c>
      <c r="D420" s="139" t="s">
        <v>516</v>
      </c>
      <c r="E420" s="28">
        <v>0.97750404000000002</v>
      </c>
      <c r="F420" s="13"/>
      <c r="G420" s="18">
        <v>6500000</v>
      </c>
      <c r="H420" s="18">
        <v>6353776.2599999998</v>
      </c>
      <c r="I420" s="18">
        <v>6500000</v>
      </c>
      <c r="J420" s="18">
        <v>6353776.2599999998</v>
      </c>
      <c r="K420" s="15">
        <v>29175485</v>
      </c>
      <c r="L420" s="13" t="s">
        <v>102</v>
      </c>
      <c r="M420" s="13" t="s">
        <v>103</v>
      </c>
      <c r="N420" s="139" t="s">
        <v>379</v>
      </c>
      <c r="O420" s="139" t="s">
        <v>379</v>
      </c>
      <c r="P420" s="28">
        <v>28</v>
      </c>
      <c r="Q420" s="13" t="s">
        <v>54</v>
      </c>
      <c r="R420" s="13" t="s">
        <v>28</v>
      </c>
      <c r="S420" s="13"/>
      <c r="T420" s="13"/>
      <c r="U420" s="13" t="s">
        <v>1369</v>
      </c>
      <c r="V420" s="13" t="s">
        <v>1369</v>
      </c>
      <c r="W420" s="59">
        <f>+J420/$W$2</f>
        <v>1.4272747431638862E-4</v>
      </c>
    </row>
    <row r="421" spans="1:29">
      <c r="A421" s="13" t="s">
        <v>1459</v>
      </c>
      <c r="B421" s="13" t="s">
        <v>538</v>
      </c>
      <c r="C421" s="139">
        <v>46216</v>
      </c>
      <c r="D421" s="139" t="s">
        <v>516</v>
      </c>
      <c r="E421" s="28">
        <v>0.96752833000000005</v>
      </c>
      <c r="F421" s="13"/>
      <c r="G421" s="18">
        <v>2000000</v>
      </c>
      <c r="H421" s="18">
        <v>1935056.66</v>
      </c>
      <c r="I421" s="18">
        <v>2000000</v>
      </c>
      <c r="J421" s="18">
        <v>1935056.66</v>
      </c>
      <c r="K421" s="15">
        <v>7747</v>
      </c>
      <c r="L421" s="13" t="s">
        <v>102</v>
      </c>
      <c r="M421" s="13" t="s">
        <v>103</v>
      </c>
      <c r="N421" s="139" t="s">
        <v>381</v>
      </c>
      <c r="O421" s="139" t="s">
        <v>381</v>
      </c>
      <c r="P421" s="28">
        <v>35</v>
      </c>
      <c r="Q421" s="13" t="s">
        <v>54</v>
      </c>
      <c r="R421" s="13" t="s">
        <v>28</v>
      </c>
      <c r="S421" s="13"/>
      <c r="T421" s="13"/>
      <c r="U421" s="13" t="s">
        <v>1455</v>
      </c>
      <c r="V421" s="13" t="s">
        <v>1455</v>
      </c>
      <c r="W421" s="59">
        <f>+J421/$W$2</f>
        <v>4.3467969037503807E-5</v>
      </c>
      <c r="AC421" s="56"/>
    </row>
    <row r="422" spans="1:29">
      <c r="A422" s="13" t="s">
        <v>1410</v>
      </c>
      <c r="B422" s="13" t="s">
        <v>538</v>
      </c>
      <c r="C422" s="139">
        <v>46216</v>
      </c>
      <c r="D422" s="139" t="s">
        <v>516</v>
      </c>
      <c r="E422" s="28">
        <v>0.96932680000000004</v>
      </c>
      <c r="F422" s="13"/>
      <c r="G422" s="18">
        <v>1100000</v>
      </c>
      <c r="H422" s="18">
        <v>1066259.48</v>
      </c>
      <c r="I422" s="18">
        <v>1100000</v>
      </c>
      <c r="J422" s="18">
        <v>1066259.48</v>
      </c>
      <c r="K422" s="15">
        <v>49400429</v>
      </c>
      <c r="L422" s="13" t="s">
        <v>102</v>
      </c>
      <c r="M422" s="13" t="s">
        <v>103</v>
      </c>
      <c r="N422" s="139" t="s">
        <v>343</v>
      </c>
      <c r="O422" s="139" t="s">
        <v>343</v>
      </c>
      <c r="P422" s="28">
        <v>33</v>
      </c>
      <c r="Q422" s="13" t="s">
        <v>54</v>
      </c>
      <c r="R422" s="13" t="s">
        <v>28</v>
      </c>
      <c r="S422" s="13"/>
      <c r="T422" s="13"/>
      <c r="U422" s="13" t="s">
        <v>1411</v>
      </c>
      <c r="V422" s="13" t="s">
        <v>1411</v>
      </c>
      <c r="W422" s="59">
        <f>+J422/$W$2</f>
        <v>2.3951822714372046E-5</v>
      </c>
      <c r="AC422" s="56"/>
    </row>
    <row r="423" spans="1:29">
      <c r="A423" s="13" t="s">
        <v>539</v>
      </c>
      <c r="B423" s="13" t="s">
        <v>538</v>
      </c>
      <c r="C423" s="139">
        <v>46216</v>
      </c>
      <c r="D423" s="139" t="s">
        <v>516</v>
      </c>
      <c r="E423" s="28">
        <v>0.97203737000000001</v>
      </c>
      <c r="F423" s="13"/>
      <c r="G423" s="18">
        <v>10000000</v>
      </c>
      <c r="H423" s="18">
        <v>9720373.7300000004</v>
      </c>
      <c r="I423" s="18">
        <v>10000000</v>
      </c>
      <c r="J423" s="18">
        <v>9720373.7300000004</v>
      </c>
      <c r="K423" s="15">
        <v>545</v>
      </c>
      <c r="L423" s="13" t="s">
        <v>102</v>
      </c>
      <c r="M423" s="13" t="s">
        <v>103</v>
      </c>
      <c r="N423" s="139" t="s">
        <v>472</v>
      </c>
      <c r="O423" s="139" t="s">
        <v>472</v>
      </c>
      <c r="P423" s="28">
        <v>30</v>
      </c>
      <c r="Q423" s="13" t="s">
        <v>54</v>
      </c>
      <c r="R423" s="13" t="s">
        <v>28</v>
      </c>
      <c r="S423" s="13"/>
      <c r="T423" s="13"/>
      <c r="U423" s="13" t="s">
        <v>1636</v>
      </c>
      <c r="V423" s="13" t="s">
        <v>1636</v>
      </c>
      <c r="W423" s="59">
        <f>+J423/$W$2</f>
        <v>2.1835272995500061E-4</v>
      </c>
    </row>
    <row r="424" spans="1:29">
      <c r="A424" s="13" t="s">
        <v>558</v>
      </c>
      <c r="B424" s="13" t="s">
        <v>538</v>
      </c>
      <c r="C424" s="139">
        <v>46216</v>
      </c>
      <c r="D424" s="139" t="s">
        <v>516</v>
      </c>
      <c r="E424" s="28">
        <v>0.97113221999999999</v>
      </c>
      <c r="F424" s="13"/>
      <c r="G424" s="18">
        <v>25000000</v>
      </c>
      <c r="H424" s="18">
        <v>24278305.52</v>
      </c>
      <c r="I424" s="18">
        <v>25000000</v>
      </c>
      <c r="J424" s="18">
        <v>24278305.52</v>
      </c>
      <c r="K424" s="15">
        <v>148259</v>
      </c>
      <c r="L424" s="13" t="s">
        <v>102</v>
      </c>
      <c r="M424" s="13" t="s">
        <v>103</v>
      </c>
      <c r="N424" s="139" t="s">
        <v>377</v>
      </c>
      <c r="O424" s="139" t="s">
        <v>377</v>
      </c>
      <c r="P424" s="28">
        <v>31</v>
      </c>
      <c r="Q424" s="13" t="s">
        <v>54</v>
      </c>
      <c r="R424" s="13" t="s">
        <v>28</v>
      </c>
      <c r="S424" s="13"/>
      <c r="T424" s="13"/>
      <c r="U424" s="13" t="s">
        <v>1469</v>
      </c>
      <c r="V424" s="13" t="s">
        <v>1469</v>
      </c>
      <c r="W424" s="59">
        <f>+J424/$W$2</f>
        <v>5.4537350478740907E-4</v>
      </c>
    </row>
    <row r="425" spans="1:29">
      <c r="A425" s="13" t="s">
        <v>558</v>
      </c>
      <c r="B425" s="13" t="s">
        <v>538</v>
      </c>
      <c r="C425" s="139">
        <v>46216</v>
      </c>
      <c r="D425" s="139" t="s">
        <v>516</v>
      </c>
      <c r="E425" s="28">
        <v>0.9711322</v>
      </c>
      <c r="F425" s="13"/>
      <c r="G425" s="18">
        <v>42000000</v>
      </c>
      <c r="H425" s="18">
        <v>40787552.359999999</v>
      </c>
      <c r="I425" s="18">
        <v>42000000</v>
      </c>
      <c r="J425" s="18">
        <v>40787552.359999999</v>
      </c>
      <c r="K425" s="15">
        <v>148258</v>
      </c>
      <c r="L425" s="13" t="s">
        <v>102</v>
      </c>
      <c r="M425" s="13" t="s">
        <v>103</v>
      </c>
      <c r="N425" s="139" t="s">
        <v>473</v>
      </c>
      <c r="O425" s="139" t="s">
        <v>473</v>
      </c>
      <c r="P425" s="28">
        <v>31</v>
      </c>
      <c r="Q425" s="13" t="s">
        <v>54</v>
      </c>
      <c r="R425" s="13" t="s">
        <v>28</v>
      </c>
      <c r="S425" s="13"/>
      <c r="T425" s="13"/>
      <c r="U425" s="13" t="s">
        <v>1439</v>
      </c>
      <c r="V425" s="13" t="s">
        <v>1439</v>
      </c>
      <c r="W425" s="59">
        <f>+J425/$W$2</f>
        <v>9.1622746752027676E-4</v>
      </c>
    </row>
    <row r="426" spans="1:29">
      <c r="A426" s="13" t="s">
        <v>558</v>
      </c>
      <c r="B426" s="13" t="s">
        <v>538</v>
      </c>
      <c r="C426" s="139">
        <v>46216</v>
      </c>
      <c r="D426" s="139" t="s">
        <v>516</v>
      </c>
      <c r="E426" s="28">
        <v>0.9711322</v>
      </c>
      <c r="F426" s="13"/>
      <c r="G426" s="18">
        <v>25000000</v>
      </c>
      <c r="H426" s="18">
        <v>24278304.98</v>
      </c>
      <c r="I426" s="18">
        <v>25000000</v>
      </c>
      <c r="J426" s="18">
        <v>24278304.98</v>
      </c>
      <c r="K426" s="15">
        <v>70219526</v>
      </c>
      <c r="L426" s="13" t="s">
        <v>102</v>
      </c>
      <c r="M426" s="13" t="s">
        <v>103</v>
      </c>
      <c r="N426" s="139" t="s">
        <v>473</v>
      </c>
      <c r="O426" s="139" t="s">
        <v>473</v>
      </c>
      <c r="P426" s="28">
        <v>31</v>
      </c>
      <c r="Q426" s="13" t="s">
        <v>54</v>
      </c>
      <c r="R426" s="13" t="s">
        <v>28</v>
      </c>
      <c r="S426" s="13"/>
      <c r="T426" s="13"/>
      <c r="U426" s="13" t="s">
        <v>1442</v>
      </c>
      <c r="V426" s="13" t="s">
        <v>1442</v>
      </c>
      <c r="W426" s="59">
        <f>+J426/$W$2</f>
        <v>5.4537349265716825E-4</v>
      </c>
      <c r="AC426" s="56"/>
    </row>
    <row r="427" spans="1:29">
      <c r="A427" s="13" t="s">
        <v>993</v>
      </c>
      <c r="B427" s="13" t="s">
        <v>538</v>
      </c>
      <c r="C427" s="139">
        <v>46216</v>
      </c>
      <c r="D427" s="139" t="s">
        <v>516</v>
      </c>
      <c r="E427" s="28">
        <v>0.97385277999999997</v>
      </c>
      <c r="F427" s="13"/>
      <c r="G427" s="18">
        <v>1000000</v>
      </c>
      <c r="H427" s="18">
        <v>973852.78</v>
      </c>
      <c r="I427" s="18">
        <v>1000000</v>
      </c>
      <c r="J427" s="18">
        <v>973852.78</v>
      </c>
      <c r="K427" s="15">
        <v>18305446</v>
      </c>
      <c r="L427" s="13" t="s">
        <v>102</v>
      </c>
      <c r="M427" s="13" t="s">
        <v>103</v>
      </c>
      <c r="N427" s="139" t="s">
        <v>344</v>
      </c>
      <c r="O427" s="139" t="s">
        <v>344</v>
      </c>
      <c r="P427" s="28">
        <v>28</v>
      </c>
      <c r="Q427" s="13" t="s">
        <v>54</v>
      </c>
      <c r="R427" s="13" t="s">
        <v>28</v>
      </c>
      <c r="S427" s="13"/>
      <c r="T427" s="13"/>
      <c r="U427" s="13" t="s">
        <v>1104</v>
      </c>
      <c r="V427" s="13" t="s">
        <v>1104</v>
      </c>
      <c r="W427" s="59">
        <f>+J427/$W$2</f>
        <v>2.1876053225297811E-5</v>
      </c>
    </row>
    <row r="428" spans="1:29">
      <c r="A428" s="13" t="s">
        <v>339</v>
      </c>
      <c r="B428" s="13" t="s">
        <v>538</v>
      </c>
      <c r="C428" s="139">
        <v>46216</v>
      </c>
      <c r="D428" s="139" t="s">
        <v>516</v>
      </c>
      <c r="E428" s="28">
        <v>0.97476309000000005</v>
      </c>
      <c r="F428" s="13"/>
      <c r="G428" s="18">
        <v>10000000</v>
      </c>
      <c r="H428" s="18">
        <v>9747630.9100000001</v>
      </c>
      <c r="I428" s="18">
        <v>10000000</v>
      </c>
      <c r="J428" s="18">
        <v>9747630.9100000001</v>
      </c>
      <c r="K428" s="15">
        <v>32531</v>
      </c>
      <c r="L428" s="13" t="s">
        <v>102</v>
      </c>
      <c r="M428" s="13" t="s">
        <v>103</v>
      </c>
      <c r="N428" s="139" t="s">
        <v>395</v>
      </c>
      <c r="O428" s="139" t="s">
        <v>395</v>
      </c>
      <c r="P428" s="28">
        <v>27</v>
      </c>
      <c r="Q428" s="13" t="s">
        <v>54</v>
      </c>
      <c r="R428" s="13" t="s">
        <v>28</v>
      </c>
      <c r="S428" s="13"/>
      <c r="T428" s="13"/>
      <c r="U428" s="13" t="s">
        <v>1251</v>
      </c>
      <c r="V428" s="13" t="s">
        <v>1251</v>
      </c>
      <c r="W428" s="59">
        <f>+J428/$W$2</f>
        <v>2.1896501913535444E-4</v>
      </c>
    </row>
    <row r="429" spans="1:29">
      <c r="A429" s="13" t="s">
        <v>339</v>
      </c>
      <c r="B429" s="13" t="s">
        <v>538</v>
      </c>
      <c r="C429" s="139">
        <v>46216</v>
      </c>
      <c r="D429" s="139" t="s">
        <v>516</v>
      </c>
      <c r="E429" s="28">
        <v>0.97294424999999995</v>
      </c>
      <c r="F429" s="13"/>
      <c r="G429" s="18">
        <v>20000000</v>
      </c>
      <c r="H429" s="18">
        <v>19458885</v>
      </c>
      <c r="I429" s="18">
        <v>20000000</v>
      </c>
      <c r="J429" s="18">
        <v>19458885</v>
      </c>
      <c r="K429" s="15">
        <v>816</v>
      </c>
      <c r="L429" s="13" t="s">
        <v>102</v>
      </c>
      <c r="M429" s="13" t="s">
        <v>103</v>
      </c>
      <c r="N429" s="139" t="s">
        <v>359</v>
      </c>
      <c r="O429" s="139" t="s">
        <v>359</v>
      </c>
      <c r="P429" s="28">
        <v>29</v>
      </c>
      <c r="Q429" s="13" t="s">
        <v>54</v>
      </c>
      <c r="R429" s="13" t="s">
        <v>28</v>
      </c>
      <c r="S429" s="13"/>
      <c r="T429" s="13"/>
      <c r="U429" s="13" t="s">
        <v>1336</v>
      </c>
      <c r="V429" s="13" t="s">
        <v>1336</v>
      </c>
      <c r="W429" s="59">
        <f>+J429/$W$2</f>
        <v>4.3711289088782925E-4</v>
      </c>
    </row>
    <row r="430" spans="1:29">
      <c r="A430" s="13" t="s">
        <v>339</v>
      </c>
      <c r="B430" s="13" t="s">
        <v>538</v>
      </c>
      <c r="C430" s="139">
        <v>46216</v>
      </c>
      <c r="D430" s="139" t="s">
        <v>516</v>
      </c>
      <c r="E430" s="28">
        <v>0.97294424999999995</v>
      </c>
      <c r="F430" s="13"/>
      <c r="G430" s="18">
        <v>6500000</v>
      </c>
      <c r="H430" s="18">
        <v>6324137.6399999997</v>
      </c>
      <c r="I430" s="18">
        <v>6500000</v>
      </c>
      <c r="J430" s="18">
        <v>6324137.6399999997</v>
      </c>
      <c r="K430" s="15">
        <v>66607731</v>
      </c>
      <c r="L430" s="13" t="s">
        <v>102</v>
      </c>
      <c r="M430" s="13" t="s">
        <v>103</v>
      </c>
      <c r="N430" s="139" t="s">
        <v>359</v>
      </c>
      <c r="O430" s="139" t="s">
        <v>359</v>
      </c>
      <c r="P430" s="28">
        <v>29</v>
      </c>
      <c r="Q430" s="13" t="s">
        <v>54</v>
      </c>
      <c r="R430" s="13" t="s">
        <v>28</v>
      </c>
      <c r="S430" s="13"/>
      <c r="T430" s="13"/>
      <c r="U430" s="13" t="s">
        <v>1349</v>
      </c>
      <c r="V430" s="13" t="s">
        <v>1349</v>
      </c>
      <c r="W430" s="59">
        <f>+J430/$W$2</f>
        <v>1.4206168987549562E-4</v>
      </c>
    </row>
    <row r="431" spans="1:29">
      <c r="A431" s="13" t="s">
        <v>198</v>
      </c>
      <c r="B431" s="13" t="s">
        <v>538</v>
      </c>
      <c r="C431" s="139">
        <v>46216</v>
      </c>
      <c r="D431" s="139" t="s">
        <v>516</v>
      </c>
      <c r="E431" s="28">
        <v>0.98118289999999997</v>
      </c>
      <c r="F431" s="13"/>
      <c r="G431" s="18">
        <v>2500000</v>
      </c>
      <c r="H431" s="18">
        <v>2452957.2400000002</v>
      </c>
      <c r="I431" s="18">
        <v>2500000</v>
      </c>
      <c r="J431" s="18">
        <v>2452957.2400000002</v>
      </c>
      <c r="K431" s="15">
        <v>6121</v>
      </c>
      <c r="L431" s="13" t="s">
        <v>102</v>
      </c>
      <c r="M431" s="13" t="s">
        <v>103</v>
      </c>
      <c r="N431" s="139" t="s">
        <v>335</v>
      </c>
      <c r="O431" s="139" t="s">
        <v>335</v>
      </c>
      <c r="P431" s="28">
        <v>20</v>
      </c>
      <c r="Q431" s="13" t="s">
        <v>54</v>
      </c>
      <c r="R431" s="13" t="s">
        <v>28</v>
      </c>
      <c r="S431" s="13"/>
      <c r="T431" s="13"/>
      <c r="U431" s="13" t="s">
        <v>1756</v>
      </c>
      <c r="V431" s="13" t="s">
        <v>1756</v>
      </c>
      <c r="W431" s="59">
        <f>+J431/$W$2</f>
        <v>5.5101781546097364E-5</v>
      </c>
    </row>
    <row r="432" spans="1:29">
      <c r="A432" s="13" t="s">
        <v>1402</v>
      </c>
      <c r="B432" s="13" t="s">
        <v>538</v>
      </c>
      <c r="C432" s="139">
        <v>46216</v>
      </c>
      <c r="D432" s="139" t="s">
        <v>516</v>
      </c>
      <c r="E432" s="28">
        <v>0.97385283</v>
      </c>
      <c r="F432" s="13"/>
      <c r="G432" s="18">
        <v>6500000</v>
      </c>
      <c r="H432" s="18">
        <v>6330043.3899999997</v>
      </c>
      <c r="I432" s="18">
        <v>6500000</v>
      </c>
      <c r="J432" s="18">
        <v>6330043.3899999997</v>
      </c>
      <c r="K432" s="15">
        <v>29175483</v>
      </c>
      <c r="L432" s="13" t="s">
        <v>102</v>
      </c>
      <c r="M432" s="13" t="s">
        <v>103</v>
      </c>
      <c r="N432" s="139" t="s">
        <v>379</v>
      </c>
      <c r="O432" s="139" t="s">
        <v>379</v>
      </c>
      <c r="P432" s="28">
        <v>28</v>
      </c>
      <c r="Q432" s="13" t="s">
        <v>54</v>
      </c>
      <c r="R432" s="13" t="s">
        <v>28</v>
      </c>
      <c r="S432" s="13"/>
      <c r="T432" s="13"/>
      <c r="U432" s="13" t="s">
        <v>1370</v>
      </c>
      <c r="V432" s="13" t="s">
        <v>1370</v>
      </c>
      <c r="W432" s="59">
        <f>+J432/$W$2</f>
        <v>1.421943531527266E-4</v>
      </c>
    </row>
    <row r="433" spans="1:29">
      <c r="A433" s="13" t="s">
        <v>540</v>
      </c>
      <c r="B433" s="13" t="s">
        <v>538</v>
      </c>
      <c r="C433" s="139">
        <v>46217</v>
      </c>
      <c r="D433" s="139" t="s">
        <v>516</v>
      </c>
      <c r="E433" s="28">
        <v>0.96571066999999999</v>
      </c>
      <c r="F433" s="13"/>
      <c r="G433" s="18">
        <v>90000000</v>
      </c>
      <c r="H433" s="18">
        <v>86913960.230000004</v>
      </c>
      <c r="I433" s="18">
        <v>90000000</v>
      </c>
      <c r="J433" s="18">
        <v>86913960.230000004</v>
      </c>
      <c r="K433" s="15">
        <v>67385286</v>
      </c>
      <c r="L433" s="13" t="s">
        <v>102</v>
      </c>
      <c r="M433" s="13" t="s">
        <v>103</v>
      </c>
      <c r="N433" s="139" t="s">
        <v>394</v>
      </c>
      <c r="O433" s="139" t="s">
        <v>394</v>
      </c>
      <c r="P433" s="28">
        <v>36</v>
      </c>
      <c r="Q433" s="13" t="s">
        <v>54</v>
      </c>
      <c r="R433" s="13" t="s">
        <v>28</v>
      </c>
      <c r="S433" s="13"/>
      <c r="T433" s="13"/>
      <c r="U433" s="13" t="s">
        <v>2023</v>
      </c>
      <c r="V433" s="13" t="s">
        <v>2023</v>
      </c>
      <c r="W433" s="59">
        <f>+J433/$W$2</f>
        <v>1.9523838295280084E-3</v>
      </c>
    </row>
    <row r="434" spans="1:29">
      <c r="A434" s="13" t="s">
        <v>540</v>
      </c>
      <c r="B434" s="13" t="s">
        <v>538</v>
      </c>
      <c r="C434" s="139">
        <v>46217</v>
      </c>
      <c r="D434" s="139" t="s">
        <v>516</v>
      </c>
      <c r="E434" s="28">
        <v>0.96571066999999999</v>
      </c>
      <c r="F434" s="13"/>
      <c r="G434" s="18">
        <v>210000000</v>
      </c>
      <c r="H434" s="18">
        <v>202799240.53</v>
      </c>
      <c r="I434" s="18">
        <v>210000000</v>
      </c>
      <c r="J434" s="18">
        <v>202799240.53</v>
      </c>
      <c r="K434" s="15">
        <v>67385228</v>
      </c>
      <c r="L434" s="13" t="s">
        <v>102</v>
      </c>
      <c r="M434" s="13" t="s">
        <v>103</v>
      </c>
      <c r="N434" s="139" t="s">
        <v>394</v>
      </c>
      <c r="O434" s="139" t="s">
        <v>394</v>
      </c>
      <c r="P434" s="28">
        <v>36</v>
      </c>
      <c r="Q434" s="13" t="s">
        <v>54</v>
      </c>
      <c r="R434" s="13" t="s">
        <v>28</v>
      </c>
      <c r="S434" s="13"/>
      <c r="T434" s="13"/>
      <c r="U434" s="13" t="s">
        <v>2024</v>
      </c>
      <c r="V434" s="13" t="s">
        <v>2024</v>
      </c>
      <c r="W434" s="59">
        <f>+J434/$W$2</f>
        <v>4.5555622687489302E-3</v>
      </c>
    </row>
    <row r="435" spans="1:29">
      <c r="A435" s="13" t="s">
        <v>1708</v>
      </c>
      <c r="B435" s="13" t="s">
        <v>538</v>
      </c>
      <c r="C435" s="139">
        <v>46217</v>
      </c>
      <c r="D435" s="139" t="s">
        <v>516</v>
      </c>
      <c r="E435" s="28">
        <v>0.96940404000000002</v>
      </c>
      <c r="F435" s="13"/>
      <c r="G435" s="18">
        <v>300000000</v>
      </c>
      <c r="H435" s="18">
        <v>290821213.35000002</v>
      </c>
      <c r="I435" s="18">
        <v>300000000</v>
      </c>
      <c r="J435" s="18">
        <v>290821213.35000002</v>
      </c>
      <c r="K435" s="15">
        <v>231707</v>
      </c>
      <c r="L435" s="13" t="s">
        <v>102</v>
      </c>
      <c r="M435" s="13" t="s">
        <v>103</v>
      </c>
      <c r="N435" s="139" t="s">
        <v>429</v>
      </c>
      <c r="O435" s="139" t="s">
        <v>429</v>
      </c>
      <c r="P435" s="28">
        <v>32</v>
      </c>
      <c r="Q435" s="13" t="s">
        <v>54</v>
      </c>
      <c r="R435" s="13" t="s">
        <v>28</v>
      </c>
      <c r="S435" s="13"/>
      <c r="T435" s="13"/>
      <c r="U435" s="13" t="s">
        <v>1723</v>
      </c>
      <c r="V435" s="13" t="s">
        <v>1723</v>
      </c>
      <c r="W435" s="59">
        <f>+J435/$W$2</f>
        <v>6.5328358381749347E-3</v>
      </c>
    </row>
    <row r="436" spans="1:29">
      <c r="A436" s="13" t="s">
        <v>788</v>
      </c>
      <c r="B436" s="13" t="s">
        <v>538</v>
      </c>
      <c r="C436" s="139">
        <v>46217</v>
      </c>
      <c r="D436" s="139" t="s">
        <v>516</v>
      </c>
      <c r="E436" s="28">
        <v>0.96571066000000005</v>
      </c>
      <c r="F436" s="13"/>
      <c r="G436" s="18">
        <v>4771794.93</v>
      </c>
      <c r="H436" s="18">
        <v>4608173.25</v>
      </c>
      <c r="I436" s="18">
        <v>4771794.93</v>
      </c>
      <c r="J436" s="18">
        <v>4608173.25</v>
      </c>
      <c r="K436" s="15">
        <v>143</v>
      </c>
      <c r="L436" s="13" t="s">
        <v>102</v>
      </c>
      <c r="M436" s="13" t="s">
        <v>103</v>
      </c>
      <c r="N436" s="139" t="s">
        <v>152</v>
      </c>
      <c r="O436" s="139" t="s">
        <v>152</v>
      </c>
      <c r="P436" s="28">
        <v>36</v>
      </c>
      <c r="Q436" s="13" t="s">
        <v>54</v>
      </c>
      <c r="R436" s="13" t="s">
        <v>28</v>
      </c>
      <c r="S436" s="13"/>
      <c r="T436" s="13"/>
      <c r="U436" s="13" t="s">
        <v>786</v>
      </c>
      <c r="V436" s="13" t="s">
        <v>786</v>
      </c>
      <c r="W436" s="59">
        <f>+J436/$W$2</f>
        <v>1.0351528009027565E-4</v>
      </c>
    </row>
    <row r="437" spans="1:29">
      <c r="A437" s="13" t="s">
        <v>539</v>
      </c>
      <c r="B437" s="13" t="s">
        <v>538</v>
      </c>
      <c r="C437" s="139">
        <v>46217</v>
      </c>
      <c r="D437" s="139" t="s">
        <v>516</v>
      </c>
      <c r="E437" s="28">
        <v>0.97126139</v>
      </c>
      <c r="F437" s="13"/>
      <c r="G437" s="18">
        <v>10000000</v>
      </c>
      <c r="H437" s="18">
        <v>9712613.9100000001</v>
      </c>
      <c r="I437" s="18">
        <v>10000000</v>
      </c>
      <c r="J437" s="18">
        <v>9712613.9100000001</v>
      </c>
      <c r="K437" s="15">
        <v>605</v>
      </c>
      <c r="L437" s="13" t="s">
        <v>102</v>
      </c>
      <c r="M437" s="13" t="s">
        <v>103</v>
      </c>
      <c r="N437" s="139" t="s">
        <v>361</v>
      </c>
      <c r="O437" s="139" t="s">
        <v>361</v>
      </c>
      <c r="P437" s="28">
        <v>30</v>
      </c>
      <c r="Q437" s="13" t="s">
        <v>54</v>
      </c>
      <c r="R437" s="13" t="s">
        <v>28</v>
      </c>
      <c r="S437" s="13"/>
      <c r="T437" s="13"/>
      <c r="U437" s="13" t="s">
        <v>2079</v>
      </c>
      <c r="V437" s="13" t="s">
        <v>2079</v>
      </c>
      <c r="W437" s="59">
        <f>+J437/$W$2</f>
        <v>2.1817841794519277E-4</v>
      </c>
    </row>
    <row r="438" spans="1:29">
      <c r="A438" s="13" t="s">
        <v>558</v>
      </c>
      <c r="B438" s="13" t="s">
        <v>538</v>
      </c>
      <c r="C438" s="139">
        <v>46217</v>
      </c>
      <c r="D438" s="139" t="s">
        <v>516</v>
      </c>
      <c r="E438" s="28">
        <v>0.97033185</v>
      </c>
      <c r="F438" s="13"/>
      <c r="G438" s="18">
        <v>3200000</v>
      </c>
      <c r="H438" s="18">
        <v>3105061.91</v>
      </c>
      <c r="I438" s="18">
        <v>3200000</v>
      </c>
      <c r="J438" s="18">
        <v>3105061.91</v>
      </c>
      <c r="K438" s="15">
        <v>148262</v>
      </c>
      <c r="L438" s="13" t="s">
        <v>102</v>
      </c>
      <c r="M438" s="13" t="s">
        <v>103</v>
      </c>
      <c r="N438" s="139" t="s">
        <v>377</v>
      </c>
      <c r="O438" s="139" t="s">
        <v>377</v>
      </c>
      <c r="P438" s="28">
        <v>31</v>
      </c>
      <c r="Q438" s="13" t="s">
        <v>54</v>
      </c>
      <c r="R438" s="13" t="s">
        <v>28</v>
      </c>
      <c r="S438" s="13"/>
      <c r="T438" s="13"/>
      <c r="U438" s="13" t="s">
        <v>1470</v>
      </c>
      <c r="V438" s="13" t="s">
        <v>1470</v>
      </c>
      <c r="W438" s="59">
        <f>+J438/$W$2</f>
        <v>6.9750275407135846E-5</v>
      </c>
      <c r="AC438" s="56"/>
    </row>
    <row r="439" spans="1:29">
      <c r="A439" s="13" t="s">
        <v>558</v>
      </c>
      <c r="B439" s="13" t="s">
        <v>538</v>
      </c>
      <c r="C439" s="139">
        <v>46217</v>
      </c>
      <c r="D439" s="139" t="s">
        <v>516</v>
      </c>
      <c r="E439" s="28">
        <v>0.97033185</v>
      </c>
      <c r="F439" s="13"/>
      <c r="G439" s="18">
        <v>25000000</v>
      </c>
      <c r="H439" s="18">
        <v>24258296.25</v>
      </c>
      <c r="I439" s="18">
        <v>25000000</v>
      </c>
      <c r="J439" s="18">
        <v>24258296.25</v>
      </c>
      <c r="K439" s="15">
        <v>70219530</v>
      </c>
      <c r="L439" s="13" t="s">
        <v>102</v>
      </c>
      <c r="M439" s="13" t="s">
        <v>103</v>
      </c>
      <c r="N439" s="139" t="s">
        <v>377</v>
      </c>
      <c r="O439" s="139" t="s">
        <v>377</v>
      </c>
      <c r="P439" s="28">
        <v>31</v>
      </c>
      <c r="Q439" s="13" t="s">
        <v>54</v>
      </c>
      <c r="R439" s="13" t="s">
        <v>28</v>
      </c>
      <c r="S439" s="13"/>
      <c r="T439" s="13"/>
      <c r="U439" s="13" t="s">
        <v>1471</v>
      </c>
      <c r="V439" s="13" t="s">
        <v>1471</v>
      </c>
      <c r="W439" s="59">
        <f>+J439/$W$2</f>
        <v>5.4492402837320267E-4</v>
      </c>
      <c r="AC439" s="56"/>
    </row>
    <row r="440" spans="1:29">
      <c r="A440" s="13" t="s">
        <v>558</v>
      </c>
      <c r="B440" s="13" t="s">
        <v>538</v>
      </c>
      <c r="C440" s="139">
        <v>46217</v>
      </c>
      <c r="D440" s="139" t="s">
        <v>516</v>
      </c>
      <c r="E440" s="28">
        <v>0.97033183000000001</v>
      </c>
      <c r="F440" s="13"/>
      <c r="G440" s="18">
        <v>30000000</v>
      </c>
      <c r="H440" s="18">
        <v>29109954.940000001</v>
      </c>
      <c r="I440" s="18">
        <v>30000000</v>
      </c>
      <c r="J440" s="18">
        <v>29109954.940000001</v>
      </c>
      <c r="K440" s="15">
        <v>70219529</v>
      </c>
      <c r="L440" s="13" t="s">
        <v>102</v>
      </c>
      <c r="M440" s="13" t="s">
        <v>103</v>
      </c>
      <c r="N440" s="139" t="s">
        <v>473</v>
      </c>
      <c r="O440" s="139" t="s">
        <v>473</v>
      </c>
      <c r="P440" s="28">
        <v>31</v>
      </c>
      <c r="Q440" s="13" t="s">
        <v>54</v>
      </c>
      <c r="R440" s="13" t="s">
        <v>28</v>
      </c>
      <c r="S440" s="13"/>
      <c r="T440" s="13"/>
      <c r="U440" s="13" t="s">
        <v>1443</v>
      </c>
      <c r="V440" s="13" t="s">
        <v>1443</v>
      </c>
      <c r="W440" s="59">
        <f>+J440/$W$2</f>
        <v>6.5390882146833414E-4</v>
      </c>
    </row>
    <row r="441" spans="1:29">
      <c r="A441" s="13" t="s">
        <v>639</v>
      </c>
      <c r="B441" s="13" t="s">
        <v>538</v>
      </c>
      <c r="C441" s="139">
        <v>46217</v>
      </c>
      <c r="D441" s="139" t="s">
        <v>516</v>
      </c>
      <c r="E441" s="28">
        <v>0.97219264999999999</v>
      </c>
      <c r="F441" s="13"/>
      <c r="G441" s="18">
        <v>12500000</v>
      </c>
      <c r="H441" s="18">
        <v>12152408.119999999</v>
      </c>
      <c r="I441" s="18">
        <v>12500000</v>
      </c>
      <c r="J441" s="18">
        <v>12152408.119999999</v>
      </c>
      <c r="K441" s="15">
        <v>28996519</v>
      </c>
      <c r="L441" s="13" t="s">
        <v>102</v>
      </c>
      <c r="M441" s="13" t="s">
        <v>103</v>
      </c>
      <c r="N441" s="139" t="s">
        <v>155</v>
      </c>
      <c r="O441" s="139" t="s">
        <v>155</v>
      </c>
      <c r="P441" s="28">
        <v>29</v>
      </c>
      <c r="Q441" s="13" t="s">
        <v>54</v>
      </c>
      <c r="R441" s="13" t="s">
        <v>28</v>
      </c>
      <c r="S441" s="13"/>
      <c r="T441" s="13"/>
      <c r="U441" s="13" t="s">
        <v>609</v>
      </c>
      <c r="V441" s="13" t="s">
        <v>609</v>
      </c>
      <c r="W441" s="59">
        <f>+J441/$W$2</f>
        <v>2.7298451296577011E-4</v>
      </c>
    </row>
    <row r="442" spans="1:29">
      <c r="A442" s="13" t="s">
        <v>339</v>
      </c>
      <c r="B442" s="13" t="s">
        <v>538</v>
      </c>
      <c r="C442" s="139">
        <v>46217</v>
      </c>
      <c r="D442" s="139" t="s">
        <v>516</v>
      </c>
      <c r="E442" s="28">
        <v>0.97219268999999997</v>
      </c>
      <c r="F442" s="13"/>
      <c r="G442" s="18">
        <v>20000000</v>
      </c>
      <c r="H442" s="18">
        <v>19443853.739999998</v>
      </c>
      <c r="I442" s="18">
        <v>20000000</v>
      </c>
      <c r="J442" s="18">
        <v>19443853.739999998</v>
      </c>
      <c r="K442" s="15">
        <v>817</v>
      </c>
      <c r="L442" s="13" t="s">
        <v>102</v>
      </c>
      <c r="M442" s="13" t="s">
        <v>103</v>
      </c>
      <c r="N442" s="139" t="s">
        <v>359</v>
      </c>
      <c r="O442" s="139" t="s">
        <v>359</v>
      </c>
      <c r="P442" s="28">
        <v>29</v>
      </c>
      <c r="Q442" s="13" t="s">
        <v>54</v>
      </c>
      <c r="R442" s="13" t="s">
        <v>28</v>
      </c>
      <c r="S442" s="13"/>
      <c r="T442" s="13"/>
      <c r="U442" s="13" t="s">
        <v>1337</v>
      </c>
      <c r="V442" s="13" t="s">
        <v>1337</v>
      </c>
      <c r="W442" s="59">
        <f>+J442/$W$2</f>
        <v>4.3677523754786206E-4</v>
      </c>
      <c r="AC442" s="56"/>
    </row>
    <row r="443" spans="1:29">
      <c r="A443" s="13" t="s">
        <v>357</v>
      </c>
      <c r="B443" s="13" t="s">
        <v>538</v>
      </c>
      <c r="C443" s="139">
        <v>46217</v>
      </c>
      <c r="D443" s="139" t="s">
        <v>516</v>
      </c>
      <c r="E443" s="28">
        <v>0.96571079999999998</v>
      </c>
      <c r="F443" s="13"/>
      <c r="G443" s="18">
        <v>4000000</v>
      </c>
      <c r="H443" s="18">
        <v>3862843.19</v>
      </c>
      <c r="I443" s="18">
        <v>4000000</v>
      </c>
      <c r="J443" s="18">
        <v>3862843.19</v>
      </c>
      <c r="K443" s="15">
        <v>40743053</v>
      </c>
      <c r="L443" s="13" t="s">
        <v>102</v>
      </c>
      <c r="M443" s="13" t="s">
        <v>103</v>
      </c>
      <c r="N443" s="139" t="s">
        <v>391</v>
      </c>
      <c r="O443" s="139" t="s">
        <v>391</v>
      </c>
      <c r="P443" s="28">
        <v>36</v>
      </c>
      <c r="Q443" s="13" t="s">
        <v>54</v>
      </c>
      <c r="R443" s="13" t="s">
        <v>28</v>
      </c>
      <c r="S443" s="13"/>
      <c r="T443" s="13"/>
      <c r="U443" s="13" t="s">
        <v>1661</v>
      </c>
      <c r="V443" s="13" t="s">
        <v>1661</v>
      </c>
      <c r="W443" s="59">
        <f>+J443/$W$2</f>
        <v>8.6772626171913977E-5</v>
      </c>
      <c r="AC443" s="56"/>
    </row>
    <row r="444" spans="1:29">
      <c r="A444" s="13" t="s">
        <v>1052</v>
      </c>
      <c r="B444" s="13" t="s">
        <v>538</v>
      </c>
      <c r="C444" s="139">
        <v>46217</v>
      </c>
      <c r="D444" s="139" t="s">
        <v>516</v>
      </c>
      <c r="E444" s="28">
        <v>0.97312584999999996</v>
      </c>
      <c r="F444" s="13"/>
      <c r="G444" s="18">
        <v>15000000</v>
      </c>
      <c r="H444" s="18">
        <v>14596887.68</v>
      </c>
      <c r="I444" s="18">
        <v>15000000</v>
      </c>
      <c r="J444" s="18">
        <v>14596887.68</v>
      </c>
      <c r="K444" s="15">
        <v>29131907</v>
      </c>
      <c r="L444" s="13" t="s">
        <v>102</v>
      </c>
      <c r="M444" s="13" t="s">
        <v>103</v>
      </c>
      <c r="N444" s="139" t="s">
        <v>366</v>
      </c>
      <c r="O444" s="139" t="s">
        <v>366</v>
      </c>
      <c r="P444" s="28">
        <v>28</v>
      </c>
      <c r="Q444" s="13" t="s">
        <v>54</v>
      </c>
      <c r="R444" s="13" t="s">
        <v>28</v>
      </c>
      <c r="S444" s="13"/>
      <c r="T444" s="13"/>
      <c r="U444" s="13" t="s">
        <v>1039</v>
      </c>
      <c r="V444" s="13" t="s">
        <v>1039</v>
      </c>
      <c r="W444" s="59">
        <f>+J444/$W$2</f>
        <v>3.2789585691933218E-4</v>
      </c>
    </row>
    <row r="445" spans="1:29">
      <c r="A445" s="13" t="s">
        <v>261</v>
      </c>
      <c r="B445" s="13" t="s">
        <v>538</v>
      </c>
      <c r="C445" s="139">
        <v>46218</v>
      </c>
      <c r="D445" s="139" t="s">
        <v>516</v>
      </c>
      <c r="E445" s="28">
        <v>0.96763082</v>
      </c>
      <c r="F445" s="13"/>
      <c r="G445" s="18">
        <v>50000000</v>
      </c>
      <c r="H445" s="18">
        <v>48381541.030000001</v>
      </c>
      <c r="I445" s="18">
        <v>50000000</v>
      </c>
      <c r="J445" s="18">
        <v>48381541.030000001</v>
      </c>
      <c r="K445" s="15">
        <v>4526</v>
      </c>
      <c r="L445" s="13" t="s">
        <v>102</v>
      </c>
      <c r="M445" s="13" t="s">
        <v>103</v>
      </c>
      <c r="N445" s="139" t="s">
        <v>428</v>
      </c>
      <c r="O445" s="139" t="s">
        <v>428</v>
      </c>
      <c r="P445" s="28">
        <v>33</v>
      </c>
      <c r="Q445" s="13" t="s">
        <v>54</v>
      </c>
      <c r="R445" s="13" t="s">
        <v>28</v>
      </c>
      <c r="S445" s="13"/>
      <c r="T445" s="13"/>
      <c r="U445" s="13" t="s">
        <v>968</v>
      </c>
      <c r="V445" s="13" t="s">
        <v>968</v>
      </c>
      <c r="W445" s="59">
        <f>+J445/$W$2</f>
        <v>1.0868143403505095E-3</v>
      </c>
    </row>
    <row r="446" spans="1:29">
      <c r="A446" s="13" t="s">
        <v>640</v>
      </c>
      <c r="B446" s="13" t="s">
        <v>538</v>
      </c>
      <c r="C446" s="139">
        <v>46218</v>
      </c>
      <c r="D446" s="139" t="s">
        <v>516</v>
      </c>
      <c r="E446" s="28">
        <v>0.96290832000000004</v>
      </c>
      <c r="F446" s="13"/>
      <c r="G446" s="18">
        <v>100000000</v>
      </c>
      <c r="H446" s="18">
        <v>96290832</v>
      </c>
      <c r="I446" s="18">
        <v>100000000</v>
      </c>
      <c r="J446" s="18">
        <v>96290832</v>
      </c>
      <c r="K446" s="15">
        <v>2597</v>
      </c>
      <c r="L446" s="13" t="s">
        <v>102</v>
      </c>
      <c r="M446" s="13" t="s">
        <v>103</v>
      </c>
      <c r="N446" s="139" t="s">
        <v>320</v>
      </c>
      <c r="O446" s="139" t="s">
        <v>320</v>
      </c>
      <c r="P446" s="28">
        <v>38</v>
      </c>
      <c r="Q446" s="13" t="s">
        <v>54</v>
      </c>
      <c r="R446" s="13" t="s">
        <v>28</v>
      </c>
      <c r="S446" s="13"/>
      <c r="T446" s="13"/>
      <c r="U446" s="13" t="s">
        <v>750</v>
      </c>
      <c r="V446" s="13" t="s">
        <v>750</v>
      </c>
      <c r="W446" s="59">
        <f>+J446/$W$2</f>
        <v>2.1630203344906091E-3</v>
      </c>
    </row>
    <row r="447" spans="1:29">
      <c r="A447" s="13" t="s">
        <v>194</v>
      </c>
      <c r="B447" s="13" t="s">
        <v>538</v>
      </c>
      <c r="C447" s="139">
        <v>46218</v>
      </c>
      <c r="D447" s="139" t="s">
        <v>516</v>
      </c>
      <c r="E447" s="28">
        <v>0.96103221000000005</v>
      </c>
      <c r="F447" s="13"/>
      <c r="G447" s="18">
        <v>214500000</v>
      </c>
      <c r="H447" s="18">
        <v>206141409.88</v>
      </c>
      <c r="I447" s="18">
        <v>214500000</v>
      </c>
      <c r="J447" s="18">
        <v>206141409.88</v>
      </c>
      <c r="K447" s="15">
        <v>70379187</v>
      </c>
      <c r="L447" s="13" t="s">
        <v>102</v>
      </c>
      <c r="M447" s="13" t="s">
        <v>103</v>
      </c>
      <c r="N447" s="139" t="s">
        <v>163</v>
      </c>
      <c r="O447" s="139" t="s">
        <v>163</v>
      </c>
      <c r="P447" s="28">
        <v>40</v>
      </c>
      <c r="Q447" s="13" t="s">
        <v>54</v>
      </c>
      <c r="R447" s="13" t="s">
        <v>28</v>
      </c>
      <c r="S447" s="13"/>
      <c r="T447" s="13"/>
      <c r="U447" s="13" t="s">
        <v>1571</v>
      </c>
      <c r="V447" s="13" t="s">
        <v>1571</v>
      </c>
      <c r="W447" s="59">
        <f>+J447/$W$2</f>
        <v>4.6306387855388279E-3</v>
      </c>
    </row>
    <row r="448" spans="1:29">
      <c r="A448" s="13" t="s">
        <v>1570</v>
      </c>
      <c r="B448" s="13" t="s">
        <v>538</v>
      </c>
      <c r="C448" s="139">
        <v>46218</v>
      </c>
      <c r="D448" s="139" t="s">
        <v>516</v>
      </c>
      <c r="E448" s="28">
        <v>0.96479172999999996</v>
      </c>
      <c r="F448" s="13"/>
      <c r="G448" s="18">
        <v>2040817</v>
      </c>
      <c r="H448" s="18">
        <v>1968963.37</v>
      </c>
      <c r="I448" s="18">
        <v>2040817</v>
      </c>
      <c r="J448" s="18">
        <v>1968963.37</v>
      </c>
      <c r="K448" s="15">
        <v>66894092</v>
      </c>
      <c r="L448" s="13" t="s">
        <v>102</v>
      </c>
      <c r="M448" s="13" t="s">
        <v>103</v>
      </c>
      <c r="N448" s="139" t="s">
        <v>390</v>
      </c>
      <c r="O448" s="139" t="s">
        <v>390</v>
      </c>
      <c r="P448" s="28">
        <v>36</v>
      </c>
      <c r="Q448" s="13" t="s">
        <v>54</v>
      </c>
      <c r="R448" s="13" t="s">
        <v>28</v>
      </c>
      <c r="S448" s="13"/>
      <c r="T448" s="13"/>
      <c r="U448" s="13" t="s">
        <v>1556</v>
      </c>
      <c r="V448" s="13" t="s">
        <v>1556</v>
      </c>
      <c r="W448" s="59">
        <f>+J448/$W$2</f>
        <v>4.4229629329375375E-5</v>
      </c>
    </row>
    <row r="449" spans="1:23">
      <c r="A449" s="13" t="s">
        <v>1570</v>
      </c>
      <c r="B449" s="13" t="s">
        <v>538</v>
      </c>
      <c r="C449" s="139">
        <v>46218</v>
      </c>
      <c r="D449" s="139" t="s">
        <v>516</v>
      </c>
      <c r="E449" s="28">
        <v>0.96479172999999996</v>
      </c>
      <c r="F449" s="13"/>
      <c r="G449" s="18">
        <v>2040817</v>
      </c>
      <c r="H449" s="18">
        <v>1968963.37</v>
      </c>
      <c r="I449" s="18">
        <v>2040817</v>
      </c>
      <c r="J449" s="18">
        <v>1968963.37</v>
      </c>
      <c r="K449" s="15">
        <v>66894107</v>
      </c>
      <c r="L449" s="13" t="s">
        <v>102</v>
      </c>
      <c r="M449" s="13" t="s">
        <v>103</v>
      </c>
      <c r="N449" s="139" t="s">
        <v>390</v>
      </c>
      <c r="O449" s="139" t="s">
        <v>390</v>
      </c>
      <c r="P449" s="28">
        <v>36</v>
      </c>
      <c r="Q449" s="13" t="s">
        <v>54</v>
      </c>
      <c r="R449" s="13" t="s">
        <v>28</v>
      </c>
      <c r="S449" s="13"/>
      <c r="T449" s="13"/>
      <c r="U449" s="13" t="s">
        <v>1557</v>
      </c>
      <c r="V449" s="13" t="s">
        <v>1557</v>
      </c>
      <c r="W449" s="59">
        <f>+J449/$W$2</f>
        <v>4.4229629329375375E-5</v>
      </c>
    </row>
    <row r="450" spans="1:23">
      <c r="A450" s="13" t="s">
        <v>1570</v>
      </c>
      <c r="B450" s="13" t="s">
        <v>538</v>
      </c>
      <c r="C450" s="139">
        <v>46218</v>
      </c>
      <c r="D450" s="139" t="s">
        <v>516</v>
      </c>
      <c r="E450" s="28">
        <v>0.96479172999999996</v>
      </c>
      <c r="F450" s="13"/>
      <c r="G450" s="18">
        <v>2040817</v>
      </c>
      <c r="H450" s="18">
        <v>1968963.37</v>
      </c>
      <c r="I450" s="18">
        <v>2040817</v>
      </c>
      <c r="J450" s="18">
        <v>1968963.37</v>
      </c>
      <c r="K450" s="15">
        <v>66894124</v>
      </c>
      <c r="L450" s="13" t="s">
        <v>102</v>
      </c>
      <c r="M450" s="13" t="s">
        <v>103</v>
      </c>
      <c r="N450" s="139" t="s">
        <v>390</v>
      </c>
      <c r="O450" s="139" t="s">
        <v>390</v>
      </c>
      <c r="P450" s="28">
        <v>36</v>
      </c>
      <c r="Q450" s="13" t="s">
        <v>54</v>
      </c>
      <c r="R450" s="13" t="s">
        <v>28</v>
      </c>
      <c r="S450" s="13"/>
      <c r="T450" s="13"/>
      <c r="U450" s="13" t="s">
        <v>1558</v>
      </c>
      <c r="V450" s="13" t="s">
        <v>1558</v>
      </c>
      <c r="W450" s="59">
        <f>+J450/$W$2</f>
        <v>4.4229629329375375E-5</v>
      </c>
    </row>
    <row r="451" spans="1:23">
      <c r="A451" s="13" t="s">
        <v>1829</v>
      </c>
      <c r="B451" s="13" t="s">
        <v>538</v>
      </c>
      <c r="C451" s="139">
        <v>46218</v>
      </c>
      <c r="D451" s="139" t="s">
        <v>516</v>
      </c>
      <c r="E451" s="28">
        <v>0.96763080000000001</v>
      </c>
      <c r="F451" s="13"/>
      <c r="G451" s="18">
        <v>1077577.5</v>
      </c>
      <c r="H451" s="18">
        <v>1042697.18</v>
      </c>
      <c r="I451" s="18">
        <v>1077577.5</v>
      </c>
      <c r="J451" s="18">
        <v>1042697.18</v>
      </c>
      <c r="K451" s="15">
        <v>90016926</v>
      </c>
      <c r="L451" s="13" t="s">
        <v>102</v>
      </c>
      <c r="M451" s="13" t="s">
        <v>103</v>
      </c>
      <c r="N451" s="139" t="s">
        <v>335</v>
      </c>
      <c r="O451" s="139" t="s">
        <v>335</v>
      </c>
      <c r="P451" s="28">
        <v>33</v>
      </c>
      <c r="Q451" s="13" t="s">
        <v>54</v>
      </c>
      <c r="R451" s="13" t="s">
        <v>28</v>
      </c>
      <c r="S451" s="13"/>
      <c r="T451" s="13"/>
      <c r="U451" s="13" t="s">
        <v>1797</v>
      </c>
      <c r="V451" s="13" t="s">
        <v>1797</v>
      </c>
      <c r="W451" s="59">
        <f>+J451/$W$2</f>
        <v>2.3422533134369582E-5</v>
      </c>
    </row>
    <row r="452" spans="1:23">
      <c r="A452" s="13" t="s">
        <v>751</v>
      </c>
      <c r="B452" s="13" t="s">
        <v>538</v>
      </c>
      <c r="C452" s="139">
        <v>46218</v>
      </c>
      <c r="D452" s="139" t="s">
        <v>516</v>
      </c>
      <c r="E452" s="28">
        <v>0.97818517999999999</v>
      </c>
      <c r="F452" s="13"/>
      <c r="G452" s="18">
        <v>1977599</v>
      </c>
      <c r="H452" s="18">
        <v>1934458.03</v>
      </c>
      <c r="I452" s="18">
        <v>1977599</v>
      </c>
      <c r="J452" s="18">
        <v>1934458.03</v>
      </c>
      <c r="K452" s="15">
        <v>9867</v>
      </c>
      <c r="L452" s="13" t="s">
        <v>102</v>
      </c>
      <c r="M452" s="13" t="s">
        <v>103</v>
      </c>
      <c r="N452" s="139" t="s">
        <v>320</v>
      </c>
      <c r="O452" s="139" t="s">
        <v>320</v>
      </c>
      <c r="P452" s="28">
        <v>22</v>
      </c>
      <c r="Q452" s="13" t="s">
        <v>54</v>
      </c>
      <c r="R452" s="13" t="s">
        <v>28</v>
      </c>
      <c r="S452" s="13"/>
      <c r="T452" s="13"/>
      <c r="U452" s="13" t="s">
        <v>741</v>
      </c>
      <c r="V452" s="13" t="s">
        <v>741</v>
      </c>
      <c r="W452" s="59">
        <f>+J452/$W$2</f>
        <v>4.3454521767021855E-5</v>
      </c>
    </row>
    <row r="453" spans="1:23">
      <c r="A453" s="13" t="s">
        <v>915</v>
      </c>
      <c r="B453" s="13" t="s">
        <v>538</v>
      </c>
      <c r="C453" s="139">
        <v>46218</v>
      </c>
      <c r="D453" s="139" t="s">
        <v>516</v>
      </c>
      <c r="E453" s="28">
        <v>0.97048665000000001</v>
      </c>
      <c r="F453" s="13"/>
      <c r="G453" s="18">
        <v>5000000</v>
      </c>
      <c r="H453" s="18">
        <v>4852433.24</v>
      </c>
      <c r="I453" s="18">
        <v>5000000</v>
      </c>
      <c r="J453" s="18">
        <v>4852433.24</v>
      </c>
      <c r="K453" s="15">
        <v>3501231</v>
      </c>
      <c r="L453" s="13" t="s">
        <v>102</v>
      </c>
      <c r="M453" s="13" t="s">
        <v>103</v>
      </c>
      <c r="N453" s="139" t="s">
        <v>378</v>
      </c>
      <c r="O453" s="139" t="s">
        <v>378</v>
      </c>
      <c r="P453" s="28">
        <v>30</v>
      </c>
      <c r="Q453" s="13" t="s">
        <v>54</v>
      </c>
      <c r="R453" s="13" t="s">
        <v>28</v>
      </c>
      <c r="S453" s="13"/>
      <c r="T453" s="13"/>
      <c r="U453" s="13" t="s">
        <v>882</v>
      </c>
      <c r="V453" s="13" t="s">
        <v>882</v>
      </c>
      <c r="W453" s="59">
        <f>+J453/$W$2</f>
        <v>1.0900219212851074E-4</v>
      </c>
    </row>
    <row r="454" spans="1:23">
      <c r="A454" s="13" t="s">
        <v>915</v>
      </c>
      <c r="B454" s="13" t="s">
        <v>538</v>
      </c>
      <c r="C454" s="139">
        <v>46218</v>
      </c>
      <c r="D454" s="139" t="s">
        <v>516</v>
      </c>
      <c r="E454" s="28">
        <v>0.96763083999999999</v>
      </c>
      <c r="F454" s="13"/>
      <c r="G454" s="18">
        <v>5600000</v>
      </c>
      <c r="H454" s="18">
        <v>5418732.6799999997</v>
      </c>
      <c r="I454" s="18">
        <v>5600000</v>
      </c>
      <c r="J454" s="18">
        <v>5418732.6799999997</v>
      </c>
      <c r="K454" s="15">
        <v>3501248</v>
      </c>
      <c r="L454" s="13" t="s">
        <v>102</v>
      </c>
      <c r="M454" s="13" t="s">
        <v>103</v>
      </c>
      <c r="N454" s="139" t="s">
        <v>374</v>
      </c>
      <c r="O454" s="139" t="s">
        <v>374</v>
      </c>
      <c r="P454" s="28">
        <v>33</v>
      </c>
      <c r="Q454" s="13" t="s">
        <v>54</v>
      </c>
      <c r="R454" s="13" t="s">
        <v>28</v>
      </c>
      <c r="S454" s="13"/>
      <c r="T454" s="13"/>
      <c r="U454" s="13" t="s">
        <v>1196</v>
      </c>
      <c r="V454" s="13" t="s">
        <v>1196</v>
      </c>
      <c r="W454" s="59">
        <f>+J454/$W$2</f>
        <v>1.2172320802055998E-4</v>
      </c>
    </row>
    <row r="455" spans="1:23">
      <c r="A455" s="13" t="s">
        <v>916</v>
      </c>
      <c r="B455" s="13" t="s">
        <v>538</v>
      </c>
      <c r="C455" s="139">
        <v>46218</v>
      </c>
      <c r="D455" s="139" t="s">
        <v>516</v>
      </c>
      <c r="E455" s="28">
        <v>0.96763083999999999</v>
      </c>
      <c r="F455" s="13"/>
      <c r="G455" s="18">
        <v>10000000</v>
      </c>
      <c r="H455" s="18">
        <v>9676308.4000000004</v>
      </c>
      <c r="I455" s="18">
        <v>10000000</v>
      </c>
      <c r="J455" s="18">
        <v>9676308.4000000004</v>
      </c>
      <c r="K455" s="15">
        <v>13633524</v>
      </c>
      <c r="L455" s="13" t="s">
        <v>102</v>
      </c>
      <c r="M455" s="13" t="s">
        <v>103</v>
      </c>
      <c r="N455" s="139" t="s">
        <v>163</v>
      </c>
      <c r="O455" s="139" t="s">
        <v>163</v>
      </c>
      <c r="P455" s="28">
        <v>33</v>
      </c>
      <c r="Q455" s="13" t="s">
        <v>54</v>
      </c>
      <c r="R455" s="13" t="s">
        <v>28</v>
      </c>
      <c r="S455" s="13"/>
      <c r="T455" s="13"/>
      <c r="U455" s="13" t="s">
        <v>1578</v>
      </c>
      <c r="V455" s="13" t="s">
        <v>1578</v>
      </c>
      <c r="W455" s="59">
        <f>+J455/$W$2</f>
        <v>2.1736287242800324E-4</v>
      </c>
    </row>
    <row r="456" spans="1:23">
      <c r="A456" s="13" t="s">
        <v>917</v>
      </c>
      <c r="B456" s="13" t="s">
        <v>538</v>
      </c>
      <c r="C456" s="139">
        <v>46218</v>
      </c>
      <c r="D456" s="139" t="s">
        <v>516</v>
      </c>
      <c r="E456" s="28">
        <v>0.9629084</v>
      </c>
      <c r="F456" s="13"/>
      <c r="G456" s="18">
        <v>4599318.34</v>
      </c>
      <c r="H456" s="18">
        <v>4428722.2699999996</v>
      </c>
      <c r="I456" s="18">
        <v>4599318.34</v>
      </c>
      <c r="J456" s="18">
        <v>4428722.2699999996</v>
      </c>
      <c r="K456" s="15">
        <v>573</v>
      </c>
      <c r="L456" s="13" t="s">
        <v>102</v>
      </c>
      <c r="M456" s="13" t="s">
        <v>103</v>
      </c>
      <c r="N456" s="139" t="s">
        <v>344</v>
      </c>
      <c r="O456" s="139" t="s">
        <v>344</v>
      </c>
      <c r="P456" s="28">
        <v>38</v>
      </c>
      <c r="Q456" s="13" t="s">
        <v>54</v>
      </c>
      <c r="R456" s="13" t="s">
        <v>28</v>
      </c>
      <c r="S456" s="13"/>
      <c r="T456" s="13"/>
      <c r="U456" s="13" t="s">
        <v>1137</v>
      </c>
      <c r="V456" s="13" t="s">
        <v>1137</v>
      </c>
      <c r="W456" s="59">
        <f>+J456/$W$2</f>
        <v>9.9484199345389478E-5</v>
      </c>
    </row>
    <row r="457" spans="1:23">
      <c r="A457" s="13" t="s">
        <v>445</v>
      </c>
      <c r="B457" s="13" t="s">
        <v>538</v>
      </c>
      <c r="C457" s="139">
        <v>46218</v>
      </c>
      <c r="D457" s="139" t="s">
        <v>516</v>
      </c>
      <c r="E457" s="28">
        <v>0.96384921000000001</v>
      </c>
      <c r="F457" s="13"/>
      <c r="G457" s="18">
        <v>9500000</v>
      </c>
      <c r="H457" s="18">
        <v>9156567.4800000004</v>
      </c>
      <c r="I457" s="18">
        <v>9500000</v>
      </c>
      <c r="J457" s="18">
        <v>9156567.4800000004</v>
      </c>
      <c r="K457" s="15">
        <v>10949773</v>
      </c>
      <c r="L457" s="13" t="s">
        <v>102</v>
      </c>
      <c r="M457" s="13" t="s">
        <v>103</v>
      </c>
      <c r="N457" s="139" t="s">
        <v>384</v>
      </c>
      <c r="O457" s="139" t="s">
        <v>384</v>
      </c>
      <c r="P457" s="28">
        <v>37</v>
      </c>
      <c r="Q457" s="13" t="s">
        <v>54</v>
      </c>
      <c r="R457" s="13" t="s">
        <v>28</v>
      </c>
      <c r="S457" s="13"/>
      <c r="T457" s="13"/>
      <c r="U457" s="13" t="s">
        <v>1523</v>
      </c>
      <c r="V457" s="13" t="s">
        <v>1523</v>
      </c>
      <c r="W457" s="59">
        <f>+J457/$W$2</f>
        <v>2.0568771960943733E-4</v>
      </c>
    </row>
    <row r="458" spans="1:23">
      <c r="A458" s="13" t="s">
        <v>539</v>
      </c>
      <c r="B458" s="13" t="s">
        <v>538</v>
      </c>
      <c r="C458" s="139">
        <v>46218</v>
      </c>
      <c r="D458" s="139" t="s">
        <v>516</v>
      </c>
      <c r="E458" s="28">
        <v>0.96573626999999995</v>
      </c>
      <c r="F458" s="13"/>
      <c r="G458" s="18">
        <v>11000000</v>
      </c>
      <c r="H458" s="18">
        <v>10623098.970000001</v>
      </c>
      <c r="I458" s="18">
        <v>11000000</v>
      </c>
      <c r="J458" s="18">
        <v>10623098.970000001</v>
      </c>
      <c r="K458" s="15">
        <v>388</v>
      </c>
      <c r="L458" s="13" t="s">
        <v>102</v>
      </c>
      <c r="M458" s="13" t="s">
        <v>103</v>
      </c>
      <c r="N458" s="139" t="s">
        <v>428</v>
      </c>
      <c r="O458" s="139" t="s">
        <v>428</v>
      </c>
      <c r="P458" s="28">
        <v>35</v>
      </c>
      <c r="Q458" s="13" t="s">
        <v>54</v>
      </c>
      <c r="R458" s="13" t="s">
        <v>28</v>
      </c>
      <c r="S458" s="13"/>
      <c r="T458" s="13"/>
      <c r="U458" s="13" t="s">
        <v>956</v>
      </c>
      <c r="V458" s="13" t="s">
        <v>956</v>
      </c>
      <c r="W458" s="59">
        <f>+J458/$W$2</f>
        <v>2.3863101616378437E-4</v>
      </c>
    </row>
    <row r="459" spans="1:23">
      <c r="A459" s="13" t="s">
        <v>539</v>
      </c>
      <c r="B459" s="13" t="s">
        <v>538</v>
      </c>
      <c r="C459" s="139">
        <v>46218</v>
      </c>
      <c r="D459" s="139" t="s">
        <v>516</v>
      </c>
      <c r="E459" s="28">
        <v>0.97048665000000001</v>
      </c>
      <c r="F459" s="13"/>
      <c r="G459" s="18">
        <v>10000000</v>
      </c>
      <c r="H459" s="18">
        <v>9704866.4900000002</v>
      </c>
      <c r="I459" s="18">
        <v>10000000</v>
      </c>
      <c r="J459" s="18">
        <v>9704866.4900000002</v>
      </c>
      <c r="K459" s="15">
        <v>470</v>
      </c>
      <c r="L459" s="13" t="s">
        <v>102</v>
      </c>
      <c r="M459" s="13" t="s">
        <v>103</v>
      </c>
      <c r="N459" s="139" t="s">
        <v>367</v>
      </c>
      <c r="O459" s="139" t="s">
        <v>367</v>
      </c>
      <c r="P459" s="28">
        <v>30</v>
      </c>
      <c r="Q459" s="13" t="s">
        <v>54</v>
      </c>
      <c r="R459" s="13" t="s">
        <v>28</v>
      </c>
      <c r="S459" s="13"/>
      <c r="T459" s="13"/>
      <c r="U459" s="13" t="s">
        <v>1482</v>
      </c>
      <c r="V459" s="13" t="s">
        <v>1482</v>
      </c>
      <c r="W459" s="59">
        <f>+J459/$W$2</f>
        <v>2.1800438448165557E-4</v>
      </c>
    </row>
    <row r="460" spans="1:23">
      <c r="A460" s="13" t="s">
        <v>539</v>
      </c>
      <c r="B460" s="13" t="s">
        <v>538</v>
      </c>
      <c r="C460" s="139">
        <v>46218</v>
      </c>
      <c r="D460" s="139" t="s">
        <v>516</v>
      </c>
      <c r="E460" s="28">
        <v>0.97048661000000003</v>
      </c>
      <c r="F460" s="13"/>
      <c r="G460" s="18">
        <v>10250000</v>
      </c>
      <c r="H460" s="18">
        <v>9947487.7799999993</v>
      </c>
      <c r="I460" s="18">
        <v>10250000</v>
      </c>
      <c r="J460" s="18">
        <v>9947487.7799999993</v>
      </c>
      <c r="K460" s="15">
        <v>453</v>
      </c>
      <c r="L460" s="13" t="s">
        <v>102</v>
      </c>
      <c r="M460" s="13" t="s">
        <v>103</v>
      </c>
      <c r="N460" s="139" t="s">
        <v>379</v>
      </c>
      <c r="O460" s="139" t="s">
        <v>379</v>
      </c>
      <c r="P460" s="28">
        <v>30</v>
      </c>
      <c r="Q460" s="13" t="s">
        <v>54</v>
      </c>
      <c r="R460" s="13" t="s">
        <v>28</v>
      </c>
      <c r="S460" s="13"/>
      <c r="T460" s="13"/>
      <c r="U460" s="13" t="s">
        <v>1397</v>
      </c>
      <c r="V460" s="13" t="s">
        <v>1397</v>
      </c>
      <c r="W460" s="59">
        <f>+J460/$W$2</f>
        <v>2.2345448573169298E-4</v>
      </c>
    </row>
    <row r="461" spans="1:23">
      <c r="A461" s="13" t="s">
        <v>539</v>
      </c>
      <c r="B461" s="13" t="s">
        <v>538</v>
      </c>
      <c r="C461" s="139">
        <v>46218</v>
      </c>
      <c r="D461" s="139" t="s">
        <v>516</v>
      </c>
      <c r="E461" s="28">
        <v>0.97048674999999995</v>
      </c>
      <c r="F461" s="13"/>
      <c r="G461" s="18">
        <v>10000000</v>
      </c>
      <c r="H461" s="18">
        <v>9704867.4900000002</v>
      </c>
      <c r="I461" s="18">
        <v>10000000</v>
      </c>
      <c r="J461" s="18">
        <v>9704867.4900000002</v>
      </c>
      <c r="K461" s="15">
        <v>546</v>
      </c>
      <c r="L461" s="13" t="s">
        <v>102</v>
      </c>
      <c r="M461" s="13" t="s">
        <v>103</v>
      </c>
      <c r="N461" s="139" t="s">
        <v>472</v>
      </c>
      <c r="O461" s="139" t="s">
        <v>472</v>
      </c>
      <c r="P461" s="28">
        <v>30</v>
      </c>
      <c r="Q461" s="13" t="s">
        <v>54</v>
      </c>
      <c r="R461" s="13" t="s">
        <v>28</v>
      </c>
      <c r="S461" s="13"/>
      <c r="T461" s="13"/>
      <c r="U461" s="13" t="s">
        <v>1633</v>
      </c>
      <c r="V461" s="13" t="s">
        <v>1633</v>
      </c>
      <c r="W461" s="59">
        <f>+J461/$W$2</f>
        <v>2.180044069450645E-4</v>
      </c>
    </row>
    <row r="462" spans="1:23">
      <c r="A462" s="13" t="s">
        <v>539</v>
      </c>
      <c r="B462" s="13" t="s">
        <v>538</v>
      </c>
      <c r="C462" s="139">
        <v>46218</v>
      </c>
      <c r="D462" s="139" t="s">
        <v>516</v>
      </c>
      <c r="E462" s="28">
        <v>0.97048670000000004</v>
      </c>
      <c r="F462" s="13"/>
      <c r="G462" s="18">
        <v>10000000</v>
      </c>
      <c r="H462" s="18">
        <v>9704866.9600000009</v>
      </c>
      <c r="I462" s="18">
        <v>10000000</v>
      </c>
      <c r="J462" s="18">
        <v>9704866.9600000009</v>
      </c>
      <c r="K462" s="15">
        <v>521</v>
      </c>
      <c r="L462" s="13" t="s">
        <v>102</v>
      </c>
      <c r="M462" s="13" t="s">
        <v>103</v>
      </c>
      <c r="N462" s="139" t="s">
        <v>382</v>
      </c>
      <c r="O462" s="139" t="s">
        <v>382</v>
      </c>
      <c r="P462" s="28">
        <v>30</v>
      </c>
      <c r="Q462" s="13" t="s">
        <v>54</v>
      </c>
      <c r="R462" s="13" t="s">
        <v>28</v>
      </c>
      <c r="S462" s="13"/>
      <c r="T462" s="13"/>
      <c r="U462" s="13" t="s">
        <v>1609</v>
      </c>
      <c r="V462" s="13" t="s">
        <v>1609</v>
      </c>
      <c r="W462" s="59">
        <f>+J462/$W$2</f>
        <v>2.1800439503945779E-4</v>
      </c>
    </row>
    <row r="463" spans="1:23">
      <c r="A463" s="13" t="s">
        <v>148</v>
      </c>
      <c r="B463" s="13" t="s">
        <v>538</v>
      </c>
      <c r="C463" s="139">
        <v>46218</v>
      </c>
      <c r="D463" s="139" t="s">
        <v>516</v>
      </c>
      <c r="E463" s="28">
        <v>0.95916336999999996</v>
      </c>
      <c r="F463" s="13"/>
      <c r="G463" s="18">
        <v>20000000</v>
      </c>
      <c r="H463" s="18">
        <v>19183267.399999999</v>
      </c>
      <c r="I463" s="18">
        <v>20000000</v>
      </c>
      <c r="J463" s="18">
        <v>19183267.399999999</v>
      </c>
      <c r="K463" s="15">
        <v>4020</v>
      </c>
      <c r="L463" s="13" t="s">
        <v>102</v>
      </c>
      <c r="M463" s="13" t="s">
        <v>103</v>
      </c>
      <c r="N463" s="139" t="s">
        <v>246</v>
      </c>
      <c r="O463" s="139" t="s">
        <v>246</v>
      </c>
      <c r="P463" s="28">
        <v>42</v>
      </c>
      <c r="Q463" s="13" t="s">
        <v>54</v>
      </c>
      <c r="R463" s="13" t="s">
        <v>28</v>
      </c>
      <c r="S463" s="13"/>
      <c r="T463" s="13"/>
      <c r="U463" s="13" t="s">
        <v>561</v>
      </c>
      <c r="V463" s="13" t="s">
        <v>561</v>
      </c>
      <c r="W463" s="59">
        <f>+J463/$W$2</f>
        <v>4.3092158003340126E-4</v>
      </c>
    </row>
    <row r="464" spans="1:23">
      <c r="A464" s="13" t="s">
        <v>1718</v>
      </c>
      <c r="B464" s="13" t="s">
        <v>538</v>
      </c>
      <c r="C464" s="139">
        <v>46218</v>
      </c>
      <c r="D464" s="139" t="s">
        <v>516</v>
      </c>
      <c r="E464" s="28">
        <v>0.96763089000000002</v>
      </c>
      <c r="F464" s="13"/>
      <c r="G464" s="18">
        <v>3696352.34</v>
      </c>
      <c r="H464" s="18">
        <v>3576704.72</v>
      </c>
      <c r="I464" s="18">
        <v>3696352.34</v>
      </c>
      <c r="J464" s="18">
        <v>3576704.72</v>
      </c>
      <c r="K464" s="15">
        <v>90029423</v>
      </c>
      <c r="L464" s="13" t="s">
        <v>102</v>
      </c>
      <c r="M464" s="13" t="s">
        <v>103</v>
      </c>
      <c r="N464" s="139" t="s">
        <v>514</v>
      </c>
      <c r="O464" s="139" t="s">
        <v>514</v>
      </c>
      <c r="P464" s="28">
        <v>33</v>
      </c>
      <c r="Q464" s="13" t="s">
        <v>54</v>
      </c>
      <c r="R464" s="13" t="s">
        <v>28</v>
      </c>
      <c r="S464" s="13"/>
      <c r="T464" s="13"/>
      <c r="U464" s="13" t="s">
        <v>1719</v>
      </c>
      <c r="V464" s="13" t="s">
        <v>1719</v>
      </c>
      <c r="W464" s="59">
        <f>+J464/$W$2</f>
        <v>8.0344980712478839E-5</v>
      </c>
    </row>
    <row r="465" spans="1:29">
      <c r="A465" s="13" t="s">
        <v>339</v>
      </c>
      <c r="B465" s="13" t="s">
        <v>538</v>
      </c>
      <c r="C465" s="139">
        <v>46218</v>
      </c>
      <c r="D465" s="139" t="s">
        <v>516</v>
      </c>
      <c r="E465" s="28">
        <v>0.97048663999999996</v>
      </c>
      <c r="F465" s="13"/>
      <c r="G465" s="18">
        <v>35000000</v>
      </c>
      <c r="H465" s="18">
        <v>33967032.25</v>
      </c>
      <c r="I465" s="18">
        <v>35000000</v>
      </c>
      <c r="J465" s="18">
        <v>33967032.25</v>
      </c>
      <c r="K465" s="15">
        <v>1452</v>
      </c>
      <c r="L465" s="13" t="s">
        <v>102</v>
      </c>
      <c r="M465" s="13" t="s">
        <v>103</v>
      </c>
      <c r="N465" s="139" t="s">
        <v>324</v>
      </c>
      <c r="O465" s="139" t="s">
        <v>324</v>
      </c>
      <c r="P465" s="28">
        <v>30</v>
      </c>
      <c r="Q465" s="13" t="s">
        <v>54</v>
      </c>
      <c r="R465" s="13" t="s">
        <v>28</v>
      </c>
      <c r="S465" s="13"/>
      <c r="T465" s="13"/>
      <c r="U465" s="13" t="s">
        <v>698</v>
      </c>
      <c r="V465" s="13" t="s">
        <v>698</v>
      </c>
      <c r="W465" s="59">
        <f>+J465/$W$2</f>
        <v>7.6301533524030939E-4</v>
      </c>
    </row>
    <row r="466" spans="1:29">
      <c r="A466" s="13" t="s">
        <v>339</v>
      </c>
      <c r="B466" s="13" t="s">
        <v>538</v>
      </c>
      <c r="C466" s="139">
        <v>46218</v>
      </c>
      <c r="D466" s="139" t="s">
        <v>516</v>
      </c>
      <c r="E466" s="28">
        <v>0.97239991000000003</v>
      </c>
      <c r="F466" s="13"/>
      <c r="G466" s="18">
        <v>15000000</v>
      </c>
      <c r="H466" s="18">
        <v>14585998.710000001</v>
      </c>
      <c r="I466" s="18">
        <v>15000000</v>
      </c>
      <c r="J466" s="18">
        <v>14585998.710000001</v>
      </c>
      <c r="K466" s="15">
        <v>13039364</v>
      </c>
      <c r="L466" s="13" t="s">
        <v>102</v>
      </c>
      <c r="M466" s="13" t="s">
        <v>103</v>
      </c>
      <c r="N466" s="139" t="s">
        <v>152</v>
      </c>
      <c r="O466" s="139" t="s">
        <v>152</v>
      </c>
      <c r="P466" s="28">
        <v>28</v>
      </c>
      <c r="Q466" s="13" t="s">
        <v>54</v>
      </c>
      <c r="R466" s="13" t="s">
        <v>28</v>
      </c>
      <c r="S466" s="13"/>
      <c r="T466" s="13"/>
      <c r="U466" s="13" t="s">
        <v>762</v>
      </c>
      <c r="V466" s="13" t="s">
        <v>762</v>
      </c>
      <c r="W466" s="59">
        <f>+J466/$W$2</f>
        <v>3.2765125353350147E-4</v>
      </c>
    </row>
    <row r="467" spans="1:29">
      <c r="A467" s="13" t="s">
        <v>339</v>
      </c>
      <c r="B467" s="13" t="s">
        <v>538</v>
      </c>
      <c r="C467" s="139">
        <v>46218</v>
      </c>
      <c r="D467" s="139" t="s">
        <v>516</v>
      </c>
      <c r="E467" s="28">
        <v>0.97239991000000003</v>
      </c>
      <c r="F467" s="13"/>
      <c r="G467" s="18">
        <v>15000000</v>
      </c>
      <c r="H467" s="18">
        <v>14585998.710000001</v>
      </c>
      <c r="I467" s="18">
        <v>15000000</v>
      </c>
      <c r="J467" s="18">
        <v>14585998.710000001</v>
      </c>
      <c r="K467" s="15">
        <v>13039368</v>
      </c>
      <c r="L467" s="13" t="s">
        <v>102</v>
      </c>
      <c r="M467" s="13" t="s">
        <v>103</v>
      </c>
      <c r="N467" s="139" t="s">
        <v>152</v>
      </c>
      <c r="O467" s="139" t="s">
        <v>152</v>
      </c>
      <c r="P467" s="28">
        <v>28</v>
      </c>
      <c r="Q467" s="13" t="s">
        <v>54</v>
      </c>
      <c r="R467" s="13" t="s">
        <v>28</v>
      </c>
      <c r="S467" s="13"/>
      <c r="T467" s="13"/>
      <c r="U467" s="13" t="s">
        <v>763</v>
      </c>
      <c r="V467" s="13" t="s">
        <v>763</v>
      </c>
      <c r="W467" s="59">
        <f>+J467/$W$2</f>
        <v>3.2765125353350147E-4</v>
      </c>
    </row>
    <row r="468" spans="1:29">
      <c r="A468" s="13" t="s">
        <v>339</v>
      </c>
      <c r="B468" s="13" t="s">
        <v>538</v>
      </c>
      <c r="C468" s="139">
        <v>46218</v>
      </c>
      <c r="D468" s="139" t="s">
        <v>516</v>
      </c>
      <c r="E468" s="28">
        <v>0.97239991000000003</v>
      </c>
      <c r="F468" s="13"/>
      <c r="G468" s="18">
        <v>15000000</v>
      </c>
      <c r="H468" s="18">
        <v>14585998.710000001</v>
      </c>
      <c r="I468" s="18">
        <v>15000000</v>
      </c>
      <c r="J468" s="18">
        <v>14585998.710000001</v>
      </c>
      <c r="K468" s="15">
        <v>13039366</v>
      </c>
      <c r="L468" s="13" t="s">
        <v>102</v>
      </c>
      <c r="M468" s="13" t="s">
        <v>103</v>
      </c>
      <c r="N468" s="139" t="s">
        <v>152</v>
      </c>
      <c r="O468" s="139" t="s">
        <v>152</v>
      </c>
      <c r="P468" s="28">
        <v>28</v>
      </c>
      <c r="Q468" s="13" t="s">
        <v>54</v>
      </c>
      <c r="R468" s="13" t="s">
        <v>28</v>
      </c>
      <c r="S468" s="13"/>
      <c r="T468" s="13"/>
      <c r="U468" s="13" t="s">
        <v>764</v>
      </c>
      <c r="V468" s="13" t="s">
        <v>764</v>
      </c>
      <c r="W468" s="59">
        <f>+J468/$W$2</f>
        <v>3.2765125353350147E-4</v>
      </c>
    </row>
    <row r="469" spans="1:29">
      <c r="A469" s="13" t="s">
        <v>339</v>
      </c>
      <c r="B469" s="13" t="s">
        <v>538</v>
      </c>
      <c r="C469" s="139">
        <v>46218</v>
      </c>
      <c r="D469" s="139" t="s">
        <v>516</v>
      </c>
      <c r="E469" s="28">
        <v>0.97239991000000003</v>
      </c>
      <c r="F469" s="13"/>
      <c r="G469" s="18">
        <v>15000000</v>
      </c>
      <c r="H469" s="18">
        <v>14585998.710000001</v>
      </c>
      <c r="I469" s="18">
        <v>15000000</v>
      </c>
      <c r="J469" s="18">
        <v>14585998.710000001</v>
      </c>
      <c r="K469" s="15">
        <v>13039365</v>
      </c>
      <c r="L469" s="13" t="s">
        <v>102</v>
      </c>
      <c r="M469" s="13" t="s">
        <v>103</v>
      </c>
      <c r="N469" s="139" t="s">
        <v>152</v>
      </c>
      <c r="O469" s="139" t="s">
        <v>152</v>
      </c>
      <c r="P469" s="28">
        <v>28</v>
      </c>
      <c r="Q469" s="13" t="s">
        <v>54</v>
      </c>
      <c r="R469" s="13" t="s">
        <v>28</v>
      </c>
      <c r="S469" s="13"/>
      <c r="T469" s="13"/>
      <c r="U469" s="13" t="s">
        <v>765</v>
      </c>
      <c r="V469" s="13" t="s">
        <v>765</v>
      </c>
      <c r="W469" s="59">
        <f>+J469/$W$2</f>
        <v>3.2765125353350147E-4</v>
      </c>
    </row>
    <row r="470" spans="1:29">
      <c r="A470" s="13" t="s">
        <v>339</v>
      </c>
      <c r="B470" s="13" t="s">
        <v>538</v>
      </c>
      <c r="C470" s="139">
        <v>46218</v>
      </c>
      <c r="D470" s="139" t="s">
        <v>516</v>
      </c>
      <c r="E470" s="28">
        <v>0.97239991000000003</v>
      </c>
      <c r="F470" s="13"/>
      <c r="G470" s="18">
        <v>15000000</v>
      </c>
      <c r="H470" s="18">
        <v>14585998.710000001</v>
      </c>
      <c r="I470" s="18">
        <v>15000000</v>
      </c>
      <c r="J470" s="18">
        <v>14585998.710000001</v>
      </c>
      <c r="K470" s="15">
        <v>13039367</v>
      </c>
      <c r="L470" s="13" t="s">
        <v>102</v>
      </c>
      <c r="M470" s="13" t="s">
        <v>103</v>
      </c>
      <c r="N470" s="139" t="s">
        <v>152</v>
      </c>
      <c r="O470" s="139" t="s">
        <v>152</v>
      </c>
      <c r="P470" s="28">
        <v>28</v>
      </c>
      <c r="Q470" s="13" t="s">
        <v>54</v>
      </c>
      <c r="R470" s="13" t="s">
        <v>28</v>
      </c>
      <c r="S470" s="13"/>
      <c r="T470" s="13"/>
      <c r="U470" s="13" t="s">
        <v>766</v>
      </c>
      <c r="V470" s="13" t="s">
        <v>766</v>
      </c>
      <c r="W470" s="59">
        <f>+J470/$W$2</f>
        <v>3.2765125353350147E-4</v>
      </c>
    </row>
    <row r="471" spans="1:29">
      <c r="A471" s="13" t="s">
        <v>339</v>
      </c>
      <c r="B471" s="13" t="s">
        <v>538</v>
      </c>
      <c r="C471" s="139">
        <v>46218</v>
      </c>
      <c r="D471" s="139" t="s">
        <v>516</v>
      </c>
      <c r="E471" s="28">
        <v>0.97239991000000003</v>
      </c>
      <c r="F471" s="13"/>
      <c r="G471" s="18">
        <v>7000000</v>
      </c>
      <c r="H471" s="18">
        <v>6806799.3700000001</v>
      </c>
      <c r="I471" s="18">
        <v>7000000</v>
      </c>
      <c r="J471" s="18">
        <v>6806799.3700000001</v>
      </c>
      <c r="K471" s="15">
        <v>13039369</v>
      </c>
      <c r="L471" s="13" t="s">
        <v>102</v>
      </c>
      <c r="M471" s="13" t="s">
        <v>103</v>
      </c>
      <c r="N471" s="139" t="s">
        <v>152</v>
      </c>
      <c r="O471" s="139" t="s">
        <v>152</v>
      </c>
      <c r="P471" s="28">
        <v>28</v>
      </c>
      <c r="Q471" s="13" t="s">
        <v>54</v>
      </c>
      <c r="R471" s="13" t="s">
        <v>28</v>
      </c>
      <c r="S471" s="13"/>
      <c r="T471" s="13"/>
      <c r="U471" s="13" t="s">
        <v>767</v>
      </c>
      <c r="V471" s="13" t="s">
        <v>767</v>
      </c>
      <c r="W471" s="59">
        <f>+J471/$W$2</f>
        <v>1.5290391768665857E-4</v>
      </c>
    </row>
    <row r="472" spans="1:29">
      <c r="A472" s="13" t="s">
        <v>639</v>
      </c>
      <c r="B472" s="13" t="s">
        <v>538</v>
      </c>
      <c r="C472" s="139">
        <v>46218</v>
      </c>
      <c r="D472" s="139" t="s">
        <v>516</v>
      </c>
      <c r="E472" s="28">
        <v>0.97144235000000001</v>
      </c>
      <c r="F472" s="13"/>
      <c r="G472" s="18">
        <v>12500000</v>
      </c>
      <c r="H472" s="18">
        <v>12143029.390000001</v>
      </c>
      <c r="I472" s="18">
        <v>12500000</v>
      </c>
      <c r="J472" s="18">
        <v>12143029.390000001</v>
      </c>
      <c r="K472" s="15">
        <v>28996511</v>
      </c>
      <c r="L472" s="13" t="s">
        <v>102</v>
      </c>
      <c r="M472" s="13" t="s">
        <v>103</v>
      </c>
      <c r="N472" s="139" t="s">
        <v>155</v>
      </c>
      <c r="O472" s="139" t="s">
        <v>155</v>
      </c>
      <c r="P472" s="28">
        <v>29</v>
      </c>
      <c r="Q472" s="13" t="s">
        <v>54</v>
      </c>
      <c r="R472" s="13" t="s">
        <v>28</v>
      </c>
      <c r="S472" s="13"/>
      <c r="T472" s="13"/>
      <c r="U472" s="13" t="s">
        <v>611</v>
      </c>
      <c r="V472" s="13" t="s">
        <v>611</v>
      </c>
      <c r="W472" s="59">
        <f>+J472/$W$2</f>
        <v>2.727738347186272E-4</v>
      </c>
    </row>
    <row r="473" spans="1:29">
      <c r="A473" s="13" t="s">
        <v>338</v>
      </c>
      <c r="B473" s="13" t="s">
        <v>538</v>
      </c>
      <c r="C473" s="139">
        <v>46218</v>
      </c>
      <c r="D473" s="139" t="s">
        <v>516</v>
      </c>
      <c r="E473" s="28">
        <v>0.97048663000000002</v>
      </c>
      <c r="F473" s="13"/>
      <c r="G473" s="18">
        <v>17129876</v>
      </c>
      <c r="H473" s="18">
        <v>16624315.57</v>
      </c>
      <c r="I473" s="18">
        <v>17129876</v>
      </c>
      <c r="J473" s="18">
        <v>16624315.57</v>
      </c>
      <c r="K473" s="15">
        <v>1537</v>
      </c>
      <c r="L473" s="13" t="s">
        <v>102</v>
      </c>
      <c r="M473" s="13" t="s">
        <v>103</v>
      </c>
      <c r="N473" s="139" t="s">
        <v>428</v>
      </c>
      <c r="O473" s="139" t="s">
        <v>428</v>
      </c>
      <c r="P473" s="28">
        <v>30</v>
      </c>
      <c r="Q473" s="13" t="s">
        <v>54</v>
      </c>
      <c r="R473" s="13" t="s">
        <v>28</v>
      </c>
      <c r="S473" s="13"/>
      <c r="T473" s="13"/>
      <c r="U473" s="13" t="s">
        <v>964</v>
      </c>
      <c r="V473" s="13" t="s">
        <v>964</v>
      </c>
      <c r="W473" s="59">
        <f>+J473/$W$2</f>
        <v>3.7343879866879584E-4</v>
      </c>
    </row>
    <row r="474" spans="1:29">
      <c r="A474" s="13" t="s">
        <v>338</v>
      </c>
      <c r="B474" s="13" t="s">
        <v>538</v>
      </c>
      <c r="C474" s="139">
        <v>46218</v>
      </c>
      <c r="D474" s="139" t="s">
        <v>516</v>
      </c>
      <c r="E474" s="28">
        <v>0.97048663999999996</v>
      </c>
      <c r="F474" s="13"/>
      <c r="G474" s="18">
        <v>4000000</v>
      </c>
      <c r="H474" s="18">
        <v>3881946.55</v>
      </c>
      <c r="I474" s="18">
        <v>4000000</v>
      </c>
      <c r="J474" s="18">
        <v>3881946.55</v>
      </c>
      <c r="K474" s="15">
        <v>798</v>
      </c>
      <c r="L474" s="13" t="s">
        <v>102</v>
      </c>
      <c r="M474" s="13" t="s">
        <v>103</v>
      </c>
      <c r="N474" s="139" t="s">
        <v>378</v>
      </c>
      <c r="O474" s="139" t="s">
        <v>378</v>
      </c>
      <c r="P474" s="28">
        <v>30</v>
      </c>
      <c r="Q474" s="13" t="s">
        <v>54</v>
      </c>
      <c r="R474" s="13" t="s">
        <v>28</v>
      </c>
      <c r="S474" s="13"/>
      <c r="T474" s="13"/>
      <c r="U474" s="13" t="s">
        <v>878</v>
      </c>
      <c r="V474" s="13" t="s">
        <v>878</v>
      </c>
      <c r="W474" s="59">
        <f>+J474/$W$2</f>
        <v>8.7201752759345411E-5</v>
      </c>
      <c r="AC474" s="56"/>
    </row>
    <row r="475" spans="1:29">
      <c r="A475" s="13" t="s">
        <v>339</v>
      </c>
      <c r="B475" s="13" t="s">
        <v>538</v>
      </c>
      <c r="C475" s="139">
        <v>46218</v>
      </c>
      <c r="D475" s="139" t="s">
        <v>516</v>
      </c>
      <c r="E475" s="28">
        <v>0.97048665000000001</v>
      </c>
      <c r="F475" s="13"/>
      <c r="G475" s="18">
        <v>60000000</v>
      </c>
      <c r="H475" s="18">
        <v>58229199.229999997</v>
      </c>
      <c r="I475" s="18">
        <v>60000000</v>
      </c>
      <c r="J475" s="18">
        <v>58229199.229999997</v>
      </c>
      <c r="K475" s="15">
        <v>59</v>
      </c>
      <c r="L475" s="13" t="s">
        <v>102</v>
      </c>
      <c r="M475" s="13" t="s">
        <v>103</v>
      </c>
      <c r="N475" s="139" t="s">
        <v>343</v>
      </c>
      <c r="O475" s="139" t="s">
        <v>343</v>
      </c>
      <c r="P475" s="28">
        <v>30</v>
      </c>
      <c r="Q475" s="13" t="s">
        <v>54</v>
      </c>
      <c r="R475" s="13" t="s">
        <v>28</v>
      </c>
      <c r="S475" s="13"/>
      <c r="T475" s="13"/>
      <c r="U475" s="13" t="s">
        <v>1426</v>
      </c>
      <c r="V475" s="13" t="s">
        <v>1426</v>
      </c>
      <c r="W475" s="59">
        <f>+J475/$W$2</f>
        <v>1.3080263134043219E-3</v>
      </c>
    </row>
    <row r="476" spans="1:29">
      <c r="A476" s="13" t="s">
        <v>1526</v>
      </c>
      <c r="B476" s="13" t="s">
        <v>538</v>
      </c>
      <c r="C476" s="139">
        <v>46218</v>
      </c>
      <c r="D476" s="139" t="s">
        <v>516</v>
      </c>
      <c r="E476" s="28">
        <v>0.96763089999999996</v>
      </c>
      <c r="F476" s="13"/>
      <c r="G476" s="18">
        <v>50000000</v>
      </c>
      <c r="H476" s="18">
        <v>48381544.829999998</v>
      </c>
      <c r="I476" s="18">
        <v>50000000</v>
      </c>
      <c r="J476" s="18">
        <v>48381544.829999998</v>
      </c>
      <c r="K476" s="15">
        <v>133</v>
      </c>
      <c r="L476" s="13" t="s">
        <v>102</v>
      </c>
      <c r="M476" s="13" t="s">
        <v>103</v>
      </c>
      <c r="N476" s="139" t="s">
        <v>384</v>
      </c>
      <c r="O476" s="139" t="s">
        <v>384</v>
      </c>
      <c r="P476" s="28">
        <v>33</v>
      </c>
      <c r="Q476" s="13" t="s">
        <v>54</v>
      </c>
      <c r="R476" s="13" t="s">
        <v>28</v>
      </c>
      <c r="S476" s="13"/>
      <c r="T476" s="13"/>
      <c r="U476" s="13" t="s">
        <v>1516</v>
      </c>
      <c r="V476" s="13" t="s">
        <v>1516</v>
      </c>
      <c r="W476" s="59">
        <f>+J476/$W$2</f>
        <v>1.0868144257114632E-3</v>
      </c>
    </row>
    <row r="477" spans="1:29">
      <c r="A477" s="13" t="s">
        <v>141</v>
      </c>
      <c r="B477" s="13" t="s">
        <v>538</v>
      </c>
      <c r="C477" s="139">
        <v>46218</v>
      </c>
      <c r="D477" s="139" t="s">
        <v>516</v>
      </c>
      <c r="E477" s="28">
        <v>0.96290836000000002</v>
      </c>
      <c r="F477" s="13"/>
      <c r="G477" s="18">
        <v>85000000</v>
      </c>
      <c r="H477" s="18">
        <v>81847210.560000002</v>
      </c>
      <c r="I477" s="18">
        <v>85000000</v>
      </c>
      <c r="J477" s="18">
        <v>81847210.560000002</v>
      </c>
      <c r="K477" s="15">
        <v>7363</v>
      </c>
      <c r="L477" s="13" t="s">
        <v>102</v>
      </c>
      <c r="M477" s="13" t="s">
        <v>103</v>
      </c>
      <c r="N477" s="139" t="s">
        <v>152</v>
      </c>
      <c r="O477" s="139" t="s">
        <v>152</v>
      </c>
      <c r="P477" s="28">
        <v>38</v>
      </c>
      <c r="Q477" s="13" t="s">
        <v>54</v>
      </c>
      <c r="R477" s="13" t="s">
        <v>28</v>
      </c>
      <c r="S477" s="13"/>
      <c r="T477" s="13"/>
      <c r="U477" s="13" t="s">
        <v>775</v>
      </c>
      <c r="V477" s="13" t="s">
        <v>775</v>
      </c>
      <c r="W477" s="59">
        <f>+J477/$W$2</f>
        <v>1.8385673597940716E-3</v>
      </c>
    </row>
    <row r="478" spans="1:29">
      <c r="A478" s="13" t="s">
        <v>1527</v>
      </c>
      <c r="B478" s="13" t="s">
        <v>538</v>
      </c>
      <c r="C478" s="139">
        <v>46218</v>
      </c>
      <c r="D478" s="139" t="s">
        <v>516</v>
      </c>
      <c r="E478" s="28">
        <v>0.96384921000000001</v>
      </c>
      <c r="F478" s="13"/>
      <c r="G478" s="18">
        <v>50000000</v>
      </c>
      <c r="H478" s="18">
        <v>48192460.420000002</v>
      </c>
      <c r="I478" s="18">
        <v>50000000</v>
      </c>
      <c r="J478" s="18">
        <v>48192460.420000002</v>
      </c>
      <c r="K478" s="15">
        <v>29239217</v>
      </c>
      <c r="L478" s="13" t="s">
        <v>102</v>
      </c>
      <c r="M478" s="13" t="s">
        <v>103</v>
      </c>
      <c r="N478" s="139" t="s">
        <v>384</v>
      </c>
      <c r="O478" s="139" t="s">
        <v>384</v>
      </c>
      <c r="P478" s="28">
        <v>37</v>
      </c>
      <c r="Q478" s="13" t="s">
        <v>54</v>
      </c>
      <c r="R478" s="13" t="s">
        <v>28</v>
      </c>
      <c r="S478" s="13"/>
      <c r="T478" s="13"/>
      <c r="U478" s="13" t="s">
        <v>1521</v>
      </c>
      <c r="V478" s="13" t="s">
        <v>1521</v>
      </c>
      <c r="W478" s="59">
        <f>+J478/$W$2</f>
        <v>1.0825669452891823E-3</v>
      </c>
    </row>
    <row r="479" spans="1:29">
      <c r="A479" s="13" t="s">
        <v>1492</v>
      </c>
      <c r="B479" s="13" t="s">
        <v>538</v>
      </c>
      <c r="C479" s="139">
        <v>46218</v>
      </c>
      <c r="D479" s="139" t="s">
        <v>516</v>
      </c>
      <c r="E479" s="28">
        <v>0.97335936000000001</v>
      </c>
      <c r="F479" s="13"/>
      <c r="G479" s="18">
        <v>50000000</v>
      </c>
      <c r="H479" s="18">
        <v>48667967.939999998</v>
      </c>
      <c r="I479" s="18">
        <v>50000000</v>
      </c>
      <c r="J479" s="18">
        <v>48667967.939999998</v>
      </c>
      <c r="K479" s="15">
        <v>67982</v>
      </c>
      <c r="L479" s="13" t="s">
        <v>102</v>
      </c>
      <c r="M479" s="13" t="s">
        <v>103</v>
      </c>
      <c r="N479" s="139" t="s">
        <v>367</v>
      </c>
      <c r="O479" s="139" t="s">
        <v>367</v>
      </c>
      <c r="P479" s="28">
        <v>27</v>
      </c>
      <c r="Q479" s="13" t="s">
        <v>54</v>
      </c>
      <c r="R479" s="13" t="s">
        <v>28</v>
      </c>
      <c r="S479" s="13"/>
      <c r="T479" s="13"/>
      <c r="U479" s="13" t="s">
        <v>1475</v>
      </c>
      <c r="V479" s="13" t="s">
        <v>1475</v>
      </c>
      <c r="W479" s="59">
        <f>+J479/$W$2</f>
        <v>1.0932484651556135E-3</v>
      </c>
    </row>
    <row r="480" spans="1:29">
      <c r="A480" s="13" t="s">
        <v>993</v>
      </c>
      <c r="B480" s="13" t="s">
        <v>538</v>
      </c>
      <c r="C480" s="139">
        <v>46218</v>
      </c>
      <c r="D480" s="139" t="s">
        <v>516</v>
      </c>
      <c r="E480" s="28">
        <v>0.97144240000000004</v>
      </c>
      <c r="F480" s="13"/>
      <c r="G480" s="18">
        <v>788284.3</v>
      </c>
      <c r="H480" s="18">
        <v>765772.80000000005</v>
      </c>
      <c r="I480" s="18">
        <v>788284.3</v>
      </c>
      <c r="J480" s="18">
        <v>765772.80000000005</v>
      </c>
      <c r="K480" s="15">
        <v>5375</v>
      </c>
      <c r="L480" s="13" t="s">
        <v>102</v>
      </c>
      <c r="M480" s="13" t="s">
        <v>103</v>
      </c>
      <c r="N480" s="139" t="s">
        <v>344</v>
      </c>
      <c r="O480" s="139" t="s">
        <v>344</v>
      </c>
      <c r="P480" s="28">
        <v>29</v>
      </c>
      <c r="Q480" s="13" t="s">
        <v>54</v>
      </c>
      <c r="R480" s="13" t="s">
        <v>28</v>
      </c>
      <c r="S480" s="13"/>
      <c r="T480" s="13"/>
      <c r="U480" s="13" t="s">
        <v>1067</v>
      </c>
      <c r="V480" s="13" t="s">
        <v>1067</v>
      </c>
      <c r="W480" s="59">
        <f>+J480/$W$2</f>
        <v>1.7201867546432774E-5</v>
      </c>
      <c r="AC480" s="56"/>
    </row>
    <row r="481" spans="1:29">
      <c r="A481" s="13" t="s">
        <v>993</v>
      </c>
      <c r="B481" s="13" t="s">
        <v>538</v>
      </c>
      <c r="C481" s="139">
        <v>46218</v>
      </c>
      <c r="D481" s="139" t="s">
        <v>516</v>
      </c>
      <c r="E481" s="28">
        <v>0.97144227999999999</v>
      </c>
      <c r="F481" s="13"/>
      <c r="G481" s="18">
        <v>5000000</v>
      </c>
      <c r="H481" s="18">
        <v>4857211.41</v>
      </c>
      <c r="I481" s="18">
        <v>5000000</v>
      </c>
      <c r="J481" s="18">
        <v>4857211.41</v>
      </c>
      <c r="K481" s="15">
        <v>16779600</v>
      </c>
      <c r="L481" s="13" t="s">
        <v>102</v>
      </c>
      <c r="M481" s="13" t="s">
        <v>103</v>
      </c>
      <c r="N481" s="139" t="s">
        <v>359</v>
      </c>
      <c r="O481" s="139" t="s">
        <v>359</v>
      </c>
      <c r="P481" s="28">
        <v>29</v>
      </c>
      <c r="Q481" s="13" t="s">
        <v>54</v>
      </c>
      <c r="R481" s="13" t="s">
        <v>28</v>
      </c>
      <c r="S481" s="13"/>
      <c r="T481" s="13"/>
      <c r="U481" s="13" t="s">
        <v>1310</v>
      </c>
      <c r="V481" s="13" t="s">
        <v>1310</v>
      </c>
      <c r="W481" s="59">
        <f>+J481/$W$2</f>
        <v>1.0910952611511139E-4</v>
      </c>
      <c r="AC481" s="56"/>
    </row>
    <row r="482" spans="1:29">
      <c r="A482" s="13" t="s">
        <v>339</v>
      </c>
      <c r="B482" s="13" t="s">
        <v>538</v>
      </c>
      <c r="C482" s="139">
        <v>46218</v>
      </c>
      <c r="D482" s="139" t="s">
        <v>516</v>
      </c>
      <c r="E482" s="28">
        <v>0.97144233999999996</v>
      </c>
      <c r="F482" s="13"/>
      <c r="G482" s="18">
        <v>12500000</v>
      </c>
      <c r="H482" s="18">
        <v>12143029.26</v>
      </c>
      <c r="I482" s="18">
        <v>12500000</v>
      </c>
      <c r="J482" s="18">
        <v>12143029.26</v>
      </c>
      <c r="K482" s="15">
        <v>9798604</v>
      </c>
      <c r="L482" s="13" t="s">
        <v>102</v>
      </c>
      <c r="M482" s="13" t="s">
        <v>103</v>
      </c>
      <c r="N482" s="139" t="s">
        <v>161</v>
      </c>
      <c r="O482" s="139" t="s">
        <v>161</v>
      </c>
      <c r="P482" s="28">
        <v>29</v>
      </c>
      <c r="Q482" s="13" t="s">
        <v>54</v>
      </c>
      <c r="R482" s="13" t="s">
        <v>28</v>
      </c>
      <c r="S482" s="13"/>
      <c r="T482" s="13"/>
      <c r="U482" s="13" t="s">
        <v>1267</v>
      </c>
      <c r="V482" s="13" t="s">
        <v>1267</v>
      </c>
      <c r="W482" s="59">
        <f>+J482/$W$2</f>
        <v>2.7277383179838399E-4</v>
      </c>
    </row>
    <row r="483" spans="1:29">
      <c r="A483" s="13" t="s">
        <v>339</v>
      </c>
      <c r="B483" s="13" t="s">
        <v>538</v>
      </c>
      <c r="C483" s="139">
        <v>46218</v>
      </c>
      <c r="D483" s="139" t="s">
        <v>516</v>
      </c>
      <c r="E483" s="28">
        <v>0.97144227999999999</v>
      </c>
      <c r="F483" s="13"/>
      <c r="G483" s="18">
        <v>25000000</v>
      </c>
      <c r="H483" s="18">
        <v>24286057.079999998</v>
      </c>
      <c r="I483" s="18">
        <v>25000000</v>
      </c>
      <c r="J483" s="18">
        <v>24286057.079999998</v>
      </c>
      <c r="K483" s="15">
        <v>3418</v>
      </c>
      <c r="L483" s="13" t="s">
        <v>102</v>
      </c>
      <c r="M483" s="13" t="s">
        <v>103</v>
      </c>
      <c r="N483" s="139" t="s">
        <v>359</v>
      </c>
      <c r="O483" s="139" t="s">
        <v>359</v>
      </c>
      <c r="P483" s="28">
        <v>29</v>
      </c>
      <c r="Q483" s="13" t="s">
        <v>54</v>
      </c>
      <c r="R483" s="13" t="s">
        <v>28</v>
      </c>
      <c r="S483" s="13"/>
      <c r="T483" s="13"/>
      <c r="U483" s="13" t="s">
        <v>1333</v>
      </c>
      <c r="V483" s="13" t="s">
        <v>1333</v>
      </c>
      <c r="W483" s="59">
        <f>+J483/$W$2</f>
        <v>5.4554763124945913E-4</v>
      </c>
    </row>
    <row r="484" spans="1:29">
      <c r="A484" s="13" t="s">
        <v>339</v>
      </c>
      <c r="B484" s="13" t="s">
        <v>538</v>
      </c>
      <c r="C484" s="139">
        <v>46218</v>
      </c>
      <c r="D484" s="139" t="s">
        <v>516</v>
      </c>
      <c r="E484" s="28">
        <v>0.97144233000000002</v>
      </c>
      <c r="F484" s="13"/>
      <c r="G484" s="18">
        <v>12500000</v>
      </c>
      <c r="H484" s="18">
        <v>12143029.060000001</v>
      </c>
      <c r="I484" s="18">
        <v>12500000</v>
      </c>
      <c r="J484" s="18">
        <v>12143029.060000001</v>
      </c>
      <c r="K484" s="15">
        <v>4949</v>
      </c>
      <c r="L484" s="13" t="s">
        <v>102</v>
      </c>
      <c r="M484" s="13" t="s">
        <v>103</v>
      </c>
      <c r="N484" s="139" t="s">
        <v>374</v>
      </c>
      <c r="O484" s="139" t="s">
        <v>374</v>
      </c>
      <c r="P484" s="28">
        <v>29</v>
      </c>
      <c r="Q484" s="13" t="s">
        <v>54</v>
      </c>
      <c r="R484" s="13" t="s">
        <v>28</v>
      </c>
      <c r="S484" s="13"/>
      <c r="T484" s="13"/>
      <c r="U484" s="13" t="s">
        <v>1187</v>
      </c>
      <c r="V484" s="13" t="s">
        <v>1187</v>
      </c>
      <c r="W484" s="59">
        <f>+J484/$W$2</f>
        <v>2.7277382730570227E-4</v>
      </c>
      <c r="AC484" s="56"/>
    </row>
    <row r="485" spans="1:29">
      <c r="A485" s="13" t="s">
        <v>380</v>
      </c>
      <c r="B485" s="13" t="s">
        <v>538</v>
      </c>
      <c r="C485" s="139">
        <v>46218</v>
      </c>
      <c r="D485" s="139" t="s">
        <v>516</v>
      </c>
      <c r="E485" s="28">
        <v>0.96479177000000005</v>
      </c>
      <c r="F485" s="13"/>
      <c r="G485" s="18">
        <v>16800000</v>
      </c>
      <c r="H485" s="18">
        <v>16208501.68</v>
      </c>
      <c r="I485" s="18">
        <v>16800000</v>
      </c>
      <c r="J485" s="18">
        <v>16208501.68</v>
      </c>
      <c r="K485" s="15">
        <v>32476</v>
      </c>
      <c r="L485" s="13" t="s">
        <v>102</v>
      </c>
      <c r="M485" s="13" t="s">
        <v>103</v>
      </c>
      <c r="N485" s="139" t="s">
        <v>395</v>
      </c>
      <c r="O485" s="139" t="s">
        <v>395</v>
      </c>
      <c r="P485" s="28">
        <v>36</v>
      </c>
      <c r="Q485" s="13" t="s">
        <v>54</v>
      </c>
      <c r="R485" s="13" t="s">
        <v>28</v>
      </c>
      <c r="S485" s="13"/>
      <c r="T485" s="13"/>
      <c r="U485" s="13" t="s">
        <v>1256</v>
      </c>
      <c r="V485" s="13" t="s">
        <v>1256</v>
      </c>
      <c r="W485" s="59">
        <f>+J485/$W$2</f>
        <v>3.6409820122299078E-4</v>
      </c>
      <c r="AC485" s="56"/>
    </row>
    <row r="486" spans="1:29">
      <c r="A486" s="13" t="s">
        <v>426</v>
      </c>
      <c r="B486" s="13" t="s">
        <v>538</v>
      </c>
      <c r="C486" s="139">
        <v>46218</v>
      </c>
      <c r="D486" s="139" t="s">
        <v>516</v>
      </c>
      <c r="E486" s="28">
        <v>0.95823164000000005</v>
      </c>
      <c r="F486" s="13"/>
      <c r="G486" s="18">
        <v>3000000</v>
      </c>
      <c r="H486" s="18">
        <v>2874694.93</v>
      </c>
      <c r="I486" s="18">
        <v>3000000</v>
      </c>
      <c r="J486" s="18">
        <v>2874694.93</v>
      </c>
      <c r="K486" s="15">
        <v>3071</v>
      </c>
      <c r="L486" s="13" t="s">
        <v>102</v>
      </c>
      <c r="M486" s="13" t="s">
        <v>103</v>
      </c>
      <c r="N486" s="139" t="s">
        <v>230</v>
      </c>
      <c r="O486" s="139" t="s">
        <v>230</v>
      </c>
      <c r="P486" s="28">
        <v>43</v>
      </c>
      <c r="Q486" s="13" t="s">
        <v>54</v>
      </c>
      <c r="R486" s="13" t="s">
        <v>28</v>
      </c>
      <c r="S486" s="13"/>
      <c r="T486" s="13"/>
      <c r="U486" s="13" t="s">
        <v>413</v>
      </c>
      <c r="V486" s="13" t="s">
        <v>413</v>
      </c>
      <c r="W486" s="59">
        <f>+J486/$W$2</f>
        <v>6.4575447733664391E-5</v>
      </c>
    </row>
    <row r="487" spans="1:29">
      <c r="A487" s="13" t="s">
        <v>357</v>
      </c>
      <c r="B487" s="13" t="s">
        <v>538</v>
      </c>
      <c r="C487" s="139">
        <v>46218</v>
      </c>
      <c r="D487" s="139" t="s">
        <v>516</v>
      </c>
      <c r="E487" s="28">
        <v>0.96384915999999998</v>
      </c>
      <c r="F487" s="13"/>
      <c r="G487" s="18">
        <v>5000000</v>
      </c>
      <c r="H487" s="18">
        <v>4819245.79</v>
      </c>
      <c r="I487" s="18">
        <v>5000000</v>
      </c>
      <c r="J487" s="18">
        <v>4819245.79</v>
      </c>
      <c r="K487" s="15">
        <v>40734594</v>
      </c>
      <c r="L487" s="13" t="s">
        <v>102</v>
      </c>
      <c r="M487" s="13" t="s">
        <v>103</v>
      </c>
      <c r="N487" s="139" t="s">
        <v>343</v>
      </c>
      <c r="O487" s="139" t="s">
        <v>343</v>
      </c>
      <c r="P487" s="28">
        <v>37</v>
      </c>
      <c r="Q487" s="13" t="s">
        <v>54</v>
      </c>
      <c r="R487" s="13" t="s">
        <v>28</v>
      </c>
      <c r="S487" s="13"/>
      <c r="T487" s="13"/>
      <c r="U487" s="13" t="s">
        <v>1405</v>
      </c>
      <c r="V487" s="13" t="s">
        <v>1405</v>
      </c>
      <c r="W487" s="59">
        <f>+J487/$W$2</f>
        <v>1.0825668886813918E-4</v>
      </c>
    </row>
    <row r="488" spans="1:29">
      <c r="A488" s="13" t="s">
        <v>198</v>
      </c>
      <c r="B488" s="13" t="s">
        <v>538</v>
      </c>
      <c r="C488" s="139">
        <v>46218</v>
      </c>
      <c r="D488" s="139" t="s">
        <v>516</v>
      </c>
      <c r="E488" s="28">
        <v>0.98012891000000002</v>
      </c>
      <c r="F488" s="13"/>
      <c r="G488" s="18">
        <v>2500000</v>
      </c>
      <c r="H488" s="18">
        <v>2450322.27</v>
      </c>
      <c r="I488" s="18">
        <v>2500000</v>
      </c>
      <c r="J488" s="18">
        <v>2450322.27</v>
      </c>
      <c r="K488" s="15">
        <v>6123</v>
      </c>
      <c r="L488" s="13" t="s">
        <v>102</v>
      </c>
      <c r="M488" s="13" t="s">
        <v>103</v>
      </c>
      <c r="N488" s="139" t="s">
        <v>335</v>
      </c>
      <c r="O488" s="139" t="s">
        <v>335</v>
      </c>
      <c r="P488" s="28">
        <v>20</v>
      </c>
      <c r="Q488" s="13" t="s">
        <v>54</v>
      </c>
      <c r="R488" s="13" t="s">
        <v>28</v>
      </c>
      <c r="S488" s="13"/>
      <c r="T488" s="13"/>
      <c r="U488" s="13" t="s">
        <v>1747</v>
      </c>
      <c r="V488" s="13" t="s">
        <v>1747</v>
      </c>
      <c r="W488" s="59">
        <f>+J488/$W$2</f>
        <v>5.5042591137494673E-5</v>
      </c>
    </row>
    <row r="489" spans="1:29">
      <c r="A489" s="13" t="s">
        <v>198</v>
      </c>
      <c r="B489" s="13" t="s">
        <v>538</v>
      </c>
      <c r="C489" s="139">
        <v>46218</v>
      </c>
      <c r="D489" s="139" t="s">
        <v>516</v>
      </c>
      <c r="E489" s="28">
        <v>0.98012891000000002</v>
      </c>
      <c r="F489" s="13"/>
      <c r="G489" s="18">
        <v>2500000</v>
      </c>
      <c r="H489" s="18">
        <v>2450322.27</v>
      </c>
      <c r="I489" s="18">
        <v>2500000</v>
      </c>
      <c r="J489" s="18">
        <v>2450322.27</v>
      </c>
      <c r="K489" s="15">
        <v>6122</v>
      </c>
      <c r="L489" s="13" t="s">
        <v>102</v>
      </c>
      <c r="M489" s="13" t="s">
        <v>103</v>
      </c>
      <c r="N489" s="139" t="s">
        <v>335</v>
      </c>
      <c r="O489" s="139" t="s">
        <v>335</v>
      </c>
      <c r="P489" s="28">
        <v>20</v>
      </c>
      <c r="Q489" s="13" t="s">
        <v>54</v>
      </c>
      <c r="R489" s="13" t="s">
        <v>28</v>
      </c>
      <c r="S489" s="13"/>
      <c r="T489" s="13"/>
      <c r="U489" s="13" t="s">
        <v>1758</v>
      </c>
      <c r="V489" s="13" t="s">
        <v>1758</v>
      </c>
      <c r="W489" s="59">
        <f>+J489/$W$2</f>
        <v>5.5042591137494673E-5</v>
      </c>
    </row>
    <row r="490" spans="1:29">
      <c r="A490" s="13" t="s">
        <v>1402</v>
      </c>
      <c r="B490" s="13" t="s">
        <v>538</v>
      </c>
      <c r="C490" s="139">
        <v>46218</v>
      </c>
      <c r="D490" s="139" t="s">
        <v>516</v>
      </c>
      <c r="E490" s="28">
        <v>0.97239987000000006</v>
      </c>
      <c r="F490" s="13"/>
      <c r="G490" s="18">
        <v>6500000</v>
      </c>
      <c r="H490" s="18">
        <v>6320599.1299999999</v>
      </c>
      <c r="I490" s="18">
        <v>6500000</v>
      </c>
      <c r="J490" s="18">
        <v>6320599.1299999999</v>
      </c>
      <c r="K490" s="15">
        <v>29175490</v>
      </c>
      <c r="L490" s="13" t="s">
        <v>102</v>
      </c>
      <c r="M490" s="13" t="s">
        <v>103</v>
      </c>
      <c r="N490" s="139" t="s">
        <v>379</v>
      </c>
      <c r="O490" s="139" t="s">
        <v>379</v>
      </c>
      <c r="P490" s="28">
        <v>28</v>
      </c>
      <c r="Q490" s="13" t="s">
        <v>54</v>
      </c>
      <c r="R490" s="13" t="s">
        <v>28</v>
      </c>
      <c r="S490" s="13"/>
      <c r="T490" s="13"/>
      <c r="U490" s="13" t="s">
        <v>1373</v>
      </c>
      <c r="V490" s="13" t="s">
        <v>1373</v>
      </c>
      <c r="W490" s="59">
        <f>+J490/$W$2</f>
        <v>1.419822028783971E-4</v>
      </c>
    </row>
    <row r="491" spans="1:29">
      <c r="A491" s="13" t="s">
        <v>819</v>
      </c>
      <c r="B491" s="13" t="s">
        <v>538</v>
      </c>
      <c r="C491" s="139">
        <v>46218</v>
      </c>
      <c r="D491" s="139" t="s">
        <v>516</v>
      </c>
      <c r="E491" s="28">
        <v>0.97144233000000002</v>
      </c>
      <c r="F491" s="13"/>
      <c r="G491" s="18">
        <v>2500000</v>
      </c>
      <c r="H491" s="18">
        <v>2428605.8199999998</v>
      </c>
      <c r="I491" s="18">
        <v>2500000</v>
      </c>
      <c r="J491" s="18">
        <v>2428605.8199999998</v>
      </c>
      <c r="K491" s="15">
        <v>364</v>
      </c>
      <c r="L491" s="13" t="s">
        <v>102</v>
      </c>
      <c r="M491" s="13" t="s">
        <v>103</v>
      </c>
      <c r="N491" s="139" t="s">
        <v>378</v>
      </c>
      <c r="O491" s="139" t="s">
        <v>378</v>
      </c>
      <c r="P491" s="28">
        <v>29</v>
      </c>
      <c r="Q491" s="13" t="s">
        <v>54</v>
      </c>
      <c r="R491" s="13" t="s">
        <v>28</v>
      </c>
      <c r="S491" s="13"/>
      <c r="T491" s="13"/>
      <c r="U491" s="13" t="s">
        <v>829</v>
      </c>
      <c r="V491" s="13" t="s">
        <v>829</v>
      </c>
      <c r="W491" s="59">
        <f>+J491/$W$2</f>
        <v>5.4554765640847712E-5</v>
      </c>
    </row>
    <row r="492" spans="1:29">
      <c r="A492" s="13" t="s">
        <v>819</v>
      </c>
      <c r="B492" s="13" t="s">
        <v>538</v>
      </c>
      <c r="C492" s="139">
        <v>46218</v>
      </c>
      <c r="D492" s="139" t="s">
        <v>516</v>
      </c>
      <c r="E492" s="28">
        <v>0.97239989999999998</v>
      </c>
      <c r="F492" s="13"/>
      <c r="G492" s="18">
        <v>40000000</v>
      </c>
      <c r="H492" s="18">
        <v>38895995.899999999</v>
      </c>
      <c r="I492" s="18">
        <v>40000000</v>
      </c>
      <c r="J492" s="18">
        <v>38895995.899999999</v>
      </c>
      <c r="K492" s="15">
        <v>29086863</v>
      </c>
      <c r="L492" s="13" t="s">
        <v>102</v>
      </c>
      <c r="M492" s="13" t="s">
        <v>103</v>
      </c>
      <c r="N492" s="139" t="s">
        <v>378</v>
      </c>
      <c r="O492" s="139" t="s">
        <v>378</v>
      </c>
      <c r="P492" s="28">
        <v>28</v>
      </c>
      <c r="Q492" s="13" t="s">
        <v>54</v>
      </c>
      <c r="R492" s="13" t="s">
        <v>28</v>
      </c>
      <c r="S492" s="13"/>
      <c r="T492" s="13"/>
      <c r="U492" s="13" t="s">
        <v>838</v>
      </c>
      <c r="V492" s="13" t="s">
        <v>838</v>
      </c>
      <c r="W492" s="59">
        <f>+J492/$W$2</f>
        <v>8.7373666126348718E-4</v>
      </c>
    </row>
    <row r="493" spans="1:29">
      <c r="A493" s="13" t="s">
        <v>993</v>
      </c>
      <c r="B493" s="13" t="s">
        <v>538</v>
      </c>
      <c r="C493" s="139">
        <v>46218</v>
      </c>
      <c r="D493" s="139" t="s">
        <v>516</v>
      </c>
      <c r="E493" s="28">
        <v>0.97144231000000003</v>
      </c>
      <c r="F493" s="13"/>
      <c r="G493" s="18">
        <v>5000000</v>
      </c>
      <c r="H493" s="18">
        <v>4857211.54</v>
      </c>
      <c r="I493" s="18">
        <v>5000000</v>
      </c>
      <c r="J493" s="18">
        <v>4857211.54</v>
      </c>
      <c r="K493" s="15">
        <v>16771073</v>
      </c>
      <c r="L493" s="13" t="s">
        <v>102</v>
      </c>
      <c r="M493" s="13" t="s">
        <v>103</v>
      </c>
      <c r="N493" s="139" t="s">
        <v>428</v>
      </c>
      <c r="O493" s="139" t="s">
        <v>428</v>
      </c>
      <c r="P493" s="28">
        <v>29</v>
      </c>
      <c r="Q493" s="13" t="s">
        <v>54</v>
      </c>
      <c r="R493" s="13" t="s">
        <v>28</v>
      </c>
      <c r="S493" s="13"/>
      <c r="T493" s="13"/>
      <c r="U493" s="13" t="s">
        <v>926</v>
      </c>
      <c r="V493" s="13" t="s">
        <v>926</v>
      </c>
      <c r="W493" s="59">
        <f>+J493/$W$2</f>
        <v>1.0910952903535455E-4</v>
      </c>
    </row>
    <row r="494" spans="1:29">
      <c r="A494" s="13" t="s">
        <v>1838</v>
      </c>
      <c r="B494" s="13" t="s">
        <v>538</v>
      </c>
      <c r="C494" s="139">
        <v>46219</v>
      </c>
      <c r="D494" s="139" t="s">
        <v>516</v>
      </c>
      <c r="E494" s="28">
        <v>0.96678518000000002</v>
      </c>
      <c r="F494" s="13"/>
      <c r="G494" s="18">
        <v>1918075.9</v>
      </c>
      <c r="H494" s="18">
        <v>1854367.36</v>
      </c>
      <c r="I494" s="18">
        <v>1918075.9</v>
      </c>
      <c r="J494" s="18">
        <v>1854367.36</v>
      </c>
      <c r="K494" s="15">
        <v>90015592</v>
      </c>
      <c r="L494" s="13" t="s">
        <v>102</v>
      </c>
      <c r="M494" s="13" t="s">
        <v>103</v>
      </c>
      <c r="N494" s="139" t="s">
        <v>335</v>
      </c>
      <c r="O494" s="139" t="s">
        <v>335</v>
      </c>
      <c r="P494" s="28">
        <v>33</v>
      </c>
      <c r="Q494" s="13" t="s">
        <v>54</v>
      </c>
      <c r="R494" s="13" t="s">
        <v>28</v>
      </c>
      <c r="S494" s="13"/>
      <c r="T494" s="13"/>
      <c r="U494" s="13" t="s">
        <v>1813</v>
      </c>
      <c r="V494" s="13" t="s">
        <v>1813</v>
      </c>
      <c r="W494" s="59">
        <f>+J494/$W$2</f>
        <v>4.1655412296112134E-5</v>
      </c>
    </row>
    <row r="495" spans="1:29">
      <c r="A495" s="13" t="s">
        <v>1825</v>
      </c>
      <c r="B495" s="13" t="s">
        <v>538</v>
      </c>
      <c r="C495" s="139">
        <v>46219</v>
      </c>
      <c r="D495" s="139" t="s">
        <v>516</v>
      </c>
      <c r="E495" s="28">
        <v>0.96678518000000002</v>
      </c>
      <c r="F495" s="13"/>
      <c r="G495" s="18">
        <v>1449874.22</v>
      </c>
      <c r="H495" s="18">
        <v>1401716.91</v>
      </c>
      <c r="I495" s="18">
        <v>1449874.22</v>
      </c>
      <c r="J495" s="18">
        <v>1401716.91</v>
      </c>
      <c r="K495" s="15">
        <v>7704</v>
      </c>
      <c r="L495" s="13" t="s">
        <v>102</v>
      </c>
      <c r="M495" s="13" t="s">
        <v>103</v>
      </c>
      <c r="N495" s="139" t="s">
        <v>335</v>
      </c>
      <c r="O495" s="139" t="s">
        <v>335</v>
      </c>
      <c r="P495" s="28">
        <v>33</v>
      </c>
      <c r="Q495" s="13" t="s">
        <v>54</v>
      </c>
      <c r="R495" s="13" t="s">
        <v>28</v>
      </c>
      <c r="S495" s="13"/>
      <c r="T495" s="13"/>
      <c r="U495" s="13" t="s">
        <v>1784</v>
      </c>
      <c r="V495" s="13" t="s">
        <v>1784</v>
      </c>
      <c r="W495" s="59">
        <f>+J495/$W$2</f>
        <v>3.1487340139810434E-5</v>
      </c>
      <c r="AC495" s="56"/>
    </row>
    <row r="496" spans="1:29">
      <c r="A496" s="13" t="s">
        <v>1830</v>
      </c>
      <c r="B496" s="13" t="s">
        <v>538</v>
      </c>
      <c r="C496" s="139">
        <v>46219</v>
      </c>
      <c r="D496" s="139" t="s">
        <v>516</v>
      </c>
      <c r="E496" s="28">
        <v>0.96678518999999996</v>
      </c>
      <c r="F496" s="13"/>
      <c r="G496" s="18">
        <v>1701000</v>
      </c>
      <c r="H496" s="18">
        <v>1644501.61</v>
      </c>
      <c r="I496" s="18">
        <v>1701000</v>
      </c>
      <c r="J496" s="18">
        <v>1644501.61</v>
      </c>
      <c r="K496" s="15">
        <v>67242787</v>
      </c>
      <c r="L496" s="13" t="s">
        <v>102</v>
      </c>
      <c r="M496" s="13" t="s">
        <v>103</v>
      </c>
      <c r="N496" s="139" t="s">
        <v>335</v>
      </c>
      <c r="O496" s="139" t="s">
        <v>335</v>
      </c>
      <c r="P496" s="28">
        <v>33</v>
      </c>
      <c r="Q496" s="13" t="s">
        <v>54</v>
      </c>
      <c r="R496" s="13" t="s">
        <v>28</v>
      </c>
      <c r="S496" s="13"/>
      <c r="T496" s="13"/>
      <c r="U496" s="13" t="s">
        <v>1800</v>
      </c>
      <c r="V496" s="13" t="s">
        <v>1800</v>
      </c>
      <c r="W496" s="59">
        <f>+J496/$W$2</f>
        <v>3.6941112135499519E-5</v>
      </c>
    </row>
    <row r="497" spans="1:29">
      <c r="A497" s="13" t="s">
        <v>1292</v>
      </c>
      <c r="B497" s="13" t="s">
        <v>538</v>
      </c>
      <c r="C497" s="139">
        <v>46219</v>
      </c>
      <c r="D497" s="139" t="s">
        <v>516</v>
      </c>
      <c r="E497" s="28">
        <v>0.96971315999999996</v>
      </c>
      <c r="F497" s="13"/>
      <c r="G497" s="18">
        <v>14700000</v>
      </c>
      <c r="H497" s="18">
        <v>14254783.43</v>
      </c>
      <c r="I497" s="18">
        <v>14700000</v>
      </c>
      <c r="J497" s="18">
        <v>14254783.43</v>
      </c>
      <c r="K497" s="15">
        <v>66589641</v>
      </c>
      <c r="L497" s="13" t="s">
        <v>102</v>
      </c>
      <c r="M497" s="13" t="s">
        <v>103</v>
      </c>
      <c r="N497" s="139" t="s">
        <v>334</v>
      </c>
      <c r="O497" s="139" t="s">
        <v>334</v>
      </c>
      <c r="P497" s="28">
        <v>30</v>
      </c>
      <c r="Q497" s="13" t="s">
        <v>54</v>
      </c>
      <c r="R497" s="13" t="s">
        <v>28</v>
      </c>
      <c r="S497" s="13"/>
      <c r="T497" s="13"/>
      <c r="U497" s="13" t="s">
        <v>1287</v>
      </c>
      <c r="V497" s="13" t="s">
        <v>1287</v>
      </c>
      <c r="W497" s="59">
        <f>+J497/$W$2</f>
        <v>3.2021102925821422E-4</v>
      </c>
    </row>
    <row r="498" spans="1:29">
      <c r="A498" s="13" t="s">
        <v>539</v>
      </c>
      <c r="B498" s="13" t="s">
        <v>538</v>
      </c>
      <c r="C498" s="139">
        <v>46219</v>
      </c>
      <c r="D498" s="139" t="s">
        <v>516</v>
      </c>
      <c r="E498" s="28">
        <v>0.9697133</v>
      </c>
      <c r="F498" s="13"/>
      <c r="G498" s="18">
        <v>10000000</v>
      </c>
      <c r="H498" s="18">
        <v>9697133.0099999998</v>
      </c>
      <c r="I498" s="18">
        <v>10000000</v>
      </c>
      <c r="J498" s="18">
        <v>9697133.0099999998</v>
      </c>
      <c r="K498" s="15">
        <v>572</v>
      </c>
      <c r="L498" s="13" t="s">
        <v>102</v>
      </c>
      <c r="M498" s="13" t="s">
        <v>103</v>
      </c>
      <c r="N498" s="139" t="s">
        <v>175</v>
      </c>
      <c r="O498" s="139" t="s">
        <v>175</v>
      </c>
      <c r="P498" s="28">
        <v>30</v>
      </c>
      <c r="Q498" s="13" t="s">
        <v>54</v>
      </c>
      <c r="R498" s="13" t="s">
        <v>28</v>
      </c>
      <c r="S498" s="13"/>
      <c r="T498" s="13"/>
      <c r="U498" s="13" t="s">
        <v>1880</v>
      </c>
      <c r="V498" s="13" t="s">
        <v>1880</v>
      </c>
      <c r="W498" s="59">
        <f>+J498/$W$2</f>
        <v>2.178306641580387E-4</v>
      </c>
    </row>
    <row r="499" spans="1:29">
      <c r="A499" s="13" t="s">
        <v>247</v>
      </c>
      <c r="B499" s="13" t="s">
        <v>538</v>
      </c>
      <c r="C499" s="139">
        <v>46219</v>
      </c>
      <c r="D499" s="139" t="s">
        <v>516</v>
      </c>
      <c r="E499" s="28">
        <v>0.96002111000000001</v>
      </c>
      <c r="F499" s="13"/>
      <c r="G499" s="18">
        <v>4100000</v>
      </c>
      <c r="H499" s="18">
        <v>3936086.57</v>
      </c>
      <c r="I499" s="18">
        <v>4100000</v>
      </c>
      <c r="J499" s="18">
        <v>3936086.57</v>
      </c>
      <c r="K499" s="15">
        <v>1019</v>
      </c>
      <c r="L499" s="13" t="s">
        <v>102</v>
      </c>
      <c r="M499" s="13" t="s">
        <v>103</v>
      </c>
      <c r="N499" s="139" t="s">
        <v>266</v>
      </c>
      <c r="O499" s="139" t="s">
        <v>266</v>
      </c>
      <c r="P499" s="28">
        <v>40</v>
      </c>
      <c r="Q499" s="13" t="s">
        <v>54</v>
      </c>
      <c r="R499" s="13" t="s">
        <v>28</v>
      </c>
      <c r="S499" s="13"/>
      <c r="T499" s="13"/>
      <c r="U499" s="13" t="s">
        <v>494</v>
      </c>
      <c r="V499" s="13" t="s">
        <v>494</v>
      </c>
      <c r="W499" s="59">
        <f>+J499/$W$2</f>
        <v>8.8417922167557909E-5</v>
      </c>
    </row>
    <row r="500" spans="1:29">
      <c r="A500" s="13" t="s">
        <v>148</v>
      </c>
      <c r="B500" s="13" t="s">
        <v>538</v>
      </c>
      <c r="C500" s="139">
        <v>46219</v>
      </c>
      <c r="D500" s="139" t="s">
        <v>516</v>
      </c>
      <c r="E500" s="28">
        <v>0.95810587999999997</v>
      </c>
      <c r="F500" s="13"/>
      <c r="G500" s="18">
        <v>20000000</v>
      </c>
      <c r="H500" s="18">
        <v>19162117.579999998</v>
      </c>
      <c r="I500" s="18">
        <v>20000000</v>
      </c>
      <c r="J500" s="18">
        <v>19162117.579999998</v>
      </c>
      <c r="K500" s="15">
        <v>4021</v>
      </c>
      <c r="L500" s="13" t="s">
        <v>102</v>
      </c>
      <c r="M500" s="13" t="s">
        <v>103</v>
      </c>
      <c r="N500" s="139" t="s">
        <v>246</v>
      </c>
      <c r="O500" s="139" t="s">
        <v>246</v>
      </c>
      <c r="P500" s="28">
        <v>42</v>
      </c>
      <c r="Q500" s="13" t="s">
        <v>54</v>
      </c>
      <c r="R500" s="13" t="s">
        <v>28</v>
      </c>
      <c r="S500" s="13"/>
      <c r="T500" s="13"/>
      <c r="U500" s="13" t="s">
        <v>562</v>
      </c>
      <c r="V500" s="13" t="s">
        <v>562</v>
      </c>
      <c r="W500" s="59">
        <f>+J500/$W$2</f>
        <v>4.3044648297815076E-4</v>
      </c>
    </row>
    <row r="501" spans="1:29">
      <c r="A501" s="13" t="s">
        <v>478</v>
      </c>
      <c r="B501" s="13" t="s">
        <v>538</v>
      </c>
      <c r="C501" s="139">
        <v>46219</v>
      </c>
      <c r="D501" s="139" t="s">
        <v>516</v>
      </c>
      <c r="E501" s="28">
        <v>0.96387451000000002</v>
      </c>
      <c r="F501" s="13"/>
      <c r="G501" s="18">
        <v>3214300</v>
      </c>
      <c r="H501" s="18">
        <v>3098181.84</v>
      </c>
      <c r="I501" s="18">
        <v>3214300</v>
      </c>
      <c r="J501" s="18">
        <v>3098181.84</v>
      </c>
      <c r="K501" s="15">
        <v>2466</v>
      </c>
      <c r="L501" s="13" t="s">
        <v>102</v>
      </c>
      <c r="M501" s="13" t="s">
        <v>103</v>
      </c>
      <c r="N501" s="139" t="s">
        <v>379</v>
      </c>
      <c r="O501" s="139" t="s">
        <v>379</v>
      </c>
      <c r="P501" s="28">
        <v>36</v>
      </c>
      <c r="Q501" s="13" t="s">
        <v>54</v>
      </c>
      <c r="R501" s="13" t="s">
        <v>28</v>
      </c>
      <c r="S501" s="13"/>
      <c r="T501" s="13"/>
      <c r="U501" s="13" t="s">
        <v>1399</v>
      </c>
      <c r="V501" s="13" t="s">
        <v>1399</v>
      </c>
      <c r="W501" s="59">
        <f>+J501/$W$2</f>
        <v>6.9595725581325654E-5</v>
      </c>
    </row>
    <row r="502" spans="1:29">
      <c r="A502" s="13" t="s">
        <v>164</v>
      </c>
      <c r="B502" s="13" t="s">
        <v>538</v>
      </c>
      <c r="C502" s="139">
        <v>46219</v>
      </c>
      <c r="D502" s="139" t="s">
        <v>516</v>
      </c>
      <c r="E502" s="28">
        <v>0.97265899</v>
      </c>
      <c r="F502" s="13"/>
      <c r="G502" s="18">
        <v>130000000</v>
      </c>
      <c r="H502" s="18">
        <v>126445669.08</v>
      </c>
      <c r="I502" s="18">
        <v>130000000</v>
      </c>
      <c r="J502" s="18">
        <v>126445669.08</v>
      </c>
      <c r="K502" s="15">
        <v>31</v>
      </c>
      <c r="L502" s="13" t="s">
        <v>102</v>
      </c>
      <c r="M502" s="13" t="s">
        <v>103</v>
      </c>
      <c r="N502" s="139" t="s">
        <v>378</v>
      </c>
      <c r="O502" s="139" t="s">
        <v>378</v>
      </c>
      <c r="P502" s="28">
        <v>27</v>
      </c>
      <c r="Q502" s="13" t="s">
        <v>54</v>
      </c>
      <c r="R502" s="13" t="s">
        <v>28</v>
      </c>
      <c r="S502" s="13"/>
      <c r="T502" s="13"/>
      <c r="U502" s="13" t="s">
        <v>850</v>
      </c>
      <c r="V502" s="13" t="s">
        <v>850</v>
      </c>
      <c r="W502" s="59">
        <f>+J502/$W$2</f>
        <v>2.8404007707432673E-3</v>
      </c>
    </row>
    <row r="503" spans="1:29">
      <c r="A503" s="13" t="s">
        <v>164</v>
      </c>
      <c r="B503" s="13" t="s">
        <v>538</v>
      </c>
      <c r="C503" s="139">
        <v>46219</v>
      </c>
      <c r="D503" s="139" t="s">
        <v>516</v>
      </c>
      <c r="E503" s="28">
        <v>0.97265899</v>
      </c>
      <c r="F503" s="13"/>
      <c r="G503" s="18">
        <v>150000000</v>
      </c>
      <c r="H503" s="18">
        <v>145898848.94</v>
      </c>
      <c r="I503" s="18">
        <v>150000000</v>
      </c>
      <c r="J503" s="18">
        <v>145898848.94</v>
      </c>
      <c r="K503" s="15">
        <v>30</v>
      </c>
      <c r="L503" s="13" t="s">
        <v>102</v>
      </c>
      <c r="M503" s="13" t="s">
        <v>103</v>
      </c>
      <c r="N503" s="139" t="s">
        <v>378</v>
      </c>
      <c r="O503" s="139" t="s">
        <v>378</v>
      </c>
      <c r="P503" s="28">
        <v>27</v>
      </c>
      <c r="Q503" s="13" t="s">
        <v>54</v>
      </c>
      <c r="R503" s="13" t="s">
        <v>28</v>
      </c>
      <c r="S503" s="13"/>
      <c r="T503" s="13"/>
      <c r="U503" s="13" t="s">
        <v>851</v>
      </c>
      <c r="V503" s="13" t="s">
        <v>851</v>
      </c>
      <c r="W503" s="59">
        <f>+J503/$W$2</f>
        <v>3.2773855047383291E-3</v>
      </c>
    </row>
    <row r="504" spans="1:29">
      <c r="A504" s="13" t="s">
        <v>313</v>
      </c>
      <c r="B504" s="13" t="s">
        <v>538</v>
      </c>
      <c r="C504" s="139">
        <v>46219</v>
      </c>
      <c r="D504" s="139" t="s">
        <v>516</v>
      </c>
      <c r="E504" s="28">
        <v>0.96194402999999995</v>
      </c>
      <c r="F504" s="13"/>
      <c r="G504" s="18">
        <v>5450000</v>
      </c>
      <c r="H504" s="18">
        <v>5242594.99</v>
      </c>
      <c r="I504" s="18">
        <v>5450000</v>
      </c>
      <c r="J504" s="18">
        <v>5242594.99</v>
      </c>
      <c r="K504" s="15">
        <v>28515</v>
      </c>
      <c r="L504" s="13" t="s">
        <v>102</v>
      </c>
      <c r="M504" s="13" t="s">
        <v>103</v>
      </c>
      <c r="N504" s="139" t="s">
        <v>319</v>
      </c>
      <c r="O504" s="139" t="s">
        <v>319</v>
      </c>
      <c r="P504" s="28">
        <v>38</v>
      </c>
      <c r="Q504" s="13" t="s">
        <v>54</v>
      </c>
      <c r="R504" s="13" t="s">
        <v>28</v>
      </c>
      <c r="S504" s="13"/>
      <c r="T504" s="13"/>
      <c r="U504" s="13" t="s">
        <v>713</v>
      </c>
      <c r="V504" s="13" t="s">
        <v>713</v>
      </c>
      <c r="W504" s="59">
        <f>+J504/$W$2</f>
        <v>1.1776655506381534E-4</v>
      </c>
    </row>
    <row r="505" spans="1:29">
      <c r="A505" s="13" t="s">
        <v>339</v>
      </c>
      <c r="B505" s="13" t="s">
        <v>538</v>
      </c>
      <c r="C505" s="139">
        <v>46219</v>
      </c>
      <c r="D505" s="139" t="s">
        <v>516</v>
      </c>
      <c r="E505" s="28">
        <v>0.97069309000000004</v>
      </c>
      <c r="F505" s="13"/>
      <c r="G505" s="18">
        <v>1200000</v>
      </c>
      <c r="H505" s="18">
        <v>1164831.71</v>
      </c>
      <c r="I505" s="18">
        <v>1200000</v>
      </c>
      <c r="J505" s="18">
        <v>1164831.71</v>
      </c>
      <c r="K505" s="15">
        <v>544</v>
      </c>
      <c r="L505" s="13" t="s">
        <v>102</v>
      </c>
      <c r="M505" s="13" t="s">
        <v>103</v>
      </c>
      <c r="N505" s="139" t="s">
        <v>161</v>
      </c>
      <c r="O505" s="139" t="s">
        <v>161</v>
      </c>
      <c r="P505" s="28">
        <v>29</v>
      </c>
      <c r="Q505" s="13" t="s">
        <v>54</v>
      </c>
      <c r="R505" s="13" t="s">
        <v>28</v>
      </c>
      <c r="S505" s="13"/>
      <c r="T505" s="13"/>
      <c r="U505" s="13" t="s">
        <v>1263</v>
      </c>
      <c r="V505" s="13" t="s">
        <v>1263</v>
      </c>
      <c r="W505" s="59">
        <f>+J505/$W$2</f>
        <v>2.616609102504658E-5</v>
      </c>
      <c r="AC505" s="56"/>
    </row>
    <row r="506" spans="1:29">
      <c r="A506" s="13" t="s">
        <v>426</v>
      </c>
      <c r="B506" s="13" t="s">
        <v>538</v>
      </c>
      <c r="C506" s="139">
        <v>46219</v>
      </c>
      <c r="D506" s="139" t="s">
        <v>516</v>
      </c>
      <c r="E506" s="28">
        <v>0.95715110999999997</v>
      </c>
      <c r="F506" s="13"/>
      <c r="G506" s="18">
        <v>3500000</v>
      </c>
      <c r="H506" s="18">
        <v>3350028.88</v>
      </c>
      <c r="I506" s="18">
        <v>3500000</v>
      </c>
      <c r="J506" s="18">
        <v>3350028.88</v>
      </c>
      <c r="K506" s="15">
        <v>3072</v>
      </c>
      <c r="L506" s="13" t="s">
        <v>102</v>
      </c>
      <c r="M506" s="13" t="s">
        <v>103</v>
      </c>
      <c r="N506" s="139" t="s">
        <v>230</v>
      </c>
      <c r="O506" s="139" t="s">
        <v>230</v>
      </c>
      <c r="P506" s="28">
        <v>43</v>
      </c>
      <c r="Q506" s="13" t="s">
        <v>54</v>
      </c>
      <c r="R506" s="13" t="s">
        <v>28</v>
      </c>
      <c r="S506" s="13"/>
      <c r="T506" s="13"/>
      <c r="U506" s="13" t="s">
        <v>420</v>
      </c>
      <c r="V506" s="13" t="s">
        <v>420</v>
      </c>
      <c r="W506" s="59">
        <f>+J506/$W$2</f>
        <v>7.5253068626209403E-5</v>
      </c>
      <c r="AC506" s="56"/>
    </row>
    <row r="507" spans="1:29">
      <c r="A507" s="13" t="s">
        <v>357</v>
      </c>
      <c r="B507" s="13" t="s">
        <v>538</v>
      </c>
      <c r="C507" s="139">
        <v>46219</v>
      </c>
      <c r="D507" s="139" t="s">
        <v>516</v>
      </c>
      <c r="E507" s="28">
        <v>0.96387460000000003</v>
      </c>
      <c r="F507" s="13"/>
      <c r="G507" s="18">
        <v>3750000</v>
      </c>
      <c r="H507" s="18">
        <v>3614529.74</v>
      </c>
      <c r="I507" s="18">
        <v>3750000</v>
      </c>
      <c r="J507" s="18">
        <v>3614529.74</v>
      </c>
      <c r="K507" s="15">
        <v>40742997</v>
      </c>
      <c r="L507" s="13" t="s">
        <v>102</v>
      </c>
      <c r="M507" s="13" t="s">
        <v>103</v>
      </c>
      <c r="N507" s="139" t="s">
        <v>382</v>
      </c>
      <c r="O507" s="139" t="s">
        <v>382</v>
      </c>
      <c r="P507" s="28">
        <v>36</v>
      </c>
      <c r="Q507" s="13" t="s">
        <v>54</v>
      </c>
      <c r="R507" s="13" t="s">
        <v>28</v>
      </c>
      <c r="S507" s="13"/>
      <c r="T507" s="13"/>
      <c r="U507" s="13" t="s">
        <v>1615</v>
      </c>
      <c r="V507" s="13" t="s">
        <v>1615</v>
      </c>
      <c r="W507" s="59">
        <f>+J507/$W$2</f>
        <v>8.1194659604156866E-5</v>
      </c>
    </row>
    <row r="508" spans="1:29">
      <c r="A508" s="13" t="s">
        <v>1052</v>
      </c>
      <c r="B508" s="13" t="s">
        <v>538</v>
      </c>
      <c r="C508" s="139">
        <v>46219</v>
      </c>
      <c r="D508" s="139" t="s">
        <v>516</v>
      </c>
      <c r="E508" s="28">
        <v>0.97364490000000004</v>
      </c>
      <c r="F508" s="13"/>
      <c r="G508" s="18">
        <v>96959948.799999997</v>
      </c>
      <c r="H508" s="18">
        <v>94404559.620000005</v>
      </c>
      <c r="I508" s="18">
        <v>96959948.799999997</v>
      </c>
      <c r="J508" s="18">
        <v>94404559.620000005</v>
      </c>
      <c r="K508" s="15">
        <v>1289</v>
      </c>
      <c r="L508" s="13" t="s">
        <v>102</v>
      </c>
      <c r="M508" s="13" t="s">
        <v>103</v>
      </c>
      <c r="N508" s="139" t="s">
        <v>379</v>
      </c>
      <c r="O508" s="139" t="s">
        <v>379</v>
      </c>
      <c r="P508" s="28">
        <v>26</v>
      </c>
      <c r="Q508" s="13" t="s">
        <v>54</v>
      </c>
      <c r="R508" s="13" t="s">
        <v>28</v>
      </c>
      <c r="S508" s="13"/>
      <c r="T508" s="13"/>
      <c r="U508" s="13" t="s">
        <v>1388</v>
      </c>
      <c r="V508" s="13" t="s">
        <v>1388</v>
      </c>
      <c r="W508" s="59">
        <f>+J508/$W$2</f>
        <v>2.1206482266836273E-3</v>
      </c>
    </row>
    <row r="509" spans="1:29">
      <c r="A509" s="13" t="s">
        <v>1402</v>
      </c>
      <c r="B509" s="13" t="s">
        <v>538</v>
      </c>
      <c r="C509" s="139">
        <v>46219</v>
      </c>
      <c r="D509" s="139" t="s">
        <v>516</v>
      </c>
      <c r="E509" s="28">
        <v>0.97167501000000001</v>
      </c>
      <c r="F509" s="13"/>
      <c r="G509" s="18">
        <v>6500000</v>
      </c>
      <c r="H509" s="18">
        <v>6315887.5599999996</v>
      </c>
      <c r="I509" s="18">
        <v>6500000</v>
      </c>
      <c r="J509" s="18">
        <v>6315887.5599999996</v>
      </c>
      <c r="K509" s="15">
        <v>29175488</v>
      </c>
      <c r="L509" s="13" t="s">
        <v>102</v>
      </c>
      <c r="M509" s="13" t="s">
        <v>103</v>
      </c>
      <c r="N509" s="139" t="s">
        <v>379</v>
      </c>
      <c r="O509" s="139" t="s">
        <v>379</v>
      </c>
      <c r="P509" s="28">
        <v>28</v>
      </c>
      <c r="Q509" s="13" t="s">
        <v>54</v>
      </c>
      <c r="R509" s="13" t="s">
        <v>28</v>
      </c>
      <c r="S509" s="13"/>
      <c r="T509" s="13"/>
      <c r="U509" s="13" t="s">
        <v>1374</v>
      </c>
      <c r="V509" s="13" t="s">
        <v>1374</v>
      </c>
      <c r="W509" s="59">
        <f>+J509/$W$2</f>
        <v>1.4187636495483055E-4</v>
      </c>
    </row>
    <row r="510" spans="1:29">
      <c r="A510" s="13" t="s">
        <v>550</v>
      </c>
      <c r="B510" s="13" t="s">
        <v>538</v>
      </c>
      <c r="C510" s="139">
        <v>46220</v>
      </c>
      <c r="D510" s="139" t="s">
        <v>516</v>
      </c>
      <c r="E510" s="28">
        <v>0.95901219000000004</v>
      </c>
      <c r="F510" s="13"/>
      <c r="G510" s="18">
        <v>40000000</v>
      </c>
      <c r="H510" s="18">
        <v>38360487.5</v>
      </c>
      <c r="I510" s="18">
        <v>40000000</v>
      </c>
      <c r="J510" s="18">
        <v>38360487.5</v>
      </c>
      <c r="K510" s="15">
        <v>224</v>
      </c>
      <c r="L510" s="13" t="s">
        <v>102</v>
      </c>
      <c r="M510" s="13" t="s">
        <v>103</v>
      </c>
      <c r="N510" s="139" t="s">
        <v>336</v>
      </c>
      <c r="O510" s="139" t="s">
        <v>336</v>
      </c>
      <c r="P510" s="28">
        <v>40</v>
      </c>
      <c r="Q510" s="13" t="s">
        <v>54</v>
      </c>
      <c r="R510" s="13" t="s">
        <v>28</v>
      </c>
      <c r="S510" s="13"/>
      <c r="T510" s="13"/>
      <c r="U510" s="13" t="s">
        <v>552</v>
      </c>
      <c r="V510" s="13" t="s">
        <v>552</v>
      </c>
      <c r="W510" s="59">
        <f>+J510/$W$2</f>
        <v>8.6170731709403893E-4</v>
      </c>
      <c r="AC510" s="56"/>
    </row>
    <row r="511" spans="1:29">
      <c r="A511" s="13" t="s">
        <v>1833</v>
      </c>
      <c r="B511" s="13" t="s">
        <v>538</v>
      </c>
      <c r="C511" s="139">
        <v>46220</v>
      </c>
      <c r="D511" s="139" t="s">
        <v>516</v>
      </c>
      <c r="E511" s="28">
        <v>0.96594080999999998</v>
      </c>
      <c r="F511" s="13"/>
      <c r="G511" s="18">
        <v>1317268.23</v>
      </c>
      <c r="H511" s="18">
        <v>1272403.1399999999</v>
      </c>
      <c r="I511" s="18">
        <v>1317268.23</v>
      </c>
      <c r="J511" s="18">
        <v>1272403.1399999999</v>
      </c>
      <c r="K511" s="15">
        <v>67204031</v>
      </c>
      <c r="L511" s="13" t="s">
        <v>102</v>
      </c>
      <c r="M511" s="13" t="s">
        <v>103</v>
      </c>
      <c r="N511" s="139" t="s">
        <v>335</v>
      </c>
      <c r="O511" s="139" t="s">
        <v>335</v>
      </c>
      <c r="P511" s="28">
        <v>33</v>
      </c>
      <c r="Q511" s="13" t="s">
        <v>54</v>
      </c>
      <c r="R511" s="13" t="s">
        <v>28</v>
      </c>
      <c r="S511" s="13"/>
      <c r="T511" s="13"/>
      <c r="U511" s="13" t="s">
        <v>1808</v>
      </c>
      <c r="V511" s="13" t="s">
        <v>1808</v>
      </c>
      <c r="W511" s="59">
        <f>+J511/$W$2</f>
        <v>2.8582512045276553E-5</v>
      </c>
    </row>
    <row r="512" spans="1:29">
      <c r="A512" s="13" t="s">
        <v>539</v>
      </c>
      <c r="B512" s="13" t="s">
        <v>538</v>
      </c>
      <c r="C512" s="139">
        <v>46220</v>
      </c>
      <c r="D512" s="139" t="s">
        <v>516</v>
      </c>
      <c r="E512" s="28">
        <v>0.96894095999999996</v>
      </c>
      <c r="F512" s="13"/>
      <c r="G512" s="18">
        <v>10000000</v>
      </c>
      <c r="H512" s="18">
        <v>9689409.5700000003</v>
      </c>
      <c r="I512" s="18">
        <v>10000000</v>
      </c>
      <c r="J512" s="18">
        <v>9689409.5700000003</v>
      </c>
      <c r="K512" s="15">
        <v>518</v>
      </c>
      <c r="L512" s="13" t="s">
        <v>102</v>
      </c>
      <c r="M512" s="13" t="s">
        <v>103</v>
      </c>
      <c r="N512" s="139" t="s">
        <v>163</v>
      </c>
      <c r="O512" s="139" t="s">
        <v>163</v>
      </c>
      <c r="P512" s="28">
        <v>30</v>
      </c>
      <c r="Q512" s="13" t="s">
        <v>54</v>
      </c>
      <c r="R512" s="13" t="s">
        <v>28</v>
      </c>
      <c r="S512" s="13"/>
      <c r="T512" s="13"/>
      <c r="U512" s="13" t="s">
        <v>1589</v>
      </c>
      <c r="V512" s="13" t="s">
        <v>1589</v>
      </c>
      <c r="W512" s="59">
        <f>+J512/$W$2</f>
        <v>2.1765716936704741E-4</v>
      </c>
    </row>
    <row r="513" spans="1:29">
      <c r="A513" s="13" t="s">
        <v>597</v>
      </c>
      <c r="B513" s="13" t="s">
        <v>538</v>
      </c>
      <c r="C513" s="139">
        <v>46220</v>
      </c>
      <c r="D513" s="139" t="s">
        <v>516</v>
      </c>
      <c r="E513" s="28">
        <v>0.96395096999999996</v>
      </c>
      <c r="F513" s="13"/>
      <c r="G513" s="18">
        <v>1500000</v>
      </c>
      <c r="H513" s="18">
        <v>1445926.46</v>
      </c>
      <c r="I513" s="18">
        <v>1500000</v>
      </c>
      <c r="J513" s="18">
        <v>1445926.46</v>
      </c>
      <c r="K513" s="15">
        <v>1</v>
      </c>
      <c r="L513" s="13" t="s">
        <v>102</v>
      </c>
      <c r="M513" s="13" t="s">
        <v>103</v>
      </c>
      <c r="N513" s="139" t="s">
        <v>431</v>
      </c>
      <c r="O513" s="139" t="s">
        <v>431</v>
      </c>
      <c r="P513" s="28">
        <v>35</v>
      </c>
      <c r="Q513" s="13" t="s">
        <v>54</v>
      </c>
      <c r="R513" s="13" t="s">
        <v>28</v>
      </c>
      <c r="S513" s="13"/>
      <c r="T513" s="13"/>
      <c r="U513" s="13" t="s">
        <v>1168</v>
      </c>
      <c r="V513" s="13" t="s">
        <v>1168</v>
      </c>
      <c r="W513" s="59">
        <f>+J513/$W$2</f>
        <v>3.2480437339642285E-5</v>
      </c>
    </row>
    <row r="514" spans="1:29">
      <c r="A514" s="13" t="s">
        <v>132</v>
      </c>
      <c r="B514" s="13" t="s">
        <v>538</v>
      </c>
      <c r="C514" s="139">
        <v>46220</v>
      </c>
      <c r="D514" s="139" t="s">
        <v>516</v>
      </c>
      <c r="E514" s="28">
        <v>0.96098152000000003</v>
      </c>
      <c r="F514" s="13"/>
      <c r="G514" s="18">
        <v>20000000</v>
      </c>
      <c r="H514" s="18">
        <v>19219630.449999999</v>
      </c>
      <c r="I514" s="18">
        <v>20000000</v>
      </c>
      <c r="J514" s="18">
        <v>19219630.449999999</v>
      </c>
      <c r="K514" s="15">
        <v>65800709</v>
      </c>
      <c r="L514" s="13" t="s">
        <v>102</v>
      </c>
      <c r="M514" s="13" t="s">
        <v>103</v>
      </c>
      <c r="N514" s="139" t="s">
        <v>246</v>
      </c>
      <c r="O514" s="139" t="s">
        <v>246</v>
      </c>
      <c r="P514" s="28">
        <v>38</v>
      </c>
      <c r="Q514" s="13" t="s">
        <v>54</v>
      </c>
      <c r="R514" s="13" t="s">
        <v>28</v>
      </c>
      <c r="S514" s="13"/>
      <c r="T514" s="13"/>
      <c r="U514" s="13" t="s">
        <v>565</v>
      </c>
      <c r="V514" s="13" t="s">
        <v>565</v>
      </c>
      <c r="W514" s="59">
        <f>+J514/$W$2</f>
        <v>4.3173841809514008E-4</v>
      </c>
    </row>
    <row r="515" spans="1:29">
      <c r="A515" s="13" t="s">
        <v>247</v>
      </c>
      <c r="B515" s="13" t="s">
        <v>538</v>
      </c>
      <c r="C515" s="139">
        <v>46220</v>
      </c>
      <c r="D515" s="139" t="s">
        <v>516</v>
      </c>
      <c r="E515" s="28">
        <v>0.95901212999999996</v>
      </c>
      <c r="F515" s="13"/>
      <c r="G515" s="18">
        <v>4100000</v>
      </c>
      <c r="H515" s="18">
        <v>3931949.74</v>
      </c>
      <c r="I515" s="18">
        <v>4100000</v>
      </c>
      <c r="J515" s="18">
        <v>3931949.74</v>
      </c>
      <c r="K515" s="15">
        <v>1020</v>
      </c>
      <c r="L515" s="13" t="s">
        <v>102</v>
      </c>
      <c r="M515" s="13" t="s">
        <v>103</v>
      </c>
      <c r="N515" s="139" t="s">
        <v>266</v>
      </c>
      <c r="O515" s="139" t="s">
        <v>266</v>
      </c>
      <c r="P515" s="28">
        <v>40</v>
      </c>
      <c r="Q515" s="13" t="s">
        <v>54</v>
      </c>
      <c r="R515" s="13" t="s">
        <v>28</v>
      </c>
      <c r="S515" s="13"/>
      <c r="T515" s="13"/>
      <c r="U515" s="13" t="s">
        <v>495</v>
      </c>
      <c r="V515" s="13" t="s">
        <v>495</v>
      </c>
      <c r="W515" s="59">
        <f>+J515/$W$2</f>
        <v>8.8324994863634199E-5</v>
      </c>
    </row>
    <row r="516" spans="1:29">
      <c r="A516" s="13" t="s">
        <v>478</v>
      </c>
      <c r="B516" s="13" t="s">
        <v>538</v>
      </c>
      <c r="C516" s="139">
        <v>46220</v>
      </c>
      <c r="D516" s="139" t="s">
        <v>516</v>
      </c>
      <c r="E516" s="28">
        <v>0.96295920000000002</v>
      </c>
      <c r="F516" s="13"/>
      <c r="G516" s="18">
        <v>1250000</v>
      </c>
      <c r="H516" s="18">
        <v>1203699</v>
      </c>
      <c r="I516" s="18">
        <v>1250000</v>
      </c>
      <c r="J516" s="18">
        <v>1203699</v>
      </c>
      <c r="K516" s="15">
        <v>2499</v>
      </c>
      <c r="L516" s="13" t="s">
        <v>102</v>
      </c>
      <c r="M516" s="13" t="s">
        <v>103</v>
      </c>
      <c r="N516" s="139" t="s">
        <v>471</v>
      </c>
      <c r="O516" s="139" t="s">
        <v>471</v>
      </c>
      <c r="P516" s="28">
        <v>36</v>
      </c>
      <c r="Q516" s="13" t="s">
        <v>54</v>
      </c>
      <c r="R516" s="13" t="s">
        <v>28</v>
      </c>
      <c r="S516" s="13"/>
      <c r="T516" s="13"/>
      <c r="U516" s="13" t="s">
        <v>1550</v>
      </c>
      <c r="V516" s="13" t="s">
        <v>1550</v>
      </c>
      <c r="W516" s="59">
        <f>+J516/$W$2</f>
        <v>2.7039182853939943E-5</v>
      </c>
    </row>
    <row r="517" spans="1:29">
      <c r="A517" s="13" t="s">
        <v>1842</v>
      </c>
      <c r="B517" s="13" t="s">
        <v>538</v>
      </c>
      <c r="C517" s="139">
        <v>46220</v>
      </c>
      <c r="D517" s="139" t="s">
        <v>516</v>
      </c>
      <c r="E517" s="28">
        <v>0.96594082000000003</v>
      </c>
      <c r="F517" s="13"/>
      <c r="G517" s="18">
        <v>1151000</v>
      </c>
      <c r="H517" s="18">
        <v>1111797.8799999999</v>
      </c>
      <c r="I517" s="18">
        <v>1151000</v>
      </c>
      <c r="J517" s="18">
        <v>1111797.8799999999</v>
      </c>
      <c r="K517" s="15">
        <v>29109534</v>
      </c>
      <c r="L517" s="13" t="s">
        <v>102</v>
      </c>
      <c r="M517" s="13" t="s">
        <v>103</v>
      </c>
      <c r="N517" s="139" t="s">
        <v>335</v>
      </c>
      <c r="O517" s="139" t="s">
        <v>335</v>
      </c>
      <c r="P517" s="28">
        <v>33</v>
      </c>
      <c r="Q517" s="13" t="s">
        <v>54</v>
      </c>
      <c r="R517" s="13" t="s">
        <v>28</v>
      </c>
      <c r="S517" s="13"/>
      <c r="T517" s="13"/>
      <c r="U517" s="13" t="s">
        <v>1788</v>
      </c>
      <c r="V517" s="13" t="s">
        <v>1788</v>
      </c>
      <c r="W517" s="59">
        <f>+J517/$W$2</f>
        <v>2.497477041514762E-5</v>
      </c>
    </row>
    <row r="518" spans="1:29">
      <c r="A518" s="13" t="s">
        <v>639</v>
      </c>
      <c r="B518" s="13" t="s">
        <v>538</v>
      </c>
      <c r="C518" s="139">
        <v>46220</v>
      </c>
      <c r="D518" s="139" t="s">
        <v>516</v>
      </c>
      <c r="E518" s="28">
        <v>0.96994502999999999</v>
      </c>
      <c r="F518" s="13"/>
      <c r="G518" s="18">
        <v>12500000</v>
      </c>
      <c r="H518" s="18">
        <v>12124312.91</v>
      </c>
      <c r="I518" s="18">
        <v>12500000</v>
      </c>
      <c r="J518" s="18">
        <v>12124312.91</v>
      </c>
      <c r="K518" s="15">
        <v>28996509</v>
      </c>
      <c r="L518" s="13" t="s">
        <v>102</v>
      </c>
      <c r="M518" s="13" t="s">
        <v>103</v>
      </c>
      <c r="N518" s="139" t="s">
        <v>155</v>
      </c>
      <c r="O518" s="139" t="s">
        <v>155</v>
      </c>
      <c r="P518" s="28">
        <v>29</v>
      </c>
      <c r="Q518" s="13" t="s">
        <v>54</v>
      </c>
      <c r="R518" s="13" t="s">
        <v>28</v>
      </c>
      <c r="S518" s="13"/>
      <c r="T518" s="13"/>
      <c r="U518" s="13" t="s">
        <v>613</v>
      </c>
      <c r="V518" s="13" t="s">
        <v>613</v>
      </c>
      <c r="W518" s="59">
        <f>+J518/$W$2</f>
        <v>2.7235339877483881E-4</v>
      </c>
      <c r="AC518" s="56"/>
    </row>
    <row r="519" spans="1:29">
      <c r="A519" s="13" t="s">
        <v>338</v>
      </c>
      <c r="B519" s="13" t="s">
        <v>538</v>
      </c>
      <c r="C519" s="139">
        <v>46220</v>
      </c>
      <c r="D519" s="139" t="s">
        <v>516</v>
      </c>
      <c r="E519" s="28">
        <v>0.9699451</v>
      </c>
      <c r="F519" s="13"/>
      <c r="G519" s="18">
        <v>70000000</v>
      </c>
      <c r="H519" s="18">
        <v>67896156.980000004</v>
      </c>
      <c r="I519" s="18">
        <v>70000000</v>
      </c>
      <c r="J519" s="18">
        <v>67896156.980000004</v>
      </c>
      <c r="K519" s="15">
        <v>90041868</v>
      </c>
      <c r="L519" s="13" t="s">
        <v>102</v>
      </c>
      <c r="M519" s="13" t="s">
        <v>103</v>
      </c>
      <c r="N519" s="139" t="s">
        <v>428</v>
      </c>
      <c r="O519" s="139" t="s">
        <v>428</v>
      </c>
      <c r="P519" s="28">
        <v>29</v>
      </c>
      <c r="Q519" s="13" t="s">
        <v>54</v>
      </c>
      <c r="R519" s="13" t="s">
        <v>28</v>
      </c>
      <c r="S519" s="13"/>
      <c r="T519" s="13"/>
      <c r="U519" s="13" t="s">
        <v>942</v>
      </c>
      <c r="V519" s="13" t="s">
        <v>942</v>
      </c>
      <c r="W519" s="59">
        <f>+J519/$W$2</f>
        <v>1.5251791383577048E-3</v>
      </c>
    </row>
    <row r="520" spans="1:29">
      <c r="A520" s="13" t="s">
        <v>1680</v>
      </c>
      <c r="B520" s="13" t="s">
        <v>538</v>
      </c>
      <c r="C520" s="139">
        <v>46220</v>
      </c>
      <c r="D520" s="139" t="s">
        <v>516</v>
      </c>
      <c r="E520" s="28">
        <v>0.96594066999999995</v>
      </c>
      <c r="F520" s="13"/>
      <c r="G520" s="18">
        <v>24746871.309999999</v>
      </c>
      <c r="H520" s="18">
        <v>23904009.539999999</v>
      </c>
      <c r="I520" s="18">
        <v>24746871.309999999</v>
      </c>
      <c r="J520" s="18">
        <v>23904009.539999999</v>
      </c>
      <c r="K520" s="15">
        <v>89</v>
      </c>
      <c r="L520" s="13" t="s">
        <v>102</v>
      </c>
      <c r="M520" s="13" t="s">
        <v>103</v>
      </c>
      <c r="N520" s="139" t="s">
        <v>514</v>
      </c>
      <c r="O520" s="139" t="s">
        <v>514</v>
      </c>
      <c r="P520" s="28">
        <v>33</v>
      </c>
      <c r="Q520" s="13" t="s">
        <v>54</v>
      </c>
      <c r="R520" s="13" t="s">
        <v>28</v>
      </c>
      <c r="S520" s="13"/>
      <c r="T520" s="13"/>
      <c r="U520" s="13" t="s">
        <v>1681</v>
      </c>
      <c r="V520" s="13" t="s">
        <v>1681</v>
      </c>
      <c r="W520" s="59">
        <f>+J520/$W$2</f>
        <v>5.3696554113144969E-4</v>
      </c>
    </row>
    <row r="521" spans="1:29">
      <c r="A521" s="13" t="s">
        <v>993</v>
      </c>
      <c r="B521" s="13" t="s">
        <v>538</v>
      </c>
      <c r="C521" s="139">
        <v>46220</v>
      </c>
      <c r="D521" s="139" t="s">
        <v>516</v>
      </c>
      <c r="E521" s="28">
        <v>0.97095131999999995</v>
      </c>
      <c r="F521" s="13"/>
      <c r="G521" s="18">
        <v>1000000</v>
      </c>
      <c r="H521" s="18">
        <v>970951.32</v>
      </c>
      <c r="I521" s="18">
        <v>1000000</v>
      </c>
      <c r="J521" s="18">
        <v>970951.32</v>
      </c>
      <c r="K521" s="15">
        <v>10805445</v>
      </c>
      <c r="L521" s="13" t="s">
        <v>102</v>
      </c>
      <c r="M521" s="13" t="s">
        <v>103</v>
      </c>
      <c r="N521" s="139" t="s">
        <v>344</v>
      </c>
      <c r="O521" s="139" t="s">
        <v>344</v>
      </c>
      <c r="P521" s="28">
        <v>28</v>
      </c>
      <c r="Q521" s="13" t="s">
        <v>54</v>
      </c>
      <c r="R521" s="13" t="s">
        <v>28</v>
      </c>
      <c r="S521" s="13"/>
      <c r="T521" s="13"/>
      <c r="U521" s="13" t="s">
        <v>1103</v>
      </c>
      <c r="V521" s="13" t="s">
        <v>1103</v>
      </c>
      <c r="W521" s="59">
        <f>+J521/$W$2</f>
        <v>2.1810876542851953E-5</v>
      </c>
      <c r="AC521" s="56"/>
    </row>
    <row r="522" spans="1:29">
      <c r="A522" s="13" t="s">
        <v>339</v>
      </c>
      <c r="B522" s="13" t="s">
        <v>538</v>
      </c>
      <c r="C522" s="139">
        <v>46220</v>
      </c>
      <c r="D522" s="139" t="s">
        <v>516</v>
      </c>
      <c r="E522" s="28">
        <v>0.96994504000000004</v>
      </c>
      <c r="F522" s="13"/>
      <c r="G522" s="18">
        <v>3500000</v>
      </c>
      <c r="H522" s="18">
        <v>3394807.65</v>
      </c>
      <c r="I522" s="18">
        <v>3500000</v>
      </c>
      <c r="J522" s="18">
        <v>3394807.65</v>
      </c>
      <c r="K522" s="15">
        <v>404</v>
      </c>
      <c r="L522" s="13" t="s">
        <v>102</v>
      </c>
      <c r="M522" s="13" t="s">
        <v>103</v>
      </c>
      <c r="N522" s="139" t="s">
        <v>344</v>
      </c>
      <c r="O522" s="139" t="s">
        <v>344</v>
      </c>
      <c r="P522" s="28">
        <v>29</v>
      </c>
      <c r="Q522" s="13" t="s">
        <v>54</v>
      </c>
      <c r="R522" s="13" t="s">
        <v>28</v>
      </c>
      <c r="S522" s="13"/>
      <c r="T522" s="13"/>
      <c r="U522" s="13" t="s">
        <v>1152</v>
      </c>
      <c r="V522" s="13" t="s">
        <v>1152</v>
      </c>
      <c r="W522" s="59">
        <f>+J522/$W$2</f>
        <v>7.6258952447666865E-5</v>
      </c>
    </row>
    <row r="523" spans="1:29">
      <c r="A523" s="13" t="s">
        <v>426</v>
      </c>
      <c r="B523" s="13" t="s">
        <v>538</v>
      </c>
      <c r="C523" s="139">
        <v>46220</v>
      </c>
      <c r="D523" s="139" t="s">
        <v>516</v>
      </c>
      <c r="E523" s="28">
        <v>0.95607310999999995</v>
      </c>
      <c r="F523" s="13"/>
      <c r="G523" s="18">
        <v>3500000</v>
      </c>
      <c r="H523" s="18">
        <v>3346255.88</v>
      </c>
      <c r="I523" s="18">
        <v>3500000</v>
      </c>
      <c r="J523" s="18">
        <v>3346255.88</v>
      </c>
      <c r="K523" s="15">
        <v>3073</v>
      </c>
      <c r="L523" s="13" t="s">
        <v>102</v>
      </c>
      <c r="M523" s="13" t="s">
        <v>103</v>
      </c>
      <c r="N523" s="139" t="s">
        <v>230</v>
      </c>
      <c r="O523" s="139" t="s">
        <v>230</v>
      </c>
      <c r="P523" s="28">
        <v>43</v>
      </c>
      <c r="Q523" s="13" t="s">
        <v>54</v>
      </c>
      <c r="R523" s="13" t="s">
        <v>28</v>
      </c>
      <c r="S523" s="13"/>
      <c r="T523" s="13"/>
      <c r="U523" s="13" t="s">
        <v>423</v>
      </c>
      <c r="V523" s="13" t="s">
        <v>423</v>
      </c>
      <c r="W523" s="59">
        <f>+J523/$W$2</f>
        <v>7.5168314184353158E-5</v>
      </c>
    </row>
    <row r="524" spans="1:29">
      <c r="A524" s="13" t="s">
        <v>357</v>
      </c>
      <c r="B524" s="13" t="s">
        <v>538</v>
      </c>
      <c r="C524" s="139">
        <v>46220</v>
      </c>
      <c r="D524" s="139" t="s">
        <v>516</v>
      </c>
      <c r="E524" s="28">
        <v>0.96196926999999999</v>
      </c>
      <c r="F524" s="13"/>
      <c r="G524" s="18">
        <v>5000000</v>
      </c>
      <c r="H524" s="18">
        <v>4809846.33</v>
      </c>
      <c r="I524" s="18">
        <v>5000000</v>
      </c>
      <c r="J524" s="18">
        <v>4809846.33</v>
      </c>
      <c r="K524" s="15">
        <v>40734595</v>
      </c>
      <c r="L524" s="13" t="s">
        <v>102</v>
      </c>
      <c r="M524" s="13" t="s">
        <v>103</v>
      </c>
      <c r="N524" s="139" t="s">
        <v>343</v>
      </c>
      <c r="O524" s="139" t="s">
        <v>343</v>
      </c>
      <c r="P524" s="28">
        <v>37</v>
      </c>
      <c r="Q524" s="13" t="s">
        <v>54</v>
      </c>
      <c r="R524" s="13" t="s">
        <v>28</v>
      </c>
      <c r="S524" s="13"/>
      <c r="T524" s="13"/>
      <c r="U524" s="13" t="s">
        <v>1406</v>
      </c>
      <c r="V524" s="13" t="s">
        <v>1406</v>
      </c>
      <c r="W524" s="59">
        <f>+J524/$W$2</f>
        <v>1.080455449545293E-4</v>
      </c>
    </row>
    <row r="525" spans="1:29">
      <c r="A525" s="13" t="s">
        <v>265</v>
      </c>
      <c r="B525" s="13" t="s">
        <v>538</v>
      </c>
      <c r="C525" s="139">
        <v>46220</v>
      </c>
      <c r="D525" s="139" t="s">
        <v>516</v>
      </c>
      <c r="E525" s="28">
        <v>0.95803046999999997</v>
      </c>
      <c r="F525" s="13"/>
      <c r="G525" s="18">
        <v>45000000</v>
      </c>
      <c r="H525" s="18">
        <v>43111371.240000002</v>
      </c>
      <c r="I525" s="18">
        <v>45000000</v>
      </c>
      <c r="J525" s="18">
        <v>43111371.240000002</v>
      </c>
      <c r="K525" s="15">
        <v>64885072</v>
      </c>
      <c r="L525" s="13" t="s">
        <v>102</v>
      </c>
      <c r="M525" s="13" t="s">
        <v>103</v>
      </c>
      <c r="N525" s="139" t="s">
        <v>230</v>
      </c>
      <c r="O525" s="139" t="s">
        <v>230</v>
      </c>
      <c r="P525" s="28">
        <v>41</v>
      </c>
      <c r="Q525" s="13" t="s">
        <v>54</v>
      </c>
      <c r="R525" s="13" t="s">
        <v>28</v>
      </c>
      <c r="S525" s="13"/>
      <c r="T525" s="13"/>
      <c r="U525" s="13" t="s">
        <v>404</v>
      </c>
      <c r="V525" s="13" t="s">
        <v>404</v>
      </c>
      <c r="W525" s="59">
        <f>+J525/$W$2</f>
        <v>9.6842836127839903E-4</v>
      </c>
    </row>
    <row r="526" spans="1:29">
      <c r="A526" s="13" t="s">
        <v>1052</v>
      </c>
      <c r="B526" s="13" t="s">
        <v>538</v>
      </c>
      <c r="C526" s="139">
        <v>46220</v>
      </c>
      <c r="D526" s="139" t="s">
        <v>516</v>
      </c>
      <c r="E526" s="28">
        <v>0.97095129000000002</v>
      </c>
      <c r="F526" s="13"/>
      <c r="G526" s="18">
        <v>15000000</v>
      </c>
      <c r="H526" s="18">
        <v>14564269.279999999</v>
      </c>
      <c r="I526" s="18">
        <v>15000000</v>
      </c>
      <c r="J526" s="18">
        <v>14564269.279999999</v>
      </c>
      <c r="K526" s="15">
        <v>29131904</v>
      </c>
      <c r="L526" s="13" t="s">
        <v>102</v>
      </c>
      <c r="M526" s="13" t="s">
        <v>103</v>
      </c>
      <c r="N526" s="139" t="s">
        <v>366</v>
      </c>
      <c r="O526" s="139" t="s">
        <v>366</v>
      </c>
      <c r="P526" s="28">
        <v>28</v>
      </c>
      <c r="Q526" s="13" t="s">
        <v>54</v>
      </c>
      <c r="R526" s="13" t="s">
        <v>28</v>
      </c>
      <c r="S526" s="13"/>
      <c r="T526" s="13"/>
      <c r="U526" s="13" t="s">
        <v>1036</v>
      </c>
      <c r="V526" s="13" t="s">
        <v>1036</v>
      </c>
      <c r="W526" s="59">
        <f>+J526/$W$2</f>
        <v>3.271631364618067E-4</v>
      </c>
    </row>
    <row r="527" spans="1:29">
      <c r="A527" s="13" t="s">
        <v>923</v>
      </c>
      <c r="B527" s="13" t="s">
        <v>538</v>
      </c>
      <c r="C527" s="139">
        <v>46223</v>
      </c>
      <c r="D527" s="139" t="s">
        <v>516</v>
      </c>
      <c r="E527" s="28">
        <v>0.96448582000000005</v>
      </c>
      <c r="F527" s="13"/>
      <c r="G527" s="18">
        <v>15000000</v>
      </c>
      <c r="H527" s="18">
        <v>14467287.25</v>
      </c>
      <c r="I527" s="18">
        <v>15000000</v>
      </c>
      <c r="J527" s="18">
        <v>14467287.25</v>
      </c>
      <c r="K527" s="15">
        <v>172</v>
      </c>
      <c r="L527" s="13" t="s">
        <v>102</v>
      </c>
      <c r="M527" s="13" t="s">
        <v>103</v>
      </c>
      <c r="N527" s="139" t="s">
        <v>378</v>
      </c>
      <c r="O527" s="139" t="s">
        <v>378</v>
      </c>
      <c r="P527" s="28">
        <v>32</v>
      </c>
      <c r="Q527" s="13" t="s">
        <v>54</v>
      </c>
      <c r="R527" s="13" t="s">
        <v>28</v>
      </c>
      <c r="S527" s="13"/>
      <c r="T527" s="13"/>
      <c r="U527" s="13" t="s">
        <v>853</v>
      </c>
      <c r="V527" s="13" t="s">
        <v>853</v>
      </c>
      <c r="W527" s="59">
        <f>+J527/$W$2</f>
        <v>3.249845894639972E-4</v>
      </c>
    </row>
    <row r="528" spans="1:29">
      <c r="A528" s="13" t="s">
        <v>1826</v>
      </c>
      <c r="B528" s="13" t="s">
        <v>538</v>
      </c>
      <c r="C528" s="139">
        <v>46223</v>
      </c>
      <c r="D528" s="139" t="s">
        <v>516</v>
      </c>
      <c r="E528" s="28">
        <v>0.96341675999999998</v>
      </c>
      <c r="F528" s="13"/>
      <c r="G528" s="18">
        <v>2890000</v>
      </c>
      <c r="H528" s="18">
        <v>2784274.42</v>
      </c>
      <c r="I528" s="18">
        <v>2890000</v>
      </c>
      <c r="J528" s="18">
        <v>2784274.42</v>
      </c>
      <c r="K528" s="15">
        <v>1236</v>
      </c>
      <c r="L528" s="13" t="s">
        <v>102</v>
      </c>
      <c r="M528" s="13" t="s">
        <v>103</v>
      </c>
      <c r="N528" s="139" t="s">
        <v>335</v>
      </c>
      <c r="O528" s="139" t="s">
        <v>335</v>
      </c>
      <c r="P528" s="28">
        <v>33</v>
      </c>
      <c r="Q528" s="13" t="s">
        <v>54</v>
      </c>
      <c r="R528" s="13" t="s">
        <v>28</v>
      </c>
      <c r="S528" s="13"/>
      <c r="T528" s="13"/>
      <c r="U528" s="13" t="s">
        <v>1785</v>
      </c>
      <c r="V528" s="13" t="s">
        <v>1785</v>
      </c>
      <c r="W528" s="59">
        <f>+J528/$W$2</f>
        <v>6.2544294842753527E-5</v>
      </c>
    </row>
    <row r="529" spans="1:29">
      <c r="A529" s="13" t="s">
        <v>1832</v>
      </c>
      <c r="B529" s="13" t="s">
        <v>538</v>
      </c>
      <c r="C529" s="139">
        <v>46223</v>
      </c>
      <c r="D529" s="139" t="s">
        <v>516</v>
      </c>
      <c r="E529" s="28">
        <v>0.96341673999999999</v>
      </c>
      <c r="F529" s="13"/>
      <c r="G529" s="18">
        <v>1000000</v>
      </c>
      <c r="H529" s="18">
        <v>963416.74</v>
      </c>
      <c r="I529" s="18">
        <v>1000000</v>
      </c>
      <c r="J529" s="18">
        <v>963416.74</v>
      </c>
      <c r="K529" s="15">
        <v>677</v>
      </c>
      <c r="L529" s="13" t="s">
        <v>102</v>
      </c>
      <c r="M529" s="13" t="s">
        <v>103</v>
      </c>
      <c r="N529" s="139" t="s">
        <v>335</v>
      </c>
      <c r="O529" s="139" t="s">
        <v>335</v>
      </c>
      <c r="P529" s="28">
        <v>33</v>
      </c>
      <c r="Q529" s="13" t="s">
        <v>54</v>
      </c>
      <c r="R529" s="13" t="s">
        <v>28</v>
      </c>
      <c r="S529" s="13"/>
      <c r="T529" s="13"/>
      <c r="U529" s="13" t="s">
        <v>1806</v>
      </c>
      <c r="V529" s="13" t="s">
        <v>1806</v>
      </c>
      <c r="W529" s="59">
        <f>+J529/$W$2</f>
        <v>2.1641624191269342E-5</v>
      </c>
    </row>
    <row r="530" spans="1:29">
      <c r="A530" s="13" t="s">
        <v>1834</v>
      </c>
      <c r="B530" s="13" t="s">
        <v>538</v>
      </c>
      <c r="C530" s="139">
        <v>46223</v>
      </c>
      <c r="D530" s="139" t="s">
        <v>516</v>
      </c>
      <c r="E530" s="28">
        <v>0.96341675000000004</v>
      </c>
      <c r="F530" s="13"/>
      <c r="G530" s="18">
        <v>1039967.56</v>
      </c>
      <c r="H530" s="18">
        <v>1001922.17</v>
      </c>
      <c r="I530" s="18">
        <v>1039967.56</v>
      </c>
      <c r="J530" s="18">
        <v>1001922.17</v>
      </c>
      <c r="K530" s="15">
        <v>1117</v>
      </c>
      <c r="L530" s="13" t="s">
        <v>102</v>
      </c>
      <c r="M530" s="13" t="s">
        <v>103</v>
      </c>
      <c r="N530" s="139" t="s">
        <v>335</v>
      </c>
      <c r="O530" s="139" t="s">
        <v>335</v>
      </c>
      <c r="P530" s="28">
        <v>33</v>
      </c>
      <c r="Q530" s="13" t="s">
        <v>54</v>
      </c>
      <c r="R530" s="13" t="s">
        <v>28</v>
      </c>
      <c r="S530" s="13"/>
      <c r="T530" s="13"/>
      <c r="U530" s="13" t="s">
        <v>1814</v>
      </c>
      <c r="V530" s="13" t="s">
        <v>1814</v>
      </c>
      <c r="W530" s="59">
        <f>+J530/$W$2</f>
        <v>2.2506587411010812E-5</v>
      </c>
    </row>
    <row r="531" spans="1:29">
      <c r="A531" s="13" t="s">
        <v>539</v>
      </c>
      <c r="B531" s="13" t="s">
        <v>538</v>
      </c>
      <c r="C531" s="139">
        <v>46223</v>
      </c>
      <c r="D531" s="139" t="s">
        <v>516</v>
      </c>
      <c r="E531" s="28">
        <v>0.96663140999999997</v>
      </c>
      <c r="F531" s="13"/>
      <c r="G531" s="18">
        <v>10000000</v>
      </c>
      <c r="H531" s="18">
        <v>9666314.1099999994</v>
      </c>
      <c r="I531" s="18">
        <v>10000000</v>
      </c>
      <c r="J531" s="18">
        <v>9666314.1099999994</v>
      </c>
      <c r="K531" s="15">
        <v>522</v>
      </c>
      <c r="L531" s="13" t="s">
        <v>102</v>
      </c>
      <c r="M531" s="13" t="s">
        <v>103</v>
      </c>
      <c r="N531" s="139" t="s">
        <v>382</v>
      </c>
      <c r="O531" s="139" t="s">
        <v>382</v>
      </c>
      <c r="P531" s="28">
        <v>30</v>
      </c>
      <c r="Q531" s="13" t="s">
        <v>54</v>
      </c>
      <c r="R531" s="13" t="s">
        <v>28</v>
      </c>
      <c r="S531" s="13"/>
      <c r="T531" s="13"/>
      <c r="U531" s="13" t="s">
        <v>1606</v>
      </c>
      <c r="V531" s="13" t="s">
        <v>1606</v>
      </c>
      <c r="W531" s="59">
        <f>+J531/$W$2</f>
        <v>2.1713836660486527E-4</v>
      </c>
      <c r="AC531" s="56"/>
    </row>
    <row r="532" spans="1:29">
      <c r="A532" s="13" t="s">
        <v>558</v>
      </c>
      <c r="B532" s="13" t="s">
        <v>538</v>
      </c>
      <c r="C532" s="139">
        <v>46223</v>
      </c>
      <c r="D532" s="139" t="s">
        <v>516</v>
      </c>
      <c r="E532" s="28">
        <v>0.96555751999999995</v>
      </c>
      <c r="F532" s="13"/>
      <c r="G532" s="18">
        <v>15000000</v>
      </c>
      <c r="H532" s="18">
        <v>14483362.810000001</v>
      </c>
      <c r="I532" s="18">
        <v>15000000</v>
      </c>
      <c r="J532" s="18">
        <v>14483362.810000001</v>
      </c>
      <c r="K532" s="15">
        <v>70219528</v>
      </c>
      <c r="L532" s="13" t="s">
        <v>102</v>
      </c>
      <c r="M532" s="13" t="s">
        <v>103</v>
      </c>
      <c r="N532" s="139" t="s">
        <v>377</v>
      </c>
      <c r="O532" s="139" t="s">
        <v>377</v>
      </c>
      <c r="P532" s="28">
        <v>31</v>
      </c>
      <c r="Q532" s="13" t="s">
        <v>54</v>
      </c>
      <c r="R532" s="13" t="s">
        <v>28</v>
      </c>
      <c r="S532" s="13"/>
      <c r="T532" s="13"/>
      <c r="U532" s="13" t="s">
        <v>1472</v>
      </c>
      <c r="V532" s="13" t="s">
        <v>1472</v>
      </c>
      <c r="W532" s="59">
        <f>+J532/$W$2</f>
        <v>3.2534570134189981E-4</v>
      </c>
    </row>
    <row r="533" spans="1:29">
      <c r="A533" s="13" t="s">
        <v>365</v>
      </c>
      <c r="B533" s="13" t="s">
        <v>538</v>
      </c>
      <c r="C533" s="139">
        <v>46223</v>
      </c>
      <c r="D533" s="139" t="s">
        <v>516</v>
      </c>
      <c r="E533" s="28">
        <v>0.95810587000000003</v>
      </c>
      <c r="F533" s="13"/>
      <c r="G533" s="18">
        <v>8000000</v>
      </c>
      <c r="H533" s="18">
        <v>7664846.9900000002</v>
      </c>
      <c r="I533" s="18">
        <v>8000000</v>
      </c>
      <c r="J533" s="18">
        <v>7664846.9900000002</v>
      </c>
      <c r="K533" s="15">
        <v>60524090</v>
      </c>
      <c r="L533" s="13" t="s">
        <v>102</v>
      </c>
      <c r="M533" s="13" t="s">
        <v>103</v>
      </c>
      <c r="N533" s="139" t="s">
        <v>312</v>
      </c>
      <c r="O533" s="139" t="s">
        <v>312</v>
      </c>
      <c r="P533" s="28">
        <v>38</v>
      </c>
      <c r="Q533" s="13" t="s">
        <v>54</v>
      </c>
      <c r="R533" s="13" t="s">
        <v>28</v>
      </c>
      <c r="S533" s="13"/>
      <c r="T533" s="13"/>
      <c r="U533" s="13" t="s">
        <v>554</v>
      </c>
      <c r="V533" s="13" t="s">
        <v>554</v>
      </c>
      <c r="W533" s="59">
        <f>+J533/$W$2</f>
        <v>1.7217859224779715E-4</v>
      </c>
      <c r="AC533" s="56"/>
    </row>
    <row r="534" spans="1:29">
      <c r="A534" s="13" t="s">
        <v>365</v>
      </c>
      <c r="B534" s="13" t="s">
        <v>538</v>
      </c>
      <c r="C534" s="139">
        <v>46223</v>
      </c>
      <c r="D534" s="139" t="s">
        <v>516</v>
      </c>
      <c r="E534" s="28">
        <v>0.95599798999999996</v>
      </c>
      <c r="F534" s="13"/>
      <c r="G534" s="18">
        <v>3500000</v>
      </c>
      <c r="H534" s="18">
        <v>3345992.95</v>
      </c>
      <c r="I534" s="18">
        <v>3500000</v>
      </c>
      <c r="J534" s="18">
        <v>3345992.95</v>
      </c>
      <c r="K534" s="15">
        <v>60524036</v>
      </c>
      <c r="L534" s="13" t="s">
        <v>102</v>
      </c>
      <c r="M534" s="13" t="s">
        <v>103</v>
      </c>
      <c r="N534" s="139" t="s">
        <v>243</v>
      </c>
      <c r="O534" s="139" t="s">
        <v>243</v>
      </c>
      <c r="P534" s="28">
        <v>40</v>
      </c>
      <c r="Q534" s="13" t="s">
        <v>54</v>
      </c>
      <c r="R534" s="13" t="s">
        <v>28</v>
      </c>
      <c r="S534" s="13"/>
      <c r="T534" s="13"/>
      <c r="U534" s="13" t="s">
        <v>488</v>
      </c>
      <c r="V534" s="13" t="s">
        <v>488</v>
      </c>
      <c r="W534" s="59">
        <f>+J534/$W$2</f>
        <v>7.5162407880245756E-5</v>
      </c>
      <c r="AC534" s="56"/>
    </row>
    <row r="535" spans="1:29">
      <c r="A535" s="13" t="s">
        <v>247</v>
      </c>
      <c r="B535" s="13" t="s">
        <v>538</v>
      </c>
      <c r="C535" s="139">
        <v>46223</v>
      </c>
      <c r="D535" s="139" t="s">
        <v>516</v>
      </c>
      <c r="E535" s="28">
        <v>0.95599796999999997</v>
      </c>
      <c r="F535" s="13"/>
      <c r="G535" s="18">
        <v>4100000</v>
      </c>
      <c r="H535" s="18">
        <v>3919591.69</v>
      </c>
      <c r="I535" s="18">
        <v>4100000</v>
      </c>
      <c r="J535" s="18">
        <v>3919591.69</v>
      </c>
      <c r="K535" s="15">
        <v>1021</v>
      </c>
      <c r="L535" s="13" t="s">
        <v>102</v>
      </c>
      <c r="M535" s="13" t="s">
        <v>103</v>
      </c>
      <c r="N535" s="139" t="s">
        <v>266</v>
      </c>
      <c r="O535" s="139" t="s">
        <v>266</v>
      </c>
      <c r="P535" s="28">
        <v>40</v>
      </c>
      <c r="Q535" s="13" t="s">
        <v>54</v>
      </c>
      <c r="R535" s="13" t="s">
        <v>28</v>
      </c>
      <c r="S535" s="13"/>
      <c r="T535" s="13"/>
      <c r="U535" s="13" t="s">
        <v>496</v>
      </c>
      <c r="V535" s="13" t="s">
        <v>496</v>
      </c>
      <c r="W535" s="59">
        <f>+J535/$W$2</f>
        <v>8.8047390933026855E-5</v>
      </c>
    </row>
    <row r="536" spans="1:29">
      <c r="A536" s="13" t="s">
        <v>993</v>
      </c>
      <c r="B536" s="13" t="s">
        <v>538</v>
      </c>
      <c r="C536" s="139">
        <v>46223</v>
      </c>
      <c r="D536" s="139" t="s">
        <v>516</v>
      </c>
      <c r="E536" s="28">
        <v>0.96770783999999999</v>
      </c>
      <c r="F536" s="13"/>
      <c r="G536" s="18">
        <v>5000000</v>
      </c>
      <c r="H536" s="18">
        <v>4838539.1900000004</v>
      </c>
      <c r="I536" s="18">
        <v>5000000</v>
      </c>
      <c r="J536" s="18">
        <v>4838539.1900000004</v>
      </c>
      <c r="K536" s="15">
        <v>16779601</v>
      </c>
      <c r="L536" s="13" t="s">
        <v>102</v>
      </c>
      <c r="M536" s="13" t="s">
        <v>103</v>
      </c>
      <c r="N536" s="139" t="s">
        <v>359</v>
      </c>
      <c r="O536" s="139" t="s">
        <v>359</v>
      </c>
      <c r="P536" s="28">
        <v>29</v>
      </c>
      <c r="Q536" s="13" t="s">
        <v>54</v>
      </c>
      <c r="R536" s="13" t="s">
        <v>28</v>
      </c>
      <c r="S536" s="13"/>
      <c r="T536" s="13"/>
      <c r="U536" s="13" t="s">
        <v>1309</v>
      </c>
      <c r="V536" s="13" t="s">
        <v>1309</v>
      </c>
      <c r="W536" s="59">
        <f>+J536/$W$2</f>
        <v>1.0869008440180184E-4</v>
      </c>
    </row>
    <row r="537" spans="1:29">
      <c r="A537" s="13" t="s">
        <v>138</v>
      </c>
      <c r="B537" s="13" t="s">
        <v>538</v>
      </c>
      <c r="C537" s="139">
        <v>46223</v>
      </c>
      <c r="D537" s="139" t="s">
        <v>516</v>
      </c>
      <c r="E537" s="28">
        <v>0.96128537999999997</v>
      </c>
      <c r="F537" s="13"/>
      <c r="G537" s="18">
        <v>100000000</v>
      </c>
      <c r="H537" s="18">
        <v>96128538.469999999</v>
      </c>
      <c r="I537" s="18">
        <v>100000000</v>
      </c>
      <c r="J537" s="18">
        <v>96128538.469999999</v>
      </c>
      <c r="K537" s="15">
        <v>693</v>
      </c>
      <c r="L537" s="13" t="s">
        <v>102</v>
      </c>
      <c r="M537" s="13" t="s">
        <v>103</v>
      </c>
      <c r="N537" s="139" t="s">
        <v>389</v>
      </c>
      <c r="O537" s="139" t="s">
        <v>389</v>
      </c>
      <c r="P537" s="28">
        <v>35</v>
      </c>
      <c r="Q537" s="13" t="s">
        <v>54</v>
      </c>
      <c r="R537" s="13" t="s">
        <v>28</v>
      </c>
      <c r="S537" s="13"/>
      <c r="T537" s="13"/>
      <c r="U537" s="13" t="s">
        <v>1850</v>
      </c>
      <c r="V537" s="13" t="s">
        <v>1850</v>
      </c>
      <c r="W537" s="59">
        <f>+J537/$W$2</f>
        <v>2.1593746685611022E-3</v>
      </c>
    </row>
    <row r="538" spans="1:29">
      <c r="A538" s="13" t="s">
        <v>357</v>
      </c>
      <c r="B538" s="13" t="s">
        <v>538</v>
      </c>
      <c r="C538" s="139">
        <v>46223</v>
      </c>
      <c r="D538" s="139" t="s">
        <v>516</v>
      </c>
      <c r="E538" s="28">
        <v>0.96022315000000003</v>
      </c>
      <c r="F538" s="13"/>
      <c r="G538" s="18">
        <v>3000000</v>
      </c>
      <c r="H538" s="18">
        <v>2880669.46</v>
      </c>
      <c r="I538" s="18">
        <v>3000000</v>
      </c>
      <c r="J538" s="18">
        <v>2880669.46</v>
      </c>
      <c r="K538" s="15">
        <v>40743001</v>
      </c>
      <c r="L538" s="13" t="s">
        <v>102</v>
      </c>
      <c r="M538" s="13" t="s">
        <v>103</v>
      </c>
      <c r="N538" s="139" t="s">
        <v>382</v>
      </c>
      <c r="O538" s="139" t="s">
        <v>382</v>
      </c>
      <c r="P538" s="28">
        <v>36</v>
      </c>
      <c r="Q538" s="13" t="s">
        <v>54</v>
      </c>
      <c r="R538" s="13" t="s">
        <v>28</v>
      </c>
      <c r="S538" s="13"/>
      <c r="T538" s="13"/>
      <c r="U538" s="13" t="s">
        <v>1610</v>
      </c>
      <c r="V538" s="13" t="s">
        <v>1610</v>
      </c>
      <c r="W538" s="59">
        <f>+J538/$W$2</f>
        <v>6.4709656044160897E-5</v>
      </c>
    </row>
    <row r="539" spans="1:29">
      <c r="A539" s="13" t="s">
        <v>198</v>
      </c>
      <c r="B539" s="13" t="s">
        <v>538</v>
      </c>
      <c r="C539" s="139">
        <v>46223</v>
      </c>
      <c r="D539" s="139" t="s">
        <v>516</v>
      </c>
      <c r="E539" s="28">
        <v>0.97750413000000003</v>
      </c>
      <c r="F539" s="13"/>
      <c r="G539" s="18">
        <v>2500000</v>
      </c>
      <c r="H539" s="18">
        <v>2443760.33</v>
      </c>
      <c r="I539" s="18">
        <v>2500000</v>
      </c>
      <c r="J539" s="18">
        <v>2443760.33</v>
      </c>
      <c r="K539" s="15">
        <v>6124</v>
      </c>
      <c r="L539" s="13" t="s">
        <v>102</v>
      </c>
      <c r="M539" s="13" t="s">
        <v>103</v>
      </c>
      <c r="N539" s="139" t="s">
        <v>335</v>
      </c>
      <c r="O539" s="139" t="s">
        <v>335</v>
      </c>
      <c r="P539" s="28">
        <v>20</v>
      </c>
      <c r="Q539" s="13" t="s">
        <v>54</v>
      </c>
      <c r="R539" s="13" t="s">
        <v>28</v>
      </c>
      <c r="S539" s="13"/>
      <c r="T539" s="13"/>
      <c r="U539" s="13" t="s">
        <v>1745</v>
      </c>
      <c r="V539" s="13" t="s">
        <v>1745</v>
      </c>
      <c r="W539" s="59">
        <f>+J539/$W$2</f>
        <v>5.4895187595964291E-5</v>
      </c>
    </row>
    <row r="540" spans="1:29">
      <c r="A540" s="13" t="s">
        <v>993</v>
      </c>
      <c r="B540" s="13" t="s">
        <v>538</v>
      </c>
      <c r="C540" s="139">
        <v>46223</v>
      </c>
      <c r="D540" s="139" t="s">
        <v>516</v>
      </c>
      <c r="E540" s="28">
        <v>0.96986775000000003</v>
      </c>
      <c r="F540" s="13"/>
      <c r="G540" s="18">
        <v>20000000</v>
      </c>
      <c r="H540" s="18">
        <v>19397354.93</v>
      </c>
      <c r="I540" s="18">
        <v>20000000</v>
      </c>
      <c r="J540" s="18">
        <v>19397354.93</v>
      </c>
      <c r="K540" s="15">
        <v>30169</v>
      </c>
      <c r="L540" s="13" t="s">
        <v>102</v>
      </c>
      <c r="M540" s="13" t="s">
        <v>103</v>
      </c>
      <c r="N540" s="139" t="s">
        <v>344</v>
      </c>
      <c r="O540" s="139" t="s">
        <v>344</v>
      </c>
      <c r="P540" s="28">
        <v>27</v>
      </c>
      <c r="Q540" s="13" t="s">
        <v>54</v>
      </c>
      <c r="R540" s="13" t="s">
        <v>28</v>
      </c>
      <c r="S540" s="13"/>
      <c r="T540" s="13"/>
      <c r="U540" s="13" t="s">
        <v>1111</v>
      </c>
      <c r="V540" s="13" t="s">
        <v>1111</v>
      </c>
      <c r="W540" s="59">
        <f>+J540/$W$2</f>
        <v>4.357307157645254E-4</v>
      </c>
    </row>
    <row r="541" spans="1:29">
      <c r="A541" s="13" t="s">
        <v>1838</v>
      </c>
      <c r="B541" s="13" t="s">
        <v>538</v>
      </c>
      <c r="C541" s="139">
        <v>46224</v>
      </c>
      <c r="D541" s="139" t="s">
        <v>516</v>
      </c>
      <c r="E541" s="28">
        <v>0.96257824000000003</v>
      </c>
      <c r="F541" s="13"/>
      <c r="G541" s="18">
        <v>1583767.68</v>
      </c>
      <c r="H541" s="18">
        <v>1524500.31</v>
      </c>
      <c r="I541" s="18">
        <v>1583767.68</v>
      </c>
      <c r="J541" s="18">
        <v>1524500.31</v>
      </c>
      <c r="K541" s="15">
        <v>90015591</v>
      </c>
      <c r="L541" s="13" t="s">
        <v>102</v>
      </c>
      <c r="M541" s="13" t="s">
        <v>103</v>
      </c>
      <c r="N541" s="139" t="s">
        <v>335</v>
      </c>
      <c r="O541" s="139" t="s">
        <v>335</v>
      </c>
      <c r="P541" s="28">
        <v>33</v>
      </c>
      <c r="Q541" s="13" t="s">
        <v>54</v>
      </c>
      <c r="R541" s="13" t="s">
        <v>28</v>
      </c>
      <c r="S541" s="13"/>
      <c r="T541" s="13"/>
      <c r="U541" s="13" t="s">
        <v>1812</v>
      </c>
      <c r="V541" s="13" t="s">
        <v>1812</v>
      </c>
      <c r="W541" s="59">
        <f>+J541/$W$2</f>
        <v>3.4245473862633541E-5</v>
      </c>
    </row>
    <row r="542" spans="1:29">
      <c r="A542" s="13" t="s">
        <v>1529</v>
      </c>
      <c r="B542" s="13" t="s">
        <v>538</v>
      </c>
      <c r="C542" s="139">
        <v>46224</v>
      </c>
      <c r="D542" s="139" t="s">
        <v>516</v>
      </c>
      <c r="E542" s="28">
        <v>0.95823161999999995</v>
      </c>
      <c r="F542" s="13"/>
      <c r="G542" s="18">
        <v>5000000</v>
      </c>
      <c r="H542" s="18">
        <v>4791158.12</v>
      </c>
      <c r="I542" s="18">
        <v>5000000</v>
      </c>
      <c r="J542" s="18">
        <v>4791158.12</v>
      </c>
      <c r="K542" s="15">
        <v>66786647</v>
      </c>
      <c r="L542" s="13" t="s">
        <v>102</v>
      </c>
      <c r="M542" s="13" t="s">
        <v>103</v>
      </c>
      <c r="N542" s="139" t="s">
        <v>384</v>
      </c>
      <c r="O542" s="139" t="s">
        <v>384</v>
      </c>
      <c r="P542" s="28">
        <v>37</v>
      </c>
      <c r="Q542" s="13" t="s">
        <v>54</v>
      </c>
      <c r="R542" s="13" t="s">
        <v>28</v>
      </c>
      <c r="S542" s="13"/>
      <c r="T542" s="13"/>
      <c r="U542" s="13" t="s">
        <v>1518</v>
      </c>
      <c r="V542" s="13" t="s">
        <v>1518</v>
      </c>
      <c r="W542" s="59">
        <f>+J542/$W$2</f>
        <v>1.0762574405131111E-4</v>
      </c>
      <c r="AC542" s="56"/>
    </row>
    <row r="543" spans="1:29">
      <c r="A543" s="13" t="s">
        <v>1623</v>
      </c>
      <c r="B543" s="13" t="s">
        <v>538</v>
      </c>
      <c r="C543" s="139">
        <v>46224</v>
      </c>
      <c r="D543" s="139" t="s">
        <v>516</v>
      </c>
      <c r="E543" s="28">
        <v>0.96040000999999997</v>
      </c>
      <c r="F543" s="13"/>
      <c r="G543" s="18">
        <v>1000000000</v>
      </c>
      <c r="H543" s="18">
        <v>960400012.60000002</v>
      </c>
      <c r="I543" s="18">
        <v>1000000000</v>
      </c>
      <c r="J543" s="18">
        <v>960400012.60000002</v>
      </c>
      <c r="K543" s="15">
        <v>150840</v>
      </c>
      <c r="L543" s="13" t="s">
        <v>102</v>
      </c>
      <c r="M543" s="13" t="s">
        <v>103</v>
      </c>
      <c r="N543" s="139" t="s">
        <v>472</v>
      </c>
      <c r="O543" s="139" t="s">
        <v>472</v>
      </c>
      <c r="P543" s="28">
        <v>35</v>
      </c>
      <c r="Q543" s="13" t="s">
        <v>54</v>
      </c>
      <c r="R543" s="13" t="s">
        <v>28</v>
      </c>
      <c r="S543" s="13"/>
      <c r="T543" s="13"/>
      <c r="U543" s="13" t="s">
        <v>1624</v>
      </c>
      <c r="V543" s="13" t="s">
        <v>1624</v>
      </c>
      <c r="W543" s="59">
        <f>+J543/$W$2</f>
        <v>2.1573858210082109E-2</v>
      </c>
    </row>
    <row r="544" spans="1:29">
      <c r="A544" s="13" t="s">
        <v>1836</v>
      </c>
      <c r="B544" s="13" t="s">
        <v>538</v>
      </c>
      <c r="C544" s="139">
        <v>46224</v>
      </c>
      <c r="D544" s="139" t="s">
        <v>516</v>
      </c>
      <c r="E544" s="28">
        <v>0.96257824999999997</v>
      </c>
      <c r="F544" s="13"/>
      <c r="G544" s="18">
        <v>1100000</v>
      </c>
      <c r="H544" s="18">
        <v>1058836.07</v>
      </c>
      <c r="I544" s="18">
        <v>1100000</v>
      </c>
      <c r="J544" s="18">
        <v>1058836.07</v>
      </c>
      <c r="K544" s="15">
        <v>2229</v>
      </c>
      <c r="L544" s="13" t="s">
        <v>102</v>
      </c>
      <c r="M544" s="13" t="s">
        <v>103</v>
      </c>
      <c r="N544" s="139" t="s">
        <v>335</v>
      </c>
      <c r="O544" s="139" t="s">
        <v>335</v>
      </c>
      <c r="P544" s="28">
        <v>33</v>
      </c>
      <c r="Q544" s="13" t="s">
        <v>54</v>
      </c>
      <c r="R544" s="13" t="s">
        <v>28</v>
      </c>
      <c r="S544" s="13"/>
      <c r="T544" s="13"/>
      <c r="U544" s="13" t="s">
        <v>1816</v>
      </c>
      <c r="V544" s="13" t="s">
        <v>1816</v>
      </c>
      <c r="W544" s="59">
        <f>+J544/$W$2</f>
        <v>2.3785067619959105E-5</v>
      </c>
    </row>
    <row r="545" spans="1:29">
      <c r="A545" s="13" t="s">
        <v>916</v>
      </c>
      <c r="B545" s="13" t="s">
        <v>538</v>
      </c>
      <c r="C545" s="139">
        <v>46224</v>
      </c>
      <c r="D545" s="139" t="s">
        <v>516</v>
      </c>
      <c r="E545" s="28">
        <v>0.96257828000000001</v>
      </c>
      <c r="F545" s="13"/>
      <c r="G545" s="18">
        <v>10000000</v>
      </c>
      <c r="H545" s="18">
        <v>9625782.8200000003</v>
      </c>
      <c r="I545" s="18">
        <v>10000000</v>
      </c>
      <c r="J545" s="18">
        <v>9625782.8200000003</v>
      </c>
      <c r="K545" s="15">
        <v>13633526</v>
      </c>
      <c r="L545" s="13" t="s">
        <v>102</v>
      </c>
      <c r="M545" s="13" t="s">
        <v>103</v>
      </c>
      <c r="N545" s="139" t="s">
        <v>163</v>
      </c>
      <c r="O545" s="139" t="s">
        <v>163</v>
      </c>
      <c r="P545" s="28">
        <v>33</v>
      </c>
      <c r="Q545" s="13" t="s">
        <v>54</v>
      </c>
      <c r="R545" s="13" t="s">
        <v>28</v>
      </c>
      <c r="S545" s="13"/>
      <c r="T545" s="13"/>
      <c r="U545" s="13" t="s">
        <v>1583</v>
      </c>
      <c r="V545" s="13" t="s">
        <v>1583</v>
      </c>
      <c r="W545" s="59">
        <f>+J545/$W$2</f>
        <v>2.1622789566352858E-4</v>
      </c>
    </row>
    <row r="546" spans="1:29">
      <c r="A546" s="13" t="s">
        <v>994</v>
      </c>
      <c r="B546" s="13" t="s">
        <v>538</v>
      </c>
      <c r="C546" s="139">
        <v>46224</v>
      </c>
      <c r="D546" s="139" t="s">
        <v>516</v>
      </c>
      <c r="E546" s="28">
        <v>0.96040007000000005</v>
      </c>
      <c r="F546" s="13"/>
      <c r="G546" s="18">
        <v>10000000</v>
      </c>
      <c r="H546" s="18">
        <v>9604000.6799999997</v>
      </c>
      <c r="I546" s="18">
        <v>10000000</v>
      </c>
      <c r="J546" s="18">
        <v>9604000.6799999997</v>
      </c>
      <c r="K546" s="15">
        <v>40624310</v>
      </c>
      <c r="L546" s="13" t="s">
        <v>102</v>
      </c>
      <c r="M546" s="13" t="s">
        <v>103</v>
      </c>
      <c r="N546" s="139" t="s">
        <v>428</v>
      </c>
      <c r="O546" s="139" t="s">
        <v>428</v>
      </c>
      <c r="P546" s="28">
        <v>35</v>
      </c>
      <c r="Q546" s="13" t="s">
        <v>54</v>
      </c>
      <c r="R546" s="13" t="s">
        <v>28</v>
      </c>
      <c r="S546" s="13"/>
      <c r="T546" s="13"/>
      <c r="U546" s="13" t="s">
        <v>973</v>
      </c>
      <c r="V546" s="13" t="s">
        <v>973</v>
      </c>
      <c r="W546" s="59">
        <f>+J546/$W$2</f>
        <v>2.1573859454554963E-4</v>
      </c>
    </row>
    <row r="547" spans="1:29">
      <c r="A547" s="13" t="s">
        <v>539</v>
      </c>
      <c r="B547" s="13" t="s">
        <v>538</v>
      </c>
      <c r="C547" s="139">
        <v>46224</v>
      </c>
      <c r="D547" s="139" t="s">
        <v>516</v>
      </c>
      <c r="E547" s="28">
        <v>0.96586408000000001</v>
      </c>
      <c r="F547" s="13"/>
      <c r="G547" s="18">
        <v>10250000</v>
      </c>
      <c r="H547" s="18">
        <v>9900106.8399999999</v>
      </c>
      <c r="I547" s="18">
        <v>10250000</v>
      </c>
      <c r="J547" s="18">
        <v>9900106.8399999999</v>
      </c>
      <c r="K547" s="15">
        <v>454</v>
      </c>
      <c r="L547" s="13" t="s">
        <v>102</v>
      </c>
      <c r="M547" s="13" t="s">
        <v>103</v>
      </c>
      <c r="N547" s="139" t="s">
        <v>379</v>
      </c>
      <c r="O547" s="139" t="s">
        <v>379</v>
      </c>
      <c r="P547" s="28">
        <v>30</v>
      </c>
      <c r="Q547" s="13" t="s">
        <v>54</v>
      </c>
      <c r="R547" s="13" t="s">
        <v>28</v>
      </c>
      <c r="S547" s="13"/>
      <c r="T547" s="13"/>
      <c r="U547" s="13" t="s">
        <v>1398</v>
      </c>
      <c r="V547" s="13" t="s">
        <v>1398</v>
      </c>
      <c r="W547" s="59">
        <f>+J547/$W$2</f>
        <v>2.2239014830144541E-4</v>
      </c>
    </row>
    <row r="548" spans="1:29">
      <c r="A548" s="13" t="s">
        <v>545</v>
      </c>
      <c r="B548" s="13" t="s">
        <v>538</v>
      </c>
      <c r="C548" s="139">
        <v>46224</v>
      </c>
      <c r="D548" s="139" t="s">
        <v>516</v>
      </c>
      <c r="E548" s="28">
        <v>0.95499747999999995</v>
      </c>
      <c r="F548" s="13"/>
      <c r="G548" s="18">
        <v>100000000</v>
      </c>
      <c r="H548" s="18">
        <v>95499747.810000002</v>
      </c>
      <c r="I548" s="18">
        <v>100000000</v>
      </c>
      <c r="J548" s="18">
        <v>95499747.810000002</v>
      </c>
      <c r="K548" s="15">
        <v>305</v>
      </c>
      <c r="L548" s="13" t="s">
        <v>102</v>
      </c>
      <c r="M548" s="13" t="s">
        <v>103</v>
      </c>
      <c r="N548" s="139" t="s">
        <v>336</v>
      </c>
      <c r="O548" s="139" t="s">
        <v>336</v>
      </c>
      <c r="P548" s="28">
        <v>40</v>
      </c>
      <c r="Q548" s="13" t="s">
        <v>54</v>
      </c>
      <c r="R548" s="13" t="s">
        <v>28</v>
      </c>
      <c r="S548" s="13"/>
      <c r="T548" s="13"/>
      <c r="U548" s="13" t="s">
        <v>547</v>
      </c>
      <c r="V548" s="13" t="s">
        <v>547</v>
      </c>
      <c r="W548" s="59">
        <f>+J548/$W$2</f>
        <v>2.1452498868402654E-3</v>
      </c>
    </row>
    <row r="549" spans="1:29">
      <c r="A549" s="13" t="s">
        <v>641</v>
      </c>
      <c r="B549" s="13" t="s">
        <v>538</v>
      </c>
      <c r="C549" s="139">
        <v>46224</v>
      </c>
      <c r="D549" s="139" t="s">
        <v>516</v>
      </c>
      <c r="E549" s="28">
        <v>0.95931471999999995</v>
      </c>
      <c r="F549" s="13"/>
      <c r="G549" s="18">
        <v>20000000</v>
      </c>
      <c r="H549" s="18">
        <v>19186294.34</v>
      </c>
      <c r="I549" s="18">
        <v>20000000</v>
      </c>
      <c r="J549" s="18">
        <v>19186294.34</v>
      </c>
      <c r="K549" s="15">
        <v>436</v>
      </c>
      <c r="L549" s="13" t="s">
        <v>102</v>
      </c>
      <c r="M549" s="13" t="s">
        <v>103</v>
      </c>
      <c r="N549" s="139" t="s">
        <v>391</v>
      </c>
      <c r="O549" s="139" t="s">
        <v>391</v>
      </c>
      <c r="P549" s="28">
        <v>36</v>
      </c>
      <c r="Q549" s="13" t="s">
        <v>54</v>
      </c>
      <c r="R549" s="13" t="s">
        <v>28</v>
      </c>
      <c r="S549" s="13"/>
      <c r="T549" s="13"/>
      <c r="U549" s="13" t="s">
        <v>1672</v>
      </c>
      <c r="V549" s="13" t="s">
        <v>1672</v>
      </c>
      <c r="W549" s="59">
        <f>+J549/$W$2</f>
        <v>4.3098957542439845E-4</v>
      </c>
    </row>
    <row r="550" spans="1:29">
      <c r="A550" s="13" t="s">
        <v>122</v>
      </c>
      <c r="B550" s="13" t="s">
        <v>538</v>
      </c>
      <c r="C550" s="139">
        <v>46224</v>
      </c>
      <c r="D550" s="139" t="s">
        <v>516</v>
      </c>
      <c r="E550" s="28">
        <v>0.94859404000000003</v>
      </c>
      <c r="F550" s="13"/>
      <c r="G550" s="18">
        <v>10000000</v>
      </c>
      <c r="H550" s="18">
        <v>9485940.4100000001</v>
      </c>
      <c r="I550" s="18">
        <v>10000000</v>
      </c>
      <c r="J550" s="18">
        <v>9485940.4100000001</v>
      </c>
      <c r="K550" s="15">
        <v>3925</v>
      </c>
      <c r="L550" s="13" t="s">
        <v>102</v>
      </c>
      <c r="M550" s="13" t="s">
        <v>103</v>
      </c>
      <c r="N550" s="139" t="s">
        <v>121</v>
      </c>
      <c r="O550" s="139" t="s">
        <v>121</v>
      </c>
      <c r="P550" s="28">
        <v>46</v>
      </c>
      <c r="Q550" s="13" t="s">
        <v>54</v>
      </c>
      <c r="R550" s="13" t="s">
        <v>28</v>
      </c>
      <c r="S550" s="13"/>
      <c r="T550" s="13"/>
      <c r="U550" s="13" t="s">
        <v>168</v>
      </c>
      <c r="V550" s="13" t="s">
        <v>168</v>
      </c>
      <c r="W550" s="59">
        <f>+J550/$W$2</f>
        <v>2.1308655842330022E-4</v>
      </c>
      <c r="AC550" s="56"/>
    </row>
    <row r="551" spans="1:29">
      <c r="A551" s="13" t="s">
        <v>247</v>
      </c>
      <c r="B551" s="13" t="s">
        <v>538</v>
      </c>
      <c r="C551" s="139">
        <v>46224</v>
      </c>
      <c r="D551" s="139" t="s">
        <v>516</v>
      </c>
      <c r="E551" s="28">
        <v>0.95499741000000005</v>
      </c>
      <c r="F551" s="13"/>
      <c r="G551" s="18">
        <v>4100000</v>
      </c>
      <c r="H551" s="18">
        <v>3915489.4</v>
      </c>
      <c r="I551" s="18">
        <v>4100000</v>
      </c>
      <c r="J551" s="18">
        <v>3915489.4</v>
      </c>
      <c r="K551" s="15">
        <v>1022</v>
      </c>
      <c r="L551" s="13" t="s">
        <v>102</v>
      </c>
      <c r="M551" s="13" t="s">
        <v>103</v>
      </c>
      <c r="N551" s="139" t="s">
        <v>266</v>
      </c>
      <c r="O551" s="139" t="s">
        <v>266</v>
      </c>
      <c r="P551" s="28">
        <v>40</v>
      </c>
      <c r="Q551" s="13" t="s">
        <v>54</v>
      </c>
      <c r="R551" s="13" t="s">
        <v>28</v>
      </c>
      <c r="S551" s="13"/>
      <c r="T551" s="13"/>
      <c r="U551" s="13" t="s">
        <v>497</v>
      </c>
      <c r="V551" s="13" t="s">
        <v>497</v>
      </c>
      <c r="W551" s="59">
        <f>+J551/$W$2</f>
        <v>8.7955239515247243E-5</v>
      </c>
    </row>
    <row r="552" spans="1:29">
      <c r="A552" s="13" t="s">
        <v>148</v>
      </c>
      <c r="B552" s="13" t="s">
        <v>538</v>
      </c>
      <c r="C552" s="139">
        <v>46224</v>
      </c>
      <c r="D552" s="139" t="s">
        <v>516</v>
      </c>
      <c r="E552" s="28">
        <v>0.95285346999999998</v>
      </c>
      <c r="F552" s="13"/>
      <c r="G552" s="18">
        <v>20000000</v>
      </c>
      <c r="H552" s="18">
        <v>19057069.43</v>
      </c>
      <c r="I552" s="18">
        <v>20000000</v>
      </c>
      <c r="J552" s="18">
        <v>19057069.43</v>
      </c>
      <c r="K552" s="15">
        <v>4022</v>
      </c>
      <c r="L552" s="13" t="s">
        <v>102</v>
      </c>
      <c r="M552" s="13" t="s">
        <v>103</v>
      </c>
      <c r="N552" s="139" t="s">
        <v>246</v>
      </c>
      <c r="O552" s="139" t="s">
        <v>246</v>
      </c>
      <c r="P552" s="28">
        <v>42</v>
      </c>
      <c r="Q552" s="13" t="s">
        <v>54</v>
      </c>
      <c r="R552" s="13" t="s">
        <v>28</v>
      </c>
      <c r="S552" s="13"/>
      <c r="T552" s="13"/>
      <c r="U552" s="13" t="s">
        <v>560</v>
      </c>
      <c r="V552" s="13" t="s">
        <v>560</v>
      </c>
      <c r="W552" s="59">
        <f>+J552/$W$2</f>
        <v>4.2808674342838124E-4</v>
      </c>
    </row>
    <row r="553" spans="1:29">
      <c r="A553" s="13" t="s">
        <v>325</v>
      </c>
      <c r="B553" s="13" t="s">
        <v>538</v>
      </c>
      <c r="C553" s="139">
        <v>46224</v>
      </c>
      <c r="D553" s="139" t="s">
        <v>516</v>
      </c>
      <c r="E553" s="28">
        <v>0.96257815999999996</v>
      </c>
      <c r="F553" s="13"/>
      <c r="G553" s="18">
        <v>50000000</v>
      </c>
      <c r="H553" s="18">
        <v>48128908.210000001</v>
      </c>
      <c r="I553" s="18">
        <v>50000000</v>
      </c>
      <c r="J553" s="18">
        <v>48128908.210000001</v>
      </c>
      <c r="K553" s="15">
        <v>29007572</v>
      </c>
      <c r="L553" s="13" t="s">
        <v>102</v>
      </c>
      <c r="M553" s="13" t="s">
        <v>103</v>
      </c>
      <c r="N553" s="139" t="s">
        <v>155</v>
      </c>
      <c r="O553" s="139" t="s">
        <v>155</v>
      </c>
      <c r="P553" s="28">
        <v>33</v>
      </c>
      <c r="Q553" s="13" t="s">
        <v>54</v>
      </c>
      <c r="R553" s="13" t="s">
        <v>28</v>
      </c>
      <c r="S553" s="13"/>
      <c r="T553" s="13"/>
      <c r="U553" s="13" t="s">
        <v>630</v>
      </c>
      <c r="V553" s="13" t="s">
        <v>630</v>
      </c>
      <c r="W553" s="59">
        <f>+J553/$W$2</f>
        <v>1.0811393460081642E-3</v>
      </c>
    </row>
    <row r="554" spans="1:29">
      <c r="A554" s="13" t="s">
        <v>1840</v>
      </c>
      <c r="B554" s="13" t="s">
        <v>538</v>
      </c>
      <c r="C554" s="139">
        <v>46224</v>
      </c>
      <c r="D554" s="139" t="s">
        <v>516</v>
      </c>
      <c r="E554" s="28">
        <v>0.96257824000000003</v>
      </c>
      <c r="F554" s="13"/>
      <c r="G554" s="18">
        <v>1000000</v>
      </c>
      <c r="H554" s="18">
        <v>962578.24</v>
      </c>
      <c r="I554" s="18">
        <v>1000000</v>
      </c>
      <c r="J554" s="18">
        <v>962578.24</v>
      </c>
      <c r="K554" s="15">
        <v>2417</v>
      </c>
      <c r="L554" s="13" t="s">
        <v>102</v>
      </c>
      <c r="M554" s="13" t="s">
        <v>103</v>
      </c>
      <c r="N554" s="139" t="s">
        <v>335</v>
      </c>
      <c r="O554" s="139" t="s">
        <v>335</v>
      </c>
      <c r="P554" s="28">
        <v>33</v>
      </c>
      <c r="Q554" s="13" t="s">
        <v>54</v>
      </c>
      <c r="R554" s="13" t="s">
        <v>28</v>
      </c>
      <c r="S554" s="13"/>
      <c r="T554" s="13"/>
      <c r="U554" s="13" t="s">
        <v>1786</v>
      </c>
      <c r="V554" s="13" t="s">
        <v>1786</v>
      </c>
      <c r="W554" s="59">
        <f>+J554/$W$2</f>
        <v>2.1622788622889682E-5</v>
      </c>
    </row>
    <row r="555" spans="1:29">
      <c r="A555" s="13" t="s">
        <v>639</v>
      </c>
      <c r="B555" s="13" t="s">
        <v>538</v>
      </c>
      <c r="C555" s="139">
        <v>46224</v>
      </c>
      <c r="D555" s="139" t="s">
        <v>516</v>
      </c>
      <c r="E555" s="28">
        <v>0.9669643</v>
      </c>
      <c r="F555" s="13"/>
      <c r="G555" s="18">
        <v>12500000</v>
      </c>
      <c r="H555" s="18">
        <v>12087053.689999999</v>
      </c>
      <c r="I555" s="18">
        <v>12500000</v>
      </c>
      <c r="J555" s="18">
        <v>12087053.689999999</v>
      </c>
      <c r="K555" s="15">
        <v>28996504</v>
      </c>
      <c r="L555" s="13" t="s">
        <v>102</v>
      </c>
      <c r="M555" s="13" t="s">
        <v>103</v>
      </c>
      <c r="N555" s="139" t="s">
        <v>155</v>
      </c>
      <c r="O555" s="139" t="s">
        <v>155</v>
      </c>
      <c r="P555" s="28">
        <v>29</v>
      </c>
      <c r="Q555" s="13" t="s">
        <v>54</v>
      </c>
      <c r="R555" s="13" t="s">
        <v>28</v>
      </c>
      <c r="S555" s="13"/>
      <c r="T555" s="13"/>
      <c r="U555" s="13" t="s">
        <v>615</v>
      </c>
      <c r="V555" s="13" t="s">
        <v>615</v>
      </c>
      <c r="W555" s="59">
        <f>+J555/$W$2</f>
        <v>2.7151642967992789E-4</v>
      </c>
    </row>
    <row r="556" spans="1:29">
      <c r="A556" s="13" t="s">
        <v>357</v>
      </c>
      <c r="B556" s="13" t="s">
        <v>538</v>
      </c>
      <c r="C556" s="139">
        <v>46224</v>
      </c>
      <c r="D556" s="139" t="s">
        <v>516</v>
      </c>
      <c r="E556" s="28">
        <v>0.95823177999999998</v>
      </c>
      <c r="F556" s="13"/>
      <c r="G556" s="18">
        <v>5000000</v>
      </c>
      <c r="H556" s="18">
        <v>4791158.9000000004</v>
      </c>
      <c r="I556" s="18">
        <v>5000000</v>
      </c>
      <c r="J556" s="18">
        <v>4791158.9000000004</v>
      </c>
      <c r="K556" s="15">
        <v>40734601</v>
      </c>
      <c r="L556" s="13" t="s">
        <v>102</v>
      </c>
      <c r="M556" s="13" t="s">
        <v>103</v>
      </c>
      <c r="N556" s="139" t="s">
        <v>343</v>
      </c>
      <c r="O556" s="139" t="s">
        <v>343</v>
      </c>
      <c r="P556" s="28">
        <v>37</v>
      </c>
      <c r="Q556" s="13" t="s">
        <v>54</v>
      </c>
      <c r="R556" s="13" t="s">
        <v>28</v>
      </c>
      <c r="S556" s="13"/>
      <c r="T556" s="13"/>
      <c r="U556" s="13" t="s">
        <v>1404</v>
      </c>
      <c r="V556" s="13" t="s">
        <v>1404</v>
      </c>
      <c r="W556" s="59">
        <f>+J556/$W$2</f>
        <v>1.0762576157277008E-4</v>
      </c>
    </row>
    <row r="557" spans="1:29">
      <c r="A557" s="13" t="s">
        <v>357</v>
      </c>
      <c r="B557" s="13" t="s">
        <v>538</v>
      </c>
      <c r="C557" s="139">
        <v>46224</v>
      </c>
      <c r="D557" s="139" t="s">
        <v>516</v>
      </c>
      <c r="E557" s="28">
        <v>0.95931454999999999</v>
      </c>
      <c r="F557" s="13"/>
      <c r="G557" s="18">
        <v>3750000</v>
      </c>
      <c r="H557" s="18">
        <v>3597429.58</v>
      </c>
      <c r="I557" s="18">
        <v>3750000</v>
      </c>
      <c r="J557" s="18">
        <v>3597429.58</v>
      </c>
      <c r="K557" s="15">
        <v>40742998</v>
      </c>
      <c r="L557" s="13" t="s">
        <v>102</v>
      </c>
      <c r="M557" s="13" t="s">
        <v>103</v>
      </c>
      <c r="N557" s="139" t="s">
        <v>382</v>
      </c>
      <c r="O557" s="139" t="s">
        <v>382</v>
      </c>
      <c r="P557" s="28">
        <v>36</v>
      </c>
      <c r="Q557" s="13" t="s">
        <v>54</v>
      </c>
      <c r="R557" s="13" t="s">
        <v>28</v>
      </c>
      <c r="S557" s="13"/>
      <c r="T557" s="13"/>
      <c r="U557" s="13" t="s">
        <v>1611</v>
      </c>
      <c r="V557" s="13" t="s">
        <v>1611</v>
      </c>
      <c r="W557" s="59">
        <f>+J557/$W$2</f>
        <v>8.0810531717474528E-5</v>
      </c>
    </row>
    <row r="558" spans="1:29">
      <c r="A558" s="13" t="s">
        <v>993</v>
      </c>
      <c r="B558" s="13" t="s">
        <v>538</v>
      </c>
      <c r="C558" s="139">
        <v>46224</v>
      </c>
      <c r="D558" s="139" t="s">
        <v>516</v>
      </c>
      <c r="E558" s="28">
        <v>0.96696435999999997</v>
      </c>
      <c r="F558" s="13"/>
      <c r="G558" s="18">
        <v>5000000</v>
      </c>
      <c r="H558" s="18">
        <v>4834821.79</v>
      </c>
      <c r="I558" s="18">
        <v>5000000</v>
      </c>
      <c r="J558" s="18">
        <v>4834821.79</v>
      </c>
      <c r="K558" s="15">
        <v>16771074</v>
      </c>
      <c r="L558" s="13" t="s">
        <v>102</v>
      </c>
      <c r="M558" s="13" t="s">
        <v>103</v>
      </c>
      <c r="N558" s="139" t="s">
        <v>428</v>
      </c>
      <c r="O558" s="139" t="s">
        <v>428</v>
      </c>
      <c r="P558" s="28">
        <v>29</v>
      </c>
      <c r="Q558" s="13" t="s">
        <v>54</v>
      </c>
      <c r="R558" s="13" t="s">
        <v>28</v>
      </c>
      <c r="S558" s="13"/>
      <c r="T558" s="13"/>
      <c r="U558" s="13" t="s">
        <v>925</v>
      </c>
      <c r="V558" s="13" t="s">
        <v>925</v>
      </c>
      <c r="W558" s="59">
        <f>+J558/$W$2</f>
        <v>1.0860657892548157E-4</v>
      </c>
      <c r="AC558" s="56"/>
    </row>
    <row r="559" spans="1:29">
      <c r="A559" s="13" t="s">
        <v>2002</v>
      </c>
      <c r="B559" s="13" t="s">
        <v>538</v>
      </c>
      <c r="C559" s="139">
        <v>46225</v>
      </c>
      <c r="D559" s="139" t="s">
        <v>516</v>
      </c>
      <c r="E559" s="28">
        <v>0.96285768000000005</v>
      </c>
      <c r="F559" s="13"/>
      <c r="G559" s="18">
        <v>5188161.21</v>
      </c>
      <c r="H559" s="18">
        <v>4995460.84</v>
      </c>
      <c r="I559" s="18">
        <v>5188161.21</v>
      </c>
      <c r="J559" s="18">
        <v>4995460.84</v>
      </c>
      <c r="K559" s="15">
        <v>6570</v>
      </c>
      <c r="L559" s="13" t="s">
        <v>102</v>
      </c>
      <c r="M559" s="13" t="s">
        <v>103</v>
      </c>
      <c r="N559" s="139" t="s">
        <v>394</v>
      </c>
      <c r="O559" s="139" t="s">
        <v>394</v>
      </c>
      <c r="P559" s="28">
        <v>32</v>
      </c>
      <c r="Q559" s="13" t="s">
        <v>54</v>
      </c>
      <c r="R559" s="13" t="s">
        <v>28</v>
      </c>
      <c r="S559" s="13"/>
      <c r="T559" s="13"/>
      <c r="U559" s="13" t="s">
        <v>2003</v>
      </c>
      <c r="V559" s="13" t="s">
        <v>2003</v>
      </c>
      <c r="W559" s="59">
        <f>+J559/$W$2</f>
        <v>1.122150795941979E-4</v>
      </c>
    </row>
    <row r="560" spans="1:29">
      <c r="A560" s="13" t="s">
        <v>2011</v>
      </c>
      <c r="B560" s="13" t="s">
        <v>538</v>
      </c>
      <c r="C560" s="139">
        <v>46225</v>
      </c>
      <c r="D560" s="139" t="s">
        <v>516</v>
      </c>
      <c r="E560" s="28">
        <v>0.96285768000000005</v>
      </c>
      <c r="F560" s="13"/>
      <c r="G560" s="18">
        <v>1050000</v>
      </c>
      <c r="H560" s="18">
        <v>1011000.56</v>
      </c>
      <c r="I560" s="18">
        <v>1050000</v>
      </c>
      <c r="J560" s="18">
        <v>1011000.56</v>
      </c>
      <c r="K560" s="15">
        <v>3467332</v>
      </c>
      <c r="L560" s="13" t="s">
        <v>102</v>
      </c>
      <c r="M560" s="13" t="s">
        <v>103</v>
      </c>
      <c r="N560" s="139" t="s">
        <v>394</v>
      </c>
      <c r="O560" s="139" t="s">
        <v>394</v>
      </c>
      <c r="P560" s="28">
        <v>32</v>
      </c>
      <c r="Q560" s="13" t="s">
        <v>54</v>
      </c>
      <c r="R560" s="13" t="s">
        <v>28</v>
      </c>
      <c r="S560" s="13"/>
      <c r="T560" s="13"/>
      <c r="U560" s="13" t="s">
        <v>2012</v>
      </c>
      <c r="V560" s="13" t="s">
        <v>2012</v>
      </c>
      <c r="W560" s="59">
        <f>+J560/$W$2</f>
        <v>2.2710518997918651E-5</v>
      </c>
    </row>
    <row r="561" spans="1:29">
      <c r="A561" s="13" t="s">
        <v>2019</v>
      </c>
      <c r="B561" s="13" t="s">
        <v>538</v>
      </c>
      <c r="C561" s="139">
        <v>46225</v>
      </c>
      <c r="D561" s="139" t="s">
        <v>516</v>
      </c>
      <c r="E561" s="28">
        <v>0.96285767</v>
      </c>
      <c r="F561" s="13"/>
      <c r="G561" s="18">
        <v>1982063.64</v>
      </c>
      <c r="H561" s="18">
        <v>1908445.19</v>
      </c>
      <c r="I561" s="18">
        <v>1982063.64</v>
      </c>
      <c r="J561" s="18">
        <v>1908445.19</v>
      </c>
      <c r="K561" s="15">
        <v>11265545</v>
      </c>
      <c r="L561" s="13" t="s">
        <v>102</v>
      </c>
      <c r="M561" s="13" t="s">
        <v>103</v>
      </c>
      <c r="N561" s="139" t="s">
        <v>394</v>
      </c>
      <c r="O561" s="139" t="s">
        <v>394</v>
      </c>
      <c r="P561" s="28">
        <v>32</v>
      </c>
      <c r="Q561" s="13" t="s">
        <v>54</v>
      </c>
      <c r="R561" s="13" t="s">
        <v>28</v>
      </c>
      <c r="S561" s="13"/>
      <c r="T561" s="13"/>
      <c r="U561" s="13" t="s">
        <v>2020</v>
      </c>
      <c r="V561" s="13" t="s">
        <v>2020</v>
      </c>
      <c r="W561" s="59">
        <f>+J561/$W$2</f>
        <v>4.2870184704923869E-5</v>
      </c>
    </row>
    <row r="562" spans="1:29">
      <c r="A562" s="13" t="s">
        <v>540</v>
      </c>
      <c r="B562" s="13" t="s">
        <v>538</v>
      </c>
      <c r="C562" s="139">
        <v>46225</v>
      </c>
      <c r="D562" s="139" t="s">
        <v>516</v>
      </c>
      <c r="E562" s="28">
        <v>0.95619836000000002</v>
      </c>
      <c r="F562" s="13"/>
      <c r="G562" s="18">
        <v>50000000</v>
      </c>
      <c r="H562" s="18">
        <v>47809918.149999999</v>
      </c>
      <c r="I562" s="18">
        <v>50000000</v>
      </c>
      <c r="J562" s="18">
        <v>47809918.149999999</v>
      </c>
      <c r="K562" s="15">
        <v>67105505</v>
      </c>
      <c r="L562" s="13" t="s">
        <v>102</v>
      </c>
      <c r="M562" s="13" t="s">
        <v>103</v>
      </c>
      <c r="N562" s="139" t="s">
        <v>391</v>
      </c>
      <c r="O562" s="139" t="s">
        <v>391</v>
      </c>
      <c r="P562" s="28">
        <v>38</v>
      </c>
      <c r="Q562" s="13" t="s">
        <v>54</v>
      </c>
      <c r="R562" s="13" t="s">
        <v>28</v>
      </c>
      <c r="S562" s="13"/>
      <c r="T562" s="13"/>
      <c r="U562" s="13" t="s">
        <v>1658</v>
      </c>
      <c r="V562" s="13" t="s">
        <v>1658</v>
      </c>
      <c r="W562" s="59">
        <f>+J562/$W$2</f>
        <v>1.0739737418488777E-3</v>
      </c>
    </row>
    <row r="563" spans="1:29">
      <c r="A563" s="13" t="s">
        <v>1843</v>
      </c>
      <c r="B563" s="13" t="s">
        <v>538</v>
      </c>
      <c r="C563" s="139">
        <v>46225</v>
      </c>
      <c r="D563" s="139" t="s">
        <v>516</v>
      </c>
      <c r="E563" s="28">
        <v>0.96174119000000002</v>
      </c>
      <c r="F563" s="13"/>
      <c r="G563" s="18">
        <v>1666000</v>
      </c>
      <c r="H563" s="18">
        <v>1602260.83</v>
      </c>
      <c r="I563" s="18">
        <v>1666000</v>
      </c>
      <c r="J563" s="18">
        <v>1602260.83</v>
      </c>
      <c r="K563" s="15">
        <v>2845</v>
      </c>
      <c r="L563" s="13" t="s">
        <v>102</v>
      </c>
      <c r="M563" s="13" t="s">
        <v>103</v>
      </c>
      <c r="N563" s="139" t="s">
        <v>335</v>
      </c>
      <c r="O563" s="139" t="s">
        <v>335</v>
      </c>
      <c r="P563" s="28">
        <v>33</v>
      </c>
      <c r="Q563" s="13" t="s">
        <v>54</v>
      </c>
      <c r="R563" s="13" t="s">
        <v>28</v>
      </c>
      <c r="S563" s="13"/>
      <c r="T563" s="13"/>
      <c r="U563" s="13" t="s">
        <v>1789</v>
      </c>
      <c r="V563" s="13" t="s">
        <v>1789</v>
      </c>
      <c r="W563" s="59">
        <f>+J563/$W$2</f>
        <v>3.5992240221247656E-5</v>
      </c>
    </row>
    <row r="564" spans="1:29">
      <c r="A564" s="13" t="s">
        <v>1529</v>
      </c>
      <c r="B564" s="13" t="s">
        <v>538</v>
      </c>
      <c r="C564" s="139">
        <v>46225</v>
      </c>
      <c r="D564" s="139" t="s">
        <v>516</v>
      </c>
      <c r="E564" s="28">
        <v>0.95730188999999999</v>
      </c>
      <c r="F564" s="13"/>
      <c r="G564" s="18">
        <v>5454223.6600000001</v>
      </c>
      <c r="H564" s="18">
        <v>5221338.6399999997</v>
      </c>
      <c r="I564" s="18">
        <v>5454223.6600000001</v>
      </c>
      <c r="J564" s="18">
        <v>5221338.6399999997</v>
      </c>
      <c r="K564" s="15">
        <v>66786698</v>
      </c>
      <c r="L564" s="13" t="s">
        <v>102</v>
      </c>
      <c r="M564" s="13" t="s">
        <v>103</v>
      </c>
      <c r="N564" s="139" t="s">
        <v>384</v>
      </c>
      <c r="O564" s="139" t="s">
        <v>384</v>
      </c>
      <c r="P564" s="28">
        <v>37</v>
      </c>
      <c r="Q564" s="13" t="s">
        <v>54</v>
      </c>
      <c r="R564" s="13" t="s">
        <v>28</v>
      </c>
      <c r="S564" s="13"/>
      <c r="T564" s="13"/>
      <c r="U564" s="13" t="s">
        <v>1519</v>
      </c>
      <c r="V564" s="13" t="s">
        <v>1519</v>
      </c>
      <c r="W564" s="59">
        <f>+J564/$W$2</f>
        <v>1.1728906498161259E-4</v>
      </c>
    </row>
    <row r="565" spans="1:29">
      <c r="A565" s="13" t="s">
        <v>1830</v>
      </c>
      <c r="B565" s="13" t="s">
        <v>538</v>
      </c>
      <c r="C565" s="139">
        <v>46225</v>
      </c>
      <c r="D565" s="139" t="s">
        <v>516</v>
      </c>
      <c r="E565" s="28">
        <v>0.96174119999999996</v>
      </c>
      <c r="F565" s="13"/>
      <c r="G565" s="18">
        <v>1701000</v>
      </c>
      <c r="H565" s="18">
        <v>1635921.79</v>
      </c>
      <c r="I565" s="18">
        <v>1701000</v>
      </c>
      <c r="J565" s="18">
        <v>1635921.79</v>
      </c>
      <c r="K565" s="15">
        <v>67242828</v>
      </c>
      <c r="L565" s="13" t="s">
        <v>102</v>
      </c>
      <c r="M565" s="13" t="s">
        <v>103</v>
      </c>
      <c r="N565" s="139" t="s">
        <v>335</v>
      </c>
      <c r="O565" s="139" t="s">
        <v>335</v>
      </c>
      <c r="P565" s="28">
        <v>33</v>
      </c>
      <c r="Q565" s="13" t="s">
        <v>54</v>
      </c>
      <c r="R565" s="13" t="s">
        <v>28</v>
      </c>
      <c r="S565" s="13"/>
      <c r="T565" s="13"/>
      <c r="U565" s="13" t="s">
        <v>1802</v>
      </c>
      <c r="V565" s="13" t="s">
        <v>1802</v>
      </c>
      <c r="W565" s="59">
        <f>+J565/$W$2</f>
        <v>3.6748380130377067E-5</v>
      </c>
    </row>
    <row r="566" spans="1:29">
      <c r="A566" s="13" t="s">
        <v>1831</v>
      </c>
      <c r="B566" s="13" t="s">
        <v>538</v>
      </c>
      <c r="C566" s="139">
        <v>46225</v>
      </c>
      <c r="D566" s="139" t="s">
        <v>516</v>
      </c>
      <c r="E566" s="28">
        <v>0.96174119000000002</v>
      </c>
      <c r="F566" s="13"/>
      <c r="G566" s="18">
        <v>2300000</v>
      </c>
      <c r="H566" s="18">
        <v>2212004.7400000002</v>
      </c>
      <c r="I566" s="18">
        <v>2300000</v>
      </c>
      <c r="J566" s="18">
        <v>2212004.7400000002</v>
      </c>
      <c r="K566" s="15">
        <v>1395</v>
      </c>
      <c r="L566" s="13" t="s">
        <v>102</v>
      </c>
      <c r="M566" s="13" t="s">
        <v>103</v>
      </c>
      <c r="N566" s="139" t="s">
        <v>335</v>
      </c>
      <c r="O566" s="139" t="s">
        <v>335</v>
      </c>
      <c r="P566" s="28">
        <v>33</v>
      </c>
      <c r="Q566" s="13" t="s">
        <v>54</v>
      </c>
      <c r="R566" s="13" t="s">
        <v>28</v>
      </c>
      <c r="S566" s="13"/>
      <c r="T566" s="13"/>
      <c r="U566" s="13" t="s">
        <v>1804</v>
      </c>
      <c r="V566" s="13" t="s">
        <v>1804</v>
      </c>
      <c r="W566" s="59">
        <f>+J566/$W$2</f>
        <v>4.968916700823203E-5</v>
      </c>
    </row>
    <row r="567" spans="1:29">
      <c r="A567" s="13" t="s">
        <v>1837</v>
      </c>
      <c r="B567" s="13" t="s">
        <v>538</v>
      </c>
      <c r="C567" s="139">
        <v>46225</v>
      </c>
      <c r="D567" s="139" t="s">
        <v>516</v>
      </c>
      <c r="E567" s="28">
        <v>0.96174119000000002</v>
      </c>
      <c r="F567" s="13"/>
      <c r="G567" s="18">
        <v>1211666.8</v>
      </c>
      <c r="H567" s="18">
        <v>1165309.8799999999</v>
      </c>
      <c r="I567" s="18">
        <v>1211666.8</v>
      </c>
      <c r="J567" s="18">
        <v>1165309.8799999999</v>
      </c>
      <c r="K567" s="15">
        <v>1798382</v>
      </c>
      <c r="L567" s="13" t="s">
        <v>102</v>
      </c>
      <c r="M567" s="13" t="s">
        <v>103</v>
      </c>
      <c r="N567" s="139" t="s">
        <v>335</v>
      </c>
      <c r="O567" s="139" t="s">
        <v>335</v>
      </c>
      <c r="P567" s="28">
        <v>33</v>
      </c>
      <c r="Q567" s="13" t="s">
        <v>54</v>
      </c>
      <c r="R567" s="13" t="s">
        <v>28</v>
      </c>
      <c r="S567" s="13"/>
      <c r="T567" s="13"/>
      <c r="U567" s="13" t="s">
        <v>1818</v>
      </c>
      <c r="V567" s="13" t="s">
        <v>1818</v>
      </c>
      <c r="W567" s="59">
        <f>+J567/$W$2</f>
        <v>2.6176832353289993E-5</v>
      </c>
    </row>
    <row r="568" spans="1:29">
      <c r="A568" s="13" t="s">
        <v>751</v>
      </c>
      <c r="B568" s="13" t="s">
        <v>538</v>
      </c>
      <c r="C568" s="139">
        <v>46225</v>
      </c>
      <c r="D568" s="139" t="s">
        <v>516</v>
      </c>
      <c r="E568" s="28">
        <v>0.96285748999999998</v>
      </c>
      <c r="F568" s="13"/>
      <c r="G568" s="18">
        <v>1809446</v>
      </c>
      <c r="H568" s="18">
        <v>1742238.64</v>
      </c>
      <c r="I568" s="18">
        <v>1809446</v>
      </c>
      <c r="J568" s="18">
        <v>1742238.64</v>
      </c>
      <c r="K568" s="15">
        <v>9947</v>
      </c>
      <c r="L568" s="13" t="s">
        <v>102</v>
      </c>
      <c r="M568" s="13" t="s">
        <v>103</v>
      </c>
      <c r="N568" s="139" t="s">
        <v>359</v>
      </c>
      <c r="O568" s="139" t="s">
        <v>359</v>
      </c>
      <c r="P568" s="28">
        <v>32</v>
      </c>
      <c r="Q568" s="13" t="s">
        <v>54</v>
      </c>
      <c r="R568" s="13" t="s">
        <v>28</v>
      </c>
      <c r="S568" s="13"/>
      <c r="T568" s="13"/>
      <c r="U568" s="13" t="s">
        <v>1354</v>
      </c>
      <c r="V568" s="13" t="s">
        <v>1354</v>
      </c>
      <c r="W568" s="59">
        <f>+J568/$W$2</f>
        <v>3.9136619007043824E-5</v>
      </c>
    </row>
    <row r="569" spans="1:29">
      <c r="A569" s="13" t="s">
        <v>918</v>
      </c>
      <c r="B569" s="13" t="s">
        <v>538</v>
      </c>
      <c r="C569" s="139">
        <v>46225</v>
      </c>
      <c r="D569" s="139" t="s">
        <v>516</v>
      </c>
      <c r="E569" s="28">
        <v>0.95619836999999996</v>
      </c>
      <c r="F569" s="13"/>
      <c r="G569" s="18">
        <v>3116595.02</v>
      </c>
      <c r="H569" s="18">
        <v>2980083.07</v>
      </c>
      <c r="I569" s="18">
        <v>3116595.02</v>
      </c>
      <c r="J569" s="18">
        <v>2980083.07</v>
      </c>
      <c r="K569" s="15">
        <v>103</v>
      </c>
      <c r="L569" s="13" t="s">
        <v>102</v>
      </c>
      <c r="M569" s="13" t="s">
        <v>103</v>
      </c>
      <c r="N569" s="139" t="s">
        <v>378</v>
      </c>
      <c r="O569" s="139" t="s">
        <v>378</v>
      </c>
      <c r="P569" s="28">
        <v>38</v>
      </c>
      <c r="Q569" s="13" t="s">
        <v>54</v>
      </c>
      <c r="R569" s="13" t="s">
        <v>28</v>
      </c>
      <c r="S569" s="13"/>
      <c r="T569" s="13"/>
      <c r="U569" s="13" t="s">
        <v>868</v>
      </c>
      <c r="V569" s="13" t="s">
        <v>868</v>
      </c>
      <c r="W569" s="59">
        <f>+J569/$W$2</f>
        <v>6.6942824617832782E-5</v>
      </c>
    </row>
    <row r="570" spans="1:29">
      <c r="A570" s="13" t="s">
        <v>539</v>
      </c>
      <c r="B570" s="13" t="s">
        <v>538</v>
      </c>
      <c r="C570" s="139">
        <v>46225</v>
      </c>
      <c r="D570" s="139" t="s">
        <v>516</v>
      </c>
      <c r="E570" s="28">
        <v>0.96509785999999997</v>
      </c>
      <c r="F570" s="13"/>
      <c r="G570" s="18">
        <v>10000000</v>
      </c>
      <c r="H570" s="18">
        <v>9650978.6400000006</v>
      </c>
      <c r="I570" s="18">
        <v>10000000</v>
      </c>
      <c r="J570" s="18">
        <v>9650978.6400000006</v>
      </c>
      <c r="K570" s="15">
        <v>606</v>
      </c>
      <c r="L570" s="13" t="s">
        <v>102</v>
      </c>
      <c r="M570" s="13" t="s">
        <v>103</v>
      </c>
      <c r="N570" s="139" t="s">
        <v>361</v>
      </c>
      <c r="O570" s="139" t="s">
        <v>361</v>
      </c>
      <c r="P570" s="28">
        <v>30</v>
      </c>
      <c r="Q570" s="13" t="s">
        <v>54</v>
      </c>
      <c r="R570" s="13" t="s">
        <v>28</v>
      </c>
      <c r="S570" s="13"/>
      <c r="T570" s="13"/>
      <c r="U570" s="13" t="s">
        <v>2077</v>
      </c>
      <c r="V570" s="13" t="s">
        <v>2077</v>
      </c>
      <c r="W570" s="59">
        <f>+J570/$W$2</f>
        <v>2.1679387967127051E-4</v>
      </c>
    </row>
    <row r="571" spans="1:29">
      <c r="A571" s="13" t="s">
        <v>539</v>
      </c>
      <c r="B571" s="13" t="s">
        <v>538</v>
      </c>
      <c r="C571" s="139">
        <v>46225</v>
      </c>
      <c r="D571" s="139" t="s">
        <v>516</v>
      </c>
      <c r="E571" s="28">
        <v>0.96509792000000005</v>
      </c>
      <c r="F571" s="13"/>
      <c r="G571" s="18">
        <v>10000000</v>
      </c>
      <c r="H571" s="18">
        <v>9650979.2200000007</v>
      </c>
      <c r="I571" s="18">
        <v>10000000</v>
      </c>
      <c r="J571" s="18">
        <v>9650979.2200000007</v>
      </c>
      <c r="K571" s="15">
        <v>519</v>
      </c>
      <c r="L571" s="13" t="s">
        <v>102</v>
      </c>
      <c r="M571" s="13" t="s">
        <v>103</v>
      </c>
      <c r="N571" s="139" t="s">
        <v>163</v>
      </c>
      <c r="O571" s="139" t="s">
        <v>163</v>
      </c>
      <c r="P571" s="28">
        <v>30</v>
      </c>
      <c r="Q571" s="13" t="s">
        <v>54</v>
      </c>
      <c r="R571" s="13" t="s">
        <v>28</v>
      </c>
      <c r="S571" s="13"/>
      <c r="T571" s="13"/>
      <c r="U571" s="13" t="s">
        <v>1590</v>
      </c>
      <c r="V571" s="13" t="s">
        <v>1590</v>
      </c>
      <c r="W571" s="59">
        <f>+J571/$W$2</f>
        <v>2.1679389270004768E-4</v>
      </c>
    </row>
    <row r="572" spans="1:29">
      <c r="A572" s="13" t="s">
        <v>545</v>
      </c>
      <c r="B572" s="13" t="s">
        <v>538</v>
      </c>
      <c r="C572" s="139">
        <v>46225</v>
      </c>
      <c r="D572" s="139" t="s">
        <v>516</v>
      </c>
      <c r="E572" s="28">
        <v>0.95840784000000001</v>
      </c>
      <c r="F572" s="13"/>
      <c r="G572" s="18">
        <v>65000000</v>
      </c>
      <c r="H572" s="18">
        <v>62296509.670000002</v>
      </c>
      <c r="I572" s="18">
        <v>65000000</v>
      </c>
      <c r="J572" s="18">
        <v>62296509.670000002</v>
      </c>
      <c r="K572" s="15">
        <v>311</v>
      </c>
      <c r="L572" s="13" t="s">
        <v>102</v>
      </c>
      <c r="M572" s="13" t="s">
        <v>103</v>
      </c>
      <c r="N572" s="139" t="s">
        <v>363</v>
      </c>
      <c r="O572" s="139" t="s">
        <v>363</v>
      </c>
      <c r="P572" s="28">
        <v>36</v>
      </c>
      <c r="Q572" s="13" t="s">
        <v>54</v>
      </c>
      <c r="R572" s="13" t="s">
        <v>28</v>
      </c>
      <c r="S572" s="13"/>
      <c r="T572" s="13"/>
      <c r="U572" s="13" t="s">
        <v>737</v>
      </c>
      <c r="V572" s="13" t="s">
        <v>737</v>
      </c>
      <c r="W572" s="59">
        <f>+J572/$W$2</f>
        <v>1.3993919710237925E-3</v>
      </c>
    </row>
    <row r="573" spans="1:29">
      <c r="A573" s="13" t="s">
        <v>641</v>
      </c>
      <c r="B573" s="13" t="s">
        <v>538</v>
      </c>
      <c r="C573" s="139">
        <v>46225</v>
      </c>
      <c r="D573" s="139" t="s">
        <v>516</v>
      </c>
      <c r="E573" s="28">
        <v>0.95840773000000001</v>
      </c>
      <c r="F573" s="13"/>
      <c r="G573" s="18">
        <v>20000000</v>
      </c>
      <c r="H573" s="18">
        <v>19168154.670000002</v>
      </c>
      <c r="I573" s="18">
        <v>20000000</v>
      </c>
      <c r="J573" s="18">
        <v>19168154.670000002</v>
      </c>
      <c r="K573" s="15">
        <v>422</v>
      </c>
      <c r="L573" s="13" t="s">
        <v>102</v>
      </c>
      <c r="M573" s="13" t="s">
        <v>103</v>
      </c>
      <c r="N573" s="139" t="s">
        <v>472</v>
      </c>
      <c r="O573" s="139" t="s">
        <v>472</v>
      </c>
      <c r="P573" s="28">
        <v>36</v>
      </c>
      <c r="Q573" s="13" t="s">
        <v>54</v>
      </c>
      <c r="R573" s="13" t="s">
        <v>28</v>
      </c>
      <c r="S573" s="13"/>
      <c r="T573" s="13"/>
      <c r="U573" s="13" t="s">
        <v>1639</v>
      </c>
      <c r="V573" s="13" t="s">
        <v>1639</v>
      </c>
      <c r="W573" s="59">
        <f>+J573/$W$2</f>
        <v>4.3058209659950942E-4</v>
      </c>
    </row>
    <row r="574" spans="1:29">
      <c r="A574" s="13" t="s">
        <v>247</v>
      </c>
      <c r="B574" s="13" t="s">
        <v>538</v>
      </c>
      <c r="C574" s="139">
        <v>46225</v>
      </c>
      <c r="D574" s="139" t="s">
        <v>516</v>
      </c>
      <c r="E574" s="28">
        <v>0.95399895000000001</v>
      </c>
      <c r="F574" s="13"/>
      <c r="G574" s="18">
        <v>4100000</v>
      </c>
      <c r="H574" s="18">
        <v>3911395.69</v>
      </c>
      <c r="I574" s="18">
        <v>4100000</v>
      </c>
      <c r="J574" s="18">
        <v>3911395.69</v>
      </c>
      <c r="K574" s="15">
        <v>1023</v>
      </c>
      <c r="L574" s="13" t="s">
        <v>102</v>
      </c>
      <c r="M574" s="13" t="s">
        <v>103</v>
      </c>
      <c r="N574" s="139" t="s">
        <v>266</v>
      </c>
      <c r="O574" s="139" t="s">
        <v>266</v>
      </c>
      <c r="P574" s="28">
        <v>40</v>
      </c>
      <c r="Q574" s="13" t="s">
        <v>54</v>
      </c>
      <c r="R574" s="13" t="s">
        <v>28</v>
      </c>
      <c r="S574" s="13"/>
      <c r="T574" s="13"/>
      <c r="U574" s="13" t="s">
        <v>502</v>
      </c>
      <c r="V574" s="13" t="s">
        <v>502</v>
      </c>
      <c r="W574" s="59">
        <f>+J574/$W$2</f>
        <v>8.7863280833516187E-5</v>
      </c>
    </row>
    <row r="575" spans="1:29">
      <c r="A575" s="13" t="s">
        <v>1841</v>
      </c>
      <c r="B575" s="13" t="s">
        <v>538</v>
      </c>
      <c r="C575" s="139">
        <v>46225</v>
      </c>
      <c r="D575" s="139" t="s">
        <v>516</v>
      </c>
      <c r="E575" s="28">
        <v>0.96174119999999996</v>
      </c>
      <c r="F575" s="13"/>
      <c r="G575" s="18">
        <v>2368425.38</v>
      </c>
      <c r="H575" s="18">
        <v>2277812.2599999998</v>
      </c>
      <c r="I575" s="18">
        <v>2368425.38</v>
      </c>
      <c r="J575" s="18">
        <v>2277812.2599999998</v>
      </c>
      <c r="K575" s="15">
        <v>9870354</v>
      </c>
      <c r="L575" s="13" t="s">
        <v>102</v>
      </c>
      <c r="M575" s="13" t="s">
        <v>103</v>
      </c>
      <c r="N575" s="139" t="s">
        <v>335</v>
      </c>
      <c r="O575" s="139" t="s">
        <v>335</v>
      </c>
      <c r="P575" s="28">
        <v>33</v>
      </c>
      <c r="Q575" s="13" t="s">
        <v>54</v>
      </c>
      <c r="R575" s="13" t="s">
        <v>28</v>
      </c>
      <c r="S575" s="13"/>
      <c r="T575" s="13"/>
      <c r="U575" s="13" t="s">
        <v>1819</v>
      </c>
      <c r="V575" s="13" t="s">
        <v>1819</v>
      </c>
      <c r="W575" s="59">
        <f>+J575/$W$2</f>
        <v>5.1167428240021955E-5</v>
      </c>
      <c r="AC575" s="56"/>
    </row>
    <row r="576" spans="1:29">
      <c r="A576" s="13" t="s">
        <v>339</v>
      </c>
      <c r="B576" s="13" t="s">
        <v>538</v>
      </c>
      <c r="C576" s="139">
        <v>46225</v>
      </c>
      <c r="D576" s="139" t="s">
        <v>516</v>
      </c>
      <c r="E576" s="28">
        <v>0.96622205000000005</v>
      </c>
      <c r="F576" s="13"/>
      <c r="G576" s="18">
        <v>11000000</v>
      </c>
      <c r="H576" s="18">
        <v>10628442.5</v>
      </c>
      <c r="I576" s="18">
        <v>11000000</v>
      </c>
      <c r="J576" s="18">
        <v>10628442.5</v>
      </c>
      <c r="K576" s="15">
        <v>269</v>
      </c>
      <c r="L576" s="13" t="s">
        <v>102</v>
      </c>
      <c r="M576" s="13" t="s">
        <v>103</v>
      </c>
      <c r="N576" s="139" t="s">
        <v>152</v>
      </c>
      <c r="O576" s="139" t="s">
        <v>152</v>
      </c>
      <c r="P576" s="28">
        <v>29</v>
      </c>
      <c r="Q576" s="13" t="s">
        <v>54</v>
      </c>
      <c r="R576" s="13" t="s">
        <v>28</v>
      </c>
      <c r="S576" s="13"/>
      <c r="T576" s="13"/>
      <c r="U576" s="13" t="s">
        <v>768</v>
      </c>
      <c r="V576" s="13" t="s">
        <v>768</v>
      </c>
      <c r="W576" s="59">
        <f>+J576/$W$2</f>
        <v>2.3875105006325217E-4</v>
      </c>
    </row>
    <row r="577" spans="1:32">
      <c r="A577" s="13" t="s">
        <v>164</v>
      </c>
      <c r="B577" s="13" t="s">
        <v>538</v>
      </c>
      <c r="C577" s="139">
        <v>46225</v>
      </c>
      <c r="D577" s="139" t="s">
        <v>516</v>
      </c>
      <c r="E577" s="28">
        <v>0.96509794000000004</v>
      </c>
      <c r="F577" s="13"/>
      <c r="G577" s="18">
        <v>15000000</v>
      </c>
      <c r="H577" s="18">
        <v>14476469.060000001</v>
      </c>
      <c r="I577" s="18">
        <v>15000000</v>
      </c>
      <c r="J577" s="18">
        <v>14476469.060000001</v>
      </c>
      <c r="K577" s="15">
        <v>2833124</v>
      </c>
      <c r="L577" s="13" t="s">
        <v>102</v>
      </c>
      <c r="M577" s="13" t="s">
        <v>103</v>
      </c>
      <c r="N577" s="139" t="s">
        <v>366</v>
      </c>
      <c r="O577" s="139" t="s">
        <v>366</v>
      </c>
      <c r="P577" s="28">
        <v>30</v>
      </c>
      <c r="Q577" s="13" t="s">
        <v>54</v>
      </c>
      <c r="R577" s="13" t="s">
        <v>28</v>
      </c>
      <c r="S577" s="13"/>
      <c r="T577" s="13"/>
      <c r="U577" s="13" t="s">
        <v>1027</v>
      </c>
      <c r="V577" s="13" t="s">
        <v>1027</v>
      </c>
      <c r="W577" s="59">
        <f>+J577/$W$2</f>
        <v>3.2519084421665556E-4</v>
      </c>
    </row>
    <row r="578" spans="1:32">
      <c r="A578" s="13" t="s">
        <v>1526</v>
      </c>
      <c r="B578" s="13" t="s">
        <v>538</v>
      </c>
      <c r="C578" s="139">
        <v>46225</v>
      </c>
      <c r="D578" s="139" t="s">
        <v>516</v>
      </c>
      <c r="E578" s="28">
        <v>0.96174130000000002</v>
      </c>
      <c r="F578" s="13"/>
      <c r="G578" s="18">
        <v>50000000</v>
      </c>
      <c r="H578" s="18">
        <v>48087065.200000003</v>
      </c>
      <c r="I578" s="18">
        <v>50000000</v>
      </c>
      <c r="J578" s="18">
        <v>48087065.200000003</v>
      </c>
      <c r="K578" s="15">
        <v>134</v>
      </c>
      <c r="L578" s="13" t="s">
        <v>102</v>
      </c>
      <c r="M578" s="13" t="s">
        <v>103</v>
      </c>
      <c r="N578" s="139" t="s">
        <v>384</v>
      </c>
      <c r="O578" s="139" t="s">
        <v>384</v>
      </c>
      <c r="P578" s="28">
        <v>33</v>
      </c>
      <c r="Q578" s="13" t="s">
        <v>54</v>
      </c>
      <c r="R578" s="13" t="s">
        <v>28</v>
      </c>
      <c r="S578" s="13"/>
      <c r="T578" s="13"/>
      <c r="U578" s="13" t="s">
        <v>1517</v>
      </c>
      <c r="V578" s="13" t="s">
        <v>1517</v>
      </c>
      <c r="W578" s="59">
        <f>+J578/$W$2</f>
        <v>1.0801994093640787E-3</v>
      </c>
    </row>
    <row r="579" spans="1:32">
      <c r="A579" s="13" t="s">
        <v>141</v>
      </c>
      <c r="B579" s="13" t="s">
        <v>538</v>
      </c>
      <c r="C579" s="139">
        <v>46225</v>
      </c>
      <c r="D579" s="139" t="s">
        <v>516</v>
      </c>
      <c r="E579" s="28">
        <v>0.95730177999999999</v>
      </c>
      <c r="F579" s="13"/>
      <c r="G579" s="18">
        <v>100000000</v>
      </c>
      <c r="H579" s="18">
        <v>95730177.689999998</v>
      </c>
      <c r="I579" s="18">
        <v>100000000</v>
      </c>
      <c r="J579" s="18">
        <v>95730177.689999998</v>
      </c>
      <c r="K579" s="15">
        <v>7376</v>
      </c>
      <c r="L579" s="13" t="s">
        <v>102</v>
      </c>
      <c r="M579" s="13" t="s">
        <v>103</v>
      </c>
      <c r="N579" s="139" t="s">
        <v>431</v>
      </c>
      <c r="O579" s="139" t="s">
        <v>431</v>
      </c>
      <c r="P579" s="28">
        <v>37</v>
      </c>
      <c r="Q579" s="13" t="s">
        <v>54</v>
      </c>
      <c r="R579" s="13" t="s">
        <v>28</v>
      </c>
      <c r="S579" s="13"/>
      <c r="T579" s="13"/>
      <c r="U579" s="13" t="s">
        <v>1173</v>
      </c>
      <c r="V579" s="13" t="s">
        <v>1173</v>
      </c>
      <c r="W579" s="59">
        <f>+J579/$W$2</f>
        <v>2.150426127462158E-3</v>
      </c>
    </row>
    <row r="580" spans="1:32">
      <c r="A580" s="13" t="s">
        <v>339</v>
      </c>
      <c r="B580" s="13" t="s">
        <v>538</v>
      </c>
      <c r="C580" s="139">
        <v>46225</v>
      </c>
      <c r="D580" s="139" t="s">
        <v>516</v>
      </c>
      <c r="E580" s="28">
        <v>0.96622204</v>
      </c>
      <c r="F580" s="13"/>
      <c r="G580" s="18">
        <v>40000000</v>
      </c>
      <c r="H580" s="18">
        <v>38648881.600000001</v>
      </c>
      <c r="I580" s="18">
        <v>40000000</v>
      </c>
      <c r="J580" s="18">
        <v>38648881.600000001</v>
      </c>
      <c r="K580" s="15">
        <v>54026408</v>
      </c>
      <c r="L580" s="13" t="s">
        <v>102</v>
      </c>
      <c r="M580" s="13" t="s">
        <v>103</v>
      </c>
      <c r="N580" s="139" t="s">
        <v>161</v>
      </c>
      <c r="O580" s="139" t="s">
        <v>161</v>
      </c>
      <c r="P580" s="28">
        <v>29</v>
      </c>
      <c r="Q580" s="13" t="s">
        <v>54</v>
      </c>
      <c r="R580" s="13" t="s">
        <v>28</v>
      </c>
      <c r="S580" s="13"/>
      <c r="T580" s="13"/>
      <c r="U580" s="13" t="s">
        <v>1260</v>
      </c>
      <c r="V580" s="13" t="s">
        <v>1260</v>
      </c>
      <c r="W580" s="59">
        <f>+J580/$W$2</f>
        <v>8.6818563169253698E-4</v>
      </c>
    </row>
    <row r="581" spans="1:32">
      <c r="A581" s="13" t="s">
        <v>339</v>
      </c>
      <c r="B581" s="13" t="s">
        <v>538</v>
      </c>
      <c r="C581" s="139">
        <v>46225</v>
      </c>
      <c r="D581" s="139" t="s">
        <v>516</v>
      </c>
      <c r="E581" s="28">
        <v>0.96622204</v>
      </c>
      <c r="F581" s="13"/>
      <c r="G581" s="18">
        <v>12500000</v>
      </c>
      <c r="H581" s="18">
        <v>12077775.5</v>
      </c>
      <c r="I581" s="18">
        <v>12500000</v>
      </c>
      <c r="J581" s="18">
        <v>12077775.5</v>
      </c>
      <c r="K581" s="15">
        <v>9798603</v>
      </c>
      <c r="L581" s="13" t="s">
        <v>102</v>
      </c>
      <c r="M581" s="13" t="s">
        <v>103</v>
      </c>
      <c r="N581" s="139" t="s">
        <v>161</v>
      </c>
      <c r="O581" s="139" t="s">
        <v>161</v>
      </c>
      <c r="P581" s="28">
        <v>29</v>
      </c>
      <c r="Q581" s="13" t="s">
        <v>54</v>
      </c>
      <c r="R581" s="13" t="s">
        <v>28</v>
      </c>
      <c r="S581" s="13"/>
      <c r="T581" s="13"/>
      <c r="U581" s="13" t="s">
        <v>1268</v>
      </c>
      <c r="V581" s="13" t="s">
        <v>1268</v>
      </c>
      <c r="W581" s="59">
        <f>+J581/$W$2</f>
        <v>2.713080099039178E-4</v>
      </c>
    </row>
    <row r="582" spans="1:32">
      <c r="A582" s="13" t="s">
        <v>339</v>
      </c>
      <c r="B582" s="13" t="s">
        <v>538</v>
      </c>
      <c r="C582" s="139">
        <v>46225</v>
      </c>
      <c r="D582" s="139" t="s">
        <v>516</v>
      </c>
      <c r="E582" s="28">
        <v>0.96622198000000004</v>
      </c>
      <c r="F582" s="13"/>
      <c r="G582" s="18">
        <v>4166666.7</v>
      </c>
      <c r="H582" s="18">
        <v>4025924.93</v>
      </c>
      <c r="I582" s="18">
        <v>4166666.7</v>
      </c>
      <c r="J582" s="18">
        <v>4025924.93</v>
      </c>
      <c r="K582" s="15">
        <v>13567715</v>
      </c>
      <c r="L582" s="13" t="s">
        <v>102</v>
      </c>
      <c r="M582" s="13" t="s">
        <v>103</v>
      </c>
      <c r="N582" s="139" t="s">
        <v>359</v>
      </c>
      <c r="O582" s="139" t="s">
        <v>359</v>
      </c>
      <c r="P582" s="28">
        <v>29</v>
      </c>
      <c r="Q582" s="13" t="s">
        <v>54</v>
      </c>
      <c r="R582" s="13" t="s">
        <v>28</v>
      </c>
      <c r="S582" s="13"/>
      <c r="T582" s="13"/>
      <c r="U582" s="13" t="s">
        <v>1340</v>
      </c>
      <c r="V582" s="13" t="s">
        <v>1340</v>
      </c>
      <c r="W582" s="59">
        <f>+J582/$W$2</f>
        <v>9.0435997984965823E-5</v>
      </c>
    </row>
    <row r="583" spans="1:32">
      <c r="A583" s="13" t="s">
        <v>339</v>
      </c>
      <c r="B583" s="13" t="s">
        <v>538</v>
      </c>
      <c r="C583" s="139">
        <v>46225</v>
      </c>
      <c r="D583" s="139" t="s">
        <v>516</v>
      </c>
      <c r="E583" s="28">
        <v>0.96622198000000004</v>
      </c>
      <c r="F583" s="13"/>
      <c r="G583" s="18">
        <v>10000000</v>
      </c>
      <c r="H583" s="18">
        <v>9662219.7699999996</v>
      </c>
      <c r="I583" s="18">
        <v>10000000</v>
      </c>
      <c r="J583" s="18">
        <v>9662219.7699999996</v>
      </c>
      <c r="K583" s="15">
        <v>66581708</v>
      </c>
      <c r="L583" s="13" t="s">
        <v>102</v>
      </c>
      <c r="M583" s="13" t="s">
        <v>103</v>
      </c>
      <c r="N583" s="139" t="s">
        <v>359</v>
      </c>
      <c r="O583" s="139" t="s">
        <v>359</v>
      </c>
      <c r="P583" s="28">
        <v>29</v>
      </c>
      <c r="Q583" s="13" t="s">
        <v>54</v>
      </c>
      <c r="R583" s="13" t="s">
        <v>28</v>
      </c>
      <c r="S583" s="13"/>
      <c r="T583" s="13"/>
      <c r="U583" s="13" t="s">
        <v>1343</v>
      </c>
      <c r="V583" s="13" t="s">
        <v>1343</v>
      </c>
      <c r="W583" s="59">
        <f>+J583/$W$2</f>
        <v>2.1704639377118659E-4</v>
      </c>
    </row>
    <row r="584" spans="1:32">
      <c r="A584" s="13" t="s">
        <v>339</v>
      </c>
      <c r="B584" s="13" t="s">
        <v>538</v>
      </c>
      <c r="C584" s="139">
        <v>46225</v>
      </c>
      <c r="D584" s="139" t="s">
        <v>516</v>
      </c>
      <c r="E584" s="28">
        <v>0.96622193999999995</v>
      </c>
      <c r="F584" s="13"/>
      <c r="G584" s="18">
        <v>3500000</v>
      </c>
      <c r="H584" s="18">
        <v>3381776.8</v>
      </c>
      <c r="I584" s="18">
        <v>3500000</v>
      </c>
      <c r="J584" s="18">
        <v>3381776.8</v>
      </c>
      <c r="K584" s="15">
        <v>405</v>
      </c>
      <c r="L584" s="13" t="s">
        <v>102</v>
      </c>
      <c r="M584" s="13" t="s">
        <v>103</v>
      </c>
      <c r="N584" s="139" t="s">
        <v>344</v>
      </c>
      <c r="O584" s="139" t="s">
        <v>344</v>
      </c>
      <c r="P584" s="28">
        <v>29</v>
      </c>
      <c r="Q584" s="13" t="s">
        <v>54</v>
      </c>
      <c r="R584" s="13" t="s">
        <v>28</v>
      </c>
      <c r="S584" s="13"/>
      <c r="T584" s="13"/>
      <c r="U584" s="13" t="s">
        <v>1153</v>
      </c>
      <c r="V584" s="13" t="s">
        <v>1153</v>
      </c>
      <c r="W584" s="59">
        <f>+J584/$W$2</f>
        <v>7.5966235135537937E-5</v>
      </c>
    </row>
    <row r="585" spans="1:32">
      <c r="A585" s="13" t="s">
        <v>357</v>
      </c>
      <c r="B585" s="13" t="s">
        <v>538</v>
      </c>
      <c r="C585" s="139">
        <v>46225</v>
      </c>
      <c r="D585" s="139" t="s">
        <v>516</v>
      </c>
      <c r="E585" s="28">
        <v>0.95840789999999998</v>
      </c>
      <c r="F585" s="13"/>
      <c r="G585" s="18">
        <v>5000000</v>
      </c>
      <c r="H585" s="18">
        <v>4792039.51</v>
      </c>
      <c r="I585" s="18">
        <v>5000000</v>
      </c>
      <c r="J585" s="18">
        <v>4792039.51</v>
      </c>
      <c r="K585" s="15">
        <v>40742990</v>
      </c>
      <c r="L585" s="13" t="s">
        <v>102</v>
      </c>
      <c r="M585" s="13" t="s">
        <v>103</v>
      </c>
      <c r="N585" s="139" t="s">
        <v>382</v>
      </c>
      <c r="O585" s="139" t="s">
        <v>382</v>
      </c>
      <c r="P585" s="28">
        <v>36</v>
      </c>
      <c r="Q585" s="13" t="s">
        <v>54</v>
      </c>
      <c r="R585" s="13" t="s">
        <v>28</v>
      </c>
      <c r="S585" s="13"/>
      <c r="T585" s="13"/>
      <c r="U585" s="13" t="s">
        <v>1612</v>
      </c>
      <c r="V585" s="13" t="s">
        <v>1612</v>
      </c>
      <c r="W585" s="59">
        <f>+J585/$W$2</f>
        <v>1.0764554307529936E-4</v>
      </c>
    </row>
    <row r="586" spans="1:32">
      <c r="A586" s="13" t="s">
        <v>198</v>
      </c>
      <c r="B586" s="13" t="s">
        <v>538</v>
      </c>
      <c r="C586" s="139">
        <v>46225</v>
      </c>
      <c r="D586" s="139" t="s">
        <v>516</v>
      </c>
      <c r="E586" s="28">
        <v>0.97645802999999998</v>
      </c>
      <c r="F586" s="13"/>
      <c r="G586" s="18">
        <v>2500000</v>
      </c>
      <c r="H586" s="18">
        <v>2441145.08</v>
      </c>
      <c r="I586" s="18">
        <v>2500000</v>
      </c>
      <c r="J586" s="18">
        <v>2441145.08</v>
      </c>
      <c r="K586" s="15">
        <v>6125</v>
      </c>
      <c r="L586" s="13" t="s">
        <v>102</v>
      </c>
      <c r="M586" s="13" t="s">
        <v>103</v>
      </c>
      <c r="N586" s="139" t="s">
        <v>335</v>
      </c>
      <c r="O586" s="139" t="s">
        <v>335</v>
      </c>
      <c r="P586" s="28">
        <v>20</v>
      </c>
      <c r="Q586" s="13" t="s">
        <v>54</v>
      </c>
      <c r="R586" s="13" t="s">
        <v>28</v>
      </c>
      <c r="S586" s="13"/>
      <c r="T586" s="13"/>
      <c r="U586" s="13" t="s">
        <v>1743</v>
      </c>
      <c r="V586" s="13" t="s">
        <v>1743</v>
      </c>
      <c r="W586" s="59">
        <f>+J586/$W$2</f>
        <v>5.4836440165785508E-5</v>
      </c>
    </row>
    <row r="587" spans="1:32">
      <c r="A587" s="13" t="s">
        <v>1402</v>
      </c>
      <c r="B587" s="13" t="s">
        <v>538</v>
      </c>
      <c r="C587" s="139">
        <v>46225</v>
      </c>
      <c r="D587" s="139" t="s">
        <v>516</v>
      </c>
      <c r="E587" s="28">
        <v>0.96734872000000005</v>
      </c>
      <c r="F587" s="13"/>
      <c r="G587" s="18">
        <v>6500000</v>
      </c>
      <c r="H587" s="18">
        <v>6287766.6799999997</v>
      </c>
      <c r="I587" s="18">
        <v>6500000</v>
      </c>
      <c r="J587" s="18">
        <v>6287766.6799999997</v>
      </c>
      <c r="K587" s="15">
        <v>29175495</v>
      </c>
      <c r="L587" s="13" t="s">
        <v>102</v>
      </c>
      <c r="M587" s="13" t="s">
        <v>103</v>
      </c>
      <c r="N587" s="139" t="s">
        <v>379</v>
      </c>
      <c r="O587" s="139" t="s">
        <v>379</v>
      </c>
      <c r="P587" s="28">
        <v>28</v>
      </c>
      <c r="Q587" s="13" t="s">
        <v>54</v>
      </c>
      <c r="R587" s="13" t="s">
        <v>28</v>
      </c>
      <c r="S587" s="13"/>
      <c r="T587" s="13"/>
      <c r="U587" s="13" t="s">
        <v>1377</v>
      </c>
      <c r="V587" s="13" t="s">
        <v>1377</v>
      </c>
      <c r="W587" s="59">
        <f>+J587/$W$2</f>
        <v>1.4124467412819224E-4</v>
      </c>
    </row>
    <row r="588" spans="1:32">
      <c r="A588" s="13" t="s">
        <v>993</v>
      </c>
      <c r="B588" s="13" t="s">
        <v>538</v>
      </c>
      <c r="C588" s="139">
        <v>46225</v>
      </c>
      <c r="D588" s="139" t="s">
        <v>516</v>
      </c>
      <c r="E588" s="28">
        <v>0.96622200999999996</v>
      </c>
      <c r="F588" s="13"/>
      <c r="G588" s="18">
        <v>5000000</v>
      </c>
      <c r="H588" s="18">
        <v>4831110.03</v>
      </c>
      <c r="I588" s="18">
        <v>5000000</v>
      </c>
      <c r="J588" s="18">
        <v>4831110.03</v>
      </c>
      <c r="K588" s="15">
        <v>16771075</v>
      </c>
      <c r="L588" s="13" t="s">
        <v>102</v>
      </c>
      <c r="M588" s="13" t="s">
        <v>103</v>
      </c>
      <c r="N588" s="139" t="s">
        <v>428</v>
      </c>
      <c r="O588" s="139" t="s">
        <v>428</v>
      </c>
      <c r="P588" s="28">
        <v>29</v>
      </c>
      <c r="Q588" s="13" t="s">
        <v>54</v>
      </c>
      <c r="R588" s="13" t="s">
        <v>28</v>
      </c>
      <c r="S588" s="13"/>
      <c r="T588" s="13"/>
      <c r="U588" s="13" t="s">
        <v>927</v>
      </c>
      <c r="V588" s="13" t="s">
        <v>927</v>
      </c>
      <c r="W588" s="59">
        <f>+J588/$W$2</f>
        <v>1.085232001427876E-4</v>
      </c>
    </row>
    <row r="589" spans="1:32">
      <c r="A589" s="13" t="s">
        <v>1835</v>
      </c>
      <c r="B589" s="13" t="s">
        <v>538</v>
      </c>
      <c r="C589" s="139">
        <v>46226</v>
      </c>
      <c r="D589" s="139" t="s">
        <v>516</v>
      </c>
      <c r="E589" s="28">
        <v>0.96090584999999995</v>
      </c>
      <c r="F589" s="13"/>
      <c r="G589" s="18">
        <v>2387682</v>
      </c>
      <c r="H589" s="18">
        <v>2294337.6</v>
      </c>
      <c r="I589" s="18">
        <v>2387682</v>
      </c>
      <c r="J589" s="18">
        <v>2294337.6</v>
      </c>
      <c r="K589" s="15">
        <v>84084371</v>
      </c>
      <c r="L589" s="13" t="s">
        <v>102</v>
      </c>
      <c r="M589" s="13" t="s">
        <v>103</v>
      </c>
      <c r="N589" s="139" t="s">
        <v>335</v>
      </c>
      <c r="O589" s="139" t="s">
        <v>335</v>
      </c>
      <c r="P589" s="28">
        <v>33</v>
      </c>
      <c r="Q589" s="13" t="s">
        <v>54</v>
      </c>
      <c r="R589" s="13" t="s">
        <v>28</v>
      </c>
      <c r="S589" s="13"/>
      <c r="T589" s="13"/>
      <c r="U589" s="13" t="s">
        <v>1815</v>
      </c>
      <c r="V589" s="13" t="s">
        <v>1815</v>
      </c>
      <c r="W589" s="59">
        <f>+J589/$W$2</f>
        <v>5.1538643709988728E-5</v>
      </c>
      <c r="AC589" s="60"/>
      <c r="AD589" s="56"/>
      <c r="AE589" s="60"/>
      <c r="AF589" s="13"/>
    </row>
    <row r="590" spans="1:32">
      <c r="A590" s="13" t="s">
        <v>539</v>
      </c>
      <c r="B590" s="13" t="s">
        <v>538</v>
      </c>
      <c r="C590" s="139">
        <v>46226</v>
      </c>
      <c r="D590" s="139" t="s">
        <v>516</v>
      </c>
      <c r="E590" s="28">
        <v>0.96433303999999997</v>
      </c>
      <c r="F590" s="13"/>
      <c r="G590" s="18">
        <v>10000000</v>
      </c>
      <c r="H590" s="18">
        <v>9643330.4100000001</v>
      </c>
      <c r="I590" s="18">
        <v>10000000</v>
      </c>
      <c r="J590" s="18">
        <v>9643330.4100000001</v>
      </c>
      <c r="K590" s="15">
        <v>547</v>
      </c>
      <c r="L590" s="13" t="s">
        <v>102</v>
      </c>
      <c r="M590" s="13" t="s">
        <v>103</v>
      </c>
      <c r="N590" s="139" t="s">
        <v>472</v>
      </c>
      <c r="O590" s="139" t="s">
        <v>472</v>
      </c>
      <c r="P590" s="28">
        <v>30</v>
      </c>
      <c r="Q590" s="13" t="s">
        <v>54</v>
      </c>
      <c r="R590" s="13" t="s">
        <v>28</v>
      </c>
      <c r="S590" s="13"/>
      <c r="T590" s="13"/>
      <c r="U590" s="13" t="s">
        <v>1634</v>
      </c>
      <c r="V590" s="13" t="s">
        <v>1634</v>
      </c>
      <c r="W590" s="59">
        <f>+J590/$W$2</f>
        <v>2.1662207435326411E-4</v>
      </c>
    </row>
    <row r="591" spans="1:32">
      <c r="A591" s="13" t="s">
        <v>148</v>
      </c>
      <c r="B591" s="13" t="s">
        <v>538</v>
      </c>
      <c r="C591" s="139">
        <v>46226</v>
      </c>
      <c r="D591" s="139" t="s">
        <v>516</v>
      </c>
      <c r="E591" s="28">
        <v>0.95300267999999999</v>
      </c>
      <c r="F591" s="13"/>
      <c r="G591" s="18">
        <v>10000000</v>
      </c>
      <c r="H591" s="18">
        <v>9530026.8300000001</v>
      </c>
      <c r="I591" s="18">
        <v>10000000</v>
      </c>
      <c r="J591" s="18">
        <v>9530026.8300000001</v>
      </c>
      <c r="K591" s="15">
        <v>4093</v>
      </c>
      <c r="L591" s="13" t="s">
        <v>102</v>
      </c>
      <c r="M591" s="13" t="s">
        <v>103</v>
      </c>
      <c r="N591" s="139" t="s">
        <v>378</v>
      </c>
      <c r="O591" s="139" t="s">
        <v>378</v>
      </c>
      <c r="P591" s="28">
        <v>40</v>
      </c>
      <c r="Q591" s="13" t="s">
        <v>54</v>
      </c>
      <c r="R591" s="13" t="s">
        <v>28</v>
      </c>
      <c r="S591" s="13"/>
      <c r="T591" s="13"/>
      <c r="U591" s="13" t="s">
        <v>861</v>
      </c>
      <c r="V591" s="13" t="s">
        <v>861</v>
      </c>
      <c r="W591" s="59">
        <f>+J591/$W$2</f>
        <v>2.140768897035917E-4</v>
      </c>
    </row>
    <row r="592" spans="1:32">
      <c r="A592" s="13" t="s">
        <v>478</v>
      </c>
      <c r="B592" s="13" t="s">
        <v>538</v>
      </c>
      <c r="C592" s="139">
        <v>46226</v>
      </c>
      <c r="D592" s="139" t="s">
        <v>516</v>
      </c>
      <c r="E592" s="28">
        <v>0.95750263999999996</v>
      </c>
      <c r="F592" s="13"/>
      <c r="G592" s="18">
        <v>1250000</v>
      </c>
      <c r="H592" s="18">
        <v>1196878.3</v>
      </c>
      <c r="I592" s="18">
        <v>1250000</v>
      </c>
      <c r="J592" s="18">
        <v>1196878.3</v>
      </c>
      <c r="K592" s="15">
        <v>2503</v>
      </c>
      <c r="L592" s="13" t="s">
        <v>102</v>
      </c>
      <c r="M592" s="13" t="s">
        <v>103</v>
      </c>
      <c r="N592" s="139" t="s">
        <v>471</v>
      </c>
      <c r="O592" s="139" t="s">
        <v>471</v>
      </c>
      <c r="P592" s="28">
        <v>36</v>
      </c>
      <c r="Q592" s="13" t="s">
        <v>54</v>
      </c>
      <c r="R592" s="13" t="s">
        <v>28</v>
      </c>
      <c r="S592" s="13"/>
      <c r="T592" s="13"/>
      <c r="U592" s="13" t="s">
        <v>1551</v>
      </c>
      <c r="V592" s="13" t="s">
        <v>1551</v>
      </c>
      <c r="W592" s="59">
        <f>+J592/$W$2</f>
        <v>2.6885966680717347E-5</v>
      </c>
    </row>
    <row r="593" spans="1:29">
      <c r="A593" s="13" t="s">
        <v>1053</v>
      </c>
      <c r="B593" s="13" t="s">
        <v>538</v>
      </c>
      <c r="C593" s="139">
        <v>46226</v>
      </c>
      <c r="D593" s="139" t="s">
        <v>516</v>
      </c>
      <c r="E593" s="28">
        <v>0.96663146</v>
      </c>
      <c r="F593" s="13"/>
      <c r="G593" s="18">
        <v>25000000</v>
      </c>
      <c r="H593" s="18">
        <v>24165786.43</v>
      </c>
      <c r="I593" s="18">
        <v>25000000</v>
      </c>
      <c r="J593" s="18">
        <v>24165786.43</v>
      </c>
      <c r="K593" s="15">
        <v>895</v>
      </c>
      <c r="L593" s="13" t="s">
        <v>102</v>
      </c>
      <c r="M593" s="13" t="s">
        <v>103</v>
      </c>
      <c r="N593" s="139" t="s">
        <v>344</v>
      </c>
      <c r="O593" s="139" t="s">
        <v>344</v>
      </c>
      <c r="P593" s="28">
        <v>28</v>
      </c>
      <c r="Q593" s="13" t="s">
        <v>54</v>
      </c>
      <c r="R593" s="13" t="s">
        <v>28</v>
      </c>
      <c r="S593" s="13"/>
      <c r="T593" s="13"/>
      <c r="U593" s="13" t="s">
        <v>1117</v>
      </c>
      <c r="V593" s="13" t="s">
        <v>1117</v>
      </c>
      <c r="W593" s="59">
        <f>+J593/$W$2</f>
        <v>5.4284594245740056E-4</v>
      </c>
    </row>
    <row r="594" spans="1:29">
      <c r="A594" s="13" t="s">
        <v>150</v>
      </c>
      <c r="B594" s="13" t="s">
        <v>538</v>
      </c>
      <c r="C594" s="139">
        <v>46226</v>
      </c>
      <c r="D594" s="139" t="s">
        <v>516</v>
      </c>
      <c r="E594" s="28">
        <v>0.96663140999999997</v>
      </c>
      <c r="F594" s="13"/>
      <c r="G594" s="18">
        <v>50000000</v>
      </c>
      <c r="H594" s="18">
        <v>48331570.450000003</v>
      </c>
      <c r="I594" s="18">
        <v>50000000</v>
      </c>
      <c r="J594" s="18">
        <v>48331570.450000003</v>
      </c>
      <c r="K594" s="15">
        <v>4576</v>
      </c>
      <c r="L594" s="13" t="s">
        <v>102</v>
      </c>
      <c r="M594" s="13" t="s">
        <v>103</v>
      </c>
      <c r="N594" s="139" t="s">
        <v>343</v>
      </c>
      <c r="O594" s="139" t="s">
        <v>343</v>
      </c>
      <c r="P594" s="28">
        <v>28</v>
      </c>
      <c r="Q594" s="13" t="s">
        <v>54</v>
      </c>
      <c r="R594" s="13" t="s">
        <v>28</v>
      </c>
      <c r="S594" s="13"/>
      <c r="T594" s="13"/>
      <c r="U594" s="13" t="s">
        <v>1423</v>
      </c>
      <c r="V594" s="13" t="s">
        <v>1423</v>
      </c>
      <c r="W594" s="59">
        <f>+J594/$W$2</f>
        <v>1.0856918307779856E-3</v>
      </c>
    </row>
    <row r="595" spans="1:29">
      <c r="A595" s="13" t="s">
        <v>992</v>
      </c>
      <c r="B595" s="13" t="s">
        <v>538</v>
      </c>
      <c r="C595" s="139">
        <v>46226</v>
      </c>
      <c r="D595" s="139" t="s">
        <v>516</v>
      </c>
      <c r="E595" s="28">
        <v>0.95863430999999999</v>
      </c>
      <c r="F595" s="13"/>
      <c r="G595" s="18">
        <v>5450000</v>
      </c>
      <c r="H595" s="18">
        <v>5224557.01</v>
      </c>
      <c r="I595" s="18">
        <v>5450000</v>
      </c>
      <c r="J595" s="18">
        <v>5224557.01</v>
      </c>
      <c r="K595" s="15">
        <v>6898</v>
      </c>
      <c r="L595" s="13" t="s">
        <v>102</v>
      </c>
      <c r="M595" s="13" t="s">
        <v>103</v>
      </c>
      <c r="N595" s="139" t="s">
        <v>428</v>
      </c>
      <c r="O595" s="139" t="s">
        <v>428</v>
      </c>
      <c r="P595" s="28">
        <v>35</v>
      </c>
      <c r="Q595" s="13" t="s">
        <v>54</v>
      </c>
      <c r="R595" s="13" t="s">
        <v>28</v>
      </c>
      <c r="S595" s="13"/>
      <c r="T595" s="13"/>
      <c r="U595" s="13" t="s">
        <v>978</v>
      </c>
      <c r="V595" s="13" t="s">
        <v>978</v>
      </c>
      <c r="W595" s="59">
        <f>+J595/$W$2</f>
        <v>1.1736136054297937E-4</v>
      </c>
    </row>
    <row r="596" spans="1:29">
      <c r="A596" s="13" t="s">
        <v>993</v>
      </c>
      <c r="B596" s="13" t="s">
        <v>538</v>
      </c>
      <c r="C596" s="139">
        <v>46226</v>
      </c>
      <c r="D596" s="139" t="s">
        <v>516</v>
      </c>
      <c r="E596" s="28">
        <v>0.96548089999999998</v>
      </c>
      <c r="F596" s="13"/>
      <c r="G596" s="18">
        <v>5000000</v>
      </c>
      <c r="H596" s="18">
        <v>4827404.49</v>
      </c>
      <c r="I596" s="18">
        <v>5000000</v>
      </c>
      <c r="J596" s="18">
        <v>4827404.49</v>
      </c>
      <c r="K596" s="15">
        <v>16779602</v>
      </c>
      <c r="L596" s="13" t="s">
        <v>102</v>
      </c>
      <c r="M596" s="13" t="s">
        <v>103</v>
      </c>
      <c r="N596" s="139" t="s">
        <v>359</v>
      </c>
      <c r="O596" s="139" t="s">
        <v>359</v>
      </c>
      <c r="P596" s="28">
        <v>29</v>
      </c>
      <c r="Q596" s="13" t="s">
        <v>54</v>
      </c>
      <c r="R596" s="13" t="s">
        <v>28</v>
      </c>
      <c r="S596" s="13"/>
      <c r="T596" s="13"/>
      <c r="U596" s="13" t="s">
        <v>1308</v>
      </c>
      <c r="V596" s="13" t="s">
        <v>1308</v>
      </c>
      <c r="W596" s="59">
        <f>+J596/$W$2</f>
        <v>1.0843996108249712E-4</v>
      </c>
    </row>
    <row r="597" spans="1:29">
      <c r="A597" s="13" t="s">
        <v>339</v>
      </c>
      <c r="B597" s="13" t="s">
        <v>538</v>
      </c>
      <c r="C597" s="139">
        <v>46226</v>
      </c>
      <c r="D597" s="139" t="s">
        <v>516</v>
      </c>
      <c r="E597" s="28">
        <v>0.96548089999999998</v>
      </c>
      <c r="F597" s="13"/>
      <c r="G597" s="18">
        <v>25000000</v>
      </c>
      <c r="H597" s="18">
        <v>24137022.48</v>
      </c>
      <c r="I597" s="18">
        <v>25000000</v>
      </c>
      <c r="J597" s="18">
        <v>24137022.48</v>
      </c>
      <c r="K597" s="15">
        <v>3419</v>
      </c>
      <c r="L597" s="13" t="s">
        <v>102</v>
      </c>
      <c r="M597" s="13" t="s">
        <v>103</v>
      </c>
      <c r="N597" s="139" t="s">
        <v>359</v>
      </c>
      <c r="O597" s="139" t="s">
        <v>359</v>
      </c>
      <c r="P597" s="28">
        <v>29</v>
      </c>
      <c r="Q597" s="13" t="s">
        <v>54</v>
      </c>
      <c r="R597" s="13" t="s">
        <v>28</v>
      </c>
      <c r="S597" s="13"/>
      <c r="T597" s="13"/>
      <c r="U597" s="13" t="s">
        <v>1334</v>
      </c>
      <c r="V597" s="13" t="s">
        <v>1334</v>
      </c>
      <c r="W597" s="59">
        <f>+J597/$W$2</f>
        <v>5.421998060863879E-4</v>
      </c>
    </row>
    <row r="598" spans="1:29">
      <c r="A598" s="13" t="s">
        <v>339</v>
      </c>
      <c r="B598" s="13" t="s">
        <v>538</v>
      </c>
      <c r="C598" s="139">
        <v>46226</v>
      </c>
      <c r="D598" s="139" t="s">
        <v>516</v>
      </c>
      <c r="E598" s="28">
        <v>0.96548089999999998</v>
      </c>
      <c r="F598" s="13"/>
      <c r="G598" s="18">
        <v>10000000</v>
      </c>
      <c r="H598" s="18">
        <v>9654808.9900000002</v>
      </c>
      <c r="I598" s="18">
        <v>10000000</v>
      </c>
      <c r="J598" s="18">
        <v>9654808.9900000002</v>
      </c>
      <c r="K598" s="15">
        <v>66581742</v>
      </c>
      <c r="L598" s="13" t="s">
        <v>102</v>
      </c>
      <c r="M598" s="13" t="s">
        <v>103</v>
      </c>
      <c r="N598" s="139" t="s">
        <v>359</v>
      </c>
      <c r="O598" s="139" t="s">
        <v>359</v>
      </c>
      <c r="P598" s="28">
        <v>29</v>
      </c>
      <c r="Q598" s="13" t="s">
        <v>54</v>
      </c>
      <c r="R598" s="13" t="s">
        <v>28</v>
      </c>
      <c r="S598" s="13"/>
      <c r="T598" s="13"/>
      <c r="U598" s="13" t="s">
        <v>1345</v>
      </c>
      <c r="V598" s="13" t="s">
        <v>1345</v>
      </c>
      <c r="W598" s="59">
        <f>+J598/$W$2</f>
        <v>2.1687992238962834E-4</v>
      </c>
    </row>
    <row r="599" spans="1:29">
      <c r="A599" s="13" t="s">
        <v>1402</v>
      </c>
      <c r="B599" s="13" t="s">
        <v>538</v>
      </c>
      <c r="C599" s="139">
        <v>46226</v>
      </c>
      <c r="D599" s="139" t="s">
        <v>516</v>
      </c>
      <c r="E599" s="28">
        <v>0.96663136999999999</v>
      </c>
      <c r="F599" s="13"/>
      <c r="G599" s="18">
        <v>6500000</v>
      </c>
      <c r="H599" s="18">
        <v>6283103.9000000004</v>
      </c>
      <c r="I599" s="18">
        <v>6500000</v>
      </c>
      <c r="J599" s="18">
        <v>6283103.9000000004</v>
      </c>
      <c r="K599" s="15">
        <v>29175489</v>
      </c>
      <c r="L599" s="13" t="s">
        <v>102</v>
      </c>
      <c r="M599" s="13" t="s">
        <v>103</v>
      </c>
      <c r="N599" s="139" t="s">
        <v>379</v>
      </c>
      <c r="O599" s="139" t="s">
        <v>379</v>
      </c>
      <c r="P599" s="28">
        <v>28</v>
      </c>
      <c r="Q599" s="13" t="s">
        <v>54</v>
      </c>
      <c r="R599" s="13" t="s">
        <v>28</v>
      </c>
      <c r="S599" s="13"/>
      <c r="T599" s="13"/>
      <c r="U599" s="13" t="s">
        <v>1378</v>
      </c>
      <c r="V599" s="13" t="s">
        <v>1378</v>
      </c>
      <c r="W599" s="59">
        <f>+J599/$W$2</f>
        <v>1.4113993219434692E-4</v>
      </c>
    </row>
    <row r="600" spans="1:29">
      <c r="A600" s="13" t="s">
        <v>550</v>
      </c>
      <c r="B600" s="13" t="s">
        <v>538</v>
      </c>
      <c r="C600" s="139">
        <v>46227</v>
      </c>
      <c r="D600" s="139" t="s">
        <v>516</v>
      </c>
      <c r="E600" s="28">
        <v>0.95775392000000004</v>
      </c>
      <c r="F600" s="13"/>
      <c r="G600" s="18">
        <v>16600000</v>
      </c>
      <c r="H600" s="18">
        <v>15898715.050000001</v>
      </c>
      <c r="I600" s="18">
        <v>16600000</v>
      </c>
      <c r="J600" s="18">
        <v>15898715.050000001</v>
      </c>
      <c r="K600" s="15">
        <v>290</v>
      </c>
      <c r="L600" s="13" t="s">
        <v>102</v>
      </c>
      <c r="M600" s="13" t="s">
        <v>103</v>
      </c>
      <c r="N600" s="139" t="s">
        <v>152</v>
      </c>
      <c r="O600" s="139" t="s">
        <v>152</v>
      </c>
      <c r="P600" s="28">
        <v>35</v>
      </c>
      <c r="Q600" s="13" t="s">
        <v>54</v>
      </c>
      <c r="R600" s="13" t="s">
        <v>28</v>
      </c>
      <c r="S600" s="13"/>
      <c r="T600" s="13"/>
      <c r="U600" s="13" t="s">
        <v>782</v>
      </c>
      <c r="V600" s="13" t="s">
        <v>782</v>
      </c>
      <c r="W600" s="59">
        <f>+J600/$W$2</f>
        <v>3.5713933747526331E-4</v>
      </c>
      <c r="AC600" s="56"/>
    </row>
    <row r="601" spans="1:29">
      <c r="A601" s="13" t="s">
        <v>1823</v>
      </c>
      <c r="B601" s="13" t="s">
        <v>538</v>
      </c>
      <c r="C601" s="139">
        <v>46227</v>
      </c>
      <c r="D601" s="139" t="s">
        <v>516</v>
      </c>
      <c r="E601" s="28">
        <v>0.96007171000000002</v>
      </c>
      <c r="F601" s="13"/>
      <c r="G601" s="18">
        <v>2429673.98</v>
      </c>
      <c r="H601" s="18">
        <v>2332661.25</v>
      </c>
      <c r="I601" s="18">
        <v>2429673.98</v>
      </c>
      <c r="J601" s="18">
        <v>2332661.25</v>
      </c>
      <c r="K601" s="15">
        <v>26</v>
      </c>
      <c r="L601" s="13" t="s">
        <v>102</v>
      </c>
      <c r="M601" s="13" t="s">
        <v>103</v>
      </c>
      <c r="N601" s="139" t="s">
        <v>335</v>
      </c>
      <c r="O601" s="139" t="s">
        <v>335</v>
      </c>
      <c r="P601" s="28">
        <v>33</v>
      </c>
      <c r="Q601" s="13" t="s">
        <v>54</v>
      </c>
      <c r="R601" s="13" t="s">
        <v>28</v>
      </c>
      <c r="S601" s="13"/>
      <c r="T601" s="13"/>
      <c r="U601" s="13" t="s">
        <v>1782</v>
      </c>
      <c r="V601" s="13" t="s">
        <v>1782</v>
      </c>
      <c r="W601" s="59">
        <f>+J601/$W$2</f>
        <v>5.2399523531256667E-5</v>
      </c>
    </row>
    <row r="602" spans="1:29">
      <c r="A602" s="13" t="s">
        <v>1836</v>
      </c>
      <c r="B602" s="13" t="s">
        <v>538</v>
      </c>
      <c r="C602" s="139">
        <v>46227</v>
      </c>
      <c r="D602" s="139" t="s">
        <v>516</v>
      </c>
      <c r="E602" s="28">
        <v>0.96007169999999997</v>
      </c>
      <c r="F602" s="13"/>
      <c r="G602" s="18">
        <v>1134249.7</v>
      </c>
      <c r="H602" s="18">
        <v>1088961.04</v>
      </c>
      <c r="I602" s="18">
        <v>1134249.7</v>
      </c>
      <c r="J602" s="18">
        <v>1088961.04</v>
      </c>
      <c r="K602" s="15">
        <v>2230</v>
      </c>
      <c r="L602" s="13" t="s">
        <v>102</v>
      </c>
      <c r="M602" s="13" t="s">
        <v>103</v>
      </c>
      <c r="N602" s="139" t="s">
        <v>335</v>
      </c>
      <c r="O602" s="139" t="s">
        <v>335</v>
      </c>
      <c r="P602" s="28">
        <v>33</v>
      </c>
      <c r="Q602" s="13" t="s">
        <v>54</v>
      </c>
      <c r="R602" s="13" t="s">
        <v>28</v>
      </c>
      <c r="S602" s="13"/>
      <c r="T602" s="13"/>
      <c r="U602" s="13" t="s">
        <v>1817</v>
      </c>
      <c r="V602" s="13" t="s">
        <v>1817</v>
      </c>
      <c r="W602" s="59">
        <f>+J602/$W$2</f>
        <v>2.4461777139780468E-5</v>
      </c>
    </row>
    <row r="603" spans="1:29">
      <c r="A603" s="13" t="s">
        <v>1358</v>
      </c>
      <c r="B603" s="13" t="s">
        <v>538</v>
      </c>
      <c r="C603" s="139">
        <v>46227</v>
      </c>
      <c r="D603" s="139" t="s">
        <v>516</v>
      </c>
      <c r="E603" s="28">
        <v>0.96356927000000003</v>
      </c>
      <c r="F603" s="13"/>
      <c r="G603" s="18">
        <v>6013017.5</v>
      </c>
      <c r="H603" s="18">
        <v>5793958.8899999997</v>
      </c>
      <c r="I603" s="18">
        <v>6013017.5</v>
      </c>
      <c r="J603" s="18">
        <v>5793958.8899999997</v>
      </c>
      <c r="K603" s="15">
        <v>66632353</v>
      </c>
      <c r="L603" s="13" t="s">
        <v>102</v>
      </c>
      <c r="M603" s="13" t="s">
        <v>103</v>
      </c>
      <c r="N603" s="139" t="s">
        <v>359</v>
      </c>
      <c r="O603" s="139" t="s">
        <v>359</v>
      </c>
      <c r="P603" s="28">
        <v>30</v>
      </c>
      <c r="Q603" s="13" t="s">
        <v>54</v>
      </c>
      <c r="R603" s="13" t="s">
        <v>28</v>
      </c>
      <c r="S603" s="13"/>
      <c r="T603" s="13"/>
      <c r="U603" s="13" t="s">
        <v>1324</v>
      </c>
      <c r="V603" s="13" t="s">
        <v>1324</v>
      </c>
      <c r="W603" s="59">
        <f>+J603/$W$2</f>
        <v>1.3015206781339929E-4</v>
      </c>
    </row>
    <row r="604" spans="1:29">
      <c r="A604" s="13" t="s">
        <v>1358</v>
      </c>
      <c r="B604" s="13" t="s">
        <v>538</v>
      </c>
      <c r="C604" s="139">
        <v>46227</v>
      </c>
      <c r="D604" s="139" t="s">
        <v>516</v>
      </c>
      <c r="E604" s="28">
        <v>0.96356927000000003</v>
      </c>
      <c r="F604" s="13"/>
      <c r="G604" s="18">
        <v>6013017.5</v>
      </c>
      <c r="H604" s="18">
        <v>5793958.8899999997</v>
      </c>
      <c r="I604" s="18">
        <v>6013017.5</v>
      </c>
      <c r="J604" s="18">
        <v>5793958.8899999997</v>
      </c>
      <c r="K604" s="15">
        <v>66632320</v>
      </c>
      <c r="L604" s="13" t="s">
        <v>102</v>
      </c>
      <c r="M604" s="13" t="s">
        <v>103</v>
      </c>
      <c r="N604" s="139" t="s">
        <v>359</v>
      </c>
      <c r="O604" s="139" t="s">
        <v>359</v>
      </c>
      <c r="P604" s="28">
        <v>30</v>
      </c>
      <c r="Q604" s="13" t="s">
        <v>54</v>
      </c>
      <c r="R604" s="13" t="s">
        <v>28</v>
      </c>
      <c r="S604" s="13"/>
      <c r="T604" s="13"/>
      <c r="U604" s="13" t="s">
        <v>1325</v>
      </c>
      <c r="V604" s="13" t="s">
        <v>1325</v>
      </c>
      <c r="W604" s="59">
        <f>+J604/$W$2</f>
        <v>1.3015206781339929E-4</v>
      </c>
    </row>
    <row r="605" spans="1:29">
      <c r="A605" s="13" t="s">
        <v>1358</v>
      </c>
      <c r="B605" s="13" t="s">
        <v>538</v>
      </c>
      <c r="C605" s="139">
        <v>46227</v>
      </c>
      <c r="D605" s="139" t="s">
        <v>516</v>
      </c>
      <c r="E605" s="28">
        <v>0.96356927000000003</v>
      </c>
      <c r="F605" s="13"/>
      <c r="G605" s="18">
        <v>6013017.5</v>
      </c>
      <c r="H605" s="18">
        <v>5793958.8899999997</v>
      </c>
      <c r="I605" s="18">
        <v>6013017.5</v>
      </c>
      <c r="J605" s="18">
        <v>5793958.8899999997</v>
      </c>
      <c r="K605" s="15">
        <v>66632294</v>
      </c>
      <c r="L605" s="13" t="s">
        <v>102</v>
      </c>
      <c r="M605" s="13" t="s">
        <v>103</v>
      </c>
      <c r="N605" s="139" t="s">
        <v>359</v>
      </c>
      <c r="O605" s="139" t="s">
        <v>359</v>
      </c>
      <c r="P605" s="28">
        <v>30</v>
      </c>
      <c r="Q605" s="13" t="s">
        <v>54</v>
      </c>
      <c r="R605" s="13" t="s">
        <v>28</v>
      </c>
      <c r="S605" s="13"/>
      <c r="T605" s="13"/>
      <c r="U605" s="13" t="s">
        <v>1326</v>
      </c>
      <c r="V605" s="13" t="s">
        <v>1326</v>
      </c>
      <c r="W605" s="59">
        <f>+J605/$W$2</f>
        <v>1.3015206781339929E-4</v>
      </c>
    </row>
    <row r="606" spans="1:29">
      <c r="A606" s="13" t="s">
        <v>539</v>
      </c>
      <c r="B606" s="13" t="s">
        <v>538</v>
      </c>
      <c r="C606" s="139">
        <v>46227</v>
      </c>
      <c r="D606" s="139" t="s">
        <v>516</v>
      </c>
      <c r="E606" s="28">
        <v>0.96356920000000001</v>
      </c>
      <c r="F606" s="13"/>
      <c r="G606" s="18">
        <v>10000000</v>
      </c>
      <c r="H606" s="18">
        <v>9635692.0299999993</v>
      </c>
      <c r="I606" s="18">
        <v>10000000</v>
      </c>
      <c r="J606" s="18">
        <v>9635692.0299999993</v>
      </c>
      <c r="K606" s="15">
        <v>523</v>
      </c>
      <c r="L606" s="13" t="s">
        <v>102</v>
      </c>
      <c r="M606" s="13" t="s">
        <v>103</v>
      </c>
      <c r="N606" s="139" t="s">
        <v>382</v>
      </c>
      <c r="O606" s="139" t="s">
        <v>382</v>
      </c>
      <c r="P606" s="28">
        <v>30</v>
      </c>
      <c r="Q606" s="13" t="s">
        <v>54</v>
      </c>
      <c r="R606" s="13" t="s">
        <v>28</v>
      </c>
      <c r="S606" s="13"/>
      <c r="T606" s="13"/>
      <c r="U606" s="13" t="s">
        <v>1607</v>
      </c>
      <c r="V606" s="13" t="s">
        <v>1607</v>
      </c>
      <c r="W606" s="59">
        <f>+J606/$W$2</f>
        <v>2.1645049029983554E-4</v>
      </c>
    </row>
    <row r="607" spans="1:29">
      <c r="A607" s="13" t="s">
        <v>365</v>
      </c>
      <c r="B607" s="13" t="s">
        <v>538</v>
      </c>
      <c r="C607" s="139">
        <v>46227</v>
      </c>
      <c r="D607" s="139" t="s">
        <v>516</v>
      </c>
      <c r="E607" s="28">
        <v>0.95200841999999997</v>
      </c>
      <c r="F607" s="13"/>
      <c r="G607" s="18">
        <v>3500000</v>
      </c>
      <c r="H607" s="18">
        <v>3332029.46</v>
      </c>
      <c r="I607" s="18">
        <v>3500000</v>
      </c>
      <c r="J607" s="18">
        <v>3332029.46</v>
      </c>
      <c r="K607" s="15">
        <v>60524037</v>
      </c>
      <c r="L607" s="13" t="s">
        <v>102</v>
      </c>
      <c r="M607" s="13" t="s">
        <v>103</v>
      </c>
      <c r="N607" s="139" t="s">
        <v>243</v>
      </c>
      <c r="O607" s="139" t="s">
        <v>243</v>
      </c>
      <c r="P607" s="28">
        <v>40</v>
      </c>
      <c r="Q607" s="13" t="s">
        <v>54</v>
      </c>
      <c r="R607" s="13" t="s">
        <v>28</v>
      </c>
      <c r="S607" s="13"/>
      <c r="T607" s="13"/>
      <c r="U607" s="13" t="s">
        <v>490</v>
      </c>
      <c r="V607" s="13" t="s">
        <v>490</v>
      </c>
      <c r="W607" s="59">
        <f>+J607/$W$2</f>
        <v>7.4848740294421425E-5</v>
      </c>
    </row>
    <row r="608" spans="1:29">
      <c r="A608" s="13" t="s">
        <v>339</v>
      </c>
      <c r="B608" s="13" t="s">
        <v>538</v>
      </c>
      <c r="C608" s="139">
        <v>46227</v>
      </c>
      <c r="D608" s="139" t="s">
        <v>516</v>
      </c>
      <c r="E608" s="28">
        <v>0.96356925000000004</v>
      </c>
      <c r="F608" s="13"/>
      <c r="G608" s="18">
        <v>10000000</v>
      </c>
      <c r="H608" s="18">
        <v>9635692.5199999996</v>
      </c>
      <c r="I608" s="18">
        <v>10000000</v>
      </c>
      <c r="J608" s="18">
        <v>9635692.5199999996</v>
      </c>
      <c r="K608" s="15">
        <v>1372330</v>
      </c>
      <c r="L608" s="13" t="s">
        <v>102</v>
      </c>
      <c r="M608" s="13" t="s">
        <v>103</v>
      </c>
      <c r="N608" s="139" t="s">
        <v>231</v>
      </c>
      <c r="O608" s="139" t="s">
        <v>231</v>
      </c>
      <c r="P608" s="28">
        <v>30</v>
      </c>
      <c r="Q608" s="13" t="s">
        <v>54</v>
      </c>
      <c r="R608" s="13" t="s">
        <v>28</v>
      </c>
      <c r="S608" s="13"/>
      <c r="T608" s="13"/>
      <c r="U608" s="13" t="s">
        <v>684</v>
      </c>
      <c r="V608" s="13" t="s">
        <v>684</v>
      </c>
      <c r="W608" s="59">
        <f>+J608/$W$2</f>
        <v>2.1645050130690593E-4</v>
      </c>
    </row>
    <row r="609" spans="1:29">
      <c r="A609" s="13" t="s">
        <v>339</v>
      </c>
      <c r="B609" s="13" t="s">
        <v>538</v>
      </c>
      <c r="C609" s="139">
        <v>46227</v>
      </c>
      <c r="D609" s="139" t="s">
        <v>516</v>
      </c>
      <c r="E609" s="28">
        <v>0.96474075000000004</v>
      </c>
      <c r="F609" s="13"/>
      <c r="G609" s="18">
        <v>20000000</v>
      </c>
      <c r="H609" s="18">
        <v>19294815.010000002</v>
      </c>
      <c r="I609" s="18">
        <v>20000000</v>
      </c>
      <c r="J609" s="18">
        <v>19294815.010000002</v>
      </c>
      <c r="K609" s="15">
        <v>66179083</v>
      </c>
      <c r="L609" s="13" t="s">
        <v>102</v>
      </c>
      <c r="M609" s="13" t="s">
        <v>103</v>
      </c>
      <c r="N609" s="139" t="s">
        <v>152</v>
      </c>
      <c r="O609" s="139" t="s">
        <v>152</v>
      </c>
      <c r="P609" s="28">
        <v>29</v>
      </c>
      <c r="Q609" s="13" t="s">
        <v>54</v>
      </c>
      <c r="R609" s="13" t="s">
        <v>28</v>
      </c>
      <c r="S609" s="13"/>
      <c r="T609" s="13"/>
      <c r="U609" s="13" t="s">
        <v>771</v>
      </c>
      <c r="V609" s="13" t="s">
        <v>771</v>
      </c>
      <c r="W609" s="59">
        <f>+J609/$W$2</f>
        <v>4.3342731961091196E-4</v>
      </c>
      <c r="AC609" s="56"/>
    </row>
    <row r="610" spans="1:29">
      <c r="A610" s="13" t="s">
        <v>339</v>
      </c>
      <c r="B610" s="13" t="s">
        <v>538</v>
      </c>
      <c r="C610" s="139">
        <v>46227</v>
      </c>
      <c r="D610" s="139" t="s">
        <v>516</v>
      </c>
      <c r="E610" s="28">
        <v>0.96474075000000004</v>
      </c>
      <c r="F610" s="13"/>
      <c r="G610" s="18">
        <v>10000000</v>
      </c>
      <c r="H610" s="18">
        <v>9647407.4900000002</v>
      </c>
      <c r="I610" s="18">
        <v>10000000</v>
      </c>
      <c r="J610" s="18">
        <v>9647407.4900000002</v>
      </c>
      <c r="K610" s="15">
        <v>491333</v>
      </c>
      <c r="L610" s="13" t="s">
        <v>102</v>
      </c>
      <c r="M610" s="13" t="s">
        <v>103</v>
      </c>
      <c r="N610" s="139" t="s">
        <v>152</v>
      </c>
      <c r="O610" s="139" t="s">
        <v>152</v>
      </c>
      <c r="P610" s="28">
        <v>29</v>
      </c>
      <c r="Q610" s="13" t="s">
        <v>54</v>
      </c>
      <c r="R610" s="13" t="s">
        <v>28</v>
      </c>
      <c r="S610" s="13"/>
      <c r="T610" s="13"/>
      <c r="U610" s="13" t="s">
        <v>772</v>
      </c>
      <c r="V610" s="13" t="s">
        <v>772</v>
      </c>
      <c r="W610" s="59">
        <f>+J610/$W$2</f>
        <v>2.1671365946850484E-4</v>
      </c>
    </row>
    <row r="611" spans="1:29">
      <c r="A611" s="13" t="s">
        <v>639</v>
      </c>
      <c r="B611" s="13" t="s">
        <v>538</v>
      </c>
      <c r="C611" s="139">
        <v>46227</v>
      </c>
      <c r="D611" s="139" t="s">
        <v>516</v>
      </c>
      <c r="E611" s="28">
        <v>0.96474075999999997</v>
      </c>
      <c r="F611" s="13"/>
      <c r="G611" s="18">
        <v>12500000</v>
      </c>
      <c r="H611" s="18">
        <v>12059259.529999999</v>
      </c>
      <c r="I611" s="18">
        <v>12500000</v>
      </c>
      <c r="J611" s="18">
        <v>12059259.529999999</v>
      </c>
      <c r="K611" s="15">
        <v>28996510</v>
      </c>
      <c r="L611" s="13" t="s">
        <v>102</v>
      </c>
      <c r="M611" s="13" t="s">
        <v>103</v>
      </c>
      <c r="N611" s="139" t="s">
        <v>155</v>
      </c>
      <c r="O611" s="139" t="s">
        <v>155</v>
      </c>
      <c r="P611" s="28">
        <v>29</v>
      </c>
      <c r="Q611" s="13" t="s">
        <v>54</v>
      </c>
      <c r="R611" s="13" t="s">
        <v>28</v>
      </c>
      <c r="S611" s="13"/>
      <c r="T611" s="13"/>
      <c r="U611" s="13" t="s">
        <v>617</v>
      </c>
      <c r="V611" s="13" t="s">
        <v>617</v>
      </c>
      <c r="W611" s="59">
        <f>+J611/$W$2</f>
        <v>2.7089207809825199E-4</v>
      </c>
    </row>
    <row r="612" spans="1:29">
      <c r="A612" s="13" t="s">
        <v>150</v>
      </c>
      <c r="B612" s="13" t="s">
        <v>538</v>
      </c>
      <c r="C612" s="139">
        <v>46227</v>
      </c>
      <c r="D612" s="139" t="s">
        <v>516</v>
      </c>
      <c r="E612" s="28">
        <v>0.96591510999999997</v>
      </c>
      <c r="F612" s="13"/>
      <c r="G612" s="18">
        <v>50000000</v>
      </c>
      <c r="H612" s="18">
        <v>48295755.270000003</v>
      </c>
      <c r="I612" s="18">
        <v>50000000</v>
      </c>
      <c r="J612" s="18">
        <v>48295755.270000003</v>
      </c>
      <c r="K612" s="15">
        <v>4635</v>
      </c>
      <c r="L612" s="13" t="s">
        <v>102</v>
      </c>
      <c r="M612" s="13" t="s">
        <v>103</v>
      </c>
      <c r="N612" s="139" t="s">
        <v>367</v>
      </c>
      <c r="O612" s="139" t="s">
        <v>367</v>
      </c>
      <c r="P612" s="28">
        <v>28</v>
      </c>
      <c r="Q612" s="13" t="s">
        <v>54</v>
      </c>
      <c r="R612" s="13" t="s">
        <v>28</v>
      </c>
      <c r="S612" s="13"/>
      <c r="T612" s="13"/>
      <c r="U612" s="13" t="s">
        <v>1487</v>
      </c>
      <c r="V612" s="13" t="s">
        <v>1487</v>
      </c>
      <c r="W612" s="59">
        <f>+J612/$W$2</f>
        <v>1.0848872997440921E-3</v>
      </c>
      <c r="AC612" s="56"/>
    </row>
    <row r="613" spans="1:29">
      <c r="A613" s="13" t="s">
        <v>993</v>
      </c>
      <c r="B613" s="13" t="s">
        <v>538</v>
      </c>
      <c r="C613" s="139">
        <v>46227</v>
      </c>
      <c r="D613" s="139" t="s">
        <v>516</v>
      </c>
      <c r="E613" s="28">
        <v>0.96356927999999997</v>
      </c>
      <c r="F613" s="13"/>
      <c r="G613" s="18">
        <v>1040000</v>
      </c>
      <c r="H613" s="18">
        <v>1002112.05</v>
      </c>
      <c r="I613" s="18">
        <v>1040000</v>
      </c>
      <c r="J613" s="18">
        <v>1002112.05</v>
      </c>
      <c r="K613" s="15">
        <v>12201550</v>
      </c>
      <c r="L613" s="13" t="s">
        <v>102</v>
      </c>
      <c r="M613" s="13" t="s">
        <v>103</v>
      </c>
      <c r="N613" s="139" t="s">
        <v>359</v>
      </c>
      <c r="O613" s="139" t="s">
        <v>359</v>
      </c>
      <c r="P613" s="28">
        <v>30</v>
      </c>
      <c r="Q613" s="13" t="s">
        <v>54</v>
      </c>
      <c r="R613" s="13" t="s">
        <v>28</v>
      </c>
      <c r="S613" s="13"/>
      <c r="T613" s="13"/>
      <c r="U613" s="13" t="s">
        <v>1299</v>
      </c>
      <c r="V613" s="13" t="s">
        <v>1299</v>
      </c>
      <c r="W613" s="59">
        <f>+J613/$W$2</f>
        <v>2.2510852763096597E-5</v>
      </c>
    </row>
    <row r="614" spans="1:29">
      <c r="A614" s="13" t="s">
        <v>993</v>
      </c>
      <c r="B614" s="13" t="s">
        <v>538</v>
      </c>
      <c r="C614" s="139">
        <v>46227</v>
      </c>
      <c r="D614" s="139" t="s">
        <v>516</v>
      </c>
      <c r="E614" s="28">
        <v>0.96474081</v>
      </c>
      <c r="F614" s="13"/>
      <c r="G614" s="18">
        <v>5000000</v>
      </c>
      <c r="H614" s="18">
        <v>4823704.07</v>
      </c>
      <c r="I614" s="18">
        <v>5000000</v>
      </c>
      <c r="J614" s="18">
        <v>4823704.07</v>
      </c>
      <c r="K614" s="15">
        <v>16779603</v>
      </c>
      <c r="L614" s="13" t="s">
        <v>102</v>
      </c>
      <c r="M614" s="13" t="s">
        <v>103</v>
      </c>
      <c r="N614" s="139" t="s">
        <v>359</v>
      </c>
      <c r="O614" s="139" t="s">
        <v>359</v>
      </c>
      <c r="P614" s="28">
        <v>29</v>
      </c>
      <c r="Q614" s="13" t="s">
        <v>54</v>
      </c>
      <c r="R614" s="13" t="s">
        <v>28</v>
      </c>
      <c r="S614" s="13"/>
      <c r="T614" s="13"/>
      <c r="U614" s="13" t="s">
        <v>1307</v>
      </c>
      <c r="V614" s="13" t="s">
        <v>1307</v>
      </c>
      <c r="W614" s="59">
        <f>+J614/$W$2</f>
        <v>1.0835683703486032E-4</v>
      </c>
    </row>
    <row r="615" spans="1:29">
      <c r="A615" s="13" t="s">
        <v>339</v>
      </c>
      <c r="B615" s="13" t="s">
        <v>538</v>
      </c>
      <c r="C615" s="139">
        <v>46227</v>
      </c>
      <c r="D615" s="139" t="s">
        <v>516</v>
      </c>
      <c r="E615" s="28">
        <v>0.96474073000000005</v>
      </c>
      <c r="F615" s="13"/>
      <c r="G615" s="18">
        <v>40000000</v>
      </c>
      <c r="H615" s="18">
        <v>38589629.32</v>
      </c>
      <c r="I615" s="18">
        <v>40000000</v>
      </c>
      <c r="J615" s="18">
        <v>38589629.32</v>
      </c>
      <c r="K615" s="15">
        <v>54026409</v>
      </c>
      <c r="L615" s="13" t="s">
        <v>102</v>
      </c>
      <c r="M615" s="13" t="s">
        <v>103</v>
      </c>
      <c r="N615" s="139" t="s">
        <v>161</v>
      </c>
      <c r="O615" s="139" t="s">
        <v>161</v>
      </c>
      <c r="P615" s="28">
        <v>29</v>
      </c>
      <c r="Q615" s="13" t="s">
        <v>54</v>
      </c>
      <c r="R615" s="13" t="s">
        <v>28</v>
      </c>
      <c r="S615" s="13"/>
      <c r="T615" s="13"/>
      <c r="U615" s="13" t="s">
        <v>1261</v>
      </c>
      <c r="V615" s="13" t="s">
        <v>1261</v>
      </c>
      <c r="W615" s="59">
        <f>+J615/$W$2</f>
        <v>8.6685462349743762E-4</v>
      </c>
      <c r="AC615" s="56"/>
    </row>
    <row r="616" spans="1:29">
      <c r="A616" s="13" t="s">
        <v>339</v>
      </c>
      <c r="B616" s="13" t="s">
        <v>538</v>
      </c>
      <c r="C616" s="139">
        <v>46227</v>
      </c>
      <c r="D616" s="139" t="s">
        <v>516</v>
      </c>
      <c r="E616" s="28">
        <v>0.96474072</v>
      </c>
      <c r="F616" s="13"/>
      <c r="G616" s="18">
        <v>12500000</v>
      </c>
      <c r="H616" s="18">
        <v>12059258.99</v>
      </c>
      <c r="I616" s="18">
        <v>12500000</v>
      </c>
      <c r="J616" s="18">
        <v>12059258.99</v>
      </c>
      <c r="K616" s="15">
        <v>4954</v>
      </c>
      <c r="L616" s="13" t="s">
        <v>102</v>
      </c>
      <c r="M616" s="13" t="s">
        <v>103</v>
      </c>
      <c r="N616" s="139" t="s">
        <v>374</v>
      </c>
      <c r="O616" s="139" t="s">
        <v>374</v>
      </c>
      <c r="P616" s="28">
        <v>29</v>
      </c>
      <c r="Q616" s="13" t="s">
        <v>54</v>
      </c>
      <c r="R616" s="13" t="s">
        <v>28</v>
      </c>
      <c r="S616" s="13"/>
      <c r="T616" s="13"/>
      <c r="U616" s="13" t="s">
        <v>1189</v>
      </c>
      <c r="V616" s="13" t="s">
        <v>1189</v>
      </c>
      <c r="W616" s="59">
        <f>+J616/$W$2</f>
        <v>2.7089206596801123E-4</v>
      </c>
    </row>
    <row r="617" spans="1:29">
      <c r="A617" s="13" t="s">
        <v>198</v>
      </c>
      <c r="B617" s="13" t="s">
        <v>538</v>
      </c>
      <c r="C617" s="139">
        <v>46227</v>
      </c>
      <c r="D617" s="139" t="s">
        <v>516</v>
      </c>
      <c r="E617" s="28">
        <v>0.97541431999999995</v>
      </c>
      <c r="F617" s="13"/>
      <c r="G617" s="18">
        <v>2500000</v>
      </c>
      <c r="H617" s="18">
        <v>2438535.79</v>
      </c>
      <c r="I617" s="18">
        <v>2500000</v>
      </c>
      <c r="J617" s="18">
        <v>2438535.79</v>
      </c>
      <c r="K617" s="15">
        <v>6126</v>
      </c>
      <c r="L617" s="13" t="s">
        <v>102</v>
      </c>
      <c r="M617" s="13" t="s">
        <v>103</v>
      </c>
      <c r="N617" s="139" t="s">
        <v>335</v>
      </c>
      <c r="O617" s="139" t="s">
        <v>335</v>
      </c>
      <c r="P617" s="28">
        <v>20</v>
      </c>
      <c r="Q617" s="13" t="s">
        <v>54</v>
      </c>
      <c r="R617" s="13" t="s">
        <v>28</v>
      </c>
      <c r="S617" s="13"/>
      <c r="T617" s="13"/>
      <c r="U617" s="13" t="s">
        <v>1742</v>
      </c>
      <c r="V617" s="13" t="s">
        <v>1742</v>
      </c>
      <c r="W617" s="59">
        <f>+J617/$W$2</f>
        <v>5.4777826617523895E-5</v>
      </c>
    </row>
    <row r="618" spans="1:29">
      <c r="A618" s="13" t="s">
        <v>1052</v>
      </c>
      <c r="B618" s="13" t="s">
        <v>538</v>
      </c>
      <c r="C618" s="139">
        <v>46227</v>
      </c>
      <c r="D618" s="139" t="s">
        <v>516</v>
      </c>
      <c r="E618" s="28">
        <v>0.96591514000000001</v>
      </c>
      <c r="F618" s="13"/>
      <c r="G618" s="18">
        <v>15000000</v>
      </c>
      <c r="H618" s="18">
        <v>14488727.060000001</v>
      </c>
      <c r="I618" s="18">
        <v>15000000</v>
      </c>
      <c r="J618" s="18">
        <v>14488727.060000001</v>
      </c>
      <c r="K618" s="15">
        <v>29131906</v>
      </c>
      <c r="L618" s="13" t="s">
        <v>102</v>
      </c>
      <c r="M618" s="13" t="s">
        <v>103</v>
      </c>
      <c r="N618" s="139" t="s">
        <v>366</v>
      </c>
      <c r="O618" s="139" t="s">
        <v>366</v>
      </c>
      <c r="P618" s="28">
        <v>28</v>
      </c>
      <c r="Q618" s="13" t="s">
        <v>54</v>
      </c>
      <c r="R618" s="13" t="s">
        <v>28</v>
      </c>
      <c r="S618" s="13"/>
      <c r="T618" s="13"/>
      <c r="U618" s="13" t="s">
        <v>1037</v>
      </c>
      <c r="V618" s="13" t="s">
        <v>1037</v>
      </c>
      <c r="W618" s="59">
        <f>+J618/$W$2</f>
        <v>3.2546620068320048E-4</v>
      </c>
    </row>
    <row r="619" spans="1:29">
      <c r="A619" s="13" t="s">
        <v>923</v>
      </c>
      <c r="B619" s="13" t="s">
        <v>538</v>
      </c>
      <c r="C619" s="139">
        <v>46230</v>
      </c>
      <c r="D619" s="139" t="s">
        <v>516</v>
      </c>
      <c r="E619" s="28">
        <v>0.95881059999999996</v>
      </c>
      <c r="F619" s="13"/>
      <c r="G619" s="18">
        <v>15000000</v>
      </c>
      <c r="H619" s="18">
        <v>14382158.949999999</v>
      </c>
      <c r="I619" s="18">
        <v>15000000</v>
      </c>
      <c r="J619" s="18">
        <v>14382158.949999999</v>
      </c>
      <c r="K619" s="15">
        <v>173</v>
      </c>
      <c r="L619" s="13" t="s">
        <v>102</v>
      </c>
      <c r="M619" s="13" t="s">
        <v>103</v>
      </c>
      <c r="N619" s="139" t="s">
        <v>378</v>
      </c>
      <c r="O619" s="139" t="s">
        <v>378</v>
      </c>
      <c r="P619" s="28">
        <v>32</v>
      </c>
      <c r="Q619" s="13" t="s">
        <v>54</v>
      </c>
      <c r="R619" s="13" t="s">
        <v>28</v>
      </c>
      <c r="S619" s="13"/>
      <c r="T619" s="13"/>
      <c r="U619" s="13" t="s">
        <v>858</v>
      </c>
      <c r="V619" s="13" t="s">
        <v>858</v>
      </c>
      <c r="W619" s="59">
        <f>+J619/$W$2</f>
        <v>3.2307231765040835E-4</v>
      </c>
    </row>
    <row r="620" spans="1:29">
      <c r="A620" s="13" t="s">
        <v>1959</v>
      </c>
      <c r="B620" s="13" t="s">
        <v>538</v>
      </c>
      <c r="C620" s="139">
        <v>46230</v>
      </c>
      <c r="D620" s="139" t="s">
        <v>516</v>
      </c>
      <c r="E620" s="28">
        <v>0.96252740999999997</v>
      </c>
      <c r="F620" s="13"/>
      <c r="G620" s="18">
        <v>100000000</v>
      </c>
      <c r="H620" s="18">
        <v>96252740.930000007</v>
      </c>
      <c r="I620" s="18">
        <v>100000000</v>
      </c>
      <c r="J620" s="18">
        <v>96252740.930000007</v>
      </c>
      <c r="K620" s="15">
        <v>90003809</v>
      </c>
      <c r="L620" s="13" t="s">
        <v>102</v>
      </c>
      <c r="M620" s="13" t="s">
        <v>103</v>
      </c>
      <c r="N620" s="139" t="s">
        <v>369</v>
      </c>
      <c r="O620" s="139" t="s">
        <v>369</v>
      </c>
      <c r="P620" s="28">
        <v>29</v>
      </c>
      <c r="Q620" s="13" t="s">
        <v>54</v>
      </c>
      <c r="R620" s="13" t="s">
        <v>28</v>
      </c>
      <c r="S620" s="13"/>
      <c r="T620" s="13"/>
      <c r="U620" s="13" t="s">
        <v>1934</v>
      </c>
      <c r="V620" s="13" t="s">
        <v>1934</v>
      </c>
      <c r="W620" s="59">
        <f>+J620/$W$2</f>
        <v>2.1621646792089879E-3</v>
      </c>
    </row>
    <row r="621" spans="1:29">
      <c r="A621" s="13" t="s">
        <v>539</v>
      </c>
      <c r="B621" s="13" t="s">
        <v>538</v>
      </c>
      <c r="C621" s="139">
        <v>46230</v>
      </c>
      <c r="D621" s="139" t="s">
        <v>516</v>
      </c>
      <c r="E621" s="28">
        <v>0.96128526000000003</v>
      </c>
      <c r="F621" s="13"/>
      <c r="G621" s="18">
        <v>10000000</v>
      </c>
      <c r="H621" s="18">
        <v>9612852.5700000003</v>
      </c>
      <c r="I621" s="18">
        <v>10000000</v>
      </c>
      <c r="J621" s="18">
        <v>9612852.5700000003</v>
      </c>
      <c r="K621" s="15">
        <v>471</v>
      </c>
      <c r="L621" s="13" t="s">
        <v>102</v>
      </c>
      <c r="M621" s="13" t="s">
        <v>103</v>
      </c>
      <c r="N621" s="139" t="s">
        <v>367</v>
      </c>
      <c r="O621" s="139" t="s">
        <v>367</v>
      </c>
      <c r="P621" s="28">
        <v>30</v>
      </c>
      <c r="Q621" s="13" t="s">
        <v>54</v>
      </c>
      <c r="R621" s="13" t="s">
        <v>28</v>
      </c>
      <c r="S621" s="13"/>
      <c r="T621" s="13"/>
      <c r="U621" s="13" t="s">
        <v>1484</v>
      </c>
      <c r="V621" s="13" t="s">
        <v>1484</v>
      </c>
      <c r="W621" s="59">
        <f>+J621/$W$2</f>
        <v>2.1593743817033704E-4</v>
      </c>
    </row>
    <row r="622" spans="1:29">
      <c r="A622" s="13" t="s">
        <v>1839</v>
      </c>
      <c r="B622" s="13" t="s">
        <v>538</v>
      </c>
      <c r="C622" s="139">
        <v>46230</v>
      </c>
      <c r="D622" s="139" t="s">
        <v>516</v>
      </c>
      <c r="E622" s="28">
        <v>0.95757820000000005</v>
      </c>
      <c r="F622" s="13"/>
      <c r="G622" s="18">
        <v>1041333.16</v>
      </c>
      <c r="H622" s="18">
        <v>997157.93</v>
      </c>
      <c r="I622" s="18">
        <v>1041333.16</v>
      </c>
      <c r="J622" s="18">
        <v>997157.93</v>
      </c>
      <c r="K622" s="15">
        <v>10887325</v>
      </c>
      <c r="L622" s="13" t="s">
        <v>102</v>
      </c>
      <c r="M622" s="13" t="s">
        <v>103</v>
      </c>
      <c r="N622" s="139" t="s">
        <v>335</v>
      </c>
      <c r="O622" s="139" t="s">
        <v>335</v>
      </c>
      <c r="P622" s="28">
        <v>33</v>
      </c>
      <c r="Q622" s="13" t="s">
        <v>54</v>
      </c>
      <c r="R622" s="13" t="s">
        <v>28</v>
      </c>
      <c r="S622" s="13"/>
      <c r="T622" s="13"/>
      <c r="U622" s="13" t="s">
        <v>1820</v>
      </c>
      <c r="V622" s="13" t="s">
        <v>1820</v>
      </c>
      <c r="W622" s="59">
        <f>+J622/$W$2</f>
        <v>2.2399566339696426E-5</v>
      </c>
      <c r="AC622" s="56"/>
    </row>
    <row r="623" spans="1:29">
      <c r="A623" s="13" t="s">
        <v>247</v>
      </c>
      <c r="B623" s="13" t="s">
        <v>538</v>
      </c>
      <c r="C623" s="139">
        <v>46230</v>
      </c>
      <c r="D623" s="139" t="s">
        <v>516</v>
      </c>
      <c r="E623" s="28">
        <v>0.94903804999999997</v>
      </c>
      <c r="F623" s="13"/>
      <c r="G623" s="18">
        <v>4100000</v>
      </c>
      <c r="H623" s="18">
        <v>3891055.99</v>
      </c>
      <c r="I623" s="18">
        <v>4100000</v>
      </c>
      <c r="J623" s="18">
        <v>3891055.99</v>
      </c>
      <c r="K623" s="15">
        <v>1024</v>
      </c>
      <c r="L623" s="13" t="s">
        <v>102</v>
      </c>
      <c r="M623" s="13" t="s">
        <v>103</v>
      </c>
      <c r="N623" s="139" t="s">
        <v>266</v>
      </c>
      <c r="O623" s="139" t="s">
        <v>266</v>
      </c>
      <c r="P623" s="28">
        <v>40</v>
      </c>
      <c r="Q623" s="13" t="s">
        <v>54</v>
      </c>
      <c r="R623" s="13" t="s">
        <v>28</v>
      </c>
      <c r="S623" s="13"/>
      <c r="T623" s="13"/>
      <c r="U623" s="13" t="s">
        <v>498</v>
      </c>
      <c r="V623" s="13" t="s">
        <v>498</v>
      </c>
      <c r="W623" s="59">
        <f>+J623/$W$2</f>
        <v>8.7406381835100237E-5</v>
      </c>
      <c r="AC623" s="56"/>
    </row>
    <row r="624" spans="1:29">
      <c r="A624" s="13" t="s">
        <v>478</v>
      </c>
      <c r="B624" s="13" t="s">
        <v>538</v>
      </c>
      <c r="C624" s="139">
        <v>46230</v>
      </c>
      <c r="D624" s="139" t="s">
        <v>516</v>
      </c>
      <c r="E624" s="28">
        <v>0.95389922999999999</v>
      </c>
      <c r="F624" s="13"/>
      <c r="G624" s="18">
        <v>1250000</v>
      </c>
      <c r="H624" s="18">
        <v>1192374.04</v>
      </c>
      <c r="I624" s="18">
        <v>1250000</v>
      </c>
      <c r="J624" s="18">
        <v>1192374.04</v>
      </c>
      <c r="K624" s="15">
        <v>2505</v>
      </c>
      <c r="L624" s="13" t="s">
        <v>102</v>
      </c>
      <c r="M624" s="13" t="s">
        <v>103</v>
      </c>
      <c r="N624" s="139" t="s">
        <v>471</v>
      </c>
      <c r="O624" s="139" t="s">
        <v>471</v>
      </c>
      <c r="P624" s="28">
        <v>36</v>
      </c>
      <c r="Q624" s="13" t="s">
        <v>54</v>
      </c>
      <c r="R624" s="13" t="s">
        <v>28</v>
      </c>
      <c r="S624" s="13"/>
      <c r="T624" s="13"/>
      <c r="U624" s="13" t="s">
        <v>1552</v>
      </c>
      <c r="V624" s="13" t="s">
        <v>1552</v>
      </c>
      <c r="W624" s="59">
        <f>+J624/$W$2</f>
        <v>2.6784785646454058E-5</v>
      </c>
    </row>
    <row r="625" spans="1:29">
      <c r="A625" s="13" t="s">
        <v>209</v>
      </c>
      <c r="B625" s="13" t="s">
        <v>538</v>
      </c>
      <c r="C625" s="139">
        <v>46230</v>
      </c>
      <c r="D625" s="139" t="s">
        <v>516</v>
      </c>
      <c r="E625" s="28">
        <v>0.96878664000000003</v>
      </c>
      <c r="F625" s="13"/>
      <c r="G625" s="18">
        <v>1068909.47</v>
      </c>
      <c r="H625" s="18">
        <v>1035545.22</v>
      </c>
      <c r="I625" s="18">
        <v>1068909.47</v>
      </c>
      <c r="J625" s="18">
        <v>1035545.22</v>
      </c>
      <c r="K625" s="15">
        <v>612119</v>
      </c>
      <c r="L625" s="13" t="s">
        <v>102</v>
      </c>
      <c r="M625" s="13" t="s">
        <v>103</v>
      </c>
      <c r="N625" s="139" t="s">
        <v>335</v>
      </c>
      <c r="O625" s="139" t="s">
        <v>335</v>
      </c>
      <c r="P625" s="28">
        <v>24</v>
      </c>
      <c r="Q625" s="13" t="s">
        <v>54</v>
      </c>
      <c r="R625" s="13" t="s">
        <v>28</v>
      </c>
      <c r="S625" s="13"/>
      <c r="T625" s="13"/>
      <c r="U625" s="13" t="s">
        <v>1763</v>
      </c>
      <c r="V625" s="13" t="s">
        <v>1763</v>
      </c>
      <c r="W625" s="59">
        <f>+J625/$W$2</f>
        <v>2.326187573230805E-5</v>
      </c>
    </row>
    <row r="626" spans="1:29">
      <c r="A626" s="13" t="s">
        <v>209</v>
      </c>
      <c r="B626" s="13" t="s">
        <v>538</v>
      </c>
      <c r="C626" s="139">
        <v>46230</v>
      </c>
      <c r="D626" s="139" t="s">
        <v>516</v>
      </c>
      <c r="E626" s="28">
        <v>0.96878664999999997</v>
      </c>
      <c r="F626" s="13"/>
      <c r="G626" s="18">
        <v>505653.95</v>
      </c>
      <c r="H626" s="18">
        <v>489870.8</v>
      </c>
      <c r="I626" s="18">
        <v>505653.95</v>
      </c>
      <c r="J626" s="18">
        <v>489870.8</v>
      </c>
      <c r="K626" s="15">
        <v>612156</v>
      </c>
      <c r="L626" s="13" t="s">
        <v>102</v>
      </c>
      <c r="M626" s="13" t="s">
        <v>103</v>
      </c>
      <c r="N626" s="139" t="s">
        <v>335</v>
      </c>
      <c r="O626" s="139" t="s">
        <v>335</v>
      </c>
      <c r="P626" s="28">
        <v>24</v>
      </c>
      <c r="Q626" s="13" t="s">
        <v>54</v>
      </c>
      <c r="R626" s="13" t="s">
        <v>28</v>
      </c>
      <c r="S626" s="13"/>
      <c r="T626" s="13"/>
      <c r="U626" s="13" t="s">
        <v>1764</v>
      </c>
      <c r="V626" s="13" t="s">
        <v>1764</v>
      </c>
      <c r="W626" s="59">
        <f>+J626/$W$2</f>
        <v>1.1004168098507885E-5</v>
      </c>
      <c r="AC626" s="56"/>
    </row>
    <row r="627" spans="1:29">
      <c r="A627" s="13" t="s">
        <v>209</v>
      </c>
      <c r="B627" s="13" t="s">
        <v>538</v>
      </c>
      <c r="C627" s="139">
        <v>46230</v>
      </c>
      <c r="D627" s="139" t="s">
        <v>516</v>
      </c>
      <c r="E627" s="28">
        <v>0.96878664999999997</v>
      </c>
      <c r="F627" s="13"/>
      <c r="G627" s="18">
        <v>8802443.9000000004</v>
      </c>
      <c r="H627" s="18">
        <v>8527690.1500000004</v>
      </c>
      <c r="I627" s="18">
        <v>8802443.9000000004</v>
      </c>
      <c r="J627" s="18">
        <v>8527690.1500000004</v>
      </c>
      <c r="K627" s="15">
        <v>612236</v>
      </c>
      <c r="L627" s="13" t="s">
        <v>102</v>
      </c>
      <c r="M627" s="13" t="s">
        <v>103</v>
      </c>
      <c r="N627" s="139" t="s">
        <v>335</v>
      </c>
      <c r="O627" s="139" t="s">
        <v>335</v>
      </c>
      <c r="P627" s="28">
        <v>24</v>
      </c>
      <c r="Q627" s="13" t="s">
        <v>54</v>
      </c>
      <c r="R627" s="13" t="s">
        <v>28</v>
      </c>
      <c r="S627" s="13"/>
      <c r="T627" s="13"/>
      <c r="U627" s="13" t="s">
        <v>1770</v>
      </c>
      <c r="V627" s="13" t="s">
        <v>1770</v>
      </c>
      <c r="W627" s="59">
        <f>+J627/$W$2</f>
        <v>1.9156099098494936E-4</v>
      </c>
    </row>
    <row r="628" spans="1:29">
      <c r="A628" s="13" t="s">
        <v>209</v>
      </c>
      <c r="B628" s="13" t="s">
        <v>538</v>
      </c>
      <c r="C628" s="139">
        <v>46230</v>
      </c>
      <c r="D628" s="139" t="s">
        <v>516</v>
      </c>
      <c r="E628" s="28">
        <v>0.96878666000000002</v>
      </c>
      <c r="F628" s="13"/>
      <c r="G628" s="18">
        <v>970094.59</v>
      </c>
      <c r="H628" s="18">
        <v>939814.7</v>
      </c>
      <c r="I628" s="18">
        <v>970094.59</v>
      </c>
      <c r="J628" s="18">
        <v>939814.7</v>
      </c>
      <c r="K628" s="15">
        <v>612136</v>
      </c>
      <c r="L628" s="13" t="s">
        <v>102</v>
      </c>
      <c r="M628" s="13" t="s">
        <v>103</v>
      </c>
      <c r="N628" s="139" t="s">
        <v>335</v>
      </c>
      <c r="O628" s="139" t="s">
        <v>335</v>
      </c>
      <c r="P628" s="28">
        <v>24</v>
      </c>
      <c r="Q628" s="13" t="s">
        <v>54</v>
      </c>
      <c r="R628" s="13" t="s">
        <v>28</v>
      </c>
      <c r="S628" s="13"/>
      <c r="T628" s="13"/>
      <c r="U628" s="13" t="s">
        <v>1771</v>
      </c>
      <c r="V628" s="13" t="s">
        <v>1771</v>
      </c>
      <c r="W628" s="59">
        <f>+J628/$W$2</f>
        <v>2.1111441915396381E-5</v>
      </c>
    </row>
    <row r="629" spans="1:29">
      <c r="A629" s="13" t="s">
        <v>209</v>
      </c>
      <c r="B629" s="13" t="s">
        <v>538</v>
      </c>
      <c r="C629" s="139">
        <v>46230</v>
      </c>
      <c r="D629" s="139" t="s">
        <v>516</v>
      </c>
      <c r="E629" s="28">
        <v>0.96878664999999997</v>
      </c>
      <c r="F629" s="13"/>
      <c r="G629" s="18">
        <v>1044096.2</v>
      </c>
      <c r="H629" s="18">
        <v>1011506.46</v>
      </c>
      <c r="I629" s="18">
        <v>1044096.2</v>
      </c>
      <c r="J629" s="18">
        <v>1011506.46</v>
      </c>
      <c r="K629" s="15">
        <v>612237</v>
      </c>
      <c r="L629" s="13" t="s">
        <v>102</v>
      </c>
      <c r="M629" s="13" t="s">
        <v>103</v>
      </c>
      <c r="N629" s="139" t="s">
        <v>335</v>
      </c>
      <c r="O629" s="139" t="s">
        <v>335</v>
      </c>
      <c r="P629" s="28">
        <v>24</v>
      </c>
      <c r="Q629" s="13" t="s">
        <v>54</v>
      </c>
      <c r="R629" s="13" t="s">
        <v>28</v>
      </c>
      <c r="S629" s="13"/>
      <c r="T629" s="13"/>
      <c r="U629" s="13" t="s">
        <v>1772</v>
      </c>
      <c r="V629" s="13" t="s">
        <v>1772</v>
      </c>
      <c r="W629" s="59">
        <f>+J629/$W$2</f>
        <v>2.2721883236491423E-5</v>
      </c>
    </row>
    <row r="630" spans="1:29">
      <c r="A630" s="13" t="s">
        <v>209</v>
      </c>
      <c r="B630" s="13" t="s">
        <v>538</v>
      </c>
      <c r="C630" s="139">
        <v>46230</v>
      </c>
      <c r="D630" s="139" t="s">
        <v>516</v>
      </c>
      <c r="E630" s="28">
        <v>0.96878664999999997</v>
      </c>
      <c r="F630" s="13"/>
      <c r="G630" s="18">
        <v>3745855.84</v>
      </c>
      <c r="H630" s="18">
        <v>3628935.13</v>
      </c>
      <c r="I630" s="18">
        <v>3745855.84</v>
      </c>
      <c r="J630" s="18">
        <v>3628935.13</v>
      </c>
      <c r="K630" s="15">
        <v>612155</v>
      </c>
      <c r="L630" s="13" t="s">
        <v>102</v>
      </c>
      <c r="M630" s="13" t="s">
        <v>103</v>
      </c>
      <c r="N630" s="139" t="s">
        <v>335</v>
      </c>
      <c r="O630" s="139" t="s">
        <v>335</v>
      </c>
      <c r="P630" s="28">
        <v>24</v>
      </c>
      <c r="Q630" s="13" t="s">
        <v>54</v>
      </c>
      <c r="R630" s="13" t="s">
        <v>28</v>
      </c>
      <c r="S630" s="13"/>
      <c r="T630" s="13"/>
      <c r="U630" s="13" t="s">
        <v>1773</v>
      </c>
      <c r="V630" s="13" t="s">
        <v>1773</v>
      </c>
      <c r="W630" s="59">
        <f>+J630/$W$2</f>
        <v>8.1518253770383059E-5</v>
      </c>
    </row>
    <row r="631" spans="1:29">
      <c r="A631" s="13" t="s">
        <v>209</v>
      </c>
      <c r="B631" s="13" t="s">
        <v>538</v>
      </c>
      <c r="C631" s="139">
        <v>46230</v>
      </c>
      <c r="D631" s="139" t="s">
        <v>516</v>
      </c>
      <c r="E631" s="28">
        <v>0.96878673999999998</v>
      </c>
      <c r="F631" s="13"/>
      <c r="G631" s="18">
        <v>128742.88</v>
      </c>
      <c r="H631" s="18">
        <v>124724.4</v>
      </c>
      <c r="I631" s="18">
        <v>128742.88</v>
      </c>
      <c r="J631" s="18">
        <v>124724.4</v>
      </c>
      <c r="K631" s="15">
        <v>612126</v>
      </c>
      <c r="L631" s="13" t="s">
        <v>102</v>
      </c>
      <c r="M631" s="13" t="s">
        <v>103</v>
      </c>
      <c r="N631" s="139" t="s">
        <v>335</v>
      </c>
      <c r="O631" s="139" t="s">
        <v>335</v>
      </c>
      <c r="P631" s="28">
        <v>24</v>
      </c>
      <c r="Q631" s="13" t="s">
        <v>54</v>
      </c>
      <c r="R631" s="13" t="s">
        <v>28</v>
      </c>
      <c r="S631" s="13"/>
      <c r="T631" s="13"/>
      <c r="U631" s="13" t="s">
        <v>1774</v>
      </c>
      <c r="V631" s="13" t="s">
        <v>1774</v>
      </c>
      <c r="W631" s="59">
        <f>+J631/$W$2</f>
        <v>2.8017351995373819E-6</v>
      </c>
    </row>
    <row r="632" spans="1:29">
      <c r="A632" s="13" t="s">
        <v>209</v>
      </c>
      <c r="B632" s="13" t="s">
        <v>538</v>
      </c>
      <c r="C632" s="139">
        <v>46230</v>
      </c>
      <c r="D632" s="139" t="s">
        <v>516</v>
      </c>
      <c r="E632" s="28">
        <v>0.96878677000000002</v>
      </c>
      <c r="F632" s="13"/>
      <c r="G632" s="18">
        <v>84170.31</v>
      </c>
      <c r="H632" s="18">
        <v>81543.08</v>
      </c>
      <c r="I632" s="18">
        <v>84170.31</v>
      </c>
      <c r="J632" s="18">
        <v>81543.08</v>
      </c>
      <c r="K632" s="15">
        <v>612115</v>
      </c>
      <c r="L632" s="13" t="s">
        <v>102</v>
      </c>
      <c r="M632" s="13" t="s">
        <v>103</v>
      </c>
      <c r="N632" s="139" t="s">
        <v>335</v>
      </c>
      <c r="O632" s="139" t="s">
        <v>335</v>
      </c>
      <c r="P632" s="28">
        <v>24</v>
      </c>
      <c r="Q632" s="13" t="s">
        <v>54</v>
      </c>
      <c r="R632" s="13" t="s">
        <v>28</v>
      </c>
      <c r="S632" s="13"/>
      <c r="T632" s="13"/>
      <c r="U632" s="13" t="s">
        <v>1775</v>
      </c>
      <c r="V632" s="13" t="s">
        <v>1775</v>
      </c>
      <c r="W632" s="59">
        <f>+J632/$W$2</f>
        <v>1.831735550659636E-6</v>
      </c>
    </row>
    <row r="633" spans="1:29">
      <c r="A633" s="13" t="s">
        <v>209</v>
      </c>
      <c r="B633" s="13" t="s">
        <v>538</v>
      </c>
      <c r="C633" s="139">
        <v>46230</v>
      </c>
      <c r="D633" s="139" t="s">
        <v>516</v>
      </c>
      <c r="E633" s="28">
        <v>0.96878664999999997</v>
      </c>
      <c r="F633" s="13"/>
      <c r="G633" s="18">
        <v>1044096.2</v>
      </c>
      <c r="H633" s="18">
        <v>1011506.46</v>
      </c>
      <c r="I633" s="18">
        <v>1044096.2</v>
      </c>
      <c r="J633" s="18">
        <v>1011506.46</v>
      </c>
      <c r="K633" s="15">
        <v>612241</v>
      </c>
      <c r="L633" s="13" t="s">
        <v>102</v>
      </c>
      <c r="M633" s="13" t="s">
        <v>103</v>
      </c>
      <c r="N633" s="139" t="s">
        <v>335</v>
      </c>
      <c r="O633" s="139" t="s">
        <v>335</v>
      </c>
      <c r="P633" s="28">
        <v>24</v>
      </c>
      <c r="Q633" s="13" t="s">
        <v>54</v>
      </c>
      <c r="R633" s="13" t="s">
        <v>28</v>
      </c>
      <c r="S633" s="13"/>
      <c r="T633" s="13"/>
      <c r="U633" s="13" t="s">
        <v>1776</v>
      </c>
      <c r="V633" s="13" t="s">
        <v>1776</v>
      </c>
      <c r="W633" s="59">
        <f>+J633/$W$2</f>
        <v>2.2721883236491423E-5</v>
      </c>
    </row>
    <row r="634" spans="1:29">
      <c r="A634" s="13" t="s">
        <v>992</v>
      </c>
      <c r="B634" s="13" t="s">
        <v>538</v>
      </c>
      <c r="C634" s="139">
        <v>46230</v>
      </c>
      <c r="D634" s="139" t="s">
        <v>516</v>
      </c>
      <c r="E634" s="28">
        <v>0.95512235999999995</v>
      </c>
      <c r="F634" s="13"/>
      <c r="G634" s="18">
        <v>5450000</v>
      </c>
      <c r="H634" s="18">
        <v>5205416.8499999996</v>
      </c>
      <c r="I634" s="18">
        <v>5450000</v>
      </c>
      <c r="J634" s="18">
        <v>5205416.8499999996</v>
      </c>
      <c r="K634" s="15">
        <v>6899</v>
      </c>
      <c r="L634" s="13" t="s">
        <v>102</v>
      </c>
      <c r="M634" s="13" t="s">
        <v>103</v>
      </c>
      <c r="N634" s="139" t="s">
        <v>428</v>
      </c>
      <c r="O634" s="139" t="s">
        <v>428</v>
      </c>
      <c r="P634" s="28">
        <v>35</v>
      </c>
      <c r="Q634" s="13" t="s">
        <v>54</v>
      </c>
      <c r="R634" s="13" t="s">
        <v>28</v>
      </c>
      <c r="S634" s="13"/>
      <c r="T634" s="13"/>
      <c r="U634" s="13" t="s">
        <v>984</v>
      </c>
      <c r="V634" s="13" t="s">
        <v>984</v>
      </c>
      <c r="W634" s="59">
        <f>+J634/$W$2</f>
        <v>1.1693140730209966E-4</v>
      </c>
    </row>
    <row r="635" spans="1:29">
      <c r="A635" s="13" t="s">
        <v>339</v>
      </c>
      <c r="B635" s="13" t="s">
        <v>538</v>
      </c>
      <c r="C635" s="139">
        <v>46230</v>
      </c>
      <c r="D635" s="139" t="s">
        <v>516</v>
      </c>
      <c r="E635" s="28">
        <v>0.96439664999999997</v>
      </c>
      <c r="F635" s="13"/>
      <c r="G635" s="18">
        <v>150000000</v>
      </c>
      <c r="H635" s="18">
        <v>144659496.97999999</v>
      </c>
      <c r="I635" s="18">
        <v>150000000</v>
      </c>
      <c r="J635" s="18">
        <v>144659496.97999999</v>
      </c>
      <c r="K635" s="15">
        <v>51</v>
      </c>
      <c r="L635" s="13" t="s">
        <v>102</v>
      </c>
      <c r="M635" s="13" t="s">
        <v>103</v>
      </c>
      <c r="N635" s="139" t="s">
        <v>366</v>
      </c>
      <c r="O635" s="139" t="s">
        <v>366</v>
      </c>
      <c r="P635" s="28">
        <v>27.5</v>
      </c>
      <c r="Q635" s="13" t="s">
        <v>54</v>
      </c>
      <c r="R635" s="13" t="s">
        <v>28</v>
      </c>
      <c r="S635" s="13"/>
      <c r="T635" s="13"/>
      <c r="U635" s="13" t="s">
        <v>1040</v>
      </c>
      <c r="V635" s="13" t="s">
        <v>1040</v>
      </c>
      <c r="W635" s="59">
        <f>+J635/$W$2</f>
        <v>3.2495454348646902E-3</v>
      </c>
    </row>
    <row r="636" spans="1:29">
      <c r="A636" s="13" t="s">
        <v>357</v>
      </c>
      <c r="B636" s="13" t="s">
        <v>538</v>
      </c>
      <c r="C636" s="139">
        <v>46230</v>
      </c>
      <c r="D636" s="139" t="s">
        <v>516</v>
      </c>
      <c r="E636" s="28">
        <v>0.95389930999999994</v>
      </c>
      <c r="F636" s="13"/>
      <c r="G636" s="18">
        <v>3000000</v>
      </c>
      <c r="H636" s="18">
        <v>2861697.94</v>
      </c>
      <c r="I636" s="18">
        <v>3000000</v>
      </c>
      <c r="J636" s="18">
        <v>2861697.94</v>
      </c>
      <c r="K636" s="15">
        <v>40743003</v>
      </c>
      <c r="L636" s="13" t="s">
        <v>102</v>
      </c>
      <c r="M636" s="13" t="s">
        <v>103</v>
      </c>
      <c r="N636" s="139" t="s">
        <v>382</v>
      </c>
      <c r="O636" s="139" t="s">
        <v>382</v>
      </c>
      <c r="P636" s="28">
        <v>36</v>
      </c>
      <c r="Q636" s="13" t="s">
        <v>54</v>
      </c>
      <c r="R636" s="13" t="s">
        <v>28</v>
      </c>
      <c r="S636" s="13"/>
      <c r="T636" s="13"/>
      <c r="U636" s="13" t="s">
        <v>1613</v>
      </c>
      <c r="V636" s="13" t="s">
        <v>1613</v>
      </c>
      <c r="W636" s="59">
        <f>+J636/$W$2</f>
        <v>6.4283491032561516E-5</v>
      </c>
    </row>
    <row r="637" spans="1:29">
      <c r="A637" s="13" t="s">
        <v>993</v>
      </c>
      <c r="B637" s="13" t="s">
        <v>538</v>
      </c>
      <c r="C637" s="139">
        <v>46230</v>
      </c>
      <c r="D637" s="139" t="s">
        <v>516</v>
      </c>
      <c r="E637" s="28">
        <v>0.96252738000000004</v>
      </c>
      <c r="F637" s="13"/>
      <c r="G637" s="18">
        <v>5000000</v>
      </c>
      <c r="H637" s="18">
        <v>4812636.9000000004</v>
      </c>
      <c r="I637" s="18">
        <v>5000000</v>
      </c>
      <c r="J637" s="18">
        <v>4812636.9000000004</v>
      </c>
      <c r="K637" s="15">
        <v>16779576</v>
      </c>
      <c r="L637" s="13" t="s">
        <v>102</v>
      </c>
      <c r="M637" s="13" t="s">
        <v>103</v>
      </c>
      <c r="N637" s="139" t="s">
        <v>428</v>
      </c>
      <c r="O637" s="139" t="s">
        <v>428</v>
      </c>
      <c r="P637" s="28">
        <v>29</v>
      </c>
      <c r="Q637" s="13" t="s">
        <v>54</v>
      </c>
      <c r="R637" s="13" t="s">
        <v>28</v>
      </c>
      <c r="S637" s="13"/>
      <c r="T637" s="13"/>
      <c r="U637" s="13" t="s">
        <v>928</v>
      </c>
      <c r="V637" s="13" t="s">
        <v>928</v>
      </c>
      <c r="W637" s="59">
        <f>+J637/$W$2</f>
        <v>1.0810823066955999E-4</v>
      </c>
    </row>
    <row r="638" spans="1:29">
      <c r="A638" s="13" t="s">
        <v>2011</v>
      </c>
      <c r="B638" s="13" t="s">
        <v>538</v>
      </c>
      <c r="C638" s="139">
        <v>46231</v>
      </c>
      <c r="D638" s="139" t="s">
        <v>516</v>
      </c>
      <c r="E638" s="28">
        <v>0.95800529999999995</v>
      </c>
      <c r="F638" s="13"/>
      <c r="G638" s="18">
        <v>1062257.1599999999</v>
      </c>
      <c r="H638" s="18">
        <v>1017647.99</v>
      </c>
      <c r="I638" s="18">
        <v>1062257.1599999999</v>
      </c>
      <c r="J638" s="18">
        <v>1017647.99</v>
      </c>
      <c r="K638" s="15">
        <v>3467336</v>
      </c>
      <c r="L638" s="13" t="s">
        <v>102</v>
      </c>
      <c r="M638" s="13" t="s">
        <v>103</v>
      </c>
      <c r="N638" s="139" t="s">
        <v>394</v>
      </c>
      <c r="O638" s="139" t="s">
        <v>394</v>
      </c>
      <c r="P638" s="28">
        <v>32</v>
      </c>
      <c r="Q638" s="13" t="s">
        <v>54</v>
      </c>
      <c r="R638" s="13" t="s">
        <v>28</v>
      </c>
      <c r="S638" s="13"/>
      <c r="T638" s="13"/>
      <c r="U638" s="13" t="s">
        <v>2013</v>
      </c>
      <c r="V638" s="13" t="s">
        <v>2013</v>
      </c>
      <c r="W638" s="59">
        <f>+J638/$W$2</f>
        <v>2.2859842936277629E-5</v>
      </c>
    </row>
    <row r="639" spans="1:29">
      <c r="A639" s="13" t="s">
        <v>194</v>
      </c>
      <c r="B639" s="13" t="s">
        <v>538</v>
      </c>
      <c r="C639" s="139">
        <v>46231</v>
      </c>
      <c r="D639" s="139" t="s">
        <v>516</v>
      </c>
      <c r="E639" s="28">
        <v>0.94805202</v>
      </c>
      <c r="F639" s="13"/>
      <c r="G639" s="18">
        <v>128000000</v>
      </c>
      <c r="H639" s="18">
        <v>121350658.18000001</v>
      </c>
      <c r="I639" s="18">
        <v>128000000</v>
      </c>
      <c r="J639" s="18">
        <v>121350658.18000001</v>
      </c>
      <c r="K639" s="15">
        <v>70383675</v>
      </c>
      <c r="L639" s="13" t="s">
        <v>102</v>
      </c>
      <c r="M639" s="13" t="s">
        <v>103</v>
      </c>
      <c r="N639" s="139" t="s">
        <v>394</v>
      </c>
      <c r="O639" s="139" t="s">
        <v>394</v>
      </c>
      <c r="P639" s="28">
        <v>40</v>
      </c>
      <c r="Q639" s="13" t="s">
        <v>54</v>
      </c>
      <c r="R639" s="13" t="s">
        <v>28</v>
      </c>
      <c r="S639" s="13"/>
      <c r="T639" s="13"/>
      <c r="U639" s="13" t="s">
        <v>2025</v>
      </c>
      <c r="V639" s="13" t="s">
        <v>2025</v>
      </c>
      <c r="W639" s="59">
        <f>+J639/$W$2</f>
        <v>2.7259494574432505E-3</v>
      </c>
    </row>
    <row r="640" spans="1:29">
      <c r="A640" s="13" t="s">
        <v>1959</v>
      </c>
      <c r="B640" s="13" t="s">
        <v>538</v>
      </c>
      <c r="C640" s="139">
        <v>46231</v>
      </c>
      <c r="D640" s="139" t="s">
        <v>516</v>
      </c>
      <c r="E640" s="28">
        <v>0.96179205999999995</v>
      </c>
      <c r="F640" s="13"/>
      <c r="G640" s="18">
        <v>100000000</v>
      </c>
      <c r="H640" s="18">
        <v>96179205.819999993</v>
      </c>
      <c r="I640" s="18">
        <v>100000000</v>
      </c>
      <c r="J640" s="18">
        <v>96179205.819999993</v>
      </c>
      <c r="K640" s="15">
        <v>90003810</v>
      </c>
      <c r="L640" s="13" t="s">
        <v>102</v>
      </c>
      <c r="M640" s="13" t="s">
        <v>103</v>
      </c>
      <c r="N640" s="139" t="s">
        <v>369</v>
      </c>
      <c r="O640" s="139" t="s">
        <v>369</v>
      </c>
      <c r="P640" s="28">
        <v>29</v>
      </c>
      <c r="Q640" s="13" t="s">
        <v>54</v>
      </c>
      <c r="R640" s="13" t="s">
        <v>28</v>
      </c>
      <c r="S640" s="13"/>
      <c r="T640" s="13"/>
      <c r="U640" s="13" t="s">
        <v>1935</v>
      </c>
      <c r="V640" s="13" t="s">
        <v>1935</v>
      </c>
      <c r="W640" s="59">
        <f>+J640/$W$2</f>
        <v>2.1605128299630595E-3</v>
      </c>
    </row>
    <row r="641" spans="1:29">
      <c r="A641" s="13" t="s">
        <v>1828</v>
      </c>
      <c r="B641" s="13" t="s">
        <v>538</v>
      </c>
      <c r="C641" s="139">
        <v>46231</v>
      </c>
      <c r="D641" s="139" t="s">
        <v>516</v>
      </c>
      <c r="E641" s="28">
        <v>0.95674981000000003</v>
      </c>
      <c r="F641" s="13"/>
      <c r="G641" s="18">
        <v>3000000</v>
      </c>
      <c r="H641" s="18">
        <v>2870249.44</v>
      </c>
      <c r="I641" s="18">
        <v>3000000</v>
      </c>
      <c r="J641" s="18">
        <v>2870249.44</v>
      </c>
      <c r="K641" s="15">
        <v>90015792</v>
      </c>
      <c r="L641" s="13" t="s">
        <v>102</v>
      </c>
      <c r="M641" s="13" t="s">
        <v>103</v>
      </c>
      <c r="N641" s="139" t="s">
        <v>335</v>
      </c>
      <c r="O641" s="139" t="s">
        <v>335</v>
      </c>
      <c r="P641" s="28">
        <v>33</v>
      </c>
      <c r="Q641" s="13" t="s">
        <v>54</v>
      </c>
      <c r="R641" s="13" t="s">
        <v>28</v>
      </c>
      <c r="S641" s="13"/>
      <c r="T641" s="13"/>
      <c r="U641" s="13" t="s">
        <v>1793</v>
      </c>
      <c r="V641" s="13" t="s">
        <v>1793</v>
      </c>
      <c r="W641" s="59">
        <f>+J641/$W$2</f>
        <v>6.4475586873943345E-5</v>
      </c>
    </row>
    <row r="642" spans="1:29">
      <c r="A642" s="13" t="s">
        <v>916</v>
      </c>
      <c r="B642" s="13" t="s">
        <v>538</v>
      </c>
      <c r="C642" s="139">
        <v>46231</v>
      </c>
      <c r="D642" s="139" t="s">
        <v>516</v>
      </c>
      <c r="E642" s="28">
        <v>0.95674985000000001</v>
      </c>
      <c r="F642" s="13"/>
      <c r="G642" s="18">
        <v>10000000</v>
      </c>
      <c r="H642" s="18">
        <v>9567498.5</v>
      </c>
      <c r="I642" s="18">
        <v>10000000</v>
      </c>
      <c r="J642" s="18">
        <v>9567498.5</v>
      </c>
      <c r="K642" s="15">
        <v>13633525</v>
      </c>
      <c r="L642" s="13" t="s">
        <v>102</v>
      </c>
      <c r="M642" s="13" t="s">
        <v>103</v>
      </c>
      <c r="N642" s="139" t="s">
        <v>163</v>
      </c>
      <c r="O642" s="139" t="s">
        <v>163</v>
      </c>
      <c r="P642" s="28">
        <v>33</v>
      </c>
      <c r="Q642" s="13" t="s">
        <v>54</v>
      </c>
      <c r="R642" s="13" t="s">
        <v>28</v>
      </c>
      <c r="S642" s="13"/>
      <c r="T642" s="13"/>
      <c r="U642" s="13" t="s">
        <v>1584</v>
      </c>
      <c r="V642" s="13" t="s">
        <v>1584</v>
      </c>
      <c r="W642" s="59">
        <f>+J642/$W$2</f>
        <v>2.1491863114972773E-4</v>
      </c>
    </row>
    <row r="643" spans="1:29">
      <c r="A643" s="13" t="s">
        <v>1163</v>
      </c>
      <c r="B643" s="13" t="s">
        <v>538</v>
      </c>
      <c r="C643" s="139">
        <v>46231</v>
      </c>
      <c r="D643" s="139" t="s">
        <v>516</v>
      </c>
      <c r="E643" s="28">
        <v>0.95424836999999996</v>
      </c>
      <c r="F643" s="13"/>
      <c r="G643" s="18">
        <v>75000000</v>
      </c>
      <c r="H643" s="18">
        <v>71568627.739999995</v>
      </c>
      <c r="I643" s="18">
        <v>75000000</v>
      </c>
      <c r="J643" s="18">
        <v>71568627.739999995</v>
      </c>
      <c r="K643" s="15">
        <v>95275288</v>
      </c>
      <c r="L643" s="13" t="s">
        <v>102</v>
      </c>
      <c r="M643" s="13" t="s">
        <v>103</v>
      </c>
      <c r="N643" s="139" t="s">
        <v>514</v>
      </c>
      <c r="O643" s="139" t="s">
        <v>514</v>
      </c>
      <c r="P643" s="28">
        <v>35</v>
      </c>
      <c r="Q643" s="13" t="s">
        <v>54</v>
      </c>
      <c r="R643" s="13" t="s">
        <v>28</v>
      </c>
      <c r="S643" s="13"/>
      <c r="T643" s="13"/>
      <c r="U643" s="13" t="s">
        <v>1711</v>
      </c>
      <c r="V643" s="13" t="s">
        <v>1711</v>
      </c>
      <c r="W643" s="59">
        <f>+J643/$W$2</f>
        <v>1.6076753507873799E-3</v>
      </c>
    </row>
    <row r="644" spans="1:29">
      <c r="A644" s="13" t="s">
        <v>539</v>
      </c>
      <c r="B644" s="13" t="s">
        <v>538</v>
      </c>
      <c r="C644" s="139">
        <v>46231</v>
      </c>
      <c r="D644" s="139" t="s">
        <v>516</v>
      </c>
      <c r="E644" s="28">
        <v>0.96052647999999996</v>
      </c>
      <c r="F644" s="13"/>
      <c r="G644" s="18">
        <v>10000000</v>
      </c>
      <c r="H644" s="18">
        <v>9605264.7899999991</v>
      </c>
      <c r="I644" s="18">
        <v>10000000</v>
      </c>
      <c r="J644" s="18">
        <v>9605264.7899999991</v>
      </c>
      <c r="K644" s="15">
        <v>573</v>
      </c>
      <c r="L644" s="13" t="s">
        <v>102</v>
      </c>
      <c r="M644" s="13" t="s">
        <v>103</v>
      </c>
      <c r="N644" s="139" t="s">
        <v>175</v>
      </c>
      <c r="O644" s="139" t="s">
        <v>175</v>
      </c>
      <c r="P644" s="28">
        <v>30</v>
      </c>
      <c r="Q644" s="13" t="s">
        <v>54</v>
      </c>
      <c r="R644" s="13" t="s">
        <v>28</v>
      </c>
      <c r="S644" s="13"/>
      <c r="T644" s="13"/>
      <c r="U644" s="13" t="s">
        <v>1882</v>
      </c>
      <c r="V644" s="13" t="s">
        <v>1882</v>
      </c>
      <c r="W644" s="59">
        <f>+J644/$W$2</f>
        <v>2.1576699076539984E-4</v>
      </c>
    </row>
    <row r="645" spans="1:29">
      <c r="A645" s="13" t="s">
        <v>132</v>
      </c>
      <c r="B645" s="13" t="s">
        <v>538</v>
      </c>
      <c r="C645" s="139">
        <v>46231</v>
      </c>
      <c r="D645" s="139" t="s">
        <v>516</v>
      </c>
      <c r="E645" s="28">
        <v>0.95052084000000003</v>
      </c>
      <c r="F645" s="13"/>
      <c r="G645" s="18">
        <v>20000000</v>
      </c>
      <c r="H645" s="18">
        <v>19010416.739999998</v>
      </c>
      <c r="I645" s="18">
        <v>20000000</v>
      </c>
      <c r="J645" s="18">
        <v>19010416.739999998</v>
      </c>
      <c r="K645" s="15">
        <v>65800773</v>
      </c>
      <c r="L645" s="13" t="s">
        <v>102</v>
      </c>
      <c r="M645" s="13" t="s">
        <v>103</v>
      </c>
      <c r="N645" s="139" t="s">
        <v>246</v>
      </c>
      <c r="O645" s="139" t="s">
        <v>246</v>
      </c>
      <c r="P645" s="28">
        <v>38</v>
      </c>
      <c r="Q645" s="13" t="s">
        <v>54</v>
      </c>
      <c r="R645" s="13" t="s">
        <v>28</v>
      </c>
      <c r="S645" s="13"/>
      <c r="T645" s="13"/>
      <c r="U645" s="13" t="s">
        <v>564</v>
      </c>
      <c r="V645" s="13" t="s">
        <v>564</v>
      </c>
      <c r="W645" s="59">
        <f>+J645/$W$2</f>
        <v>4.2703876497567983E-4</v>
      </c>
    </row>
    <row r="646" spans="1:29">
      <c r="A646" s="13" t="s">
        <v>247</v>
      </c>
      <c r="B646" s="13" t="s">
        <v>538</v>
      </c>
      <c r="C646" s="139">
        <v>46231</v>
      </c>
      <c r="D646" s="139" t="s">
        <v>516</v>
      </c>
      <c r="E646" s="28">
        <v>0.94805198999999996</v>
      </c>
      <c r="F646" s="13"/>
      <c r="G646" s="18">
        <v>4100000</v>
      </c>
      <c r="H646" s="18">
        <v>3887013.14</v>
      </c>
      <c r="I646" s="18">
        <v>4100000</v>
      </c>
      <c r="J646" s="18">
        <v>3887013.14</v>
      </c>
      <c r="K646" s="15">
        <v>1025</v>
      </c>
      <c r="L646" s="13" t="s">
        <v>102</v>
      </c>
      <c r="M646" s="13" t="s">
        <v>103</v>
      </c>
      <c r="N646" s="139" t="s">
        <v>266</v>
      </c>
      <c r="O646" s="139" t="s">
        <v>266</v>
      </c>
      <c r="P646" s="28">
        <v>40</v>
      </c>
      <c r="Q646" s="13" t="s">
        <v>54</v>
      </c>
      <c r="R646" s="13" t="s">
        <v>28</v>
      </c>
      <c r="S646" s="13"/>
      <c r="T646" s="13"/>
      <c r="U646" s="13" t="s">
        <v>504</v>
      </c>
      <c r="V646" s="13" t="s">
        <v>504</v>
      </c>
      <c r="W646" s="59">
        <f>+J646/$W$2</f>
        <v>8.7315565642346858E-5</v>
      </c>
    </row>
    <row r="647" spans="1:29">
      <c r="A647" s="13" t="s">
        <v>148</v>
      </c>
      <c r="B647" s="13" t="s">
        <v>538</v>
      </c>
      <c r="C647" s="139">
        <v>46231</v>
      </c>
      <c r="D647" s="139" t="s">
        <v>516</v>
      </c>
      <c r="E647" s="28">
        <v>0.94805196000000003</v>
      </c>
      <c r="F647" s="13"/>
      <c r="G647" s="18">
        <v>20000000</v>
      </c>
      <c r="H647" s="18">
        <v>18961039.23</v>
      </c>
      <c r="I647" s="18">
        <v>20000000</v>
      </c>
      <c r="J647" s="18">
        <v>18961039.23</v>
      </c>
      <c r="K647" s="15">
        <v>4121</v>
      </c>
      <c r="L647" s="13" t="s">
        <v>102</v>
      </c>
      <c r="M647" s="13" t="s">
        <v>103</v>
      </c>
      <c r="N647" s="139" t="s">
        <v>161</v>
      </c>
      <c r="O647" s="139" t="s">
        <v>161</v>
      </c>
      <c r="P647" s="28">
        <v>40</v>
      </c>
      <c r="Q647" s="13" t="s">
        <v>54</v>
      </c>
      <c r="R647" s="13" t="s">
        <v>28</v>
      </c>
      <c r="S647" s="13"/>
      <c r="T647" s="13"/>
      <c r="U647" s="13" t="s">
        <v>1279</v>
      </c>
      <c r="V647" s="13" t="s">
        <v>1279</v>
      </c>
      <c r="W647" s="59">
        <f>+J647/$W$2</f>
        <v>4.2592957777708434E-4</v>
      </c>
    </row>
    <row r="648" spans="1:29">
      <c r="A648" s="13" t="s">
        <v>325</v>
      </c>
      <c r="B648" s="13" t="s">
        <v>538</v>
      </c>
      <c r="C648" s="139">
        <v>46231</v>
      </c>
      <c r="D648" s="139" t="s">
        <v>516</v>
      </c>
      <c r="E648" s="28">
        <v>0.95674972000000003</v>
      </c>
      <c r="F648" s="13"/>
      <c r="G648" s="18">
        <v>50000000</v>
      </c>
      <c r="H648" s="18">
        <v>47837486.130000003</v>
      </c>
      <c r="I648" s="18">
        <v>50000000</v>
      </c>
      <c r="J648" s="18">
        <v>47837486.130000003</v>
      </c>
      <c r="K648" s="15">
        <v>29007568</v>
      </c>
      <c r="L648" s="13" t="s">
        <v>102</v>
      </c>
      <c r="M648" s="13" t="s">
        <v>103</v>
      </c>
      <c r="N648" s="139" t="s">
        <v>155</v>
      </c>
      <c r="O648" s="139" t="s">
        <v>155</v>
      </c>
      <c r="P648" s="28">
        <v>33</v>
      </c>
      <c r="Q648" s="13" t="s">
        <v>54</v>
      </c>
      <c r="R648" s="13" t="s">
        <v>28</v>
      </c>
      <c r="S648" s="13"/>
      <c r="T648" s="13"/>
      <c r="U648" s="13" t="s">
        <v>633</v>
      </c>
      <c r="V648" s="13" t="s">
        <v>633</v>
      </c>
      <c r="W648" s="59">
        <f>+J648/$W$2</f>
        <v>1.074593012656724E-3</v>
      </c>
    </row>
    <row r="649" spans="1:29">
      <c r="A649" s="13" t="s">
        <v>1840</v>
      </c>
      <c r="B649" s="13" t="s">
        <v>538</v>
      </c>
      <c r="C649" s="139">
        <v>46231</v>
      </c>
      <c r="D649" s="139" t="s">
        <v>516</v>
      </c>
      <c r="E649" s="28">
        <v>0.95674981999999997</v>
      </c>
      <c r="F649" s="13"/>
      <c r="G649" s="18">
        <v>1215528.29</v>
      </c>
      <c r="H649" s="18">
        <v>1162956.47</v>
      </c>
      <c r="I649" s="18">
        <v>1215528.29</v>
      </c>
      <c r="J649" s="18">
        <v>1162956.47</v>
      </c>
      <c r="K649" s="15">
        <v>2418</v>
      </c>
      <c r="L649" s="13" t="s">
        <v>102</v>
      </c>
      <c r="M649" s="13" t="s">
        <v>103</v>
      </c>
      <c r="N649" s="139" t="s">
        <v>335</v>
      </c>
      <c r="O649" s="139" t="s">
        <v>335</v>
      </c>
      <c r="P649" s="28">
        <v>33</v>
      </c>
      <c r="Q649" s="13" t="s">
        <v>54</v>
      </c>
      <c r="R649" s="13" t="s">
        <v>28</v>
      </c>
      <c r="S649" s="13"/>
      <c r="T649" s="13"/>
      <c r="U649" s="13" t="s">
        <v>1787</v>
      </c>
      <c r="V649" s="13" t="s">
        <v>1787</v>
      </c>
      <c r="W649" s="59">
        <f>+J649/$W$2</f>
        <v>2.6123966742102902E-5</v>
      </c>
      <c r="AC649" s="56"/>
    </row>
    <row r="650" spans="1:29">
      <c r="A650" s="13" t="s">
        <v>339</v>
      </c>
      <c r="B650" s="13" t="s">
        <v>538</v>
      </c>
      <c r="C650" s="139">
        <v>46231</v>
      </c>
      <c r="D650" s="139" t="s">
        <v>516</v>
      </c>
      <c r="E650" s="28">
        <v>0.96369638999999996</v>
      </c>
      <c r="F650" s="13"/>
      <c r="G650" s="18">
        <v>150000000</v>
      </c>
      <c r="H650" s="18">
        <v>144554458.31</v>
      </c>
      <c r="I650" s="18">
        <v>150000000</v>
      </c>
      <c r="J650" s="18">
        <v>144554458.31</v>
      </c>
      <c r="K650" s="15">
        <v>1762</v>
      </c>
      <c r="L650" s="13" t="s">
        <v>102</v>
      </c>
      <c r="M650" s="13" t="s">
        <v>103</v>
      </c>
      <c r="N650" s="139" t="s">
        <v>366</v>
      </c>
      <c r="O650" s="139" t="s">
        <v>366</v>
      </c>
      <c r="P650" s="28">
        <v>27.5</v>
      </c>
      <c r="Q650" s="13" t="s">
        <v>54</v>
      </c>
      <c r="R650" s="13" t="s">
        <v>28</v>
      </c>
      <c r="S650" s="13"/>
      <c r="T650" s="13"/>
      <c r="U650" s="13" t="s">
        <v>1041</v>
      </c>
      <c r="V650" s="13" t="s">
        <v>1041</v>
      </c>
      <c r="W650" s="59">
        <f>+J650/$W$2</f>
        <v>3.2471859082680377E-3</v>
      </c>
    </row>
    <row r="651" spans="1:29">
      <c r="A651" s="13" t="s">
        <v>639</v>
      </c>
      <c r="B651" s="13" t="s">
        <v>538</v>
      </c>
      <c r="C651" s="139">
        <v>46231</v>
      </c>
      <c r="D651" s="139" t="s">
        <v>516</v>
      </c>
      <c r="E651" s="28">
        <v>0.96179188000000004</v>
      </c>
      <c r="F651" s="13"/>
      <c r="G651" s="18">
        <v>12500000</v>
      </c>
      <c r="H651" s="18">
        <v>12022398.449999999</v>
      </c>
      <c r="I651" s="18">
        <v>12500000</v>
      </c>
      <c r="J651" s="18">
        <v>12022398.449999999</v>
      </c>
      <c r="K651" s="15">
        <v>28996506</v>
      </c>
      <c r="L651" s="13" t="s">
        <v>102</v>
      </c>
      <c r="M651" s="13" t="s">
        <v>103</v>
      </c>
      <c r="N651" s="139" t="s">
        <v>155</v>
      </c>
      <c r="O651" s="139" t="s">
        <v>155</v>
      </c>
      <c r="P651" s="28">
        <v>29</v>
      </c>
      <c r="Q651" s="13" t="s">
        <v>54</v>
      </c>
      <c r="R651" s="13" t="s">
        <v>28</v>
      </c>
      <c r="S651" s="13"/>
      <c r="T651" s="13"/>
      <c r="U651" s="13" t="s">
        <v>619</v>
      </c>
      <c r="V651" s="13" t="s">
        <v>619</v>
      </c>
      <c r="W651" s="59">
        <f>+J651/$W$2</f>
        <v>2.7006405258496859E-4</v>
      </c>
    </row>
    <row r="652" spans="1:29">
      <c r="A652" s="13" t="s">
        <v>993</v>
      </c>
      <c r="B652" s="13" t="s">
        <v>538</v>
      </c>
      <c r="C652" s="139">
        <v>46231</v>
      </c>
      <c r="D652" s="139" t="s">
        <v>516</v>
      </c>
      <c r="E652" s="28">
        <v>0.96052638000000001</v>
      </c>
      <c r="F652" s="13"/>
      <c r="G652" s="18">
        <v>10000000</v>
      </c>
      <c r="H652" s="18">
        <v>9605263.7699999996</v>
      </c>
      <c r="I652" s="18">
        <v>10000000</v>
      </c>
      <c r="J652" s="18">
        <v>9605263.7699999996</v>
      </c>
      <c r="K652" s="15">
        <v>90019958</v>
      </c>
      <c r="L652" s="13" t="s">
        <v>102</v>
      </c>
      <c r="M652" s="13" t="s">
        <v>103</v>
      </c>
      <c r="N652" s="139" t="s">
        <v>344</v>
      </c>
      <c r="O652" s="139" t="s">
        <v>344</v>
      </c>
      <c r="P652" s="28">
        <v>30</v>
      </c>
      <c r="Q652" s="13" t="s">
        <v>54</v>
      </c>
      <c r="R652" s="13" t="s">
        <v>28</v>
      </c>
      <c r="S652" s="13"/>
      <c r="T652" s="13"/>
      <c r="U652" s="13" t="s">
        <v>1099</v>
      </c>
      <c r="V652" s="13" t="s">
        <v>1099</v>
      </c>
      <c r="W652" s="59">
        <f>+J652/$W$2</f>
        <v>2.1576696785272276E-4</v>
      </c>
    </row>
    <row r="653" spans="1:29">
      <c r="A653" s="13" t="s">
        <v>993</v>
      </c>
      <c r="B653" s="13" t="s">
        <v>538</v>
      </c>
      <c r="C653" s="139">
        <v>46231</v>
      </c>
      <c r="D653" s="139" t="s">
        <v>516</v>
      </c>
      <c r="E653" s="28">
        <v>0.96179188999999998</v>
      </c>
      <c r="F653" s="13"/>
      <c r="G653" s="18">
        <v>5000000</v>
      </c>
      <c r="H653" s="18">
        <v>4808959.47</v>
      </c>
      <c r="I653" s="18">
        <v>5000000</v>
      </c>
      <c r="J653" s="18">
        <v>4808959.47</v>
      </c>
      <c r="K653" s="15">
        <v>6878</v>
      </c>
      <c r="L653" s="13" t="s">
        <v>102</v>
      </c>
      <c r="M653" s="13" t="s">
        <v>103</v>
      </c>
      <c r="N653" s="139" t="s">
        <v>344</v>
      </c>
      <c r="O653" s="139" t="s">
        <v>344</v>
      </c>
      <c r="P653" s="28">
        <v>29</v>
      </c>
      <c r="Q653" s="13" t="s">
        <v>54</v>
      </c>
      <c r="R653" s="13" t="s">
        <v>28</v>
      </c>
      <c r="S653" s="13"/>
      <c r="T653" s="13"/>
      <c r="U653" s="13" t="s">
        <v>1068</v>
      </c>
      <c r="V653" s="13" t="s">
        <v>1068</v>
      </c>
      <c r="W653" s="59">
        <f>+J653/$W$2</f>
        <v>1.0802562305569425E-4</v>
      </c>
    </row>
    <row r="654" spans="1:29">
      <c r="A654" s="13" t="s">
        <v>993</v>
      </c>
      <c r="B654" s="13" t="s">
        <v>538</v>
      </c>
      <c r="C654" s="139">
        <v>46231</v>
      </c>
      <c r="D654" s="139" t="s">
        <v>516</v>
      </c>
      <c r="E654" s="28">
        <v>0.96052641999999999</v>
      </c>
      <c r="F654" s="13"/>
      <c r="G654" s="18">
        <v>1040000</v>
      </c>
      <c r="H654" s="18">
        <v>998947.47</v>
      </c>
      <c r="I654" s="18">
        <v>1040000</v>
      </c>
      <c r="J654" s="18">
        <v>998947.47</v>
      </c>
      <c r="K654" s="15">
        <v>16601551</v>
      </c>
      <c r="L654" s="13" t="s">
        <v>102</v>
      </c>
      <c r="M654" s="13" t="s">
        <v>103</v>
      </c>
      <c r="N654" s="139" t="s">
        <v>359</v>
      </c>
      <c r="O654" s="139" t="s">
        <v>359</v>
      </c>
      <c r="P654" s="28">
        <v>30</v>
      </c>
      <c r="Q654" s="13" t="s">
        <v>54</v>
      </c>
      <c r="R654" s="13" t="s">
        <v>28</v>
      </c>
      <c r="S654" s="13"/>
      <c r="T654" s="13"/>
      <c r="U654" s="13" t="s">
        <v>1301</v>
      </c>
      <c r="V654" s="13" t="s">
        <v>1301</v>
      </c>
      <c r="W654" s="59">
        <f>+J654/$W$2</f>
        <v>2.2439765508495633E-5</v>
      </c>
      <c r="AC654" s="56"/>
    </row>
    <row r="655" spans="1:29">
      <c r="A655" s="13" t="s">
        <v>339</v>
      </c>
      <c r="B655" s="13" t="s">
        <v>538</v>
      </c>
      <c r="C655" s="139">
        <v>46231</v>
      </c>
      <c r="D655" s="139" t="s">
        <v>516</v>
      </c>
      <c r="E655" s="28">
        <v>0.96179183999999995</v>
      </c>
      <c r="F655" s="13"/>
      <c r="G655" s="18">
        <v>30000000</v>
      </c>
      <c r="H655" s="18">
        <v>28853755.25</v>
      </c>
      <c r="I655" s="18">
        <v>30000000</v>
      </c>
      <c r="J655" s="18">
        <v>28853755.25</v>
      </c>
      <c r="K655" s="15">
        <v>54026410</v>
      </c>
      <c r="L655" s="13" t="s">
        <v>102</v>
      </c>
      <c r="M655" s="13" t="s">
        <v>103</v>
      </c>
      <c r="N655" s="139" t="s">
        <v>161</v>
      </c>
      <c r="O655" s="139" t="s">
        <v>161</v>
      </c>
      <c r="P655" s="28">
        <v>29</v>
      </c>
      <c r="Q655" s="13" t="s">
        <v>54</v>
      </c>
      <c r="R655" s="13" t="s">
        <v>28</v>
      </c>
      <c r="S655" s="13"/>
      <c r="T655" s="13"/>
      <c r="U655" s="13" t="s">
        <v>1262</v>
      </c>
      <c r="V655" s="13" t="s">
        <v>1262</v>
      </c>
      <c r="W655" s="59">
        <f>+J655/$W$2</f>
        <v>6.4815370306661355E-4</v>
      </c>
    </row>
    <row r="656" spans="1:29">
      <c r="A656" s="13" t="s">
        <v>357</v>
      </c>
      <c r="B656" s="13" t="s">
        <v>538</v>
      </c>
      <c r="C656" s="139">
        <v>46231</v>
      </c>
      <c r="D656" s="139" t="s">
        <v>516</v>
      </c>
      <c r="E656" s="28">
        <v>0.95300262999999996</v>
      </c>
      <c r="F656" s="13"/>
      <c r="G656" s="18">
        <v>5000000</v>
      </c>
      <c r="H656" s="18">
        <v>4765013.17</v>
      </c>
      <c r="I656" s="18">
        <v>5000000</v>
      </c>
      <c r="J656" s="18">
        <v>4765013.17</v>
      </c>
      <c r="K656" s="15">
        <v>40742991</v>
      </c>
      <c r="L656" s="13" t="s">
        <v>102</v>
      </c>
      <c r="M656" s="13" t="s">
        <v>103</v>
      </c>
      <c r="N656" s="139" t="s">
        <v>382</v>
      </c>
      <c r="O656" s="139" t="s">
        <v>382</v>
      </c>
      <c r="P656" s="28">
        <v>36</v>
      </c>
      <c r="Q656" s="13" t="s">
        <v>54</v>
      </c>
      <c r="R656" s="13" t="s">
        <v>28</v>
      </c>
      <c r="S656" s="13"/>
      <c r="T656" s="13"/>
      <c r="U656" s="13" t="s">
        <v>1614</v>
      </c>
      <c r="V656" s="13" t="s">
        <v>1614</v>
      </c>
      <c r="W656" s="59">
        <f>+J656/$W$2</f>
        <v>1.0703843934826067E-4</v>
      </c>
      <c r="AC656"/>
    </row>
    <row r="657" spans="1:29">
      <c r="A657" s="13" t="s">
        <v>819</v>
      </c>
      <c r="B657" s="13" t="s">
        <v>538</v>
      </c>
      <c r="C657" s="139">
        <v>46231</v>
      </c>
      <c r="D657" s="139" t="s">
        <v>516</v>
      </c>
      <c r="E657" s="28">
        <v>0.96179186000000005</v>
      </c>
      <c r="F657" s="13"/>
      <c r="G657" s="18">
        <v>5000000</v>
      </c>
      <c r="H657" s="18">
        <v>4808959.28</v>
      </c>
      <c r="I657" s="18">
        <v>5000000</v>
      </c>
      <c r="J657" s="18">
        <v>4808959.28</v>
      </c>
      <c r="K657" s="15">
        <v>43314</v>
      </c>
      <c r="L657" s="13" t="s">
        <v>102</v>
      </c>
      <c r="M657" s="13" t="s">
        <v>103</v>
      </c>
      <c r="N657" s="139" t="s">
        <v>366</v>
      </c>
      <c r="O657" s="139" t="s">
        <v>366</v>
      </c>
      <c r="P657" s="28">
        <v>29</v>
      </c>
      <c r="Q657" s="13" t="s">
        <v>54</v>
      </c>
      <c r="R657" s="13" t="s">
        <v>28</v>
      </c>
      <c r="S657" s="13"/>
      <c r="T657" s="13"/>
      <c r="U657" s="13" t="s">
        <v>996</v>
      </c>
      <c r="V657" s="13" t="s">
        <v>996</v>
      </c>
      <c r="W657" s="59">
        <f>+J657/$W$2</f>
        <v>1.0802561878764657E-4</v>
      </c>
      <c r="AC657" s="56"/>
    </row>
    <row r="658" spans="1:29">
      <c r="A658" s="13" t="s">
        <v>993</v>
      </c>
      <c r="B658" s="13" t="s">
        <v>538</v>
      </c>
      <c r="C658" s="139">
        <v>46231</v>
      </c>
      <c r="D658" s="139" t="s">
        <v>516</v>
      </c>
      <c r="E658" s="28">
        <v>0.96179194999999995</v>
      </c>
      <c r="F658" s="13"/>
      <c r="G658" s="18">
        <v>5000000</v>
      </c>
      <c r="H658" s="18">
        <v>4808959.75</v>
      </c>
      <c r="I658" s="18">
        <v>5000000</v>
      </c>
      <c r="J658" s="18">
        <v>4808959.75</v>
      </c>
      <c r="K658" s="15">
        <v>16779577</v>
      </c>
      <c r="L658" s="13" t="s">
        <v>102</v>
      </c>
      <c r="M658" s="13" t="s">
        <v>103</v>
      </c>
      <c r="N658" s="139" t="s">
        <v>428</v>
      </c>
      <c r="O658" s="139" t="s">
        <v>428</v>
      </c>
      <c r="P658" s="28">
        <v>29</v>
      </c>
      <c r="Q658" s="13" t="s">
        <v>54</v>
      </c>
      <c r="R658" s="13" t="s">
        <v>28</v>
      </c>
      <c r="S658" s="13"/>
      <c r="T658" s="13"/>
      <c r="U658" s="13" t="s">
        <v>929</v>
      </c>
      <c r="V658" s="13" t="s">
        <v>929</v>
      </c>
      <c r="W658" s="59">
        <f>+J658/$W$2</f>
        <v>1.0802562934544876E-4</v>
      </c>
    </row>
    <row r="659" spans="1:29">
      <c r="A659" s="13" t="s">
        <v>2011</v>
      </c>
      <c r="B659" s="13" t="s">
        <v>538</v>
      </c>
      <c r="C659" s="139">
        <v>46232</v>
      </c>
      <c r="D659" s="139" t="s">
        <v>516</v>
      </c>
      <c r="E659" s="28">
        <v>0.95720156000000001</v>
      </c>
      <c r="F659" s="13"/>
      <c r="G659" s="18">
        <v>1050000</v>
      </c>
      <c r="H659" s="18">
        <v>1005061.63</v>
      </c>
      <c r="I659" s="18">
        <v>1050000</v>
      </c>
      <c r="J659" s="18">
        <v>1005061.63</v>
      </c>
      <c r="K659" s="15">
        <v>3467334</v>
      </c>
      <c r="L659" s="13" t="s">
        <v>102</v>
      </c>
      <c r="M659" s="13" t="s">
        <v>103</v>
      </c>
      <c r="N659" s="139" t="s">
        <v>394</v>
      </c>
      <c r="O659" s="139" t="s">
        <v>394</v>
      </c>
      <c r="P659" s="28">
        <v>32</v>
      </c>
      <c r="Q659" s="13" t="s">
        <v>54</v>
      </c>
      <c r="R659" s="13" t="s">
        <v>28</v>
      </c>
      <c r="S659" s="13"/>
      <c r="T659" s="13"/>
      <c r="U659" s="13" t="s">
        <v>2014</v>
      </c>
      <c r="V659" s="13" t="s">
        <v>2014</v>
      </c>
      <c r="W659" s="59">
        <f>+J659/$W$2</f>
        <v>2.2577110384779694E-5</v>
      </c>
    </row>
    <row r="660" spans="1:29">
      <c r="A660" s="13" t="s">
        <v>1822</v>
      </c>
      <c r="B660" s="13" t="s">
        <v>538</v>
      </c>
      <c r="C660" s="139">
        <v>46232</v>
      </c>
      <c r="D660" s="139" t="s">
        <v>516</v>
      </c>
      <c r="E660" s="28">
        <v>0.95976866999999999</v>
      </c>
      <c r="F660" s="13"/>
      <c r="G660" s="18">
        <v>100000000</v>
      </c>
      <c r="H660" s="18">
        <v>95976867.069999993</v>
      </c>
      <c r="I660" s="18">
        <v>100000000</v>
      </c>
      <c r="J660" s="18">
        <v>95976867.069999993</v>
      </c>
      <c r="K660" s="15">
        <v>5411</v>
      </c>
      <c r="L660" s="13" t="s">
        <v>102</v>
      </c>
      <c r="M660" s="13" t="s">
        <v>103</v>
      </c>
      <c r="N660" s="139" t="s">
        <v>335</v>
      </c>
      <c r="O660" s="139" t="s">
        <v>335</v>
      </c>
      <c r="P660" s="28">
        <v>30</v>
      </c>
      <c r="Q660" s="13" t="s">
        <v>54</v>
      </c>
      <c r="R660" s="13" t="s">
        <v>28</v>
      </c>
      <c r="S660" s="13"/>
      <c r="T660" s="13"/>
      <c r="U660" s="13" t="s">
        <v>1779</v>
      </c>
      <c r="V660" s="13" t="s">
        <v>1779</v>
      </c>
      <c r="W660" s="59">
        <f>+J660/$W$2</f>
        <v>2.1559676118813897E-3</v>
      </c>
    </row>
    <row r="661" spans="1:29">
      <c r="A661" s="13" t="s">
        <v>1824</v>
      </c>
      <c r="B661" s="13" t="s">
        <v>538</v>
      </c>
      <c r="C661" s="139">
        <v>46232</v>
      </c>
      <c r="D661" s="139" t="s">
        <v>516</v>
      </c>
      <c r="E661" s="28">
        <v>0.95592286999999998</v>
      </c>
      <c r="F661" s="13"/>
      <c r="G661" s="18">
        <v>1573636.95</v>
      </c>
      <c r="H661" s="18">
        <v>1504275.55</v>
      </c>
      <c r="I661" s="18">
        <v>1573636.95</v>
      </c>
      <c r="J661" s="18">
        <v>1504275.55</v>
      </c>
      <c r="K661" s="15">
        <v>13761282</v>
      </c>
      <c r="L661" s="13" t="s">
        <v>102</v>
      </c>
      <c r="M661" s="13" t="s">
        <v>103</v>
      </c>
      <c r="N661" s="139" t="s">
        <v>335</v>
      </c>
      <c r="O661" s="139" t="s">
        <v>335</v>
      </c>
      <c r="P661" s="28">
        <v>33</v>
      </c>
      <c r="Q661" s="13" t="s">
        <v>54</v>
      </c>
      <c r="R661" s="13" t="s">
        <v>28</v>
      </c>
      <c r="S661" s="13"/>
      <c r="T661" s="13"/>
      <c r="U661" s="13" t="s">
        <v>1783</v>
      </c>
      <c r="V661" s="13" t="s">
        <v>1783</v>
      </c>
      <c r="W661" s="59">
        <f>+J661/$W$2</f>
        <v>3.3791156808438889E-5</v>
      </c>
    </row>
    <row r="662" spans="1:29">
      <c r="A662" s="13" t="s">
        <v>1827</v>
      </c>
      <c r="B662" s="13" t="s">
        <v>538</v>
      </c>
      <c r="C662" s="139">
        <v>46232</v>
      </c>
      <c r="D662" s="139" t="s">
        <v>516</v>
      </c>
      <c r="E662" s="28">
        <v>0.95592286000000004</v>
      </c>
      <c r="F662" s="13"/>
      <c r="G662" s="18">
        <v>1103671.3799999999</v>
      </c>
      <c r="H662" s="18">
        <v>1055024.71</v>
      </c>
      <c r="I662" s="18">
        <v>1103671.3799999999</v>
      </c>
      <c r="J662" s="18">
        <v>1055024.71</v>
      </c>
      <c r="K662" s="15">
        <v>66956177</v>
      </c>
      <c r="L662" s="13" t="s">
        <v>102</v>
      </c>
      <c r="M662" s="13" t="s">
        <v>103</v>
      </c>
      <c r="N662" s="139" t="s">
        <v>335</v>
      </c>
      <c r="O662" s="139" t="s">
        <v>335</v>
      </c>
      <c r="P662" s="28">
        <v>33</v>
      </c>
      <c r="Q662" s="13" t="s">
        <v>54</v>
      </c>
      <c r="R662" s="13" t="s">
        <v>28</v>
      </c>
      <c r="S662" s="13"/>
      <c r="T662" s="13"/>
      <c r="U662" s="13" t="s">
        <v>1790</v>
      </c>
      <c r="V662" s="13" t="s">
        <v>1790</v>
      </c>
      <c r="W662" s="59">
        <f>+J662/$W$2</f>
        <v>2.3699451481736682E-5</v>
      </c>
    </row>
    <row r="663" spans="1:29">
      <c r="A663" s="13" t="s">
        <v>1830</v>
      </c>
      <c r="B663" s="13" t="s">
        <v>538</v>
      </c>
      <c r="C663" s="139">
        <v>46232</v>
      </c>
      <c r="D663" s="139" t="s">
        <v>516</v>
      </c>
      <c r="E663" s="28">
        <v>0.95592286999999998</v>
      </c>
      <c r="F663" s="13"/>
      <c r="G663" s="18">
        <v>1701000</v>
      </c>
      <c r="H663" s="18">
        <v>1626024.8</v>
      </c>
      <c r="I663" s="18">
        <v>1701000</v>
      </c>
      <c r="J663" s="18">
        <v>1626024.8</v>
      </c>
      <c r="K663" s="15">
        <v>67242880</v>
      </c>
      <c r="L663" s="13" t="s">
        <v>102</v>
      </c>
      <c r="M663" s="13" t="s">
        <v>103</v>
      </c>
      <c r="N663" s="139" t="s">
        <v>335</v>
      </c>
      <c r="O663" s="139" t="s">
        <v>335</v>
      </c>
      <c r="P663" s="28">
        <v>33</v>
      </c>
      <c r="Q663" s="13" t="s">
        <v>54</v>
      </c>
      <c r="R663" s="13" t="s">
        <v>28</v>
      </c>
      <c r="S663" s="13"/>
      <c r="T663" s="13"/>
      <c r="U663" s="13" t="s">
        <v>1803</v>
      </c>
      <c r="V663" s="13" t="s">
        <v>1803</v>
      </c>
      <c r="W663" s="59">
        <f>+J663/$W$2</f>
        <v>3.6526059996927079E-5</v>
      </c>
    </row>
    <row r="664" spans="1:29">
      <c r="A664" s="13" t="s">
        <v>1831</v>
      </c>
      <c r="B664" s="13" t="s">
        <v>538</v>
      </c>
      <c r="C664" s="139">
        <v>46232</v>
      </c>
      <c r="D664" s="139" t="s">
        <v>516</v>
      </c>
      <c r="E664" s="28">
        <v>0.95592286999999998</v>
      </c>
      <c r="F664" s="13"/>
      <c r="G664" s="18">
        <v>2300000</v>
      </c>
      <c r="H664" s="18">
        <v>2198622.6</v>
      </c>
      <c r="I664" s="18">
        <v>2300000</v>
      </c>
      <c r="J664" s="18">
        <v>2198622.6</v>
      </c>
      <c r="K664" s="15">
        <v>1396</v>
      </c>
      <c r="L664" s="13" t="s">
        <v>102</v>
      </c>
      <c r="M664" s="13" t="s">
        <v>103</v>
      </c>
      <c r="N664" s="139" t="s">
        <v>335</v>
      </c>
      <c r="O664" s="139" t="s">
        <v>335</v>
      </c>
      <c r="P664" s="28">
        <v>33</v>
      </c>
      <c r="Q664" s="13" t="s">
        <v>54</v>
      </c>
      <c r="R664" s="13" t="s">
        <v>28</v>
      </c>
      <c r="S664" s="13"/>
      <c r="T664" s="13"/>
      <c r="U664" s="13" t="s">
        <v>1805</v>
      </c>
      <c r="V664" s="13" t="s">
        <v>1805</v>
      </c>
      <c r="W664" s="59">
        <f>+J664/$W$2</f>
        <v>4.9388558525183509E-5</v>
      </c>
      <c r="AC664" s="56"/>
    </row>
    <row r="665" spans="1:29">
      <c r="A665" s="13" t="s">
        <v>1833</v>
      </c>
      <c r="B665" s="13" t="s">
        <v>538</v>
      </c>
      <c r="C665" s="139">
        <v>46232</v>
      </c>
      <c r="D665" s="139" t="s">
        <v>516</v>
      </c>
      <c r="E665" s="28">
        <v>0.95592286000000004</v>
      </c>
      <c r="F665" s="13"/>
      <c r="G665" s="18">
        <v>1318130</v>
      </c>
      <c r="H665" s="18">
        <v>1260030.6000000001</v>
      </c>
      <c r="I665" s="18">
        <v>1318130</v>
      </c>
      <c r="J665" s="18">
        <v>1260030.6000000001</v>
      </c>
      <c r="K665" s="15">
        <v>67204032</v>
      </c>
      <c r="L665" s="13" t="s">
        <v>102</v>
      </c>
      <c r="M665" s="13" t="s">
        <v>103</v>
      </c>
      <c r="N665" s="139" t="s">
        <v>335</v>
      </c>
      <c r="O665" s="139" t="s">
        <v>335</v>
      </c>
      <c r="P665" s="28">
        <v>33</v>
      </c>
      <c r="Q665" s="13" t="s">
        <v>54</v>
      </c>
      <c r="R665" s="13" t="s">
        <v>28</v>
      </c>
      <c r="S665" s="13"/>
      <c r="T665" s="13"/>
      <c r="U665" s="13" t="s">
        <v>1809</v>
      </c>
      <c r="V665" s="13" t="s">
        <v>1809</v>
      </c>
      <c r="W665" s="59">
        <f>+J665/$W$2</f>
        <v>2.8304582619873958E-5</v>
      </c>
    </row>
    <row r="666" spans="1:29">
      <c r="A666" s="13" t="s">
        <v>1834</v>
      </c>
      <c r="B666" s="13" t="s">
        <v>538</v>
      </c>
      <c r="C666" s="139">
        <v>46232</v>
      </c>
      <c r="D666" s="139" t="s">
        <v>516</v>
      </c>
      <c r="E666" s="28">
        <v>0.95720154999999996</v>
      </c>
      <c r="F666" s="13"/>
      <c r="G666" s="18">
        <v>1177029.06</v>
      </c>
      <c r="H666" s="18">
        <v>1126654.04</v>
      </c>
      <c r="I666" s="18">
        <v>1177029.06</v>
      </c>
      <c r="J666" s="18">
        <v>1126654.04</v>
      </c>
      <c r="K666" s="15">
        <v>1127</v>
      </c>
      <c r="L666" s="13" t="s">
        <v>102</v>
      </c>
      <c r="M666" s="13" t="s">
        <v>103</v>
      </c>
      <c r="N666" s="139" t="s">
        <v>394</v>
      </c>
      <c r="O666" s="139" t="s">
        <v>394</v>
      </c>
      <c r="P666" s="28">
        <v>32</v>
      </c>
      <c r="Q666" s="13" t="s">
        <v>54</v>
      </c>
      <c r="R666" s="13" t="s">
        <v>28</v>
      </c>
      <c r="S666" s="13"/>
      <c r="T666" s="13"/>
      <c r="U666" s="13" t="s">
        <v>2026</v>
      </c>
      <c r="V666" s="13" t="s">
        <v>2026</v>
      </c>
      <c r="W666" s="59">
        <f>+J666/$W$2</f>
        <v>2.5308490412212828E-5</v>
      </c>
    </row>
    <row r="667" spans="1:29">
      <c r="A667" s="13" t="s">
        <v>1872</v>
      </c>
      <c r="B667" s="13" t="s">
        <v>538</v>
      </c>
      <c r="C667" s="139">
        <v>46232</v>
      </c>
      <c r="D667" s="139" t="s">
        <v>516</v>
      </c>
      <c r="E667" s="28">
        <v>0.95592281999999995</v>
      </c>
      <c r="F667" s="13"/>
      <c r="G667" s="18">
        <v>1450000</v>
      </c>
      <c r="H667" s="18">
        <v>1386088.09</v>
      </c>
      <c r="I667" s="18">
        <v>1450000</v>
      </c>
      <c r="J667" s="18">
        <v>1386088.09</v>
      </c>
      <c r="K667" s="15">
        <v>90019731</v>
      </c>
      <c r="L667" s="13" t="s">
        <v>102</v>
      </c>
      <c r="M667" s="13" t="s">
        <v>103</v>
      </c>
      <c r="N667" s="139" t="s">
        <v>389</v>
      </c>
      <c r="O667" s="139" t="s">
        <v>389</v>
      </c>
      <c r="P667" s="28">
        <v>33</v>
      </c>
      <c r="Q667" s="13" t="s">
        <v>54</v>
      </c>
      <c r="R667" s="13" t="s">
        <v>28</v>
      </c>
      <c r="S667" s="13"/>
      <c r="T667" s="13"/>
      <c r="U667" s="13" t="s">
        <v>1844</v>
      </c>
      <c r="V667" s="13" t="s">
        <v>1844</v>
      </c>
      <c r="W667" s="59">
        <f>+J667/$W$2</f>
        <v>3.1136263565208884E-5</v>
      </c>
    </row>
    <row r="668" spans="1:29">
      <c r="A668" s="13" t="s">
        <v>2036</v>
      </c>
      <c r="B668" s="13" t="s">
        <v>538</v>
      </c>
      <c r="C668" s="139">
        <v>46232</v>
      </c>
      <c r="D668" s="139" t="s">
        <v>516</v>
      </c>
      <c r="E668" s="28">
        <v>0.95720154999999996</v>
      </c>
      <c r="F668" s="13"/>
      <c r="G668" s="18">
        <v>1204873.98</v>
      </c>
      <c r="H668" s="18">
        <v>1153307.24</v>
      </c>
      <c r="I668" s="18">
        <v>1204873.98</v>
      </c>
      <c r="J668" s="18">
        <v>1153307.24</v>
      </c>
      <c r="K668" s="15">
        <v>173</v>
      </c>
      <c r="L668" s="13" t="s">
        <v>102</v>
      </c>
      <c r="M668" s="13" t="s">
        <v>103</v>
      </c>
      <c r="N668" s="139" t="s">
        <v>394</v>
      </c>
      <c r="O668" s="139" t="s">
        <v>394</v>
      </c>
      <c r="P668" s="28">
        <v>32</v>
      </c>
      <c r="Q668" s="13" t="s">
        <v>54</v>
      </c>
      <c r="R668" s="13" t="s">
        <v>28</v>
      </c>
      <c r="S668" s="13"/>
      <c r="T668" s="13"/>
      <c r="U668" s="13" t="s">
        <v>2037</v>
      </c>
      <c r="V668" s="13" t="s">
        <v>2037</v>
      </c>
      <c r="W668" s="59">
        <f>+J668/$W$2</f>
        <v>2.5907212142847008E-5</v>
      </c>
    </row>
    <row r="669" spans="1:29">
      <c r="A669" s="13" t="s">
        <v>2038</v>
      </c>
      <c r="B669" s="13" t="s">
        <v>538</v>
      </c>
      <c r="C669" s="139">
        <v>46232</v>
      </c>
      <c r="D669" s="139" t="s">
        <v>516</v>
      </c>
      <c r="E669" s="28">
        <v>0.95720154999999996</v>
      </c>
      <c r="F669" s="13"/>
      <c r="G669" s="18">
        <v>5000000</v>
      </c>
      <c r="H669" s="18">
        <v>4786007.7699999996</v>
      </c>
      <c r="I669" s="18">
        <v>5000000</v>
      </c>
      <c r="J669" s="18">
        <v>4786007.7699999996</v>
      </c>
      <c r="K669" s="15">
        <v>550</v>
      </c>
      <c r="L669" s="13" t="s">
        <v>102</v>
      </c>
      <c r="M669" s="13" t="s">
        <v>103</v>
      </c>
      <c r="N669" s="139" t="s">
        <v>394</v>
      </c>
      <c r="O669" s="139" t="s">
        <v>394</v>
      </c>
      <c r="P669" s="28">
        <v>32</v>
      </c>
      <c r="Q669" s="13" t="s">
        <v>54</v>
      </c>
      <c r="R669" s="13" t="s">
        <v>28</v>
      </c>
      <c r="S669" s="13"/>
      <c r="T669" s="13"/>
      <c r="U669" s="13" t="s">
        <v>2042</v>
      </c>
      <c r="V669" s="13" t="s">
        <v>2042</v>
      </c>
      <c r="W669" s="59">
        <f>+J669/$W$2</f>
        <v>1.075100496331785E-4</v>
      </c>
    </row>
    <row r="670" spans="1:29">
      <c r="A670" s="13" t="s">
        <v>917</v>
      </c>
      <c r="B670" s="13" t="s">
        <v>538</v>
      </c>
      <c r="C670" s="139">
        <v>46232</v>
      </c>
      <c r="D670" s="139" t="s">
        <v>516</v>
      </c>
      <c r="E670" s="28">
        <v>0.94958116999999997</v>
      </c>
      <c r="F670" s="13"/>
      <c r="G670" s="18">
        <v>4599318.34</v>
      </c>
      <c r="H670" s="18">
        <v>4367426.09</v>
      </c>
      <c r="I670" s="18">
        <v>4599318.34</v>
      </c>
      <c r="J670" s="18">
        <v>4367426.09</v>
      </c>
      <c r="K670" s="15">
        <v>576</v>
      </c>
      <c r="L670" s="13" t="s">
        <v>102</v>
      </c>
      <c r="M670" s="13" t="s">
        <v>103</v>
      </c>
      <c r="N670" s="139" t="s">
        <v>344</v>
      </c>
      <c r="O670" s="139" t="s">
        <v>344</v>
      </c>
      <c r="P670" s="28">
        <v>38</v>
      </c>
      <c r="Q670" s="13" t="s">
        <v>54</v>
      </c>
      <c r="R670" s="13" t="s">
        <v>28</v>
      </c>
      <c r="S670" s="13"/>
      <c r="T670" s="13"/>
      <c r="U670" s="13" t="s">
        <v>1132</v>
      </c>
      <c r="V670" s="13" t="s">
        <v>1132</v>
      </c>
      <c r="W670" s="59">
        <f>+J670/$W$2</f>
        <v>9.8107278188798008E-5</v>
      </c>
    </row>
    <row r="671" spans="1:29">
      <c r="A671" s="13" t="s">
        <v>921</v>
      </c>
      <c r="B671" s="13" t="s">
        <v>538</v>
      </c>
      <c r="C671" s="139">
        <v>46232</v>
      </c>
      <c r="D671" s="139" t="s">
        <v>516</v>
      </c>
      <c r="E671" s="28">
        <v>0.94958127999999997</v>
      </c>
      <c r="F671" s="13"/>
      <c r="G671" s="18">
        <v>3519950.15</v>
      </c>
      <c r="H671" s="18">
        <v>3342478.75</v>
      </c>
      <c r="I671" s="18">
        <v>3519950.15</v>
      </c>
      <c r="J671" s="18">
        <v>3342478.75</v>
      </c>
      <c r="K671" s="15">
        <v>90000186</v>
      </c>
      <c r="L671" s="13" t="s">
        <v>102</v>
      </c>
      <c r="M671" s="13" t="s">
        <v>103</v>
      </c>
      <c r="N671" s="139" t="s">
        <v>378</v>
      </c>
      <c r="O671" s="139" t="s">
        <v>378</v>
      </c>
      <c r="P671" s="28">
        <v>38</v>
      </c>
      <c r="Q671" s="13" t="s">
        <v>54</v>
      </c>
      <c r="R671" s="13" t="s">
        <v>28</v>
      </c>
      <c r="S671" s="13"/>
      <c r="T671" s="13"/>
      <c r="U671" s="13" t="s">
        <v>865</v>
      </c>
      <c r="V671" s="13" t="s">
        <v>865</v>
      </c>
      <c r="W671" s="59">
        <f>+J671/$W$2</f>
        <v>7.5083466968618083E-5</v>
      </c>
    </row>
    <row r="672" spans="1:29">
      <c r="A672" s="13" t="s">
        <v>539</v>
      </c>
      <c r="B672" s="13" t="s">
        <v>538</v>
      </c>
      <c r="C672" s="139">
        <v>46232</v>
      </c>
      <c r="D672" s="139" t="s">
        <v>516</v>
      </c>
      <c r="E672" s="28">
        <v>0.95976866000000005</v>
      </c>
      <c r="F672" s="13"/>
      <c r="G672" s="18">
        <v>10000000</v>
      </c>
      <c r="H672" s="18">
        <v>9597686.5800000001</v>
      </c>
      <c r="I672" s="18">
        <v>10000000</v>
      </c>
      <c r="J672" s="18">
        <v>9597686.5800000001</v>
      </c>
      <c r="K672" s="15">
        <v>607</v>
      </c>
      <c r="L672" s="13" t="s">
        <v>102</v>
      </c>
      <c r="M672" s="13" t="s">
        <v>103</v>
      </c>
      <c r="N672" s="139" t="s">
        <v>361</v>
      </c>
      <c r="O672" s="139" t="s">
        <v>361</v>
      </c>
      <c r="P672" s="28">
        <v>30</v>
      </c>
      <c r="Q672" s="13" t="s">
        <v>54</v>
      </c>
      <c r="R672" s="13" t="s">
        <v>28</v>
      </c>
      <c r="S672" s="13"/>
      <c r="T672" s="13"/>
      <c r="U672" s="13" t="s">
        <v>2081</v>
      </c>
      <c r="V672" s="13" t="s">
        <v>2081</v>
      </c>
      <c r="W672" s="59">
        <f>+J672/$W$2</f>
        <v>2.1559675833528606E-4</v>
      </c>
    </row>
    <row r="673" spans="1:29">
      <c r="A673" s="13" t="s">
        <v>539</v>
      </c>
      <c r="B673" s="13" t="s">
        <v>538</v>
      </c>
      <c r="C673" s="139">
        <v>46232</v>
      </c>
      <c r="D673" s="139" t="s">
        <v>516</v>
      </c>
      <c r="E673" s="28">
        <v>0.95976877000000005</v>
      </c>
      <c r="F673" s="13"/>
      <c r="G673" s="18">
        <v>10000000</v>
      </c>
      <c r="H673" s="18">
        <v>9597687.6899999995</v>
      </c>
      <c r="I673" s="18">
        <v>10000000</v>
      </c>
      <c r="J673" s="18">
        <v>9597687.6899999995</v>
      </c>
      <c r="K673" s="15">
        <v>524</v>
      </c>
      <c r="L673" s="13" t="s">
        <v>102</v>
      </c>
      <c r="M673" s="13" t="s">
        <v>103</v>
      </c>
      <c r="N673" s="139" t="s">
        <v>382</v>
      </c>
      <c r="O673" s="139" t="s">
        <v>382</v>
      </c>
      <c r="P673" s="28">
        <v>30</v>
      </c>
      <c r="Q673" s="13" t="s">
        <v>54</v>
      </c>
      <c r="R673" s="13" t="s">
        <v>28</v>
      </c>
      <c r="S673" s="13"/>
      <c r="T673" s="13"/>
      <c r="U673" s="13" t="s">
        <v>1608</v>
      </c>
      <c r="V673" s="13" t="s">
        <v>1608</v>
      </c>
      <c r="W673" s="59">
        <f>+J673/$W$2</f>
        <v>2.1559678326966996E-4</v>
      </c>
    </row>
    <row r="674" spans="1:29">
      <c r="A674" s="13" t="s">
        <v>365</v>
      </c>
      <c r="B674" s="13" t="s">
        <v>538</v>
      </c>
      <c r="C674" s="139">
        <v>46232</v>
      </c>
      <c r="D674" s="139" t="s">
        <v>516</v>
      </c>
      <c r="E674" s="28">
        <v>0.94706802000000001</v>
      </c>
      <c r="F674" s="13"/>
      <c r="G674" s="18">
        <v>3500000</v>
      </c>
      <c r="H674" s="18">
        <v>3314738.07</v>
      </c>
      <c r="I674" s="18">
        <v>3500000</v>
      </c>
      <c r="J674" s="18">
        <v>3314738.07</v>
      </c>
      <c r="K674" s="15">
        <v>60524038</v>
      </c>
      <c r="L674" s="13" t="s">
        <v>102</v>
      </c>
      <c r="M674" s="13" t="s">
        <v>103</v>
      </c>
      <c r="N674" s="139" t="s">
        <v>243</v>
      </c>
      <c r="O674" s="139" t="s">
        <v>243</v>
      </c>
      <c r="P674" s="28">
        <v>40</v>
      </c>
      <c r="Q674" s="13" t="s">
        <v>54</v>
      </c>
      <c r="R674" s="13" t="s">
        <v>28</v>
      </c>
      <c r="S674" s="13"/>
      <c r="T674" s="13"/>
      <c r="U674" s="13" t="s">
        <v>492</v>
      </c>
      <c r="V674" s="13" t="s">
        <v>492</v>
      </c>
      <c r="W674" s="59">
        <f>+J674/$W$2</f>
        <v>7.4460316730051259E-5</v>
      </c>
    </row>
    <row r="675" spans="1:29">
      <c r="A675" s="13" t="s">
        <v>247</v>
      </c>
      <c r="B675" s="13" t="s">
        <v>538</v>
      </c>
      <c r="C675" s="139">
        <v>46232</v>
      </c>
      <c r="D675" s="139" t="s">
        <v>516</v>
      </c>
      <c r="E675" s="28">
        <v>0.94706800000000002</v>
      </c>
      <c r="F675" s="13"/>
      <c r="G675" s="18">
        <v>4100000</v>
      </c>
      <c r="H675" s="18">
        <v>3882978.78</v>
      </c>
      <c r="I675" s="18">
        <v>4100000</v>
      </c>
      <c r="J675" s="18">
        <v>3882978.78</v>
      </c>
      <c r="K675" s="15">
        <v>1026</v>
      </c>
      <c r="L675" s="13" t="s">
        <v>102</v>
      </c>
      <c r="M675" s="13" t="s">
        <v>103</v>
      </c>
      <c r="N675" s="139" t="s">
        <v>266</v>
      </c>
      <c r="O675" s="139" t="s">
        <v>266</v>
      </c>
      <c r="P675" s="28">
        <v>40</v>
      </c>
      <c r="Q675" s="13" t="s">
        <v>54</v>
      </c>
      <c r="R675" s="13" t="s">
        <v>28</v>
      </c>
      <c r="S675" s="13"/>
      <c r="T675" s="13"/>
      <c r="U675" s="13" t="s">
        <v>506</v>
      </c>
      <c r="V675" s="13" t="s">
        <v>506</v>
      </c>
      <c r="W675" s="59">
        <f>+J675/$W$2</f>
        <v>8.7224940163935206E-5</v>
      </c>
    </row>
    <row r="676" spans="1:29">
      <c r="A676" s="13" t="s">
        <v>339</v>
      </c>
      <c r="B676" s="13" t="s">
        <v>538</v>
      </c>
      <c r="C676" s="139">
        <v>46232</v>
      </c>
      <c r="D676" s="139" t="s">
        <v>516</v>
      </c>
      <c r="E676" s="28">
        <v>0.95976865</v>
      </c>
      <c r="F676" s="13"/>
      <c r="G676" s="18">
        <v>10000000</v>
      </c>
      <c r="H676" s="18">
        <v>9597686.5099999998</v>
      </c>
      <c r="I676" s="18">
        <v>10000000</v>
      </c>
      <c r="J676" s="18">
        <v>9597686.5099999998</v>
      </c>
      <c r="K676" s="15">
        <v>65931682</v>
      </c>
      <c r="L676" s="13" t="s">
        <v>102</v>
      </c>
      <c r="M676" s="13" t="s">
        <v>103</v>
      </c>
      <c r="N676" s="139" t="s">
        <v>231</v>
      </c>
      <c r="O676" s="139" t="s">
        <v>231</v>
      </c>
      <c r="P676" s="28">
        <v>30</v>
      </c>
      <c r="Q676" s="13" t="s">
        <v>54</v>
      </c>
      <c r="R676" s="13" t="s">
        <v>28</v>
      </c>
      <c r="S676" s="13"/>
      <c r="T676" s="13"/>
      <c r="U676" s="13" t="s">
        <v>685</v>
      </c>
      <c r="V676" s="13" t="s">
        <v>685</v>
      </c>
      <c r="W676" s="59">
        <f>+J676/$W$2</f>
        <v>2.1559675676284743E-4</v>
      </c>
    </row>
    <row r="677" spans="1:29">
      <c r="A677" s="13" t="s">
        <v>339</v>
      </c>
      <c r="B677" s="13" t="s">
        <v>538</v>
      </c>
      <c r="C677" s="139">
        <v>46232</v>
      </c>
      <c r="D677" s="139" t="s">
        <v>516</v>
      </c>
      <c r="E677" s="28">
        <v>0.96105755000000004</v>
      </c>
      <c r="F677" s="13"/>
      <c r="G677" s="18">
        <v>11000000</v>
      </c>
      <c r="H677" s="18">
        <v>10571633.050000001</v>
      </c>
      <c r="I677" s="18">
        <v>11000000</v>
      </c>
      <c r="J677" s="18">
        <v>10571633.050000001</v>
      </c>
      <c r="K677" s="15">
        <v>270</v>
      </c>
      <c r="L677" s="13" t="s">
        <v>102</v>
      </c>
      <c r="M677" s="13" t="s">
        <v>103</v>
      </c>
      <c r="N677" s="139" t="s">
        <v>152</v>
      </c>
      <c r="O677" s="139" t="s">
        <v>152</v>
      </c>
      <c r="P677" s="28">
        <v>29</v>
      </c>
      <c r="Q677" s="13" t="s">
        <v>54</v>
      </c>
      <c r="R677" s="13" t="s">
        <v>28</v>
      </c>
      <c r="S677" s="13"/>
      <c r="T677" s="13"/>
      <c r="U677" s="13" t="s">
        <v>769</v>
      </c>
      <c r="V677" s="13" t="s">
        <v>769</v>
      </c>
      <c r="W677" s="59">
        <f>+J677/$W$2</f>
        <v>2.3747491615736563E-4</v>
      </c>
    </row>
    <row r="678" spans="1:29">
      <c r="A678" s="13" t="s">
        <v>1526</v>
      </c>
      <c r="B678" s="13" t="s">
        <v>538</v>
      </c>
      <c r="C678" s="139">
        <v>46232</v>
      </c>
      <c r="D678" s="139" t="s">
        <v>516</v>
      </c>
      <c r="E678" s="28">
        <v>0.95592297000000004</v>
      </c>
      <c r="F678" s="13"/>
      <c r="G678" s="18">
        <v>50000000</v>
      </c>
      <c r="H678" s="18">
        <v>47796148.649999999</v>
      </c>
      <c r="I678" s="18">
        <v>50000000</v>
      </c>
      <c r="J678" s="18">
        <v>47796148.649999999</v>
      </c>
      <c r="K678" s="15">
        <v>135</v>
      </c>
      <c r="L678" s="13" t="s">
        <v>102</v>
      </c>
      <c r="M678" s="13" t="s">
        <v>103</v>
      </c>
      <c r="N678" s="139" t="s">
        <v>384</v>
      </c>
      <c r="O678" s="139" t="s">
        <v>384</v>
      </c>
      <c r="P678" s="28">
        <v>33</v>
      </c>
      <c r="Q678" s="13" t="s">
        <v>54</v>
      </c>
      <c r="R678" s="13" t="s">
        <v>28</v>
      </c>
      <c r="S678" s="13"/>
      <c r="T678" s="13"/>
      <c r="U678" s="13" t="s">
        <v>1514</v>
      </c>
      <c r="V678" s="13" t="s">
        <v>1514</v>
      </c>
      <c r="W678" s="59">
        <f>+J678/$W$2</f>
        <v>1.0736644319397496E-3</v>
      </c>
    </row>
    <row r="679" spans="1:29">
      <c r="A679" s="13" t="s">
        <v>992</v>
      </c>
      <c r="B679" s="13" t="s">
        <v>538</v>
      </c>
      <c r="C679" s="139">
        <v>46232</v>
      </c>
      <c r="D679" s="139" t="s">
        <v>516</v>
      </c>
      <c r="E679" s="28">
        <v>0.95337609000000001</v>
      </c>
      <c r="F679" s="13"/>
      <c r="G679" s="18">
        <v>5450000</v>
      </c>
      <c r="H679" s="18">
        <v>5195899.71</v>
      </c>
      <c r="I679" s="18">
        <v>5450000</v>
      </c>
      <c r="J679" s="18">
        <v>5195899.71</v>
      </c>
      <c r="K679" s="15">
        <v>6896</v>
      </c>
      <c r="L679" s="13" t="s">
        <v>102</v>
      </c>
      <c r="M679" s="13" t="s">
        <v>103</v>
      </c>
      <c r="N679" s="139" t="s">
        <v>428</v>
      </c>
      <c r="O679" s="139" t="s">
        <v>428</v>
      </c>
      <c r="P679" s="28">
        <v>35</v>
      </c>
      <c r="Q679" s="13" t="s">
        <v>54</v>
      </c>
      <c r="R679" s="13" t="s">
        <v>28</v>
      </c>
      <c r="S679" s="13"/>
      <c r="T679" s="13"/>
      <c r="U679" s="13" t="s">
        <v>979</v>
      </c>
      <c r="V679" s="13" t="s">
        <v>979</v>
      </c>
      <c r="W679" s="59">
        <f>+J679/$W$2</f>
        <v>1.1671761989452806E-4</v>
      </c>
    </row>
    <row r="680" spans="1:29">
      <c r="A680" s="13" t="s">
        <v>993</v>
      </c>
      <c r="B680" s="13" t="s">
        <v>538</v>
      </c>
      <c r="C680" s="139">
        <v>46232</v>
      </c>
      <c r="D680" s="139" t="s">
        <v>516</v>
      </c>
      <c r="E680" s="28">
        <v>0.95976863000000001</v>
      </c>
      <c r="F680" s="13"/>
      <c r="G680" s="18">
        <v>10000000</v>
      </c>
      <c r="H680" s="18">
        <v>9597686.2599999998</v>
      </c>
      <c r="I680" s="18">
        <v>10000000</v>
      </c>
      <c r="J680" s="18">
        <v>9597686.2599999998</v>
      </c>
      <c r="K680" s="15">
        <v>90019959</v>
      </c>
      <c r="L680" s="13" t="s">
        <v>102</v>
      </c>
      <c r="M680" s="13" t="s">
        <v>103</v>
      </c>
      <c r="N680" s="139" t="s">
        <v>344</v>
      </c>
      <c r="O680" s="139" t="s">
        <v>344</v>
      </c>
      <c r="P680" s="28">
        <v>30</v>
      </c>
      <c r="Q680" s="13" t="s">
        <v>54</v>
      </c>
      <c r="R680" s="13" t="s">
        <v>28</v>
      </c>
      <c r="S680" s="13"/>
      <c r="T680" s="13"/>
      <c r="U680" s="13" t="s">
        <v>1100</v>
      </c>
      <c r="V680" s="13" t="s">
        <v>1100</v>
      </c>
      <c r="W680" s="59">
        <f>+J680/$W$2</f>
        <v>2.1559675114699519E-4</v>
      </c>
    </row>
    <row r="681" spans="1:29">
      <c r="A681" s="13" t="s">
        <v>993</v>
      </c>
      <c r="B681" s="13" t="s">
        <v>538</v>
      </c>
      <c r="C681" s="139">
        <v>46232</v>
      </c>
      <c r="D681" s="139" t="s">
        <v>516</v>
      </c>
      <c r="E681" s="28">
        <v>0.95976866999999999</v>
      </c>
      <c r="F681" s="13"/>
      <c r="G681" s="18">
        <v>1040000</v>
      </c>
      <c r="H681" s="18">
        <v>998159.42</v>
      </c>
      <c r="I681" s="18">
        <v>1040000</v>
      </c>
      <c r="J681" s="18">
        <v>998159.42</v>
      </c>
      <c r="K681" s="15">
        <v>15901552</v>
      </c>
      <c r="L681" s="13" t="s">
        <v>102</v>
      </c>
      <c r="M681" s="13" t="s">
        <v>103</v>
      </c>
      <c r="N681" s="139" t="s">
        <v>359</v>
      </c>
      <c r="O681" s="139" t="s">
        <v>359</v>
      </c>
      <c r="P681" s="28">
        <v>30</v>
      </c>
      <c r="Q681" s="13" t="s">
        <v>54</v>
      </c>
      <c r="R681" s="13" t="s">
        <v>28</v>
      </c>
      <c r="S681" s="13"/>
      <c r="T681" s="13"/>
      <c r="U681" s="13" t="s">
        <v>1298</v>
      </c>
      <c r="V681" s="13" t="s">
        <v>1298</v>
      </c>
      <c r="W681" s="59">
        <f>+J681/$W$2</f>
        <v>2.2422063219096004E-5</v>
      </c>
    </row>
    <row r="682" spans="1:29">
      <c r="A682" s="13" t="s">
        <v>993</v>
      </c>
      <c r="B682" s="13" t="s">
        <v>538</v>
      </c>
      <c r="C682" s="139">
        <v>46232</v>
      </c>
      <c r="D682" s="139" t="s">
        <v>516</v>
      </c>
      <c r="E682" s="28">
        <v>0.96105748000000002</v>
      </c>
      <c r="F682" s="13"/>
      <c r="G682" s="18">
        <v>5000000</v>
      </c>
      <c r="H682" s="18">
        <v>4805287.38</v>
      </c>
      <c r="I682" s="18">
        <v>5000000</v>
      </c>
      <c r="J682" s="18">
        <v>4805287.38</v>
      </c>
      <c r="K682" s="15">
        <v>16779604</v>
      </c>
      <c r="L682" s="13" t="s">
        <v>102</v>
      </c>
      <c r="M682" s="13" t="s">
        <v>103</v>
      </c>
      <c r="N682" s="139" t="s">
        <v>359</v>
      </c>
      <c r="O682" s="139" t="s">
        <v>359</v>
      </c>
      <c r="P682" s="28">
        <v>29</v>
      </c>
      <c r="Q682" s="13" t="s">
        <v>54</v>
      </c>
      <c r="R682" s="13" t="s">
        <v>28</v>
      </c>
      <c r="S682" s="13"/>
      <c r="T682" s="13"/>
      <c r="U682" s="13" t="s">
        <v>1306</v>
      </c>
      <c r="V682" s="13" t="s">
        <v>1306</v>
      </c>
      <c r="W682" s="59">
        <f>+J682/$W$2</f>
        <v>1.0794313539643216E-4</v>
      </c>
    </row>
    <row r="683" spans="1:29">
      <c r="A683" s="13" t="s">
        <v>339</v>
      </c>
      <c r="B683" s="13" t="s">
        <v>538</v>
      </c>
      <c r="C683" s="139">
        <v>46232</v>
      </c>
      <c r="D683" s="139" t="s">
        <v>516</v>
      </c>
      <c r="E683" s="28">
        <v>0.96105753999999999</v>
      </c>
      <c r="F683" s="13"/>
      <c r="G683" s="18">
        <v>1300000</v>
      </c>
      <c r="H683" s="18">
        <v>1249374.8</v>
      </c>
      <c r="I683" s="18">
        <v>1300000</v>
      </c>
      <c r="J683" s="18">
        <v>1249374.8</v>
      </c>
      <c r="K683" s="15">
        <v>545</v>
      </c>
      <c r="L683" s="13" t="s">
        <v>102</v>
      </c>
      <c r="M683" s="13" t="s">
        <v>103</v>
      </c>
      <c r="N683" s="139" t="s">
        <v>161</v>
      </c>
      <c r="O683" s="139" t="s">
        <v>161</v>
      </c>
      <c r="P683" s="28">
        <v>29</v>
      </c>
      <c r="Q683" s="13" t="s">
        <v>54</v>
      </c>
      <c r="R683" s="13" t="s">
        <v>28</v>
      </c>
      <c r="S683" s="13"/>
      <c r="T683" s="13"/>
      <c r="U683" s="13" t="s">
        <v>1265</v>
      </c>
      <c r="V683" s="13" t="s">
        <v>1265</v>
      </c>
      <c r="W683" s="59">
        <f>+J683/$W$2</f>
        <v>2.8065217027101168E-5</v>
      </c>
      <c r="AC683" s="56"/>
    </row>
    <row r="684" spans="1:29">
      <c r="A684" s="13" t="s">
        <v>339</v>
      </c>
      <c r="B684" s="13" t="s">
        <v>538</v>
      </c>
      <c r="C684" s="139">
        <v>46232</v>
      </c>
      <c r="D684" s="139" t="s">
        <v>516</v>
      </c>
      <c r="E684" s="28">
        <v>0.96105755000000004</v>
      </c>
      <c r="F684" s="13"/>
      <c r="G684" s="18">
        <v>12500000</v>
      </c>
      <c r="H684" s="18">
        <v>12013219.32</v>
      </c>
      <c r="I684" s="18">
        <v>12500000</v>
      </c>
      <c r="J684" s="18">
        <v>12013219.32</v>
      </c>
      <c r="K684" s="15">
        <v>9798602</v>
      </c>
      <c r="L684" s="13" t="s">
        <v>102</v>
      </c>
      <c r="M684" s="13" t="s">
        <v>103</v>
      </c>
      <c r="N684" s="139" t="s">
        <v>161</v>
      </c>
      <c r="O684" s="139" t="s">
        <v>161</v>
      </c>
      <c r="P684" s="28">
        <v>29</v>
      </c>
      <c r="Q684" s="13" t="s">
        <v>54</v>
      </c>
      <c r="R684" s="13" t="s">
        <v>28</v>
      </c>
      <c r="S684" s="13"/>
      <c r="T684" s="13"/>
      <c r="U684" s="13" t="s">
        <v>1271</v>
      </c>
      <c r="V684" s="13" t="s">
        <v>1271</v>
      </c>
      <c r="W684" s="59">
        <f>+J684/$W$2</f>
        <v>2.6985785803424617E-4</v>
      </c>
    </row>
    <row r="685" spans="1:29">
      <c r="A685" s="13" t="s">
        <v>339</v>
      </c>
      <c r="B685" s="13" t="s">
        <v>538</v>
      </c>
      <c r="C685" s="139">
        <v>46232</v>
      </c>
      <c r="D685" s="139" t="s">
        <v>516</v>
      </c>
      <c r="E685" s="28">
        <v>0.96105744000000004</v>
      </c>
      <c r="F685" s="13"/>
      <c r="G685" s="18">
        <v>3500000</v>
      </c>
      <c r="H685" s="18">
        <v>3363701.05</v>
      </c>
      <c r="I685" s="18">
        <v>3500000</v>
      </c>
      <c r="J685" s="18">
        <v>3363701.05</v>
      </c>
      <c r="K685" s="15">
        <v>406</v>
      </c>
      <c r="L685" s="13" t="s">
        <v>102</v>
      </c>
      <c r="M685" s="13" t="s">
        <v>103</v>
      </c>
      <c r="N685" s="139" t="s">
        <v>344</v>
      </c>
      <c r="O685" s="139" t="s">
        <v>344</v>
      </c>
      <c r="P685" s="28">
        <v>29</v>
      </c>
      <c r="Q685" s="13" t="s">
        <v>54</v>
      </c>
      <c r="R685" s="13" t="s">
        <v>28</v>
      </c>
      <c r="S685" s="13"/>
      <c r="T685" s="13"/>
      <c r="U685" s="13" t="s">
        <v>1154</v>
      </c>
      <c r="V685" s="13" t="s">
        <v>1154</v>
      </c>
      <c r="W685" s="59">
        <f>+J685/$W$2</f>
        <v>7.5560192171747077E-5</v>
      </c>
    </row>
    <row r="686" spans="1:29">
      <c r="A686" s="13" t="s">
        <v>198</v>
      </c>
      <c r="B686" s="13" t="s">
        <v>538</v>
      </c>
      <c r="C686" s="139">
        <v>46232</v>
      </c>
      <c r="D686" s="139" t="s">
        <v>516</v>
      </c>
      <c r="E686" s="28">
        <v>0.97281454000000001</v>
      </c>
      <c r="F686" s="13"/>
      <c r="G686" s="18">
        <v>2500000</v>
      </c>
      <c r="H686" s="18">
        <v>2432036.36</v>
      </c>
      <c r="I686" s="18">
        <v>2500000</v>
      </c>
      <c r="J686" s="18">
        <v>2432036.36</v>
      </c>
      <c r="K686" s="15">
        <v>6127</v>
      </c>
      <c r="L686" s="13" t="s">
        <v>102</v>
      </c>
      <c r="M686" s="13" t="s">
        <v>103</v>
      </c>
      <c r="N686" s="139" t="s">
        <v>335</v>
      </c>
      <c r="O686" s="139" t="s">
        <v>335</v>
      </c>
      <c r="P686" s="28">
        <v>20</v>
      </c>
      <c r="Q686" s="13" t="s">
        <v>54</v>
      </c>
      <c r="R686" s="13" t="s">
        <v>28</v>
      </c>
      <c r="S686" s="13"/>
      <c r="T686" s="13"/>
      <c r="U686" s="13" t="s">
        <v>1741</v>
      </c>
      <c r="V686" s="13" t="s">
        <v>1741</v>
      </c>
      <c r="W686" s="59">
        <f>+J686/$W$2</f>
        <v>5.4631827263685112E-5</v>
      </c>
      <c r="AC686" s="56"/>
    </row>
    <row r="687" spans="1:29">
      <c r="A687" s="13" t="s">
        <v>1402</v>
      </c>
      <c r="B687" s="13" t="s">
        <v>538</v>
      </c>
      <c r="C687" s="139">
        <v>46232</v>
      </c>
      <c r="D687" s="139" t="s">
        <v>516</v>
      </c>
      <c r="E687" s="28">
        <v>0.96234978000000004</v>
      </c>
      <c r="F687" s="13"/>
      <c r="G687" s="18">
        <v>6500000</v>
      </c>
      <c r="H687" s="18">
        <v>6255273.5800000001</v>
      </c>
      <c r="I687" s="18">
        <v>6500000</v>
      </c>
      <c r="J687" s="18">
        <v>6255273.5800000001</v>
      </c>
      <c r="K687" s="15">
        <v>29175492</v>
      </c>
      <c r="L687" s="13" t="s">
        <v>102</v>
      </c>
      <c r="M687" s="13" t="s">
        <v>103</v>
      </c>
      <c r="N687" s="139" t="s">
        <v>379</v>
      </c>
      <c r="O687" s="139" t="s">
        <v>379</v>
      </c>
      <c r="P687" s="28">
        <v>28</v>
      </c>
      <c r="Q687" s="13" t="s">
        <v>54</v>
      </c>
      <c r="R687" s="13" t="s">
        <v>28</v>
      </c>
      <c r="S687" s="13"/>
      <c r="T687" s="13"/>
      <c r="U687" s="13" t="s">
        <v>1381</v>
      </c>
      <c r="V687" s="13" t="s">
        <v>1381</v>
      </c>
      <c r="W687" s="59">
        <f>+J687/$W$2</f>
        <v>1.4051476833580449E-4</v>
      </c>
    </row>
    <row r="688" spans="1:29">
      <c r="A688" s="13" t="s">
        <v>819</v>
      </c>
      <c r="B688" s="13" t="s">
        <v>538</v>
      </c>
      <c r="C688" s="139">
        <v>46232</v>
      </c>
      <c r="D688" s="139" t="s">
        <v>516</v>
      </c>
      <c r="E688" s="28">
        <v>0.96105755000000004</v>
      </c>
      <c r="F688" s="13"/>
      <c r="G688" s="18">
        <v>5000000</v>
      </c>
      <c r="H688" s="18">
        <v>4805287.74</v>
      </c>
      <c r="I688" s="18">
        <v>5000000</v>
      </c>
      <c r="J688" s="18">
        <v>4805287.74</v>
      </c>
      <c r="K688" s="15">
        <v>43315</v>
      </c>
      <c r="L688" s="13" t="s">
        <v>102</v>
      </c>
      <c r="M688" s="13" t="s">
        <v>103</v>
      </c>
      <c r="N688" s="139" t="s">
        <v>366</v>
      </c>
      <c r="O688" s="139" t="s">
        <v>366</v>
      </c>
      <c r="P688" s="28">
        <v>29</v>
      </c>
      <c r="Q688" s="13" t="s">
        <v>54</v>
      </c>
      <c r="R688" s="13" t="s">
        <v>28</v>
      </c>
      <c r="S688" s="13"/>
      <c r="T688" s="13"/>
      <c r="U688" s="13" t="s">
        <v>997</v>
      </c>
      <c r="V688" s="13" t="s">
        <v>997</v>
      </c>
      <c r="W688" s="59">
        <f>+J688/$W$2</f>
        <v>1.0794314348325938E-4</v>
      </c>
    </row>
    <row r="689" spans="1:35">
      <c r="A689" s="13" t="s">
        <v>993</v>
      </c>
      <c r="B689" s="13" t="s">
        <v>538</v>
      </c>
      <c r="C689" s="139">
        <v>46232</v>
      </c>
      <c r="D689" s="139" t="s">
        <v>516</v>
      </c>
      <c r="E689" s="28">
        <v>0.96105750999999995</v>
      </c>
      <c r="F689" s="13"/>
      <c r="G689" s="18">
        <v>5000000</v>
      </c>
      <c r="H689" s="18">
        <v>4805287.54</v>
      </c>
      <c r="I689" s="18">
        <v>5000000</v>
      </c>
      <c r="J689" s="18">
        <v>4805287.54</v>
      </c>
      <c r="K689" s="15">
        <v>16779578</v>
      </c>
      <c r="L689" s="13" t="s">
        <v>102</v>
      </c>
      <c r="M689" s="13" t="s">
        <v>103</v>
      </c>
      <c r="N689" s="139" t="s">
        <v>428</v>
      </c>
      <c r="O689" s="139" t="s">
        <v>428</v>
      </c>
      <c r="P689" s="28">
        <v>29</v>
      </c>
      <c r="Q689" s="13" t="s">
        <v>54</v>
      </c>
      <c r="R689" s="13" t="s">
        <v>28</v>
      </c>
      <c r="S689" s="13"/>
      <c r="T689" s="13"/>
      <c r="U689" s="13" t="s">
        <v>930</v>
      </c>
      <c r="V689" s="13" t="s">
        <v>930</v>
      </c>
      <c r="W689" s="59">
        <f>+J689/$W$2</f>
        <v>1.0794313899057759E-4</v>
      </c>
    </row>
    <row r="690" spans="1:35">
      <c r="A690" s="13" t="s">
        <v>993</v>
      </c>
      <c r="B690" s="13" t="s">
        <v>538</v>
      </c>
      <c r="C690" s="139">
        <v>46232</v>
      </c>
      <c r="D690" s="139" t="s">
        <v>516</v>
      </c>
      <c r="E690" s="28">
        <v>0.96364554000000002</v>
      </c>
      <c r="F690" s="13"/>
      <c r="G690" s="18">
        <v>20000000</v>
      </c>
      <c r="H690" s="18">
        <v>19272910.800000001</v>
      </c>
      <c r="I690" s="18">
        <v>20000000</v>
      </c>
      <c r="J690" s="18">
        <v>19272910.800000001</v>
      </c>
      <c r="K690" s="15">
        <v>66450549</v>
      </c>
      <c r="L690" s="13" t="s">
        <v>102</v>
      </c>
      <c r="M690" s="13" t="s">
        <v>103</v>
      </c>
      <c r="N690" s="139" t="s">
        <v>431</v>
      </c>
      <c r="O690" s="139" t="s">
        <v>431</v>
      </c>
      <c r="P690" s="28">
        <v>27</v>
      </c>
      <c r="Q690" s="13" t="s">
        <v>54</v>
      </c>
      <c r="R690" s="13" t="s">
        <v>28</v>
      </c>
      <c r="S690" s="13"/>
      <c r="T690" s="13"/>
      <c r="U690" s="13" t="s">
        <v>1176</v>
      </c>
      <c r="V690" s="13" t="s">
        <v>1176</v>
      </c>
      <c r="W690" s="59">
        <f>+J690/$W$2</f>
        <v>4.3293527638460608E-4</v>
      </c>
      <c r="AC690" s="56"/>
    </row>
    <row r="691" spans="1:35">
      <c r="A691" s="13" t="s">
        <v>923</v>
      </c>
      <c r="B691" s="13" t="s">
        <v>538</v>
      </c>
      <c r="C691" s="139">
        <v>46233</v>
      </c>
      <c r="D691" s="139" t="s">
        <v>516</v>
      </c>
      <c r="E691" s="28">
        <v>0.95639876999999995</v>
      </c>
      <c r="F691" s="13"/>
      <c r="G691" s="18">
        <v>15000000</v>
      </c>
      <c r="H691" s="18">
        <v>14345981.619999999</v>
      </c>
      <c r="I691" s="18">
        <v>15000000</v>
      </c>
      <c r="J691" s="18">
        <v>14345981.619999999</v>
      </c>
      <c r="K691" s="15">
        <v>174</v>
      </c>
      <c r="L691" s="13" t="s">
        <v>102</v>
      </c>
      <c r="M691" s="13" t="s">
        <v>103</v>
      </c>
      <c r="N691" s="139" t="s">
        <v>378</v>
      </c>
      <c r="O691" s="139" t="s">
        <v>378</v>
      </c>
      <c r="P691" s="28">
        <v>32</v>
      </c>
      <c r="Q691" s="13" t="s">
        <v>54</v>
      </c>
      <c r="R691" s="13" t="s">
        <v>28</v>
      </c>
      <c r="S691" s="13"/>
      <c r="T691" s="13"/>
      <c r="U691" s="13" t="s">
        <v>856</v>
      </c>
      <c r="V691" s="13" t="s">
        <v>856</v>
      </c>
      <c r="W691" s="59">
        <f>+J691/$W$2</f>
        <v>3.2225965149297418E-4</v>
      </c>
    </row>
    <row r="692" spans="1:35">
      <c r="A692" s="13" t="s">
        <v>550</v>
      </c>
      <c r="B692" s="13" t="s">
        <v>538</v>
      </c>
      <c r="C692" s="139">
        <v>46233</v>
      </c>
      <c r="D692" s="139" t="s">
        <v>516</v>
      </c>
      <c r="E692" s="28">
        <v>0.95250526999999996</v>
      </c>
      <c r="F692" s="13"/>
      <c r="G692" s="18">
        <v>25000000</v>
      </c>
      <c r="H692" s="18">
        <v>23812631.84</v>
      </c>
      <c r="I692" s="18">
        <v>25000000</v>
      </c>
      <c r="J692" s="18">
        <v>23812631.84</v>
      </c>
      <c r="K692" s="15">
        <v>1310</v>
      </c>
      <c r="L692" s="13" t="s">
        <v>102</v>
      </c>
      <c r="M692" s="13" t="s">
        <v>103</v>
      </c>
      <c r="N692" s="139" t="s">
        <v>428</v>
      </c>
      <c r="O692" s="139" t="s">
        <v>428</v>
      </c>
      <c r="P692" s="28">
        <v>35</v>
      </c>
      <c r="Q692" s="13" t="s">
        <v>54</v>
      </c>
      <c r="R692" s="13" t="s">
        <v>28</v>
      </c>
      <c r="S692" s="13"/>
      <c r="T692" s="13"/>
      <c r="U692" s="13" t="s">
        <v>991</v>
      </c>
      <c r="V692" s="13" t="s">
        <v>991</v>
      </c>
      <c r="W692" s="59">
        <f>+J692/$W$2</f>
        <v>5.3491288649015441E-4</v>
      </c>
    </row>
    <row r="693" spans="1:35">
      <c r="A693" s="13" t="s">
        <v>1959</v>
      </c>
      <c r="B693" s="13" t="s">
        <v>538</v>
      </c>
      <c r="C693" s="139">
        <v>46233</v>
      </c>
      <c r="D693" s="139" t="s">
        <v>516</v>
      </c>
      <c r="E693" s="28">
        <v>0.96032424000000005</v>
      </c>
      <c r="F693" s="13"/>
      <c r="G693" s="18">
        <v>100000000</v>
      </c>
      <c r="H693" s="18">
        <v>96032423.560000002</v>
      </c>
      <c r="I693" s="18">
        <v>100000000</v>
      </c>
      <c r="J693" s="18">
        <v>96032423.560000002</v>
      </c>
      <c r="K693" s="15">
        <v>90003811</v>
      </c>
      <c r="L693" s="13" t="s">
        <v>102</v>
      </c>
      <c r="M693" s="13" t="s">
        <v>103</v>
      </c>
      <c r="N693" s="139" t="s">
        <v>369</v>
      </c>
      <c r="O693" s="139" t="s">
        <v>369</v>
      </c>
      <c r="P693" s="28">
        <v>29</v>
      </c>
      <c r="Q693" s="13" t="s">
        <v>54</v>
      </c>
      <c r="R693" s="13" t="s">
        <v>28</v>
      </c>
      <c r="S693" s="13"/>
      <c r="T693" s="13"/>
      <c r="U693" s="13" t="s">
        <v>1936</v>
      </c>
      <c r="V693" s="13" t="s">
        <v>1936</v>
      </c>
      <c r="W693" s="59">
        <f>+J693/$W$2</f>
        <v>2.1572156000344359E-3</v>
      </c>
    </row>
    <row r="694" spans="1:35">
      <c r="A694" s="13" t="s">
        <v>1822</v>
      </c>
      <c r="B694" s="13" t="s">
        <v>538</v>
      </c>
      <c r="C694" s="139">
        <v>46233</v>
      </c>
      <c r="D694" s="139" t="s">
        <v>516</v>
      </c>
      <c r="E694" s="28">
        <v>0.95901208999999998</v>
      </c>
      <c r="F694" s="13"/>
      <c r="G694" s="18">
        <v>100000000</v>
      </c>
      <c r="H694" s="18">
        <v>95901208.879999995</v>
      </c>
      <c r="I694" s="18">
        <v>100000000</v>
      </c>
      <c r="J694" s="18">
        <v>95901208.879999995</v>
      </c>
      <c r="K694" s="15">
        <v>5412</v>
      </c>
      <c r="L694" s="13" t="s">
        <v>102</v>
      </c>
      <c r="M694" s="13" t="s">
        <v>103</v>
      </c>
      <c r="N694" s="139" t="s">
        <v>335</v>
      </c>
      <c r="O694" s="139" t="s">
        <v>335</v>
      </c>
      <c r="P694" s="28">
        <v>30</v>
      </c>
      <c r="Q694" s="13" t="s">
        <v>54</v>
      </c>
      <c r="R694" s="13" t="s">
        <v>28</v>
      </c>
      <c r="S694" s="13"/>
      <c r="T694" s="13"/>
      <c r="U694" s="13" t="s">
        <v>1781</v>
      </c>
      <c r="V694" s="13" t="s">
        <v>1781</v>
      </c>
      <c r="W694" s="59">
        <f>+J694/$W$2</f>
        <v>2.1542680710212509E-3</v>
      </c>
      <c r="AC694" s="56"/>
      <c r="AE694" s="16"/>
      <c r="AF694" s="28"/>
      <c r="AG694" s="13"/>
      <c r="AH694" s="18"/>
      <c r="AI694" s="18"/>
    </row>
    <row r="695" spans="1:35">
      <c r="A695" s="13" t="s">
        <v>2058</v>
      </c>
      <c r="B695" s="13" t="s">
        <v>538</v>
      </c>
      <c r="C695" s="139">
        <v>46233</v>
      </c>
      <c r="D695" s="139" t="s">
        <v>516</v>
      </c>
      <c r="E695" s="28">
        <v>0.95639887999999995</v>
      </c>
      <c r="F695" s="13"/>
      <c r="G695" s="18">
        <v>27063960</v>
      </c>
      <c r="H695" s="18">
        <v>25883941</v>
      </c>
      <c r="I695" s="18">
        <v>27063960</v>
      </c>
      <c r="J695" s="18">
        <v>25883941</v>
      </c>
      <c r="K695" s="15">
        <v>10115827</v>
      </c>
      <c r="L695" s="13" t="s">
        <v>102</v>
      </c>
      <c r="M695" s="13" t="s">
        <v>103</v>
      </c>
      <c r="N695" s="139" t="s">
        <v>394</v>
      </c>
      <c r="O695" s="139" t="s">
        <v>394</v>
      </c>
      <c r="P695" s="28">
        <v>32</v>
      </c>
      <c r="Q695" s="13" t="s">
        <v>54</v>
      </c>
      <c r="R695" s="13" t="s">
        <v>28</v>
      </c>
      <c r="S695" s="13"/>
      <c r="T695" s="13"/>
      <c r="U695" s="13" t="s">
        <v>2059</v>
      </c>
      <c r="V695" s="13" t="s">
        <v>2059</v>
      </c>
      <c r="W695" s="59">
        <f>+J695/$W$2</f>
        <v>5.8144155115156951E-4</v>
      </c>
    </row>
    <row r="696" spans="1:35">
      <c r="A696" s="13" t="s">
        <v>2060</v>
      </c>
      <c r="B696" s="13" t="s">
        <v>538</v>
      </c>
      <c r="C696" s="139">
        <v>46233</v>
      </c>
      <c r="D696" s="139" t="s">
        <v>516</v>
      </c>
      <c r="E696" s="28">
        <v>0.95639887999999995</v>
      </c>
      <c r="F696" s="13"/>
      <c r="G696" s="18">
        <v>1084567.1200000001</v>
      </c>
      <c r="H696" s="18">
        <v>1037278.77</v>
      </c>
      <c r="I696" s="18">
        <v>1084567.1200000001</v>
      </c>
      <c r="J696" s="18">
        <v>1037278.77</v>
      </c>
      <c r="K696" s="15">
        <v>71912904</v>
      </c>
      <c r="L696" s="13" t="s">
        <v>102</v>
      </c>
      <c r="M696" s="13" t="s">
        <v>103</v>
      </c>
      <c r="N696" s="139" t="s">
        <v>394</v>
      </c>
      <c r="O696" s="139" t="s">
        <v>394</v>
      </c>
      <c r="P696" s="28">
        <v>32</v>
      </c>
      <c r="Q696" s="13" t="s">
        <v>54</v>
      </c>
      <c r="R696" s="13" t="s">
        <v>28</v>
      </c>
      <c r="S696" s="13"/>
      <c r="T696" s="13"/>
      <c r="U696" s="13" t="s">
        <v>2061</v>
      </c>
      <c r="V696" s="13" t="s">
        <v>2061</v>
      </c>
      <c r="W696" s="59">
        <f>+J696/$W$2</f>
        <v>2.3300817174841812E-5</v>
      </c>
      <c r="AC696" s="56"/>
    </row>
    <row r="697" spans="1:35">
      <c r="A697" s="13" t="s">
        <v>539</v>
      </c>
      <c r="B697" s="13" t="s">
        <v>538</v>
      </c>
      <c r="C697" s="139">
        <v>46233</v>
      </c>
      <c r="D697" s="139" t="s">
        <v>516</v>
      </c>
      <c r="E697" s="28">
        <v>0.95901225000000001</v>
      </c>
      <c r="F697" s="13"/>
      <c r="G697" s="18">
        <v>10000000</v>
      </c>
      <c r="H697" s="18">
        <v>9590122.5399999991</v>
      </c>
      <c r="I697" s="18">
        <v>10000000</v>
      </c>
      <c r="J697" s="18">
        <v>9590122.5399999991</v>
      </c>
      <c r="K697" s="15">
        <v>548</v>
      </c>
      <c r="L697" s="13" t="s">
        <v>102</v>
      </c>
      <c r="M697" s="13" t="s">
        <v>103</v>
      </c>
      <c r="N697" s="139" t="s">
        <v>472</v>
      </c>
      <c r="O697" s="139" t="s">
        <v>472</v>
      </c>
      <c r="P697" s="28">
        <v>30</v>
      </c>
      <c r="Q697" s="13" t="s">
        <v>54</v>
      </c>
      <c r="R697" s="13" t="s">
        <v>28</v>
      </c>
      <c r="S697" s="13"/>
      <c r="T697" s="13"/>
      <c r="U697" s="13" t="s">
        <v>1635</v>
      </c>
      <c r="V697" s="13" t="s">
        <v>1635</v>
      </c>
      <c r="W697" s="59">
        <f>+J697/$W$2</f>
        <v>2.1542684421167665E-4</v>
      </c>
    </row>
    <row r="698" spans="1:35">
      <c r="A698" s="13" t="s">
        <v>148</v>
      </c>
      <c r="B698" s="13" t="s">
        <v>538</v>
      </c>
      <c r="C698" s="139">
        <v>46233</v>
      </c>
      <c r="D698" s="139" t="s">
        <v>516</v>
      </c>
      <c r="E698" s="28">
        <v>0.94608616000000001</v>
      </c>
      <c r="F698" s="13"/>
      <c r="G698" s="18">
        <v>20000000</v>
      </c>
      <c r="H698" s="18">
        <v>18921723.190000001</v>
      </c>
      <c r="I698" s="18">
        <v>20000000</v>
      </c>
      <c r="J698" s="18">
        <v>18921723.190000001</v>
      </c>
      <c r="K698" s="15">
        <v>4122</v>
      </c>
      <c r="L698" s="13" t="s">
        <v>102</v>
      </c>
      <c r="M698" s="13" t="s">
        <v>103</v>
      </c>
      <c r="N698" s="139" t="s">
        <v>161</v>
      </c>
      <c r="O698" s="139" t="s">
        <v>161</v>
      </c>
      <c r="P698" s="28">
        <v>40</v>
      </c>
      <c r="Q698" s="13" t="s">
        <v>54</v>
      </c>
      <c r="R698" s="13" t="s">
        <v>28</v>
      </c>
      <c r="S698" s="13"/>
      <c r="T698" s="13"/>
      <c r="U698" s="13" t="s">
        <v>1278</v>
      </c>
      <c r="V698" s="13" t="s">
        <v>1278</v>
      </c>
      <c r="W698" s="59">
        <f>+J698/$W$2</f>
        <v>4.2504640549343803E-4</v>
      </c>
      <c r="AC698" s="56"/>
    </row>
    <row r="699" spans="1:35">
      <c r="A699" s="13" t="s">
        <v>478</v>
      </c>
      <c r="B699" s="13" t="s">
        <v>538</v>
      </c>
      <c r="C699" s="139">
        <v>46233</v>
      </c>
      <c r="D699" s="139" t="s">
        <v>516</v>
      </c>
      <c r="E699" s="28">
        <v>0.95121447000000003</v>
      </c>
      <c r="F699" s="13"/>
      <c r="G699" s="18">
        <v>5882352.9299999997</v>
      </c>
      <c r="H699" s="18">
        <v>5595379.25</v>
      </c>
      <c r="I699" s="18">
        <v>5882352.9299999997</v>
      </c>
      <c r="J699" s="18">
        <v>5595379.25</v>
      </c>
      <c r="K699" s="15">
        <v>2617</v>
      </c>
      <c r="L699" s="13" t="s">
        <v>102</v>
      </c>
      <c r="M699" s="13" t="s">
        <v>103</v>
      </c>
      <c r="N699" s="139" t="s">
        <v>391</v>
      </c>
      <c r="O699" s="139" t="s">
        <v>391</v>
      </c>
      <c r="P699" s="28">
        <v>36</v>
      </c>
      <c r="Q699" s="13" t="s">
        <v>54</v>
      </c>
      <c r="R699" s="13" t="s">
        <v>28</v>
      </c>
      <c r="S699" s="13"/>
      <c r="T699" s="13"/>
      <c r="U699" s="13" t="s">
        <v>1667</v>
      </c>
      <c r="V699" s="13" t="s">
        <v>1667</v>
      </c>
      <c r="W699" s="59">
        <f>+J699/$W$2</f>
        <v>1.2569129215683601E-4</v>
      </c>
    </row>
    <row r="700" spans="1:35">
      <c r="A700" s="13" t="s">
        <v>639</v>
      </c>
      <c r="B700" s="13" t="s">
        <v>538</v>
      </c>
      <c r="C700" s="139">
        <v>46233</v>
      </c>
      <c r="D700" s="139" t="s">
        <v>516</v>
      </c>
      <c r="E700" s="28">
        <v>0.96032424000000005</v>
      </c>
      <c r="F700" s="13"/>
      <c r="G700" s="18">
        <v>12500000</v>
      </c>
      <c r="H700" s="18">
        <v>12004052.99</v>
      </c>
      <c r="I700" s="18">
        <v>12500000</v>
      </c>
      <c r="J700" s="18">
        <v>12004052.99</v>
      </c>
      <c r="K700" s="15">
        <v>28996512</v>
      </c>
      <c r="L700" s="13" t="s">
        <v>102</v>
      </c>
      <c r="M700" s="13" t="s">
        <v>103</v>
      </c>
      <c r="N700" s="139" t="s">
        <v>155</v>
      </c>
      <c r="O700" s="139" t="s">
        <v>155</v>
      </c>
      <c r="P700" s="28">
        <v>29</v>
      </c>
      <c r="Q700" s="13" t="s">
        <v>54</v>
      </c>
      <c r="R700" s="13" t="s">
        <v>28</v>
      </c>
      <c r="S700" s="13"/>
      <c r="T700" s="13"/>
      <c r="U700" s="13" t="s">
        <v>621</v>
      </c>
      <c r="V700" s="13" t="s">
        <v>621</v>
      </c>
      <c r="W700" s="59">
        <f>+J700/$W$2</f>
        <v>2.6965195101515788E-4</v>
      </c>
    </row>
    <row r="701" spans="1:35">
      <c r="A701" s="13" t="s">
        <v>338</v>
      </c>
      <c r="B701" s="13" t="s">
        <v>538</v>
      </c>
      <c r="C701" s="139">
        <v>46233</v>
      </c>
      <c r="D701" s="139" t="s">
        <v>516</v>
      </c>
      <c r="E701" s="28">
        <v>0.96295916999999998</v>
      </c>
      <c r="F701" s="13"/>
      <c r="G701" s="18">
        <v>75000000</v>
      </c>
      <c r="H701" s="18">
        <v>72221937.709999993</v>
      </c>
      <c r="I701" s="18">
        <v>75000000</v>
      </c>
      <c r="J701" s="18">
        <v>72221937.709999993</v>
      </c>
      <c r="K701" s="15">
        <v>16181</v>
      </c>
      <c r="L701" s="13" t="s">
        <v>102</v>
      </c>
      <c r="M701" s="13" t="s">
        <v>103</v>
      </c>
      <c r="N701" s="139" t="s">
        <v>344</v>
      </c>
      <c r="O701" s="139" t="s">
        <v>344</v>
      </c>
      <c r="P701" s="28">
        <v>27</v>
      </c>
      <c r="Q701" s="13" t="s">
        <v>54</v>
      </c>
      <c r="R701" s="13" t="s">
        <v>28</v>
      </c>
      <c r="S701" s="13"/>
      <c r="T701" s="13"/>
      <c r="U701" s="13" t="s">
        <v>1112</v>
      </c>
      <c r="V701" s="13" t="s">
        <v>1112</v>
      </c>
      <c r="W701" s="59">
        <f>+J701/$W$2</f>
        <v>1.6223509197951902E-3</v>
      </c>
      <c r="AC701" s="56"/>
    </row>
    <row r="702" spans="1:35">
      <c r="A702" s="13" t="s">
        <v>992</v>
      </c>
      <c r="B702" s="13" t="s">
        <v>538</v>
      </c>
      <c r="C702" s="139">
        <v>46233</v>
      </c>
      <c r="D702" s="139" t="s">
        <v>516</v>
      </c>
      <c r="E702" s="28">
        <v>0.95250526999999996</v>
      </c>
      <c r="F702" s="13"/>
      <c r="G702" s="18">
        <v>5450000</v>
      </c>
      <c r="H702" s="18">
        <v>5191153.74</v>
      </c>
      <c r="I702" s="18">
        <v>5450000</v>
      </c>
      <c r="J702" s="18">
        <v>5191153.74</v>
      </c>
      <c r="K702" s="15">
        <v>6900</v>
      </c>
      <c r="L702" s="13" t="s">
        <v>102</v>
      </c>
      <c r="M702" s="13" t="s">
        <v>103</v>
      </c>
      <c r="N702" s="139" t="s">
        <v>428</v>
      </c>
      <c r="O702" s="139" t="s">
        <v>428</v>
      </c>
      <c r="P702" s="28">
        <v>35</v>
      </c>
      <c r="Q702" s="13" t="s">
        <v>54</v>
      </c>
      <c r="R702" s="13" t="s">
        <v>28</v>
      </c>
      <c r="S702" s="13"/>
      <c r="T702" s="13"/>
      <c r="U702" s="13" t="s">
        <v>985</v>
      </c>
      <c r="V702" s="13" t="s">
        <v>985</v>
      </c>
      <c r="W702" s="59">
        <f>+J702/$W$2</f>
        <v>1.1661100922969464E-4</v>
      </c>
    </row>
    <row r="703" spans="1:35">
      <c r="A703" s="13" t="s">
        <v>993</v>
      </c>
      <c r="B703" s="13" t="s">
        <v>538</v>
      </c>
      <c r="C703" s="139">
        <v>46233</v>
      </c>
      <c r="D703" s="139" t="s">
        <v>516</v>
      </c>
      <c r="E703" s="28">
        <v>0.96032415999999998</v>
      </c>
      <c r="F703" s="13"/>
      <c r="G703" s="18">
        <v>5000000</v>
      </c>
      <c r="H703" s="18">
        <v>4801620.78</v>
      </c>
      <c r="I703" s="18">
        <v>5000000</v>
      </c>
      <c r="J703" s="18">
        <v>4801620.78</v>
      </c>
      <c r="K703" s="15">
        <v>16779605</v>
      </c>
      <c r="L703" s="13" t="s">
        <v>102</v>
      </c>
      <c r="M703" s="13" t="s">
        <v>103</v>
      </c>
      <c r="N703" s="139" t="s">
        <v>359</v>
      </c>
      <c r="O703" s="139" t="s">
        <v>359</v>
      </c>
      <c r="P703" s="28">
        <v>29</v>
      </c>
      <c r="Q703" s="13" t="s">
        <v>54</v>
      </c>
      <c r="R703" s="13" t="s">
        <v>28</v>
      </c>
      <c r="S703" s="13"/>
      <c r="T703" s="13"/>
      <c r="U703" s="13" t="s">
        <v>1305</v>
      </c>
      <c r="V703" s="13" t="s">
        <v>1305</v>
      </c>
      <c r="W703" s="59">
        <f>+J703/$W$2</f>
        <v>1.0786077106128504E-4</v>
      </c>
    </row>
    <row r="704" spans="1:35">
      <c r="A704" s="13" t="s">
        <v>198</v>
      </c>
      <c r="B704" s="13" t="s">
        <v>538</v>
      </c>
      <c r="C704" s="139">
        <v>46233</v>
      </c>
      <c r="D704" s="139" t="s">
        <v>516</v>
      </c>
      <c r="E704" s="28">
        <v>0.96032415000000004</v>
      </c>
      <c r="F704" s="13"/>
      <c r="G704" s="18">
        <v>6530318</v>
      </c>
      <c r="H704" s="18">
        <v>6271222.0999999996</v>
      </c>
      <c r="I704" s="18">
        <v>6530318</v>
      </c>
      <c r="J704" s="18">
        <v>6271222.0999999996</v>
      </c>
      <c r="K704" s="15">
        <v>69</v>
      </c>
      <c r="L704" s="13" t="s">
        <v>102</v>
      </c>
      <c r="M704" s="13" t="s">
        <v>103</v>
      </c>
      <c r="N704" s="139" t="s">
        <v>257</v>
      </c>
      <c r="O704" s="139" t="s">
        <v>257</v>
      </c>
      <c r="P704" s="28">
        <v>29</v>
      </c>
      <c r="Q704" s="13" t="s">
        <v>54</v>
      </c>
      <c r="R704" s="13" t="s">
        <v>28</v>
      </c>
      <c r="S704" s="13"/>
      <c r="T704" s="13"/>
      <c r="U704" s="13" t="s">
        <v>386</v>
      </c>
      <c r="V704" s="13" t="s">
        <v>386</v>
      </c>
      <c r="W704" s="59">
        <f>+J704/$W$2</f>
        <v>1.4087302646223786E-4</v>
      </c>
    </row>
    <row r="705" spans="1:29">
      <c r="A705" s="13" t="s">
        <v>198</v>
      </c>
      <c r="B705" s="13" t="s">
        <v>538</v>
      </c>
      <c r="C705" s="139">
        <v>46233</v>
      </c>
      <c r="D705" s="139" t="s">
        <v>516</v>
      </c>
      <c r="E705" s="28">
        <v>0.97229622000000004</v>
      </c>
      <c r="F705" s="13"/>
      <c r="G705" s="18">
        <v>2500000</v>
      </c>
      <c r="H705" s="18">
        <v>2430740.5499999998</v>
      </c>
      <c r="I705" s="18">
        <v>2500000</v>
      </c>
      <c r="J705" s="18">
        <v>2430740.5499999998</v>
      </c>
      <c r="K705" s="15">
        <v>6128</v>
      </c>
      <c r="L705" s="13" t="s">
        <v>102</v>
      </c>
      <c r="M705" s="13" t="s">
        <v>103</v>
      </c>
      <c r="N705" s="139" t="s">
        <v>335</v>
      </c>
      <c r="O705" s="139" t="s">
        <v>335</v>
      </c>
      <c r="P705" s="28">
        <v>20</v>
      </c>
      <c r="Q705" s="13" t="s">
        <v>54</v>
      </c>
      <c r="R705" s="13" t="s">
        <v>28</v>
      </c>
      <c r="S705" s="13"/>
      <c r="T705" s="13"/>
      <c r="U705" s="13" t="s">
        <v>1759</v>
      </c>
      <c r="V705" s="13" t="s">
        <v>1759</v>
      </c>
      <c r="W705" s="59">
        <f>+J705/$W$2</f>
        <v>5.4602718953772117E-5</v>
      </c>
    </row>
    <row r="706" spans="1:29">
      <c r="A706" s="13" t="s">
        <v>1402</v>
      </c>
      <c r="B706" s="13" t="s">
        <v>538</v>
      </c>
      <c r="C706" s="139">
        <v>46233</v>
      </c>
      <c r="D706" s="139" t="s">
        <v>516</v>
      </c>
      <c r="E706" s="28">
        <v>0.96163982000000003</v>
      </c>
      <c r="F706" s="13"/>
      <c r="G706" s="18">
        <v>6500000</v>
      </c>
      <c r="H706" s="18">
        <v>6250658.8200000003</v>
      </c>
      <c r="I706" s="18">
        <v>6500000</v>
      </c>
      <c r="J706" s="18">
        <v>6250658.8200000003</v>
      </c>
      <c r="K706" s="15">
        <v>29175493</v>
      </c>
      <c r="L706" s="13" t="s">
        <v>102</v>
      </c>
      <c r="M706" s="13" t="s">
        <v>103</v>
      </c>
      <c r="N706" s="139" t="s">
        <v>379</v>
      </c>
      <c r="O706" s="139" t="s">
        <v>379</v>
      </c>
      <c r="P706" s="28">
        <v>28</v>
      </c>
      <c r="Q706" s="13" t="s">
        <v>54</v>
      </c>
      <c r="R706" s="13" t="s">
        <v>28</v>
      </c>
      <c r="S706" s="13"/>
      <c r="T706" s="13"/>
      <c r="U706" s="13" t="s">
        <v>1382</v>
      </c>
      <c r="V706" s="13" t="s">
        <v>1382</v>
      </c>
      <c r="W706" s="59">
        <f>+J706/$W$2</f>
        <v>1.4041110509485551E-4</v>
      </c>
    </row>
    <row r="707" spans="1:29">
      <c r="A707" s="13" t="s">
        <v>819</v>
      </c>
      <c r="B707" s="13" t="s">
        <v>538</v>
      </c>
      <c r="C707" s="139">
        <v>46233</v>
      </c>
      <c r="D707" s="139" t="s">
        <v>516</v>
      </c>
      <c r="E707" s="28">
        <v>0.96032423</v>
      </c>
      <c r="F707" s="13"/>
      <c r="G707" s="18">
        <v>5000000</v>
      </c>
      <c r="H707" s="18">
        <v>4801621.13</v>
      </c>
      <c r="I707" s="18">
        <v>5000000</v>
      </c>
      <c r="J707" s="18">
        <v>4801621.13</v>
      </c>
      <c r="K707" s="15">
        <v>43316</v>
      </c>
      <c r="L707" s="13" t="s">
        <v>102</v>
      </c>
      <c r="M707" s="13" t="s">
        <v>103</v>
      </c>
      <c r="N707" s="139" t="s">
        <v>366</v>
      </c>
      <c r="O707" s="139" t="s">
        <v>366</v>
      </c>
      <c r="P707" s="28">
        <v>29</v>
      </c>
      <c r="Q707" s="13" t="s">
        <v>54</v>
      </c>
      <c r="R707" s="13" t="s">
        <v>28</v>
      </c>
      <c r="S707" s="13"/>
      <c r="T707" s="13"/>
      <c r="U707" s="13" t="s">
        <v>998</v>
      </c>
      <c r="V707" s="13" t="s">
        <v>998</v>
      </c>
      <c r="W707" s="59">
        <f>+J707/$W$2</f>
        <v>1.0786077892347815E-4</v>
      </c>
    </row>
    <row r="708" spans="1:29">
      <c r="A708" s="13" t="s">
        <v>993</v>
      </c>
      <c r="B708" s="13" t="s">
        <v>538</v>
      </c>
      <c r="C708" s="139">
        <v>46233</v>
      </c>
      <c r="D708" s="139" t="s">
        <v>516</v>
      </c>
      <c r="E708" s="28">
        <v>0.96032419000000002</v>
      </c>
      <c r="F708" s="13"/>
      <c r="G708" s="18">
        <v>5000000</v>
      </c>
      <c r="H708" s="18">
        <v>4801620.9400000004</v>
      </c>
      <c r="I708" s="18">
        <v>5000000</v>
      </c>
      <c r="J708" s="18">
        <v>4801620.9400000004</v>
      </c>
      <c r="K708" s="15">
        <v>16779579</v>
      </c>
      <c r="L708" s="13" t="s">
        <v>102</v>
      </c>
      <c r="M708" s="13" t="s">
        <v>103</v>
      </c>
      <c r="N708" s="139" t="s">
        <v>428</v>
      </c>
      <c r="O708" s="139" t="s">
        <v>428</v>
      </c>
      <c r="P708" s="28">
        <v>29</v>
      </c>
      <c r="Q708" s="13" t="s">
        <v>54</v>
      </c>
      <c r="R708" s="13" t="s">
        <v>28</v>
      </c>
      <c r="S708" s="13"/>
      <c r="T708" s="13"/>
      <c r="U708" s="13" t="s">
        <v>931</v>
      </c>
      <c r="V708" s="13" t="s">
        <v>931</v>
      </c>
      <c r="W708" s="59">
        <f>+J708/$W$2</f>
        <v>1.0786077465543047E-4</v>
      </c>
    </row>
    <row r="709" spans="1:29">
      <c r="A709" s="13" t="s">
        <v>550</v>
      </c>
      <c r="B709" s="13" t="s">
        <v>538</v>
      </c>
      <c r="C709" s="139">
        <v>46234</v>
      </c>
      <c r="D709" s="139" t="s">
        <v>516</v>
      </c>
      <c r="E709" s="28">
        <v>0.95163609999999998</v>
      </c>
      <c r="F709" s="13"/>
      <c r="G709" s="18">
        <v>16600000</v>
      </c>
      <c r="H709" s="18">
        <v>15797159.199999999</v>
      </c>
      <c r="I709" s="18">
        <v>16600000</v>
      </c>
      <c r="J709" s="18">
        <v>15797159.199999999</v>
      </c>
      <c r="K709" s="15">
        <v>29088024</v>
      </c>
      <c r="L709" s="13" t="s">
        <v>102</v>
      </c>
      <c r="M709" s="13" t="s">
        <v>103</v>
      </c>
      <c r="N709" s="139" t="s">
        <v>152</v>
      </c>
      <c r="O709" s="139" t="s">
        <v>152</v>
      </c>
      <c r="P709" s="28">
        <v>35</v>
      </c>
      <c r="Q709" s="13" t="s">
        <v>54</v>
      </c>
      <c r="R709" s="13" t="s">
        <v>28</v>
      </c>
      <c r="S709" s="13"/>
      <c r="T709" s="13"/>
      <c r="U709" s="13" t="s">
        <v>783</v>
      </c>
      <c r="V709" s="13" t="s">
        <v>783</v>
      </c>
      <c r="W709" s="59">
        <f>+J709/$W$2</f>
        <v>3.5485804688846598E-4</v>
      </c>
    </row>
    <row r="710" spans="1:29">
      <c r="A710" s="13" t="s">
        <v>1822</v>
      </c>
      <c r="B710" s="13" t="s">
        <v>538</v>
      </c>
      <c r="C710" s="139">
        <v>46234</v>
      </c>
      <c r="D710" s="139" t="s">
        <v>516</v>
      </c>
      <c r="E710" s="28">
        <v>0.95825693000000001</v>
      </c>
      <c r="F710" s="13"/>
      <c r="G710" s="18">
        <v>100000000</v>
      </c>
      <c r="H710" s="18">
        <v>95825693.230000004</v>
      </c>
      <c r="I710" s="18">
        <v>100000000</v>
      </c>
      <c r="J710" s="18">
        <v>95825693.230000004</v>
      </c>
      <c r="K710" s="15">
        <v>5413</v>
      </c>
      <c r="L710" s="13" t="s">
        <v>102</v>
      </c>
      <c r="M710" s="13" t="s">
        <v>103</v>
      </c>
      <c r="N710" s="139" t="s">
        <v>335</v>
      </c>
      <c r="O710" s="139" t="s">
        <v>335</v>
      </c>
      <c r="P710" s="28">
        <v>30</v>
      </c>
      <c r="Q710" s="13" t="s">
        <v>54</v>
      </c>
      <c r="R710" s="13" t="s">
        <v>28</v>
      </c>
      <c r="S710" s="13"/>
      <c r="T710" s="13"/>
      <c r="U710" s="13" t="s">
        <v>1780</v>
      </c>
      <c r="V710" s="13" t="s">
        <v>1780</v>
      </c>
      <c r="W710" s="59">
        <f>+J710/$W$2</f>
        <v>2.1525717320954201E-3</v>
      </c>
    </row>
    <row r="711" spans="1:29">
      <c r="A711" s="13" t="s">
        <v>2029</v>
      </c>
      <c r="B711" s="13" t="s">
        <v>538</v>
      </c>
      <c r="C711" s="139">
        <v>46234</v>
      </c>
      <c r="D711" s="139" t="s">
        <v>516</v>
      </c>
      <c r="E711" s="28">
        <v>0.95559755000000002</v>
      </c>
      <c r="F711" s="13"/>
      <c r="G711" s="18">
        <v>2662911.02</v>
      </c>
      <c r="H711" s="18">
        <v>2544671.25</v>
      </c>
      <c r="I711" s="18">
        <v>2662911.02</v>
      </c>
      <c r="J711" s="18">
        <v>2544671.25</v>
      </c>
      <c r="K711" s="15">
        <v>29386199</v>
      </c>
      <c r="L711" s="13" t="s">
        <v>102</v>
      </c>
      <c r="M711" s="13" t="s">
        <v>103</v>
      </c>
      <c r="N711" s="139" t="s">
        <v>394</v>
      </c>
      <c r="O711" s="139" t="s">
        <v>394</v>
      </c>
      <c r="P711" s="28">
        <v>32</v>
      </c>
      <c r="Q711" s="13" t="s">
        <v>54</v>
      </c>
      <c r="R711" s="13" t="s">
        <v>28</v>
      </c>
      <c r="S711" s="13"/>
      <c r="T711" s="13"/>
      <c r="U711" s="13" t="s">
        <v>2030</v>
      </c>
      <c r="V711" s="13" t="s">
        <v>2030</v>
      </c>
      <c r="W711" s="59">
        <f>+J711/$W$2</f>
        <v>5.7161990856446606E-5</v>
      </c>
    </row>
    <row r="712" spans="1:29">
      <c r="A712" s="13" t="s">
        <v>539</v>
      </c>
      <c r="B712" s="13" t="s">
        <v>538</v>
      </c>
      <c r="C712" s="139">
        <v>46234</v>
      </c>
      <c r="D712" s="139" t="s">
        <v>516</v>
      </c>
      <c r="E712" s="28">
        <v>0.95825687999999998</v>
      </c>
      <c r="F712" s="13"/>
      <c r="G712" s="18">
        <v>10000000</v>
      </c>
      <c r="H712" s="18">
        <v>9582568.7799999993</v>
      </c>
      <c r="I712" s="18">
        <v>10000000</v>
      </c>
      <c r="J712" s="18">
        <v>9582568.7799999993</v>
      </c>
      <c r="K712" s="15">
        <v>499</v>
      </c>
      <c r="L712" s="13" t="s">
        <v>102</v>
      </c>
      <c r="M712" s="13" t="s">
        <v>103</v>
      </c>
      <c r="N712" s="139" t="s">
        <v>383</v>
      </c>
      <c r="O712" s="139" t="s">
        <v>383</v>
      </c>
      <c r="P712" s="28">
        <v>30</v>
      </c>
      <c r="Q712" s="13" t="s">
        <v>54</v>
      </c>
      <c r="R712" s="13" t="s">
        <v>28</v>
      </c>
      <c r="S712" s="13"/>
      <c r="T712" s="13"/>
      <c r="U712" s="13" t="s">
        <v>1537</v>
      </c>
      <c r="V712" s="13" t="s">
        <v>1537</v>
      </c>
      <c r="W712" s="59">
        <f>+J712/$W$2</f>
        <v>2.1525716101191095E-4</v>
      </c>
    </row>
    <row r="713" spans="1:29">
      <c r="A713" s="13" t="s">
        <v>313</v>
      </c>
      <c r="B713" s="13" t="s">
        <v>538</v>
      </c>
      <c r="C713" s="139">
        <v>46234</v>
      </c>
      <c r="D713" s="139" t="s">
        <v>516</v>
      </c>
      <c r="E713" s="28">
        <v>0.94770745000000001</v>
      </c>
      <c r="F713" s="13"/>
      <c r="G713" s="18">
        <v>5450000</v>
      </c>
      <c r="H713" s="18">
        <v>5165005.5999999996</v>
      </c>
      <c r="I713" s="18">
        <v>5450000</v>
      </c>
      <c r="J713" s="18">
        <v>5165005.5999999996</v>
      </c>
      <c r="K713" s="15">
        <v>28516</v>
      </c>
      <c r="L713" s="13" t="s">
        <v>102</v>
      </c>
      <c r="M713" s="13" t="s">
        <v>103</v>
      </c>
      <c r="N713" s="139" t="s">
        <v>319</v>
      </c>
      <c r="O713" s="139" t="s">
        <v>319</v>
      </c>
      <c r="P713" s="28">
        <v>38</v>
      </c>
      <c r="Q713" s="13" t="s">
        <v>54</v>
      </c>
      <c r="R713" s="13" t="s">
        <v>28</v>
      </c>
      <c r="S713" s="13"/>
      <c r="T713" s="13"/>
      <c r="U713" s="13" t="s">
        <v>718</v>
      </c>
      <c r="V713" s="13" t="s">
        <v>718</v>
      </c>
      <c r="W713" s="59">
        <f>+J713/$W$2</f>
        <v>1.1602363286836974E-4</v>
      </c>
      <c r="AC713" s="56"/>
    </row>
    <row r="714" spans="1:29">
      <c r="A714" s="13" t="s">
        <v>247</v>
      </c>
      <c r="B714" s="13" t="s">
        <v>538</v>
      </c>
      <c r="C714" s="139">
        <v>46234</v>
      </c>
      <c r="D714" s="139" t="s">
        <v>516</v>
      </c>
      <c r="E714" s="28">
        <v>0.94510623999999999</v>
      </c>
      <c r="F714" s="13"/>
      <c r="G714" s="18">
        <v>4600000</v>
      </c>
      <c r="H714" s="18">
        <v>4347488.6900000004</v>
      </c>
      <c r="I714" s="18">
        <v>4600000</v>
      </c>
      <c r="J714" s="18">
        <v>4347488.6900000004</v>
      </c>
      <c r="K714" s="15">
        <v>1027</v>
      </c>
      <c r="L714" s="13" t="s">
        <v>102</v>
      </c>
      <c r="M714" s="13" t="s">
        <v>103</v>
      </c>
      <c r="N714" s="139" t="s">
        <v>266</v>
      </c>
      <c r="O714" s="139" t="s">
        <v>266</v>
      </c>
      <c r="P714" s="28">
        <v>40</v>
      </c>
      <c r="Q714" s="13" t="s">
        <v>54</v>
      </c>
      <c r="R714" s="13" t="s">
        <v>28</v>
      </c>
      <c r="S714" s="13"/>
      <c r="T714" s="13"/>
      <c r="U714" s="13" t="s">
        <v>500</v>
      </c>
      <c r="V714" s="13" t="s">
        <v>500</v>
      </c>
      <c r="W714" s="59">
        <f>+J714/$W$2</f>
        <v>9.7659416219790697E-5</v>
      </c>
    </row>
    <row r="715" spans="1:29">
      <c r="A715" s="13" t="s">
        <v>478</v>
      </c>
      <c r="B715" s="13" t="s">
        <v>538</v>
      </c>
      <c r="C715" s="139">
        <v>46234</v>
      </c>
      <c r="D715" s="139" t="s">
        <v>516</v>
      </c>
      <c r="E715" s="28">
        <v>0.95032309000000004</v>
      </c>
      <c r="F715" s="13"/>
      <c r="G715" s="18">
        <v>5882352.9299999997</v>
      </c>
      <c r="H715" s="18">
        <v>5590135.7999999998</v>
      </c>
      <c r="I715" s="18">
        <v>5882352.9299999997</v>
      </c>
      <c r="J715" s="18">
        <v>5590135.7999999998</v>
      </c>
      <c r="K715" s="15">
        <v>2618</v>
      </c>
      <c r="L715" s="13" t="s">
        <v>102</v>
      </c>
      <c r="M715" s="13" t="s">
        <v>103</v>
      </c>
      <c r="N715" s="139" t="s">
        <v>391</v>
      </c>
      <c r="O715" s="139" t="s">
        <v>391</v>
      </c>
      <c r="P715" s="28">
        <v>36</v>
      </c>
      <c r="Q715" s="13" t="s">
        <v>54</v>
      </c>
      <c r="R715" s="13" t="s">
        <v>28</v>
      </c>
      <c r="S715" s="13"/>
      <c r="T715" s="13"/>
      <c r="U715" s="13" t="s">
        <v>1668</v>
      </c>
      <c r="V715" s="13" t="s">
        <v>1668</v>
      </c>
      <c r="W715" s="59">
        <f>+J715/$W$2</f>
        <v>1.2557350639533292E-4</v>
      </c>
      <c r="AC715" s="56"/>
    </row>
    <row r="716" spans="1:29">
      <c r="A716" s="13" t="s">
        <v>1840</v>
      </c>
      <c r="B716" s="13" t="s">
        <v>538</v>
      </c>
      <c r="C716" s="139">
        <v>46234</v>
      </c>
      <c r="D716" s="139" t="s">
        <v>516</v>
      </c>
      <c r="E716" s="28">
        <v>0.95559755000000002</v>
      </c>
      <c r="F716" s="13"/>
      <c r="G716" s="18">
        <v>2700000</v>
      </c>
      <c r="H716" s="18">
        <v>2580113.38</v>
      </c>
      <c r="I716" s="18">
        <v>2700000</v>
      </c>
      <c r="J716" s="18">
        <v>2580113.38</v>
      </c>
      <c r="K716" s="15">
        <v>2425</v>
      </c>
      <c r="L716" s="13" t="s">
        <v>102</v>
      </c>
      <c r="M716" s="13" t="s">
        <v>103</v>
      </c>
      <c r="N716" s="139" t="s">
        <v>394</v>
      </c>
      <c r="O716" s="139" t="s">
        <v>394</v>
      </c>
      <c r="P716" s="28">
        <v>32</v>
      </c>
      <c r="Q716" s="13" t="s">
        <v>54</v>
      </c>
      <c r="R716" s="13" t="s">
        <v>28</v>
      </c>
      <c r="S716" s="13"/>
      <c r="T716" s="13"/>
      <c r="U716" s="13" t="s">
        <v>2071</v>
      </c>
      <c r="V716" s="13" t="s">
        <v>2071</v>
      </c>
      <c r="W716" s="59">
        <f>+J716/$W$2</f>
        <v>5.7958141915642557E-5</v>
      </c>
    </row>
    <row r="717" spans="1:29">
      <c r="A717" s="13" t="s">
        <v>339</v>
      </c>
      <c r="B717" s="13" t="s">
        <v>538</v>
      </c>
      <c r="C717" s="139">
        <v>46234</v>
      </c>
      <c r="D717" s="139" t="s">
        <v>516</v>
      </c>
      <c r="E717" s="28">
        <v>0.95959203000000004</v>
      </c>
      <c r="F717" s="13"/>
      <c r="G717" s="18">
        <v>20000000</v>
      </c>
      <c r="H717" s="18">
        <v>19191840.59</v>
      </c>
      <c r="I717" s="18">
        <v>20000000</v>
      </c>
      <c r="J717" s="18">
        <v>19191840.59</v>
      </c>
      <c r="K717" s="15">
        <v>66179118</v>
      </c>
      <c r="L717" s="13" t="s">
        <v>102</v>
      </c>
      <c r="M717" s="13" t="s">
        <v>103</v>
      </c>
      <c r="N717" s="139" t="s">
        <v>152</v>
      </c>
      <c r="O717" s="139" t="s">
        <v>152</v>
      </c>
      <c r="P717" s="28">
        <v>29</v>
      </c>
      <c r="Q717" s="13" t="s">
        <v>54</v>
      </c>
      <c r="R717" s="13" t="s">
        <v>28</v>
      </c>
      <c r="S717" s="13"/>
      <c r="T717" s="13"/>
      <c r="U717" s="13" t="s">
        <v>773</v>
      </c>
      <c r="V717" s="13" t="s">
        <v>773</v>
      </c>
      <c r="W717" s="59">
        <f>+J717/$W$2</f>
        <v>4.3111416310612259E-4</v>
      </c>
      <c r="AC717" s="56"/>
    </row>
    <row r="718" spans="1:29">
      <c r="A718" s="13" t="s">
        <v>339</v>
      </c>
      <c r="B718" s="13" t="s">
        <v>538</v>
      </c>
      <c r="C718" s="139">
        <v>46234</v>
      </c>
      <c r="D718" s="139" t="s">
        <v>516</v>
      </c>
      <c r="E718" s="28">
        <v>0.95959203000000004</v>
      </c>
      <c r="F718" s="13"/>
      <c r="G718" s="18">
        <v>10000000</v>
      </c>
      <c r="H718" s="18">
        <v>9595920.3000000007</v>
      </c>
      <c r="I718" s="18">
        <v>10000000</v>
      </c>
      <c r="J718" s="18">
        <v>9595920.3000000007</v>
      </c>
      <c r="K718" s="15">
        <v>491334</v>
      </c>
      <c r="L718" s="13" t="s">
        <v>102</v>
      </c>
      <c r="M718" s="13" t="s">
        <v>103</v>
      </c>
      <c r="N718" s="139" t="s">
        <v>152</v>
      </c>
      <c r="O718" s="139" t="s">
        <v>152</v>
      </c>
      <c r="P718" s="28">
        <v>29</v>
      </c>
      <c r="Q718" s="13" t="s">
        <v>54</v>
      </c>
      <c r="R718" s="13" t="s">
        <v>28</v>
      </c>
      <c r="S718" s="13"/>
      <c r="T718" s="13"/>
      <c r="U718" s="13" t="s">
        <v>774</v>
      </c>
      <c r="V718" s="13" t="s">
        <v>774</v>
      </c>
      <c r="W718" s="59">
        <f>+J718/$W$2</f>
        <v>2.1555708166537835E-4</v>
      </c>
      <c r="AC718" s="56"/>
    </row>
    <row r="719" spans="1:29">
      <c r="A719" s="13" t="s">
        <v>993</v>
      </c>
      <c r="B719" s="13" t="s">
        <v>538</v>
      </c>
      <c r="C719" s="139">
        <v>46234</v>
      </c>
      <c r="D719" s="139" t="s">
        <v>516</v>
      </c>
      <c r="E719" s="28">
        <v>0.95825685000000005</v>
      </c>
      <c r="F719" s="13"/>
      <c r="G719" s="18">
        <v>10000000</v>
      </c>
      <c r="H719" s="18">
        <v>9582568.4800000004</v>
      </c>
      <c r="I719" s="18">
        <v>10000000</v>
      </c>
      <c r="J719" s="18">
        <v>9582568.4800000004</v>
      </c>
      <c r="K719" s="15">
        <v>90019960</v>
      </c>
      <c r="L719" s="13" t="s">
        <v>102</v>
      </c>
      <c r="M719" s="13" t="s">
        <v>103</v>
      </c>
      <c r="N719" s="139" t="s">
        <v>344</v>
      </c>
      <c r="O719" s="139" t="s">
        <v>344</v>
      </c>
      <c r="P719" s="28">
        <v>30</v>
      </c>
      <c r="Q719" s="13" t="s">
        <v>54</v>
      </c>
      <c r="R719" s="13" t="s">
        <v>28</v>
      </c>
      <c r="S719" s="13"/>
      <c r="T719" s="13"/>
      <c r="U719" s="13" t="s">
        <v>1101</v>
      </c>
      <c r="V719" s="13" t="s">
        <v>1101</v>
      </c>
      <c r="W719" s="59">
        <f>+J719/$W$2</f>
        <v>2.1525715427288828E-4</v>
      </c>
    </row>
    <row r="720" spans="1:29">
      <c r="A720" s="13" t="s">
        <v>993</v>
      </c>
      <c r="B720" s="13" t="s">
        <v>538</v>
      </c>
      <c r="C720" s="139">
        <v>46234</v>
      </c>
      <c r="D720" s="139" t="s">
        <v>516</v>
      </c>
      <c r="E720" s="28">
        <v>0.95825687999999998</v>
      </c>
      <c r="F720" s="13"/>
      <c r="G720" s="18">
        <v>1040000</v>
      </c>
      <c r="H720" s="18">
        <v>996587.15</v>
      </c>
      <c r="I720" s="18">
        <v>1040000</v>
      </c>
      <c r="J720" s="18">
        <v>996587.15</v>
      </c>
      <c r="K720" s="15">
        <v>11001553</v>
      </c>
      <c r="L720" s="13" t="s">
        <v>102</v>
      </c>
      <c r="M720" s="13" t="s">
        <v>103</v>
      </c>
      <c r="N720" s="139" t="s">
        <v>359</v>
      </c>
      <c r="O720" s="139" t="s">
        <v>359</v>
      </c>
      <c r="P720" s="28">
        <v>30</v>
      </c>
      <c r="Q720" s="13" t="s">
        <v>54</v>
      </c>
      <c r="R720" s="13" t="s">
        <v>28</v>
      </c>
      <c r="S720" s="13"/>
      <c r="T720" s="13"/>
      <c r="U720" s="13" t="s">
        <v>1302</v>
      </c>
      <c r="V720" s="13" t="s">
        <v>1302</v>
      </c>
      <c r="W720" s="59">
        <f>+J720/$W$2</f>
        <v>2.2386744675152904E-5</v>
      </c>
    </row>
    <row r="721" spans="1:29">
      <c r="A721" s="13" t="s">
        <v>993</v>
      </c>
      <c r="B721" s="13" t="s">
        <v>538</v>
      </c>
      <c r="C721" s="139">
        <v>46234</v>
      </c>
      <c r="D721" s="139" t="s">
        <v>516</v>
      </c>
      <c r="E721" s="28">
        <v>0.95959209999999995</v>
      </c>
      <c r="F721" s="13"/>
      <c r="G721" s="18">
        <v>5000000</v>
      </c>
      <c r="H721" s="18">
        <v>4797960.4800000004</v>
      </c>
      <c r="I721" s="18">
        <v>5000000</v>
      </c>
      <c r="J721" s="18">
        <v>4797960.4800000004</v>
      </c>
      <c r="K721" s="15">
        <v>16779606</v>
      </c>
      <c r="L721" s="13" t="s">
        <v>102</v>
      </c>
      <c r="M721" s="13" t="s">
        <v>103</v>
      </c>
      <c r="N721" s="139" t="s">
        <v>359</v>
      </c>
      <c r="O721" s="139" t="s">
        <v>359</v>
      </c>
      <c r="P721" s="28">
        <v>29</v>
      </c>
      <c r="Q721" s="13" t="s">
        <v>54</v>
      </c>
      <c r="R721" s="13" t="s">
        <v>28</v>
      </c>
      <c r="S721" s="13"/>
      <c r="T721" s="13"/>
      <c r="U721" s="13" t="s">
        <v>1304</v>
      </c>
      <c r="V721" s="13" t="s">
        <v>1304</v>
      </c>
      <c r="W721" s="59">
        <f>+J721/$W$2</f>
        <v>1.0777854824561412E-4</v>
      </c>
    </row>
    <row r="722" spans="1:29">
      <c r="A722" s="13" t="s">
        <v>1291</v>
      </c>
      <c r="B722" s="13" t="s">
        <v>538</v>
      </c>
      <c r="C722" s="139">
        <v>46234</v>
      </c>
      <c r="D722" s="139" t="s">
        <v>516</v>
      </c>
      <c r="E722" s="28">
        <v>0.95295293999999997</v>
      </c>
      <c r="F722" s="13"/>
      <c r="G722" s="18">
        <v>5000000</v>
      </c>
      <c r="H722" s="18">
        <v>4764764.6900000004</v>
      </c>
      <c r="I722" s="18">
        <v>5000000</v>
      </c>
      <c r="J722" s="18">
        <v>4764764.6900000004</v>
      </c>
      <c r="K722" s="15">
        <v>16815</v>
      </c>
      <c r="L722" s="13" t="s">
        <v>102</v>
      </c>
      <c r="M722" s="13" t="s">
        <v>103</v>
      </c>
      <c r="N722" s="139" t="s">
        <v>334</v>
      </c>
      <c r="O722" s="139" t="s">
        <v>334</v>
      </c>
      <c r="P722" s="28">
        <v>34</v>
      </c>
      <c r="Q722" s="13" t="s">
        <v>54</v>
      </c>
      <c r="R722" s="13" t="s">
        <v>28</v>
      </c>
      <c r="S722" s="13"/>
      <c r="T722" s="13"/>
      <c r="U722" s="13" t="s">
        <v>1289</v>
      </c>
      <c r="V722" s="13" t="s">
        <v>1289</v>
      </c>
      <c r="W722" s="59">
        <f>+J722/$W$2</f>
        <v>1.0703285764041217E-4</v>
      </c>
    </row>
    <row r="723" spans="1:29">
      <c r="A723" s="13" t="s">
        <v>357</v>
      </c>
      <c r="B723" s="13" t="s">
        <v>538</v>
      </c>
      <c r="C723" s="139">
        <v>46234</v>
      </c>
      <c r="D723" s="139" t="s">
        <v>516</v>
      </c>
      <c r="E723" s="28">
        <v>0.94901329000000001</v>
      </c>
      <c r="F723" s="13"/>
      <c r="G723" s="18">
        <v>3000000</v>
      </c>
      <c r="H723" s="18">
        <v>2847039.86</v>
      </c>
      <c r="I723" s="18">
        <v>3000000</v>
      </c>
      <c r="J723" s="18">
        <v>2847039.86</v>
      </c>
      <c r="K723" s="15">
        <v>40743006</v>
      </c>
      <c r="L723" s="13" t="s">
        <v>102</v>
      </c>
      <c r="M723" s="13" t="s">
        <v>103</v>
      </c>
      <c r="N723" s="139" t="s">
        <v>163</v>
      </c>
      <c r="O723" s="139" t="s">
        <v>163</v>
      </c>
      <c r="P723" s="28">
        <v>37</v>
      </c>
      <c r="Q723" s="13" t="s">
        <v>54</v>
      </c>
      <c r="R723" s="13" t="s">
        <v>28</v>
      </c>
      <c r="S723" s="13"/>
      <c r="T723" s="13"/>
      <c r="U723" s="13" t="s">
        <v>1572</v>
      </c>
      <c r="V723" s="13" t="s">
        <v>1572</v>
      </c>
      <c r="W723" s="59">
        <f>+J723/$W$2</f>
        <v>6.3954220587535235E-5</v>
      </c>
    </row>
    <row r="724" spans="1:29">
      <c r="A724" s="13" t="s">
        <v>265</v>
      </c>
      <c r="B724" s="13" t="s">
        <v>538</v>
      </c>
      <c r="C724" s="139">
        <v>46234</v>
      </c>
      <c r="D724" s="139" t="s">
        <v>516</v>
      </c>
      <c r="E724" s="28">
        <v>0.94381104000000005</v>
      </c>
      <c r="F724" s="13"/>
      <c r="G724" s="18">
        <v>40000000</v>
      </c>
      <c r="H724" s="18">
        <v>37752441.600000001</v>
      </c>
      <c r="I724" s="18">
        <v>40000000</v>
      </c>
      <c r="J724" s="18">
        <v>37752441.600000001</v>
      </c>
      <c r="K724" s="15">
        <v>64885127</v>
      </c>
      <c r="L724" s="13" t="s">
        <v>102</v>
      </c>
      <c r="M724" s="13" t="s">
        <v>103</v>
      </c>
      <c r="N724" s="139" t="s">
        <v>230</v>
      </c>
      <c r="O724" s="139" t="s">
        <v>230</v>
      </c>
      <c r="P724" s="28">
        <v>41</v>
      </c>
      <c r="Q724" s="13" t="s">
        <v>54</v>
      </c>
      <c r="R724" s="13" t="s">
        <v>28</v>
      </c>
      <c r="S724" s="13"/>
      <c r="T724" s="13"/>
      <c r="U724" s="13" t="s">
        <v>409</v>
      </c>
      <c r="V724" s="13" t="s">
        <v>409</v>
      </c>
      <c r="W724" s="59">
        <f>+J724/$W$2</f>
        <v>8.480485334000353E-4</v>
      </c>
    </row>
    <row r="725" spans="1:29">
      <c r="A725" s="13" t="s">
        <v>1052</v>
      </c>
      <c r="B725" s="13" t="s">
        <v>538</v>
      </c>
      <c r="C725" s="139">
        <v>46234</v>
      </c>
      <c r="D725" s="139" t="s">
        <v>516</v>
      </c>
      <c r="E725" s="28">
        <v>0.96093096</v>
      </c>
      <c r="F725" s="13"/>
      <c r="G725" s="18">
        <v>15000000</v>
      </c>
      <c r="H725" s="18">
        <v>14413964.439999999</v>
      </c>
      <c r="I725" s="18">
        <v>15000000</v>
      </c>
      <c r="J725" s="18">
        <v>14413964.439999999</v>
      </c>
      <c r="K725" s="15">
        <v>29131905</v>
      </c>
      <c r="L725" s="13" t="s">
        <v>102</v>
      </c>
      <c r="M725" s="13" t="s">
        <v>103</v>
      </c>
      <c r="N725" s="139" t="s">
        <v>366</v>
      </c>
      <c r="O725" s="139" t="s">
        <v>366</v>
      </c>
      <c r="P725" s="28">
        <v>28</v>
      </c>
      <c r="Q725" s="13" t="s">
        <v>54</v>
      </c>
      <c r="R725" s="13" t="s">
        <v>28</v>
      </c>
      <c r="S725" s="13"/>
      <c r="T725" s="13"/>
      <c r="U725" s="13" t="s">
        <v>1038</v>
      </c>
      <c r="V725" s="13" t="s">
        <v>1038</v>
      </c>
      <c r="W725" s="59">
        <f>+J725/$W$2</f>
        <v>3.2378677737818847E-4</v>
      </c>
    </row>
    <row r="726" spans="1:29">
      <c r="A726" s="13" t="s">
        <v>819</v>
      </c>
      <c r="B726" s="13" t="s">
        <v>538</v>
      </c>
      <c r="C726" s="139">
        <v>46234</v>
      </c>
      <c r="D726" s="139" t="s">
        <v>516</v>
      </c>
      <c r="E726" s="28">
        <v>0.95959201999999999</v>
      </c>
      <c r="F726" s="13"/>
      <c r="G726" s="18">
        <v>5000000</v>
      </c>
      <c r="H726" s="18">
        <v>4797960.12</v>
      </c>
      <c r="I726" s="18">
        <v>5000000</v>
      </c>
      <c r="J726" s="18">
        <v>4797960.12</v>
      </c>
      <c r="K726" s="15">
        <v>43317</v>
      </c>
      <c r="L726" s="13" t="s">
        <v>102</v>
      </c>
      <c r="M726" s="13" t="s">
        <v>103</v>
      </c>
      <c r="N726" s="139" t="s">
        <v>366</v>
      </c>
      <c r="O726" s="139" t="s">
        <v>366</v>
      </c>
      <c r="P726" s="28">
        <v>29</v>
      </c>
      <c r="Q726" s="13" t="s">
        <v>54</v>
      </c>
      <c r="R726" s="13" t="s">
        <v>28</v>
      </c>
      <c r="S726" s="13"/>
      <c r="T726" s="13"/>
      <c r="U726" s="13" t="s">
        <v>999</v>
      </c>
      <c r="V726" s="13" t="s">
        <v>999</v>
      </c>
      <c r="W726" s="59">
        <f>+J726/$W$2</f>
        <v>1.077785401587869E-4</v>
      </c>
    </row>
    <row r="727" spans="1:29">
      <c r="A727" s="13" t="s">
        <v>993</v>
      </c>
      <c r="B727" s="13" t="s">
        <v>538</v>
      </c>
      <c r="C727" s="139">
        <v>46234</v>
      </c>
      <c r="D727" s="139" t="s">
        <v>516</v>
      </c>
      <c r="E727" s="28">
        <v>0.95959198000000001</v>
      </c>
      <c r="F727" s="13"/>
      <c r="G727" s="18">
        <v>5000000</v>
      </c>
      <c r="H727" s="18">
        <v>4797959.91</v>
      </c>
      <c r="I727" s="18">
        <v>5000000</v>
      </c>
      <c r="J727" s="18">
        <v>4797959.91</v>
      </c>
      <c r="K727" s="15">
        <v>16779580</v>
      </c>
      <c r="L727" s="13" t="s">
        <v>102</v>
      </c>
      <c r="M727" s="13" t="s">
        <v>103</v>
      </c>
      <c r="N727" s="139" t="s">
        <v>428</v>
      </c>
      <c r="O727" s="139" t="s">
        <v>428</v>
      </c>
      <c r="P727" s="28">
        <v>29</v>
      </c>
      <c r="Q727" s="13" t="s">
        <v>54</v>
      </c>
      <c r="R727" s="13" t="s">
        <v>28</v>
      </c>
      <c r="S727" s="13"/>
      <c r="T727" s="13"/>
      <c r="U727" s="13" t="s">
        <v>932</v>
      </c>
      <c r="V727" s="13" t="s">
        <v>932</v>
      </c>
      <c r="W727" s="59">
        <f>+J727/$W$2</f>
        <v>1.0777853544147104E-4</v>
      </c>
    </row>
    <row r="728" spans="1:29">
      <c r="A728" s="13" t="s">
        <v>923</v>
      </c>
      <c r="B728" s="13" t="s">
        <v>538</v>
      </c>
      <c r="C728" s="139">
        <v>46237</v>
      </c>
      <c r="D728" s="139" t="s">
        <v>516</v>
      </c>
      <c r="E728" s="28">
        <v>0.95320178</v>
      </c>
      <c r="F728" s="13"/>
      <c r="G728" s="18">
        <v>15000000</v>
      </c>
      <c r="H728" s="18">
        <v>14298026.640000001</v>
      </c>
      <c r="I728" s="18">
        <v>15000000</v>
      </c>
      <c r="J728" s="18">
        <v>14298026.640000001</v>
      </c>
      <c r="K728" s="15">
        <v>175</v>
      </c>
      <c r="L728" s="13" t="s">
        <v>102</v>
      </c>
      <c r="M728" s="13" t="s">
        <v>103</v>
      </c>
      <c r="N728" s="139" t="s">
        <v>378</v>
      </c>
      <c r="O728" s="139" t="s">
        <v>378</v>
      </c>
      <c r="P728" s="28">
        <v>32</v>
      </c>
      <c r="Q728" s="13" t="s">
        <v>54</v>
      </c>
      <c r="R728" s="13" t="s">
        <v>28</v>
      </c>
      <c r="S728" s="13"/>
      <c r="T728" s="13"/>
      <c r="U728" s="13" t="s">
        <v>854</v>
      </c>
      <c r="V728" s="13" t="s">
        <v>854</v>
      </c>
      <c r="W728" s="59">
        <f>+J728/$W$2</f>
        <v>3.2118241916747009E-4</v>
      </c>
      <c r="AC728" s="56"/>
    </row>
    <row r="729" spans="1:29">
      <c r="A729" s="13" t="s">
        <v>923</v>
      </c>
      <c r="B729" s="13" t="s">
        <v>538</v>
      </c>
      <c r="C729" s="139">
        <v>46237</v>
      </c>
      <c r="D729" s="139" t="s">
        <v>516</v>
      </c>
      <c r="E729" s="28">
        <v>0.95180978000000005</v>
      </c>
      <c r="F729" s="13"/>
      <c r="G729" s="18">
        <v>21395750</v>
      </c>
      <c r="H729" s="18">
        <v>20364684.100000001</v>
      </c>
      <c r="I729" s="18">
        <v>21395750</v>
      </c>
      <c r="J729" s="18">
        <v>20364684.100000001</v>
      </c>
      <c r="K729" s="15">
        <v>3233100</v>
      </c>
      <c r="L729" s="13" t="s">
        <v>102</v>
      </c>
      <c r="M729" s="13" t="s">
        <v>103</v>
      </c>
      <c r="N729" s="139" t="s">
        <v>428</v>
      </c>
      <c r="O729" s="139" t="s">
        <v>428</v>
      </c>
      <c r="P729" s="28">
        <v>33</v>
      </c>
      <c r="Q729" s="13" t="s">
        <v>54</v>
      </c>
      <c r="R729" s="13" t="s">
        <v>28</v>
      </c>
      <c r="S729" s="13"/>
      <c r="T729" s="13"/>
      <c r="U729" s="13" t="s">
        <v>953</v>
      </c>
      <c r="V729" s="13" t="s">
        <v>953</v>
      </c>
      <c r="W729" s="59">
        <f>+J729/$W$2</f>
        <v>4.5746022647075678E-4</v>
      </c>
    </row>
    <row r="730" spans="1:29">
      <c r="A730" s="13" t="s">
        <v>923</v>
      </c>
      <c r="B730" s="13" t="s">
        <v>538</v>
      </c>
      <c r="C730" s="139">
        <v>46237</v>
      </c>
      <c r="D730" s="139" t="s">
        <v>516</v>
      </c>
      <c r="E730" s="28">
        <v>0.95180978000000005</v>
      </c>
      <c r="F730" s="13"/>
      <c r="G730" s="18">
        <v>21395750</v>
      </c>
      <c r="H730" s="18">
        <v>20364684.100000001</v>
      </c>
      <c r="I730" s="18">
        <v>21395750</v>
      </c>
      <c r="J730" s="18">
        <v>20364684.100000001</v>
      </c>
      <c r="K730" s="15">
        <v>3233101</v>
      </c>
      <c r="L730" s="13" t="s">
        <v>102</v>
      </c>
      <c r="M730" s="13" t="s">
        <v>103</v>
      </c>
      <c r="N730" s="139" t="s">
        <v>428</v>
      </c>
      <c r="O730" s="139" t="s">
        <v>428</v>
      </c>
      <c r="P730" s="28">
        <v>33</v>
      </c>
      <c r="Q730" s="13" t="s">
        <v>54</v>
      </c>
      <c r="R730" s="13" t="s">
        <v>28</v>
      </c>
      <c r="S730" s="13"/>
      <c r="T730" s="13"/>
      <c r="U730" s="13" t="s">
        <v>954</v>
      </c>
      <c r="V730" s="13" t="s">
        <v>954</v>
      </c>
      <c r="W730" s="59">
        <f>+J730/$W$2</f>
        <v>4.5746022647075678E-4</v>
      </c>
    </row>
    <row r="731" spans="1:29">
      <c r="A731" s="13" t="s">
        <v>1959</v>
      </c>
      <c r="B731" s="13" t="s">
        <v>538</v>
      </c>
      <c r="C731" s="139">
        <v>46237</v>
      </c>
      <c r="D731" s="139" t="s">
        <v>516</v>
      </c>
      <c r="E731" s="28">
        <v>0.95740223000000002</v>
      </c>
      <c r="F731" s="13"/>
      <c r="G731" s="18">
        <v>100000000</v>
      </c>
      <c r="H731" s="18">
        <v>95740223.170000002</v>
      </c>
      <c r="I731" s="18">
        <v>100000000</v>
      </c>
      <c r="J731" s="18">
        <v>95740223.170000002</v>
      </c>
      <c r="K731" s="15">
        <v>90003812</v>
      </c>
      <c r="L731" s="13" t="s">
        <v>102</v>
      </c>
      <c r="M731" s="13" t="s">
        <v>103</v>
      </c>
      <c r="N731" s="139" t="s">
        <v>369</v>
      </c>
      <c r="O731" s="139" t="s">
        <v>369</v>
      </c>
      <c r="P731" s="28">
        <v>29</v>
      </c>
      <c r="Q731" s="13" t="s">
        <v>54</v>
      </c>
      <c r="R731" s="13" t="s">
        <v>28</v>
      </c>
      <c r="S731" s="13"/>
      <c r="T731" s="13"/>
      <c r="U731" s="13" t="s">
        <v>1937</v>
      </c>
      <c r="V731" s="13" t="s">
        <v>1937</v>
      </c>
      <c r="W731" s="59">
        <f>+J731/$W$2</f>
        <v>2.1506517831871986E-3</v>
      </c>
    </row>
    <row r="732" spans="1:29">
      <c r="A732" s="13" t="s">
        <v>2029</v>
      </c>
      <c r="B732" s="13" t="s">
        <v>538</v>
      </c>
      <c r="C732" s="139">
        <v>46237</v>
      </c>
      <c r="D732" s="139" t="s">
        <v>516</v>
      </c>
      <c r="E732" s="28">
        <v>0.95320187000000001</v>
      </c>
      <c r="F732" s="13"/>
      <c r="G732" s="18">
        <v>5606107.5899999999</v>
      </c>
      <c r="H732" s="18">
        <v>5343752.2300000004</v>
      </c>
      <c r="I732" s="18">
        <v>5606107.5899999999</v>
      </c>
      <c r="J732" s="18">
        <v>5343752.2300000004</v>
      </c>
      <c r="K732" s="15">
        <v>29386345</v>
      </c>
      <c r="L732" s="13" t="s">
        <v>102</v>
      </c>
      <c r="M732" s="13" t="s">
        <v>103</v>
      </c>
      <c r="N732" s="139" t="s">
        <v>394</v>
      </c>
      <c r="O732" s="139" t="s">
        <v>394</v>
      </c>
      <c r="P732" s="28">
        <v>32</v>
      </c>
      <c r="Q732" s="13" t="s">
        <v>54</v>
      </c>
      <c r="R732" s="13" t="s">
        <v>28</v>
      </c>
      <c r="S732" s="13"/>
      <c r="T732" s="13"/>
      <c r="U732" s="13" t="s">
        <v>2031</v>
      </c>
      <c r="V732" s="13" t="s">
        <v>2031</v>
      </c>
      <c r="W732" s="59">
        <f>+J732/$W$2</f>
        <v>1.200388915111829E-4</v>
      </c>
    </row>
    <row r="733" spans="1:29">
      <c r="A733" s="13" t="s">
        <v>914</v>
      </c>
      <c r="B733" s="13" t="s">
        <v>538</v>
      </c>
      <c r="C733" s="139">
        <v>46237</v>
      </c>
      <c r="D733" s="139" t="s">
        <v>516</v>
      </c>
      <c r="E733" s="28">
        <v>0.95599796000000004</v>
      </c>
      <c r="F733" s="13"/>
      <c r="G733" s="18">
        <v>10000000</v>
      </c>
      <c r="H733" s="18">
        <v>9559979.6400000006</v>
      </c>
      <c r="I733" s="18">
        <v>10000000</v>
      </c>
      <c r="J733" s="18">
        <v>9559979.6400000006</v>
      </c>
      <c r="K733" s="15">
        <v>3463102</v>
      </c>
      <c r="L733" s="13" t="s">
        <v>102</v>
      </c>
      <c r="M733" s="13" t="s">
        <v>103</v>
      </c>
      <c r="N733" s="139" t="s">
        <v>378</v>
      </c>
      <c r="O733" s="139" t="s">
        <v>378</v>
      </c>
      <c r="P733" s="28">
        <v>30</v>
      </c>
      <c r="Q733" s="13" t="s">
        <v>54</v>
      </c>
      <c r="R733" s="13" t="s">
        <v>28</v>
      </c>
      <c r="S733" s="13"/>
      <c r="T733" s="13"/>
      <c r="U733" s="13" t="s">
        <v>879</v>
      </c>
      <c r="V733" s="13" t="s">
        <v>879</v>
      </c>
      <c r="W733" s="59">
        <f>+J733/$W$2</f>
        <v>2.1474973192293337E-4</v>
      </c>
      <c r="AC733" s="56"/>
    </row>
    <row r="734" spans="1:29">
      <c r="A734" s="13" t="s">
        <v>917</v>
      </c>
      <c r="B734" s="13" t="s">
        <v>538</v>
      </c>
      <c r="C734" s="139">
        <v>46237</v>
      </c>
      <c r="D734" s="139" t="s">
        <v>516</v>
      </c>
      <c r="E734" s="28">
        <v>0.94491057000000001</v>
      </c>
      <c r="F734" s="13"/>
      <c r="G734" s="18">
        <v>4599318.34</v>
      </c>
      <c r="H734" s="18">
        <v>4345944.51</v>
      </c>
      <c r="I734" s="18">
        <v>4599318.34</v>
      </c>
      <c r="J734" s="18">
        <v>4345944.51</v>
      </c>
      <c r="K734" s="15">
        <v>577</v>
      </c>
      <c r="L734" s="13" t="s">
        <v>102</v>
      </c>
      <c r="M734" s="13" t="s">
        <v>103</v>
      </c>
      <c r="N734" s="139" t="s">
        <v>344</v>
      </c>
      <c r="O734" s="139" t="s">
        <v>344</v>
      </c>
      <c r="P734" s="28">
        <v>38</v>
      </c>
      <c r="Q734" s="13" t="s">
        <v>54</v>
      </c>
      <c r="R734" s="13" t="s">
        <v>28</v>
      </c>
      <c r="S734" s="13"/>
      <c r="T734" s="13"/>
      <c r="U734" s="13" t="s">
        <v>1135</v>
      </c>
      <c r="V734" s="13" t="s">
        <v>1135</v>
      </c>
      <c r="W734" s="59">
        <f>+J734/$W$2</f>
        <v>9.762472867300415E-5</v>
      </c>
    </row>
    <row r="735" spans="1:29">
      <c r="A735" s="13" t="s">
        <v>922</v>
      </c>
      <c r="B735" s="13" t="s">
        <v>538</v>
      </c>
      <c r="C735" s="139">
        <v>46237</v>
      </c>
      <c r="D735" s="139" t="s">
        <v>516</v>
      </c>
      <c r="E735" s="28">
        <v>0.94491049999999999</v>
      </c>
      <c r="F735" s="13"/>
      <c r="G735" s="18">
        <v>9978017.3200000003</v>
      </c>
      <c r="H735" s="18">
        <v>9428333.3399999999</v>
      </c>
      <c r="I735" s="18">
        <v>9978017.3200000003</v>
      </c>
      <c r="J735" s="18">
        <v>9428333.3399999999</v>
      </c>
      <c r="K735" s="15">
        <v>30001645</v>
      </c>
      <c r="L735" s="13" t="s">
        <v>102</v>
      </c>
      <c r="M735" s="13" t="s">
        <v>103</v>
      </c>
      <c r="N735" s="139" t="s">
        <v>378</v>
      </c>
      <c r="O735" s="139" t="s">
        <v>378</v>
      </c>
      <c r="P735" s="28">
        <v>38</v>
      </c>
      <c r="Q735" s="13" t="s">
        <v>54</v>
      </c>
      <c r="R735" s="13" t="s">
        <v>28</v>
      </c>
      <c r="S735" s="13"/>
      <c r="T735" s="13"/>
      <c r="U735" s="13" t="s">
        <v>864</v>
      </c>
      <c r="V735" s="13" t="s">
        <v>864</v>
      </c>
      <c r="W735" s="59">
        <f>+J735/$W$2</f>
        <v>2.1179250725319063E-4</v>
      </c>
    </row>
    <row r="736" spans="1:29">
      <c r="A736" s="13" t="s">
        <v>539</v>
      </c>
      <c r="B736" s="13" t="s">
        <v>538</v>
      </c>
      <c r="C736" s="139">
        <v>46237</v>
      </c>
      <c r="D736" s="139" t="s">
        <v>516</v>
      </c>
      <c r="E736" s="28">
        <v>0.95599791000000001</v>
      </c>
      <c r="F736" s="13"/>
      <c r="G736" s="18">
        <v>10000000</v>
      </c>
      <c r="H736" s="18">
        <v>9559979.0800000001</v>
      </c>
      <c r="I736" s="18">
        <v>10000000</v>
      </c>
      <c r="J736" s="18">
        <v>9559979.0800000001</v>
      </c>
      <c r="K736" s="15">
        <v>574</v>
      </c>
      <c r="L736" s="13" t="s">
        <v>102</v>
      </c>
      <c r="M736" s="13" t="s">
        <v>103</v>
      </c>
      <c r="N736" s="139" t="s">
        <v>175</v>
      </c>
      <c r="O736" s="139" t="s">
        <v>175</v>
      </c>
      <c r="P736" s="28">
        <v>30</v>
      </c>
      <c r="Q736" s="13" t="s">
        <v>54</v>
      </c>
      <c r="R736" s="13" t="s">
        <v>28</v>
      </c>
      <c r="S736" s="13"/>
      <c r="T736" s="13"/>
      <c r="U736" s="13" t="s">
        <v>1883</v>
      </c>
      <c r="V736" s="13" t="s">
        <v>1883</v>
      </c>
      <c r="W736" s="59">
        <f>+J736/$W$2</f>
        <v>2.1474971934342437E-4</v>
      </c>
    </row>
    <row r="737" spans="1:29">
      <c r="A737" s="13" t="s">
        <v>641</v>
      </c>
      <c r="B737" s="13" t="s">
        <v>538</v>
      </c>
      <c r="C737" s="139">
        <v>46237</v>
      </c>
      <c r="D737" s="139" t="s">
        <v>516</v>
      </c>
      <c r="E737" s="28">
        <v>0.94765829000000001</v>
      </c>
      <c r="F737" s="13"/>
      <c r="G737" s="18">
        <v>20000000</v>
      </c>
      <c r="H737" s="18">
        <v>18953165.879999999</v>
      </c>
      <c r="I737" s="18">
        <v>20000000</v>
      </c>
      <c r="J737" s="18">
        <v>18953165.879999999</v>
      </c>
      <c r="K737" s="15">
        <v>423</v>
      </c>
      <c r="L737" s="13" t="s">
        <v>102</v>
      </c>
      <c r="M737" s="13" t="s">
        <v>103</v>
      </c>
      <c r="N737" s="139" t="s">
        <v>472</v>
      </c>
      <c r="O737" s="139" t="s">
        <v>472</v>
      </c>
      <c r="P737" s="28">
        <v>36</v>
      </c>
      <c r="Q737" s="13" t="s">
        <v>54</v>
      </c>
      <c r="R737" s="13" t="s">
        <v>28</v>
      </c>
      <c r="S737" s="13"/>
      <c r="T737" s="13"/>
      <c r="U737" s="13" t="s">
        <v>1640</v>
      </c>
      <c r="V737" s="13" t="s">
        <v>1640</v>
      </c>
      <c r="W737" s="59">
        <f>+J737/$W$2</f>
        <v>4.2575271549646177E-4</v>
      </c>
    </row>
    <row r="738" spans="1:29">
      <c r="A738" s="13" t="s">
        <v>478</v>
      </c>
      <c r="B738" s="13" t="s">
        <v>538</v>
      </c>
      <c r="C738" s="139">
        <v>46237</v>
      </c>
      <c r="D738" s="139" t="s">
        <v>516</v>
      </c>
      <c r="E738" s="28">
        <v>0.94765814000000004</v>
      </c>
      <c r="F738" s="13"/>
      <c r="G738" s="18">
        <v>5882352.9299999997</v>
      </c>
      <c r="H738" s="18">
        <v>5574459.6500000004</v>
      </c>
      <c r="I738" s="18">
        <v>5882352.9299999997</v>
      </c>
      <c r="J738" s="18">
        <v>5574459.6500000004</v>
      </c>
      <c r="K738" s="15">
        <v>2619</v>
      </c>
      <c r="L738" s="13" t="s">
        <v>102</v>
      </c>
      <c r="M738" s="13" t="s">
        <v>103</v>
      </c>
      <c r="N738" s="139" t="s">
        <v>391</v>
      </c>
      <c r="O738" s="139" t="s">
        <v>391</v>
      </c>
      <c r="P738" s="28">
        <v>36</v>
      </c>
      <c r="Q738" s="13" t="s">
        <v>54</v>
      </c>
      <c r="R738" s="13" t="s">
        <v>28</v>
      </c>
      <c r="S738" s="13"/>
      <c r="T738" s="13"/>
      <c r="U738" s="13" t="s">
        <v>1669</v>
      </c>
      <c r="V738" s="13" t="s">
        <v>1669</v>
      </c>
      <c r="W738" s="59">
        <f>+J738/$W$2</f>
        <v>1.2522136662758719E-4</v>
      </c>
    </row>
    <row r="739" spans="1:29">
      <c r="A739" s="13" t="s">
        <v>1840</v>
      </c>
      <c r="B739" s="13" t="s">
        <v>538</v>
      </c>
      <c r="C739" s="139">
        <v>46237</v>
      </c>
      <c r="D739" s="139" t="s">
        <v>516</v>
      </c>
      <c r="E739" s="28">
        <v>0.95320187000000001</v>
      </c>
      <c r="F739" s="13"/>
      <c r="G739" s="18">
        <v>2885565.11</v>
      </c>
      <c r="H739" s="18">
        <v>2750526.05</v>
      </c>
      <c r="I739" s="18">
        <v>2885565.11</v>
      </c>
      <c r="J739" s="18">
        <v>2750526.05</v>
      </c>
      <c r="K739" s="15">
        <v>2426</v>
      </c>
      <c r="L739" s="13" t="s">
        <v>102</v>
      </c>
      <c r="M739" s="13" t="s">
        <v>103</v>
      </c>
      <c r="N739" s="139" t="s">
        <v>394</v>
      </c>
      <c r="O739" s="139" t="s">
        <v>394</v>
      </c>
      <c r="P739" s="28">
        <v>32</v>
      </c>
      <c r="Q739" s="13" t="s">
        <v>54</v>
      </c>
      <c r="R739" s="13" t="s">
        <v>28</v>
      </c>
      <c r="S739" s="13"/>
      <c r="T739" s="13"/>
      <c r="U739" s="13" t="s">
        <v>2072</v>
      </c>
      <c r="V739" s="13" t="s">
        <v>2072</v>
      </c>
      <c r="W739" s="59">
        <f>+J739/$W$2</f>
        <v>6.1786191407050401E-5</v>
      </c>
      <c r="AC739" s="56"/>
    </row>
    <row r="740" spans="1:29">
      <c r="A740" s="13" t="s">
        <v>338</v>
      </c>
      <c r="B740" s="13" t="s">
        <v>538</v>
      </c>
      <c r="C740" s="139">
        <v>46237</v>
      </c>
      <c r="D740" s="139" t="s">
        <v>516</v>
      </c>
      <c r="E740" s="28">
        <v>0.95740219000000004</v>
      </c>
      <c r="F740" s="13"/>
      <c r="G740" s="18">
        <v>80000000</v>
      </c>
      <c r="H740" s="18">
        <v>76592175.5</v>
      </c>
      <c r="I740" s="18">
        <v>80000000</v>
      </c>
      <c r="J740" s="18">
        <v>76592175.5</v>
      </c>
      <c r="K740" s="15">
        <v>90041869</v>
      </c>
      <c r="L740" s="13" t="s">
        <v>102</v>
      </c>
      <c r="M740" s="13" t="s">
        <v>103</v>
      </c>
      <c r="N740" s="139" t="s">
        <v>428</v>
      </c>
      <c r="O740" s="139" t="s">
        <v>428</v>
      </c>
      <c r="P740" s="28">
        <v>29</v>
      </c>
      <c r="Q740" s="13" t="s">
        <v>54</v>
      </c>
      <c r="R740" s="13" t="s">
        <v>28</v>
      </c>
      <c r="S740" s="13"/>
      <c r="T740" s="13"/>
      <c r="U740" s="13" t="s">
        <v>944</v>
      </c>
      <c r="V740" s="13" t="s">
        <v>944</v>
      </c>
      <c r="W740" s="59">
        <f>+J740/$W$2</f>
        <v>1.7205213583508495E-3</v>
      </c>
    </row>
    <row r="741" spans="1:29">
      <c r="A741" s="13" t="s">
        <v>993</v>
      </c>
      <c r="B741" s="13" t="s">
        <v>538</v>
      </c>
      <c r="C741" s="139">
        <v>46237</v>
      </c>
      <c r="D741" s="139" t="s">
        <v>516</v>
      </c>
      <c r="E741" s="28">
        <v>0.95599802</v>
      </c>
      <c r="F741" s="13"/>
      <c r="G741" s="18">
        <v>10000000</v>
      </c>
      <c r="H741" s="18">
        <v>9559980.2100000009</v>
      </c>
      <c r="I741" s="18">
        <v>10000000</v>
      </c>
      <c r="J741" s="18">
        <v>9559980.2100000009</v>
      </c>
      <c r="K741" s="15">
        <v>90019961</v>
      </c>
      <c r="L741" s="13" t="s">
        <v>102</v>
      </c>
      <c r="M741" s="13" t="s">
        <v>103</v>
      </c>
      <c r="N741" s="139" t="s">
        <v>344</v>
      </c>
      <c r="O741" s="139" t="s">
        <v>344</v>
      </c>
      <c r="P741" s="28">
        <v>30</v>
      </c>
      <c r="Q741" s="13" t="s">
        <v>54</v>
      </c>
      <c r="R741" s="13" t="s">
        <v>28</v>
      </c>
      <c r="S741" s="13"/>
      <c r="T741" s="13"/>
      <c r="U741" s="13" t="s">
        <v>1102</v>
      </c>
      <c r="V741" s="13" t="s">
        <v>1102</v>
      </c>
      <c r="W741" s="59">
        <f>+J741/$W$2</f>
        <v>2.1474974472707645E-4</v>
      </c>
    </row>
    <row r="742" spans="1:29">
      <c r="A742" s="13" t="s">
        <v>339</v>
      </c>
      <c r="B742" s="13" t="s">
        <v>538</v>
      </c>
      <c r="C742" s="139">
        <v>46237</v>
      </c>
      <c r="D742" s="139" t="s">
        <v>516</v>
      </c>
      <c r="E742" s="28">
        <v>0.95740228000000005</v>
      </c>
      <c r="F742" s="13"/>
      <c r="G742" s="18">
        <v>3500000</v>
      </c>
      <c r="H742" s="18">
        <v>3350907.97</v>
      </c>
      <c r="I742" s="18">
        <v>3500000</v>
      </c>
      <c r="J742" s="18">
        <v>3350907.97</v>
      </c>
      <c r="K742" s="15">
        <v>407</v>
      </c>
      <c r="L742" s="13" t="s">
        <v>102</v>
      </c>
      <c r="M742" s="13" t="s">
        <v>103</v>
      </c>
      <c r="N742" s="139" t="s">
        <v>344</v>
      </c>
      <c r="O742" s="139" t="s">
        <v>344</v>
      </c>
      <c r="P742" s="28">
        <v>29</v>
      </c>
      <c r="Q742" s="13" t="s">
        <v>54</v>
      </c>
      <c r="R742" s="13" t="s">
        <v>28</v>
      </c>
      <c r="S742" s="13"/>
      <c r="T742" s="13"/>
      <c r="U742" s="13" t="s">
        <v>1155</v>
      </c>
      <c r="V742" s="13" t="s">
        <v>1155</v>
      </c>
      <c r="W742" s="59">
        <f>+J742/$W$2</f>
        <v>7.5272815984357144E-5</v>
      </c>
    </row>
    <row r="743" spans="1:29">
      <c r="A743" s="13" t="s">
        <v>357</v>
      </c>
      <c r="B743" s="13" t="s">
        <v>538</v>
      </c>
      <c r="C743" s="139">
        <v>46237</v>
      </c>
      <c r="D743" s="139" t="s">
        <v>516</v>
      </c>
      <c r="E743" s="28">
        <v>0.94628232999999995</v>
      </c>
      <c r="F743" s="13"/>
      <c r="G743" s="18">
        <v>3000000</v>
      </c>
      <c r="H743" s="18">
        <v>2838846.98</v>
      </c>
      <c r="I743" s="18">
        <v>3000000</v>
      </c>
      <c r="J743" s="18">
        <v>2838846.98</v>
      </c>
      <c r="K743" s="15">
        <v>40743007</v>
      </c>
      <c r="L743" s="13" t="s">
        <v>102</v>
      </c>
      <c r="M743" s="13" t="s">
        <v>103</v>
      </c>
      <c r="N743" s="139" t="s">
        <v>163</v>
      </c>
      <c r="O743" s="139" t="s">
        <v>163</v>
      </c>
      <c r="P743" s="28">
        <v>37</v>
      </c>
      <c r="Q743" s="13" t="s">
        <v>54</v>
      </c>
      <c r="R743" s="13" t="s">
        <v>28</v>
      </c>
      <c r="S743" s="13"/>
      <c r="T743" s="13"/>
      <c r="U743" s="13" t="s">
        <v>1573</v>
      </c>
      <c r="V743" s="13" t="s">
        <v>1573</v>
      </c>
      <c r="W743" s="59">
        <f>+J743/$W$2</f>
        <v>6.3770180573860397E-5</v>
      </c>
    </row>
    <row r="744" spans="1:29">
      <c r="A744" s="13" t="s">
        <v>265</v>
      </c>
      <c r="B744" s="13" t="s">
        <v>538</v>
      </c>
      <c r="C744" s="139">
        <v>46237</v>
      </c>
      <c r="D744" s="139" t="s">
        <v>516</v>
      </c>
      <c r="E744" s="28">
        <v>0.94765818000000002</v>
      </c>
      <c r="F744" s="13"/>
      <c r="G744" s="18">
        <v>25000000</v>
      </c>
      <c r="H744" s="18">
        <v>23691454.420000002</v>
      </c>
      <c r="I744" s="18">
        <v>25000000</v>
      </c>
      <c r="J744" s="18">
        <v>23691454.420000002</v>
      </c>
      <c r="K744" s="15">
        <v>1165497</v>
      </c>
      <c r="L744" s="13" t="s">
        <v>102</v>
      </c>
      <c r="M744" s="13" t="s">
        <v>103</v>
      </c>
      <c r="N744" s="139" t="s">
        <v>324</v>
      </c>
      <c r="O744" s="139" t="s">
        <v>324</v>
      </c>
      <c r="P744" s="28">
        <v>36</v>
      </c>
      <c r="Q744" s="13" t="s">
        <v>54</v>
      </c>
      <c r="R744" s="13" t="s">
        <v>28</v>
      </c>
      <c r="S744" s="13"/>
      <c r="T744" s="13"/>
      <c r="U744" s="13" t="s">
        <v>695</v>
      </c>
      <c r="V744" s="13" t="s">
        <v>695</v>
      </c>
      <c r="W744" s="59">
        <f>+J744/$W$2</f>
        <v>5.3219082855278919E-4</v>
      </c>
    </row>
    <row r="745" spans="1:29">
      <c r="A745" s="13" t="s">
        <v>819</v>
      </c>
      <c r="B745" s="13" t="s">
        <v>538</v>
      </c>
      <c r="C745" s="139">
        <v>46237</v>
      </c>
      <c r="D745" s="139" t="s">
        <v>516</v>
      </c>
      <c r="E745" s="28">
        <v>0.95740221999999997</v>
      </c>
      <c r="F745" s="13"/>
      <c r="G745" s="18">
        <v>2500000</v>
      </c>
      <c r="H745" s="18">
        <v>2393505.5499999998</v>
      </c>
      <c r="I745" s="18">
        <v>2500000</v>
      </c>
      <c r="J745" s="18">
        <v>2393505.5499999998</v>
      </c>
      <c r="K745" s="15">
        <v>365</v>
      </c>
      <c r="L745" s="13" t="s">
        <v>102</v>
      </c>
      <c r="M745" s="13" t="s">
        <v>103</v>
      </c>
      <c r="N745" s="139" t="s">
        <v>378</v>
      </c>
      <c r="O745" s="139" t="s">
        <v>378</v>
      </c>
      <c r="P745" s="28">
        <v>29</v>
      </c>
      <c r="Q745" s="13" t="s">
        <v>54</v>
      </c>
      <c r="R745" s="13" t="s">
        <v>28</v>
      </c>
      <c r="S745" s="13"/>
      <c r="T745" s="13"/>
      <c r="U745" s="13" t="s">
        <v>832</v>
      </c>
      <c r="V745" s="13" t="s">
        <v>832</v>
      </c>
      <c r="W745" s="59">
        <f>+J745/$W$2</f>
        <v>5.3766293922625252E-5</v>
      </c>
    </row>
    <row r="746" spans="1:29">
      <c r="A746" s="13" t="s">
        <v>819</v>
      </c>
      <c r="B746" s="13" t="s">
        <v>538</v>
      </c>
      <c r="C746" s="139">
        <v>46237</v>
      </c>
      <c r="D746" s="139" t="s">
        <v>516</v>
      </c>
      <c r="E746" s="28">
        <v>0.95740223999999996</v>
      </c>
      <c r="F746" s="13"/>
      <c r="G746" s="18">
        <v>5000000</v>
      </c>
      <c r="H746" s="18">
        <v>4787011.18</v>
      </c>
      <c r="I746" s="18">
        <v>5000000</v>
      </c>
      <c r="J746" s="18">
        <v>4787011.18</v>
      </c>
      <c r="K746" s="15">
        <v>43318</v>
      </c>
      <c r="L746" s="13" t="s">
        <v>102</v>
      </c>
      <c r="M746" s="13" t="s">
        <v>103</v>
      </c>
      <c r="N746" s="139" t="s">
        <v>366</v>
      </c>
      <c r="O746" s="139" t="s">
        <v>366</v>
      </c>
      <c r="P746" s="28">
        <v>29</v>
      </c>
      <c r="Q746" s="13" t="s">
        <v>54</v>
      </c>
      <c r="R746" s="13" t="s">
        <v>28</v>
      </c>
      <c r="S746" s="13"/>
      <c r="T746" s="13"/>
      <c r="U746" s="13" t="s">
        <v>1000</v>
      </c>
      <c r="V746" s="13" t="s">
        <v>1000</v>
      </c>
      <c r="W746" s="59">
        <f>+J746/$W$2</f>
        <v>1.0753258964232321E-4</v>
      </c>
    </row>
    <row r="747" spans="1:29">
      <c r="A747" s="13" t="s">
        <v>993</v>
      </c>
      <c r="B747" s="13" t="s">
        <v>538</v>
      </c>
      <c r="C747" s="139">
        <v>46237</v>
      </c>
      <c r="D747" s="139" t="s">
        <v>516</v>
      </c>
      <c r="E747" s="28">
        <v>0.95740219999999998</v>
      </c>
      <c r="F747" s="13"/>
      <c r="G747" s="18">
        <v>5000000</v>
      </c>
      <c r="H747" s="18">
        <v>4787010.9800000004</v>
      </c>
      <c r="I747" s="18">
        <v>5000000</v>
      </c>
      <c r="J747" s="18">
        <v>4787010.9800000004</v>
      </c>
      <c r="K747" s="15">
        <v>16779581</v>
      </c>
      <c r="L747" s="13" t="s">
        <v>102</v>
      </c>
      <c r="M747" s="13" t="s">
        <v>103</v>
      </c>
      <c r="N747" s="139" t="s">
        <v>428</v>
      </c>
      <c r="O747" s="139" t="s">
        <v>428</v>
      </c>
      <c r="P747" s="28">
        <v>29</v>
      </c>
      <c r="Q747" s="13" t="s">
        <v>54</v>
      </c>
      <c r="R747" s="13" t="s">
        <v>28</v>
      </c>
      <c r="S747" s="13"/>
      <c r="T747" s="13"/>
      <c r="U747" s="13" t="s">
        <v>933</v>
      </c>
      <c r="V747" s="13" t="s">
        <v>933</v>
      </c>
      <c r="W747" s="59">
        <f>+J747/$W$2</f>
        <v>1.0753258514964144E-4</v>
      </c>
    </row>
    <row r="748" spans="1:29">
      <c r="A748" s="13" t="s">
        <v>2015</v>
      </c>
      <c r="B748" s="13" t="s">
        <v>538</v>
      </c>
      <c r="C748" s="139">
        <v>46238</v>
      </c>
      <c r="D748" s="139" t="s">
        <v>516</v>
      </c>
      <c r="E748" s="28">
        <v>0.95240588000000004</v>
      </c>
      <c r="F748" s="13"/>
      <c r="G748" s="18">
        <v>2000000</v>
      </c>
      <c r="H748" s="18">
        <v>1904811.76</v>
      </c>
      <c r="I748" s="18">
        <v>2000000</v>
      </c>
      <c r="J748" s="18">
        <v>1904811.76</v>
      </c>
      <c r="K748" s="15">
        <v>1227536</v>
      </c>
      <c r="L748" s="13" t="s">
        <v>102</v>
      </c>
      <c r="M748" s="13" t="s">
        <v>103</v>
      </c>
      <c r="N748" s="139" t="s">
        <v>394</v>
      </c>
      <c r="O748" s="139" t="s">
        <v>394</v>
      </c>
      <c r="P748" s="28">
        <v>32</v>
      </c>
      <c r="Q748" s="13" t="s">
        <v>54</v>
      </c>
      <c r="R748" s="13" t="s">
        <v>28</v>
      </c>
      <c r="S748" s="13"/>
      <c r="T748" s="13"/>
      <c r="U748" s="13" t="s">
        <v>2016</v>
      </c>
      <c r="V748" s="13" t="s">
        <v>2016</v>
      </c>
      <c r="W748" s="59">
        <f>+J748/$W$2</f>
        <v>4.2788565481050634E-5</v>
      </c>
    </row>
    <row r="749" spans="1:29">
      <c r="A749" s="13" t="s">
        <v>401</v>
      </c>
      <c r="B749" s="13" t="s">
        <v>538</v>
      </c>
      <c r="C749" s="139">
        <v>46238</v>
      </c>
      <c r="D749" s="139" t="s">
        <v>516</v>
      </c>
      <c r="E749" s="28">
        <v>0.94120689999999996</v>
      </c>
      <c r="F749" s="13"/>
      <c r="G749" s="18">
        <v>50000000</v>
      </c>
      <c r="H749" s="18">
        <v>47060345.020000003</v>
      </c>
      <c r="I749" s="18">
        <v>50000000</v>
      </c>
      <c r="J749" s="18">
        <v>47060345.020000003</v>
      </c>
      <c r="K749" s="15">
        <v>6540</v>
      </c>
      <c r="L749" s="13" t="s">
        <v>102</v>
      </c>
      <c r="M749" s="13" t="s">
        <v>103</v>
      </c>
      <c r="N749" s="139" t="s">
        <v>153</v>
      </c>
      <c r="O749" s="139" t="s">
        <v>153</v>
      </c>
      <c r="P749" s="28">
        <v>40</v>
      </c>
      <c r="Q749" s="13" t="s">
        <v>54</v>
      </c>
      <c r="R749" s="13" t="s">
        <v>28</v>
      </c>
      <c r="S749" s="13"/>
      <c r="T749" s="13"/>
      <c r="U749" s="13" t="s">
        <v>543</v>
      </c>
      <c r="V749" s="13" t="s">
        <v>543</v>
      </c>
      <c r="W749" s="59">
        <f>+J749/$W$2</f>
        <v>1.0571357741140286E-3</v>
      </c>
    </row>
    <row r="750" spans="1:29">
      <c r="A750" s="13" t="s">
        <v>1531</v>
      </c>
      <c r="B750" s="13" t="s">
        <v>538</v>
      </c>
      <c r="C750" s="139">
        <v>46238</v>
      </c>
      <c r="D750" s="139" t="s">
        <v>516</v>
      </c>
      <c r="E750" s="28">
        <v>0.94537548999999999</v>
      </c>
      <c r="F750" s="13"/>
      <c r="G750" s="18">
        <v>6598885.3799999999</v>
      </c>
      <c r="H750" s="18">
        <v>6238424.5</v>
      </c>
      <c r="I750" s="18">
        <v>6598885.3799999999</v>
      </c>
      <c r="J750" s="18">
        <v>6238424.5</v>
      </c>
      <c r="K750" s="15">
        <v>10902567</v>
      </c>
      <c r="L750" s="13" t="s">
        <v>102</v>
      </c>
      <c r="M750" s="13" t="s">
        <v>103</v>
      </c>
      <c r="N750" s="139" t="s">
        <v>384</v>
      </c>
      <c r="O750" s="139" t="s">
        <v>384</v>
      </c>
      <c r="P750" s="28">
        <v>37</v>
      </c>
      <c r="Q750" s="13" t="s">
        <v>54</v>
      </c>
      <c r="R750" s="13" t="s">
        <v>28</v>
      </c>
      <c r="S750" s="13"/>
      <c r="T750" s="13"/>
      <c r="U750" s="13" t="s">
        <v>1525</v>
      </c>
      <c r="V750" s="13" t="s">
        <v>1525</v>
      </c>
      <c r="W750" s="59">
        <f>+J750/$W$2</f>
        <v>1.4013628056183387E-4</v>
      </c>
    </row>
    <row r="751" spans="1:29">
      <c r="A751" s="13" t="s">
        <v>1702</v>
      </c>
      <c r="B751" s="13" t="s">
        <v>538</v>
      </c>
      <c r="C751" s="139">
        <v>46238</v>
      </c>
      <c r="D751" s="139" t="s">
        <v>516</v>
      </c>
      <c r="E751" s="28">
        <v>0.95099140000000004</v>
      </c>
      <c r="F751" s="13"/>
      <c r="G751" s="18">
        <v>13000000</v>
      </c>
      <c r="H751" s="18">
        <v>12362888.199999999</v>
      </c>
      <c r="I751" s="18">
        <v>13000000</v>
      </c>
      <c r="J751" s="18">
        <v>12362888.199999999</v>
      </c>
      <c r="K751" s="15">
        <v>207</v>
      </c>
      <c r="L751" s="13" t="s">
        <v>102</v>
      </c>
      <c r="M751" s="13" t="s">
        <v>103</v>
      </c>
      <c r="N751" s="139" t="s">
        <v>514</v>
      </c>
      <c r="O751" s="139" t="s">
        <v>514</v>
      </c>
      <c r="P751" s="28">
        <v>33</v>
      </c>
      <c r="Q751" s="13" t="s">
        <v>54</v>
      </c>
      <c r="R751" s="13" t="s">
        <v>28</v>
      </c>
      <c r="S751" s="13"/>
      <c r="T751" s="13"/>
      <c r="U751" s="13" t="s">
        <v>1703</v>
      </c>
      <c r="V751" s="13" t="s">
        <v>1703</v>
      </c>
      <c r="W751" s="59">
        <f>+J751/$W$2</f>
        <v>2.7771261307238474E-4</v>
      </c>
    </row>
    <row r="752" spans="1:29">
      <c r="A752" s="13" t="s">
        <v>1702</v>
      </c>
      <c r="B752" s="13" t="s">
        <v>538</v>
      </c>
      <c r="C752" s="139">
        <v>46238</v>
      </c>
      <c r="D752" s="139" t="s">
        <v>516</v>
      </c>
      <c r="E752" s="28">
        <v>0.95099140000000004</v>
      </c>
      <c r="F752" s="13"/>
      <c r="G752" s="18">
        <v>13000000</v>
      </c>
      <c r="H752" s="18">
        <v>12362888.199999999</v>
      </c>
      <c r="I752" s="18">
        <v>13000000</v>
      </c>
      <c r="J752" s="18">
        <v>12362888.199999999</v>
      </c>
      <c r="K752" s="15">
        <v>203</v>
      </c>
      <c r="L752" s="13" t="s">
        <v>102</v>
      </c>
      <c r="M752" s="13" t="s">
        <v>103</v>
      </c>
      <c r="N752" s="139" t="s">
        <v>514</v>
      </c>
      <c r="O752" s="139" t="s">
        <v>514</v>
      </c>
      <c r="P752" s="28">
        <v>33</v>
      </c>
      <c r="Q752" s="13" t="s">
        <v>54</v>
      </c>
      <c r="R752" s="13" t="s">
        <v>28</v>
      </c>
      <c r="S752" s="13"/>
      <c r="T752" s="13"/>
      <c r="U752" s="13" t="s">
        <v>1704</v>
      </c>
      <c r="V752" s="13" t="s">
        <v>1704</v>
      </c>
      <c r="W752" s="59">
        <f>+J752/$W$2</f>
        <v>2.7771261307238474E-4</v>
      </c>
    </row>
    <row r="753" spans="1:29">
      <c r="A753" s="13" t="s">
        <v>1702</v>
      </c>
      <c r="B753" s="13" t="s">
        <v>538</v>
      </c>
      <c r="C753" s="139">
        <v>46238</v>
      </c>
      <c r="D753" s="139" t="s">
        <v>516</v>
      </c>
      <c r="E753" s="28">
        <v>0.95099140000000004</v>
      </c>
      <c r="F753" s="13"/>
      <c r="G753" s="18">
        <v>13000000</v>
      </c>
      <c r="H753" s="18">
        <v>12362888.199999999</v>
      </c>
      <c r="I753" s="18">
        <v>13000000</v>
      </c>
      <c r="J753" s="18">
        <v>12362888.199999999</v>
      </c>
      <c r="K753" s="15">
        <v>206</v>
      </c>
      <c r="L753" s="13" t="s">
        <v>102</v>
      </c>
      <c r="M753" s="13" t="s">
        <v>103</v>
      </c>
      <c r="N753" s="139" t="s">
        <v>514</v>
      </c>
      <c r="O753" s="139" t="s">
        <v>514</v>
      </c>
      <c r="P753" s="28">
        <v>33</v>
      </c>
      <c r="Q753" s="13" t="s">
        <v>54</v>
      </c>
      <c r="R753" s="13" t="s">
        <v>28</v>
      </c>
      <c r="S753" s="13"/>
      <c r="T753" s="13"/>
      <c r="U753" s="13" t="s">
        <v>1705</v>
      </c>
      <c r="V753" s="13" t="s">
        <v>1705</v>
      </c>
      <c r="W753" s="59">
        <f>+J753/$W$2</f>
        <v>2.7771261307238474E-4</v>
      </c>
    </row>
    <row r="754" spans="1:29">
      <c r="A754" s="13" t="s">
        <v>1828</v>
      </c>
      <c r="B754" s="13" t="s">
        <v>538</v>
      </c>
      <c r="C754" s="139">
        <v>46238</v>
      </c>
      <c r="D754" s="139" t="s">
        <v>516</v>
      </c>
      <c r="E754" s="28">
        <v>0.95099153999999997</v>
      </c>
      <c r="F754" s="13"/>
      <c r="G754" s="18">
        <v>3000000</v>
      </c>
      <c r="H754" s="18">
        <v>2852974.62</v>
      </c>
      <c r="I754" s="18">
        <v>3000000</v>
      </c>
      <c r="J754" s="18">
        <v>2852974.62</v>
      </c>
      <c r="K754" s="15">
        <v>90015793</v>
      </c>
      <c r="L754" s="13" t="s">
        <v>102</v>
      </c>
      <c r="M754" s="13" t="s">
        <v>103</v>
      </c>
      <c r="N754" s="139" t="s">
        <v>335</v>
      </c>
      <c r="O754" s="139" t="s">
        <v>335</v>
      </c>
      <c r="P754" s="28">
        <v>33</v>
      </c>
      <c r="Q754" s="13" t="s">
        <v>54</v>
      </c>
      <c r="R754" s="13" t="s">
        <v>28</v>
      </c>
      <c r="S754" s="13"/>
      <c r="T754" s="13"/>
      <c r="U754" s="13" t="s">
        <v>1795</v>
      </c>
      <c r="V754" s="13" t="s">
        <v>1795</v>
      </c>
      <c r="W754" s="59">
        <f>+J754/$W$2</f>
        <v>6.4087535528258997E-5</v>
      </c>
    </row>
    <row r="755" spans="1:29">
      <c r="A755" s="13" t="s">
        <v>2034</v>
      </c>
      <c r="B755" s="13" t="s">
        <v>538</v>
      </c>
      <c r="C755" s="139">
        <v>46238</v>
      </c>
      <c r="D755" s="139" t="s">
        <v>516</v>
      </c>
      <c r="E755" s="28">
        <v>0.95240588000000004</v>
      </c>
      <c r="F755" s="13"/>
      <c r="G755" s="18">
        <v>1341865.8</v>
      </c>
      <c r="H755" s="18">
        <v>1278000.8700000001</v>
      </c>
      <c r="I755" s="18">
        <v>1341865.8</v>
      </c>
      <c r="J755" s="18">
        <v>1278000.8700000001</v>
      </c>
      <c r="K755" s="15">
        <v>1</v>
      </c>
      <c r="L755" s="13" t="s">
        <v>102</v>
      </c>
      <c r="M755" s="13" t="s">
        <v>103</v>
      </c>
      <c r="N755" s="139" t="s">
        <v>394</v>
      </c>
      <c r="O755" s="139" t="s">
        <v>394</v>
      </c>
      <c r="P755" s="28">
        <v>32</v>
      </c>
      <c r="Q755" s="13" t="s">
        <v>54</v>
      </c>
      <c r="R755" s="13" t="s">
        <v>28</v>
      </c>
      <c r="S755" s="13"/>
      <c r="T755" s="13"/>
      <c r="U755" s="13" t="s">
        <v>2035</v>
      </c>
      <c r="V755" s="13" t="s">
        <v>2035</v>
      </c>
      <c r="W755" s="59">
        <f>+J755/$W$2</f>
        <v>2.8708256143291914E-5</v>
      </c>
    </row>
    <row r="756" spans="1:29">
      <c r="A756" s="13" t="s">
        <v>916</v>
      </c>
      <c r="B756" s="13" t="s">
        <v>538</v>
      </c>
      <c r="C756" s="139">
        <v>46238</v>
      </c>
      <c r="D756" s="139" t="s">
        <v>516</v>
      </c>
      <c r="E756" s="28">
        <v>0.95099157999999995</v>
      </c>
      <c r="F756" s="13"/>
      <c r="G756" s="18">
        <v>10000000</v>
      </c>
      <c r="H756" s="18">
        <v>9509915.7699999996</v>
      </c>
      <c r="I756" s="18">
        <v>10000000</v>
      </c>
      <c r="J756" s="18">
        <v>9509915.7699999996</v>
      </c>
      <c r="K756" s="15">
        <v>13633527</v>
      </c>
      <c r="L756" s="13" t="s">
        <v>102</v>
      </c>
      <c r="M756" s="13" t="s">
        <v>103</v>
      </c>
      <c r="N756" s="139" t="s">
        <v>163</v>
      </c>
      <c r="O756" s="139" t="s">
        <v>163</v>
      </c>
      <c r="P756" s="28">
        <v>33</v>
      </c>
      <c r="Q756" s="13" t="s">
        <v>54</v>
      </c>
      <c r="R756" s="13" t="s">
        <v>28</v>
      </c>
      <c r="S756" s="13"/>
      <c r="T756" s="13"/>
      <c r="U756" s="13" t="s">
        <v>1585</v>
      </c>
      <c r="V756" s="13" t="s">
        <v>1585</v>
      </c>
      <c r="W756" s="59">
        <f>+J756/$W$2</f>
        <v>2.1362512673899129E-4</v>
      </c>
    </row>
    <row r="757" spans="1:29">
      <c r="A757" s="13" t="s">
        <v>445</v>
      </c>
      <c r="B757" s="13" t="s">
        <v>538</v>
      </c>
      <c r="C757" s="139">
        <v>46238</v>
      </c>
      <c r="D757" s="139" t="s">
        <v>516</v>
      </c>
      <c r="E757" s="28">
        <v>0.95099140000000004</v>
      </c>
      <c r="F757" s="13"/>
      <c r="G757" s="18">
        <v>6747533.79</v>
      </c>
      <c r="H757" s="18">
        <v>6416846.6100000003</v>
      </c>
      <c r="I757" s="18">
        <v>6747533.79</v>
      </c>
      <c r="J757" s="18">
        <v>6416846.6100000003</v>
      </c>
      <c r="K757" s="15">
        <v>10949784</v>
      </c>
      <c r="L757" s="13" t="s">
        <v>102</v>
      </c>
      <c r="M757" s="13" t="s">
        <v>103</v>
      </c>
      <c r="N757" s="139" t="s">
        <v>514</v>
      </c>
      <c r="O757" s="139" t="s">
        <v>514</v>
      </c>
      <c r="P757" s="28">
        <v>33</v>
      </c>
      <c r="Q757" s="13" t="s">
        <v>54</v>
      </c>
      <c r="R757" s="13" t="s">
        <v>28</v>
      </c>
      <c r="S757" s="13"/>
      <c r="T757" s="13"/>
      <c r="U757" s="13" t="s">
        <v>1720</v>
      </c>
      <c r="V757" s="13" t="s">
        <v>1720</v>
      </c>
      <c r="W757" s="59">
        <f>+J757/$W$2</f>
        <v>1.4414424937918421E-4</v>
      </c>
    </row>
    <row r="758" spans="1:29">
      <c r="A758" s="13" t="s">
        <v>1873</v>
      </c>
      <c r="B758" s="13" t="s">
        <v>538</v>
      </c>
      <c r="C758" s="139">
        <v>46238</v>
      </c>
      <c r="D758" s="139" t="s">
        <v>516</v>
      </c>
      <c r="E758" s="28">
        <v>0.97265902999999998</v>
      </c>
      <c r="F758" s="13"/>
      <c r="G758" s="18">
        <v>776145000</v>
      </c>
      <c r="H758" s="18">
        <v>754924440.82000005</v>
      </c>
      <c r="I758" s="18">
        <v>776145000</v>
      </c>
      <c r="J758" s="18">
        <v>754924440.82000005</v>
      </c>
      <c r="K758" s="15">
        <v>152009</v>
      </c>
      <c r="L758" s="13" t="s">
        <v>102</v>
      </c>
      <c r="M758" s="13" t="s">
        <v>103</v>
      </c>
      <c r="N758" s="139" t="s">
        <v>389</v>
      </c>
      <c r="O758" s="139" t="s">
        <v>389</v>
      </c>
      <c r="P758" s="28">
        <v>18</v>
      </c>
      <c r="Q758" s="13" t="s">
        <v>54</v>
      </c>
      <c r="R758" s="13" t="s">
        <v>28</v>
      </c>
      <c r="S758" s="13"/>
      <c r="T758" s="13"/>
      <c r="U758" s="13" t="s">
        <v>1851</v>
      </c>
      <c r="V758" s="13" t="s">
        <v>1851</v>
      </c>
      <c r="W758" s="59">
        <f>+J758/$W$2</f>
        <v>1.6958176418058291E-2</v>
      </c>
    </row>
    <row r="759" spans="1:29">
      <c r="A759" s="13" t="s">
        <v>1873</v>
      </c>
      <c r="B759" s="13" t="s">
        <v>538</v>
      </c>
      <c r="C759" s="139">
        <v>46238</v>
      </c>
      <c r="D759" s="139" t="s">
        <v>516</v>
      </c>
      <c r="E759" s="28">
        <v>0.94817521000000005</v>
      </c>
      <c r="F759" s="13"/>
      <c r="G759" s="18">
        <v>24341349.530000001</v>
      </c>
      <c r="H759" s="18">
        <v>23079864.16</v>
      </c>
      <c r="I759" s="18">
        <v>24341349.530000001</v>
      </c>
      <c r="J759" s="18">
        <v>23079864.16</v>
      </c>
      <c r="K759" s="15">
        <v>13784401</v>
      </c>
      <c r="L759" s="13" t="s">
        <v>102</v>
      </c>
      <c r="M759" s="13" t="s">
        <v>103</v>
      </c>
      <c r="N759" s="139" t="s">
        <v>516</v>
      </c>
      <c r="O759" s="139" t="s">
        <v>516</v>
      </c>
      <c r="P759" s="28">
        <v>35</v>
      </c>
      <c r="Q759" s="13" t="s">
        <v>54</v>
      </c>
      <c r="R759" s="13" t="s">
        <v>28</v>
      </c>
      <c r="S759" s="13"/>
      <c r="T759" s="13"/>
      <c r="U759" s="13" t="s">
        <v>2096</v>
      </c>
      <c r="V759" s="13" t="s">
        <v>2096</v>
      </c>
      <c r="W759" s="59">
        <f>+J759/$W$2</f>
        <v>5.1845242645074481E-4</v>
      </c>
    </row>
    <row r="760" spans="1:29">
      <c r="A760" s="13" t="s">
        <v>539</v>
      </c>
      <c r="B760" s="13" t="s">
        <v>538</v>
      </c>
      <c r="C760" s="139">
        <v>46238</v>
      </c>
      <c r="D760" s="139" t="s">
        <v>516</v>
      </c>
      <c r="E760" s="28">
        <v>0.95524737000000004</v>
      </c>
      <c r="F760" s="13"/>
      <c r="G760" s="18">
        <v>10000000</v>
      </c>
      <c r="H760" s="18">
        <v>9552473.6699999999</v>
      </c>
      <c r="I760" s="18">
        <v>10000000</v>
      </c>
      <c r="J760" s="18">
        <v>9552473.6699999999</v>
      </c>
      <c r="K760" s="15">
        <v>492</v>
      </c>
      <c r="L760" s="13" t="s">
        <v>102</v>
      </c>
      <c r="M760" s="13" t="s">
        <v>103</v>
      </c>
      <c r="N760" s="139" t="s">
        <v>384</v>
      </c>
      <c r="O760" s="139" t="s">
        <v>384</v>
      </c>
      <c r="P760" s="28">
        <v>30</v>
      </c>
      <c r="Q760" s="13" t="s">
        <v>54</v>
      </c>
      <c r="R760" s="13" t="s">
        <v>28</v>
      </c>
      <c r="S760" s="13"/>
      <c r="T760" s="13"/>
      <c r="U760" s="13" t="s">
        <v>1495</v>
      </c>
      <c r="V760" s="13" t="s">
        <v>1495</v>
      </c>
      <c r="W760" s="59">
        <f>+J760/$W$2</f>
        <v>2.1458112224947995E-4</v>
      </c>
    </row>
    <row r="761" spans="1:29">
      <c r="A761" s="13" t="s">
        <v>558</v>
      </c>
      <c r="B761" s="13" t="s">
        <v>538</v>
      </c>
      <c r="C761" s="139">
        <v>46238</v>
      </c>
      <c r="D761" s="139" t="s">
        <v>516</v>
      </c>
      <c r="E761" s="28">
        <v>0.94398201999999998</v>
      </c>
      <c r="F761" s="13"/>
      <c r="G761" s="18">
        <v>100000000</v>
      </c>
      <c r="H761" s="18">
        <v>94398201.959999993</v>
      </c>
      <c r="I761" s="18">
        <v>100000000</v>
      </c>
      <c r="J761" s="18">
        <v>94398201.959999993</v>
      </c>
      <c r="K761" s="15">
        <v>70219538</v>
      </c>
      <c r="L761" s="13" t="s">
        <v>102</v>
      </c>
      <c r="M761" s="13" t="s">
        <v>103</v>
      </c>
      <c r="N761" s="139" t="s">
        <v>391</v>
      </c>
      <c r="O761" s="139" t="s">
        <v>391</v>
      </c>
      <c r="P761" s="28">
        <v>38</v>
      </c>
      <c r="Q761" s="13" t="s">
        <v>54</v>
      </c>
      <c r="R761" s="13" t="s">
        <v>28</v>
      </c>
      <c r="S761" s="13"/>
      <c r="T761" s="13"/>
      <c r="U761" s="13" t="s">
        <v>1663</v>
      </c>
      <c r="V761" s="13" t="s">
        <v>1663</v>
      </c>
      <c r="W761" s="59">
        <f>+J761/$W$2</f>
        <v>2.1205054119672706E-3</v>
      </c>
    </row>
    <row r="762" spans="1:29">
      <c r="A762" s="13" t="s">
        <v>558</v>
      </c>
      <c r="B762" s="13" t="s">
        <v>538</v>
      </c>
      <c r="C762" s="139">
        <v>46238</v>
      </c>
      <c r="D762" s="139" t="s">
        <v>516</v>
      </c>
      <c r="E762" s="28">
        <v>0.94398201999999998</v>
      </c>
      <c r="F762" s="13"/>
      <c r="G762" s="18">
        <v>1082000000</v>
      </c>
      <c r="H762" s="18">
        <v>1021388545.21</v>
      </c>
      <c r="I762" s="18">
        <v>1082000000</v>
      </c>
      <c r="J762" s="18">
        <v>1021388545.21</v>
      </c>
      <c r="K762" s="15">
        <v>70219527</v>
      </c>
      <c r="L762" s="13" t="s">
        <v>102</v>
      </c>
      <c r="M762" s="13" t="s">
        <v>103</v>
      </c>
      <c r="N762" s="139" t="s">
        <v>391</v>
      </c>
      <c r="O762" s="139" t="s">
        <v>391</v>
      </c>
      <c r="P762" s="28">
        <v>38</v>
      </c>
      <c r="Q762" s="13" t="s">
        <v>54</v>
      </c>
      <c r="R762" s="13" t="s">
        <v>28</v>
      </c>
      <c r="S762" s="13"/>
      <c r="T762" s="13"/>
      <c r="U762" s="13" t="s">
        <v>1664</v>
      </c>
      <c r="V762" s="13" t="s">
        <v>1664</v>
      </c>
      <c r="W762" s="59">
        <f>+J762/$W$2</f>
        <v>2.294386855754877E-2</v>
      </c>
    </row>
    <row r="763" spans="1:29">
      <c r="A763" s="13" t="s">
        <v>122</v>
      </c>
      <c r="B763" s="13" t="s">
        <v>538</v>
      </c>
      <c r="C763" s="139">
        <v>46238</v>
      </c>
      <c r="D763" s="139" t="s">
        <v>516</v>
      </c>
      <c r="E763" s="28">
        <v>0.89141798999999999</v>
      </c>
      <c r="F763" s="13"/>
      <c r="G763" s="18">
        <v>10000000</v>
      </c>
      <c r="H763" s="18">
        <v>8914179.8800000008</v>
      </c>
      <c r="I763" s="18">
        <v>10000000</v>
      </c>
      <c r="J763" s="18">
        <v>8914179.8800000008</v>
      </c>
      <c r="K763" s="15">
        <v>3935</v>
      </c>
      <c r="L763" s="13" t="s">
        <v>102</v>
      </c>
      <c r="M763" s="13" t="s">
        <v>103</v>
      </c>
      <c r="N763" s="139" t="s">
        <v>135</v>
      </c>
      <c r="O763" s="139" t="s">
        <v>135</v>
      </c>
      <c r="P763" s="28">
        <v>78</v>
      </c>
      <c r="Q763" s="13" t="s">
        <v>54</v>
      </c>
      <c r="R763" s="13" t="s">
        <v>28</v>
      </c>
      <c r="S763" s="13"/>
      <c r="T763" s="13"/>
      <c r="U763" s="13" t="s">
        <v>192</v>
      </c>
      <c r="V763" s="13" t="s">
        <v>192</v>
      </c>
      <c r="W763" s="59">
        <f>+J763/$W$2</f>
        <v>2.002428678334305E-4</v>
      </c>
    </row>
    <row r="764" spans="1:29">
      <c r="A764" s="13" t="s">
        <v>325</v>
      </c>
      <c r="B764" s="13" t="s">
        <v>538</v>
      </c>
      <c r="C764" s="139">
        <v>46238</v>
      </c>
      <c r="D764" s="139" t="s">
        <v>516</v>
      </c>
      <c r="E764" s="28">
        <v>0.95099138999999999</v>
      </c>
      <c r="F764" s="13"/>
      <c r="G764" s="18">
        <v>50000000</v>
      </c>
      <c r="H764" s="18">
        <v>47549569.649999999</v>
      </c>
      <c r="I764" s="18">
        <v>50000000</v>
      </c>
      <c r="J764" s="18">
        <v>47549569.649999999</v>
      </c>
      <c r="K764" s="15">
        <v>29030848</v>
      </c>
      <c r="L764" s="13" t="s">
        <v>102</v>
      </c>
      <c r="M764" s="13" t="s">
        <v>103</v>
      </c>
      <c r="N764" s="139" t="s">
        <v>324</v>
      </c>
      <c r="O764" s="139" t="s">
        <v>324</v>
      </c>
      <c r="P764" s="28">
        <v>33</v>
      </c>
      <c r="Q764" s="13" t="s">
        <v>54</v>
      </c>
      <c r="R764" s="13" t="s">
        <v>28</v>
      </c>
      <c r="S764" s="13"/>
      <c r="T764" s="13"/>
      <c r="U764" s="13" t="s">
        <v>702</v>
      </c>
      <c r="V764" s="13" t="s">
        <v>702</v>
      </c>
      <c r="W764" s="59">
        <f>+J764/$W$2</f>
        <v>1.0681254270315944E-3</v>
      </c>
    </row>
    <row r="765" spans="1:29">
      <c r="A765" s="13" t="s">
        <v>325</v>
      </c>
      <c r="B765" s="13" t="s">
        <v>538</v>
      </c>
      <c r="C765" s="139">
        <v>46238</v>
      </c>
      <c r="D765" s="139" t="s">
        <v>516</v>
      </c>
      <c r="E765" s="28">
        <v>0.95099144000000002</v>
      </c>
      <c r="F765" s="13"/>
      <c r="G765" s="18">
        <v>50000000</v>
      </c>
      <c r="H765" s="18">
        <v>47549572.049999997</v>
      </c>
      <c r="I765" s="18">
        <v>50000000</v>
      </c>
      <c r="J765" s="18">
        <v>47549572.049999997</v>
      </c>
      <c r="K765" s="15">
        <v>29007569</v>
      </c>
      <c r="L765" s="13" t="s">
        <v>102</v>
      </c>
      <c r="M765" s="13" t="s">
        <v>103</v>
      </c>
      <c r="N765" s="139" t="s">
        <v>155</v>
      </c>
      <c r="O765" s="139" t="s">
        <v>155</v>
      </c>
      <c r="P765" s="28">
        <v>33</v>
      </c>
      <c r="Q765" s="13" t="s">
        <v>54</v>
      </c>
      <c r="R765" s="13" t="s">
        <v>28</v>
      </c>
      <c r="S765" s="13"/>
      <c r="T765" s="13"/>
      <c r="U765" s="13" t="s">
        <v>634</v>
      </c>
      <c r="V765" s="13" t="s">
        <v>634</v>
      </c>
      <c r="W765" s="59">
        <f>+J765/$W$2</f>
        <v>1.0681254809437758E-3</v>
      </c>
    </row>
    <row r="766" spans="1:29">
      <c r="A766" s="13" t="s">
        <v>478</v>
      </c>
      <c r="B766" s="13" t="s">
        <v>538</v>
      </c>
      <c r="C766" s="139">
        <v>46238</v>
      </c>
      <c r="D766" s="139" t="s">
        <v>516</v>
      </c>
      <c r="E766" s="28">
        <v>0.94677341000000004</v>
      </c>
      <c r="F766" s="13"/>
      <c r="G766" s="18">
        <v>5882352.9299999997</v>
      </c>
      <c r="H766" s="18">
        <v>5569255.3099999996</v>
      </c>
      <c r="I766" s="18">
        <v>5882352.9299999997</v>
      </c>
      <c r="J766" s="18">
        <v>5569255.3099999996</v>
      </c>
      <c r="K766" s="15">
        <v>2620</v>
      </c>
      <c r="L766" s="13" t="s">
        <v>102</v>
      </c>
      <c r="M766" s="13" t="s">
        <v>103</v>
      </c>
      <c r="N766" s="139" t="s">
        <v>391</v>
      </c>
      <c r="O766" s="139" t="s">
        <v>391</v>
      </c>
      <c r="P766" s="28">
        <v>36</v>
      </c>
      <c r="Q766" s="13" t="s">
        <v>54</v>
      </c>
      <c r="R766" s="13" t="s">
        <v>28</v>
      </c>
      <c r="S766" s="13"/>
      <c r="T766" s="13"/>
      <c r="U766" s="13" t="s">
        <v>1671</v>
      </c>
      <c r="V766" s="13" t="s">
        <v>1671</v>
      </c>
      <c r="W766" s="59">
        <f>+J766/$W$2</f>
        <v>1.2510445941000696E-4</v>
      </c>
    </row>
    <row r="767" spans="1:29">
      <c r="A767" s="13" t="s">
        <v>339</v>
      </c>
      <c r="B767" s="13" t="s">
        <v>538</v>
      </c>
      <c r="C767" s="139">
        <v>46238</v>
      </c>
      <c r="D767" s="139" t="s">
        <v>516</v>
      </c>
      <c r="E767" s="28">
        <v>0.95524741000000002</v>
      </c>
      <c r="F767" s="13"/>
      <c r="G767" s="18">
        <v>10000000</v>
      </c>
      <c r="H767" s="18">
        <v>9552474.1199999992</v>
      </c>
      <c r="I767" s="18">
        <v>10000000</v>
      </c>
      <c r="J767" s="18">
        <v>9552474.1199999992</v>
      </c>
      <c r="K767" s="15">
        <v>65931757</v>
      </c>
      <c r="L767" s="13" t="s">
        <v>102</v>
      </c>
      <c r="M767" s="13" t="s">
        <v>103</v>
      </c>
      <c r="N767" s="139" t="s">
        <v>231</v>
      </c>
      <c r="O767" s="139" t="s">
        <v>231</v>
      </c>
      <c r="P767" s="28">
        <v>30</v>
      </c>
      <c r="Q767" s="13" t="s">
        <v>54</v>
      </c>
      <c r="R767" s="13" t="s">
        <v>28</v>
      </c>
      <c r="S767" s="13"/>
      <c r="T767" s="13"/>
      <c r="U767" s="13" t="s">
        <v>686</v>
      </c>
      <c r="V767" s="13" t="s">
        <v>686</v>
      </c>
      <c r="W767" s="59">
        <f>+J767/$W$2</f>
        <v>2.1458113235801394E-4</v>
      </c>
      <c r="AC767" s="56"/>
    </row>
    <row r="768" spans="1:29">
      <c r="A768" s="13" t="s">
        <v>706</v>
      </c>
      <c r="B768" s="13" t="s">
        <v>538</v>
      </c>
      <c r="C768" s="139">
        <v>46238</v>
      </c>
      <c r="D768" s="139" t="s">
        <v>516</v>
      </c>
      <c r="E768" s="28">
        <v>0.95240586000000005</v>
      </c>
      <c r="F768" s="13"/>
      <c r="G768" s="18">
        <v>50000000</v>
      </c>
      <c r="H768" s="18">
        <v>47620292.920000002</v>
      </c>
      <c r="I768" s="18">
        <v>50000000</v>
      </c>
      <c r="J768" s="18">
        <v>47620292.920000002</v>
      </c>
      <c r="K768" s="15">
        <v>11915482</v>
      </c>
      <c r="L768" s="13" t="s">
        <v>102</v>
      </c>
      <c r="M768" s="13" t="s">
        <v>103</v>
      </c>
      <c r="N768" s="139" t="s">
        <v>323</v>
      </c>
      <c r="O768" s="139" t="s">
        <v>323</v>
      </c>
      <c r="P768" s="28">
        <v>32</v>
      </c>
      <c r="Q768" s="13" t="s">
        <v>54</v>
      </c>
      <c r="R768" s="13" t="s">
        <v>28</v>
      </c>
      <c r="S768" s="13"/>
      <c r="T768" s="13"/>
      <c r="U768" s="13" t="s">
        <v>705</v>
      </c>
      <c r="V768" s="13" t="s">
        <v>705</v>
      </c>
      <c r="W768" s="59">
        <f>+J768/$W$2</f>
        <v>1.0697141127657842E-3</v>
      </c>
    </row>
    <row r="769" spans="1:29">
      <c r="A769" s="13" t="s">
        <v>150</v>
      </c>
      <c r="B769" s="13" t="s">
        <v>538</v>
      </c>
      <c r="C769" s="139">
        <v>46238</v>
      </c>
      <c r="D769" s="139" t="s">
        <v>516</v>
      </c>
      <c r="E769" s="28">
        <v>0.95810585000000004</v>
      </c>
      <c r="F769" s="13"/>
      <c r="G769" s="18">
        <v>50000000</v>
      </c>
      <c r="H769" s="18">
        <v>47905292.469999999</v>
      </c>
      <c r="I769" s="18">
        <v>50000000</v>
      </c>
      <c r="J769" s="18">
        <v>47905292.469999999</v>
      </c>
      <c r="K769" s="15">
        <v>4577</v>
      </c>
      <c r="L769" s="13" t="s">
        <v>102</v>
      </c>
      <c r="M769" s="13" t="s">
        <v>103</v>
      </c>
      <c r="N769" s="139" t="s">
        <v>343</v>
      </c>
      <c r="O769" s="139" t="s">
        <v>343</v>
      </c>
      <c r="P769" s="28">
        <v>28</v>
      </c>
      <c r="Q769" s="13" t="s">
        <v>54</v>
      </c>
      <c r="R769" s="13" t="s">
        <v>28</v>
      </c>
      <c r="S769" s="13"/>
      <c r="T769" s="13"/>
      <c r="U769" s="13" t="s">
        <v>1424</v>
      </c>
      <c r="V769" s="13" t="s">
        <v>1424</v>
      </c>
      <c r="W769" s="59">
        <f>+J769/$W$2</f>
        <v>1.0761161741995318E-3</v>
      </c>
    </row>
    <row r="770" spans="1:29">
      <c r="A770" s="13" t="s">
        <v>1526</v>
      </c>
      <c r="B770" s="13" t="s">
        <v>538</v>
      </c>
      <c r="C770" s="139">
        <v>46238</v>
      </c>
      <c r="D770" s="139" t="s">
        <v>516</v>
      </c>
      <c r="E770" s="28">
        <v>0.95099153999999997</v>
      </c>
      <c r="F770" s="13"/>
      <c r="G770" s="18">
        <v>50000000</v>
      </c>
      <c r="H770" s="18">
        <v>47549577.130000003</v>
      </c>
      <c r="I770" s="18">
        <v>50000000</v>
      </c>
      <c r="J770" s="18">
        <v>47549577.130000003</v>
      </c>
      <c r="K770" s="15">
        <v>140</v>
      </c>
      <c r="L770" s="13" t="s">
        <v>102</v>
      </c>
      <c r="M770" s="13" t="s">
        <v>103</v>
      </c>
      <c r="N770" s="139" t="s">
        <v>371</v>
      </c>
      <c r="O770" s="139" t="s">
        <v>371</v>
      </c>
      <c r="P770" s="28">
        <v>33</v>
      </c>
      <c r="Q770" s="13" t="s">
        <v>54</v>
      </c>
      <c r="R770" s="13" t="s">
        <v>28</v>
      </c>
      <c r="S770" s="13"/>
      <c r="T770" s="13"/>
      <c r="U770" s="13" t="s">
        <v>1644</v>
      </c>
      <c r="V770" s="13" t="s">
        <v>1644</v>
      </c>
      <c r="W770" s="59">
        <f>+J770/$W$2</f>
        <v>1.0681255950578932E-3</v>
      </c>
    </row>
    <row r="771" spans="1:29">
      <c r="A771" s="13" t="s">
        <v>1986</v>
      </c>
      <c r="B771" s="13" t="s">
        <v>538</v>
      </c>
      <c r="C771" s="139">
        <v>46238</v>
      </c>
      <c r="D771" s="139" t="s">
        <v>516</v>
      </c>
      <c r="E771" s="28">
        <v>0.94120689999999996</v>
      </c>
      <c r="F771" s="13"/>
      <c r="G771" s="18">
        <v>60000000</v>
      </c>
      <c r="H771" s="18">
        <v>56472414.189999998</v>
      </c>
      <c r="I771" s="18">
        <v>60000000</v>
      </c>
      <c r="J771" s="18">
        <v>56472414.189999998</v>
      </c>
      <c r="K771" s="15">
        <v>152491</v>
      </c>
      <c r="L771" s="13" t="s">
        <v>102</v>
      </c>
      <c r="M771" s="13" t="s">
        <v>103</v>
      </c>
      <c r="N771" s="139" t="s">
        <v>394</v>
      </c>
      <c r="O771" s="139" t="s">
        <v>394</v>
      </c>
      <c r="P771" s="28">
        <v>40</v>
      </c>
      <c r="Q771" s="13" t="s">
        <v>54</v>
      </c>
      <c r="R771" s="13" t="s">
        <v>28</v>
      </c>
      <c r="S771" s="13"/>
      <c r="T771" s="13"/>
      <c r="U771" s="13" t="s">
        <v>1987</v>
      </c>
      <c r="V771" s="13" t="s">
        <v>1987</v>
      </c>
      <c r="W771" s="59">
        <f>+J771/$W$2</f>
        <v>1.2685629326657601E-3</v>
      </c>
    </row>
    <row r="772" spans="1:29">
      <c r="A772" s="13" t="s">
        <v>357</v>
      </c>
      <c r="B772" s="13" t="s">
        <v>538</v>
      </c>
      <c r="C772" s="139">
        <v>46238</v>
      </c>
      <c r="D772" s="139" t="s">
        <v>516</v>
      </c>
      <c r="E772" s="28">
        <v>0.94537565000000001</v>
      </c>
      <c r="F772" s="13"/>
      <c r="G772" s="18">
        <v>3000000</v>
      </c>
      <c r="H772" s="18">
        <v>2836126.96</v>
      </c>
      <c r="I772" s="18">
        <v>3000000</v>
      </c>
      <c r="J772" s="18">
        <v>2836126.96</v>
      </c>
      <c r="K772" s="15">
        <v>40743008</v>
      </c>
      <c r="L772" s="13" t="s">
        <v>102</v>
      </c>
      <c r="M772" s="13" t="s">
        <v>103</v>
      </c>
      <c r="N772" s="139" t="s">
        <v>163</v>
      </c>
      <c r="O772" s="139" t="s">
        <v>163</v>
      </c>
      <c r="P772" s="28">
        <v>37</v>
      </c>
      <c r="Q772" s="13" t="s">
        <v>54</v>
      </c>
      <c r="R772" s="13" t="s">
        <v>28</v>
      </c>
      <c r="S772" s="13"/>
      <c r="T772" s="13"/>
      <c r="U772" s="13" t="s">
        <v>1574</v>
      </c>
      <c r="V772" s="13" t="s">
        <v>1574</v>
      </c>
      <c r="W772" s="59">
        <f>+J772/$W$2</f>
        <v>6.370907965232904E-5</v>
      </c>
    </row>
    <row r="773" spans="1:29">
      <c r="A773" s="13" t="s">
        <v>357</v>
      </c>
      <c r="B773" s="13" t="s">
        <v>538</v>
      </c>
      <c r="C773" s="139">
        <v>46238</v>
      </c>
      <c r="D773" s="139" t="s">
        <v>516</v>
      </c>
      <c r="E773" s="28">
        <v>0.94537565000000001</v>
      </c>
      <c r="F773" s="13"/>
      <c r="G773" s="18">
        <v>6000000</v>
      </c>
      <c r="H773" s="18">
        <v>5672253.9199999999</v>
      </c>
      <c r="I773" s="18">
        <v>6000000</v>
      </c>
      <c r="J773" s="18">
        <v>5672253.9199999999</v>
      </c>
      <c r="K773" s="15">
        <v>40743010</v>
      </c>
      <c r="L773" s="13" t="s">
        <v>102</v>
      </c>
      <c r="M773" s="13" t="s">
        <v>103</v>
      </c>
      <c r="N773" s="139" t="s">
        <v>163</v>
      </c>
      <c r="O773" s="139" t="s">
        <v>163</v>
      </c>
      <c r="P773" s="28">
        <v>37</v>
      </c>
      <c r="Q773" s="13" t="s">
        <v>54</v>
      </c>
      <c r="R773" s="13" t="s">
        <v>28</v>
      </c>
      <c r="S773" s="13"/>
      <c r="T773" s="13"/>
      <c r="U773" s="13" t="s">
        <v>1575</v>
      </c>
      <c r="V773" s="13" t="s">
        <v>1575</v>
      </c>
      <c r="W773" s="59">
        <f>+J773/$W$2</f>
        <v>1.2741815930465808E-4</v>
      </c>
    </row>
    <row r="774" spans="1:29">
      <c r="A774" s="13" t="s">
        <v>357</v>
      </c>
      <c r="B774" s="13" t="s">
        <v>538</v>
      </c>
      <c r="C774" s="139">
        <v>46238</v>
      </c>
      <c r="D774" s="139" t="s">
        <v>516</v>
      </c>
      <c r="E774" s="28">
        <v>0.94537565000000001</v>
      </c>
      <c r="F774" s="13"/>
      <c r="G774" s="18">
        <v>3000000</v>
      </c>
      <c r="H774" s="18">
        <v>2836126.96</v>
      </c>
      <c r="I774" s="18">
        <v>3000000</v>
      </c>
      <c r="J774" s="18">
        <v>2836126.96</v>
      </c>
      <c r="K774" s="15">
        <v>40743009</v>
      </c>
      <c r="L774" s="13" t="s">
        <v>102</v>
      </c>
      <c r="M774" s="13" t="s">
        <v>103</v>
      </c>
      <c r="N774" s="139" t="s">
        <v>163</v>
      </c>
      <c r="O774" s="139" t="s">
        <v>163</v>
      </c>
      <c r="P774" s="28">
        <v>37</v>
      </c>
      <c r="Q774" s="13" t="s">
        <v>54</v>
      </c>
      <c r="R774" s="13" t="s">
        <v>28</v>
      </c>
      <c r="S774" s="13"/>
      <c r="T774" s="13"/>
      <c r="U774" s="13" t="s">
        <v>1576</v>
      </c>
      <c r="V774" s="13" t="s">
        <v>1576</v>
      </c>
      <c r="W774" s="59">
        <f>+J774/$W$2</f>
        <v>6.370907965232904E-5</v>
      </c>
    </row>
    <row r="775" spans="1:29">
      <c r="A775" s="13" t="s">
        <v>210</v>
      </c>
      <c r="B775" s="13" t="s">
        <v>538</v>
      </c>
      <c r="C775" s="139">
        <v>46238</v>
      </c>
      <c r="D775" s="139" t="s">
        <v>516</v>
      </c>
      <c r="E775" s="28">
        <v>0.95954165000000002</v>
      </c>
      <c r="F775" s="13"/>
      <c r="G775" s="18">
        <v>27789080.199999999</v>
      </c>
      <c r="H775" s="18">
        <v>26664779.739999998</v>
      </c>
      <c r="I775" s="18">
        <v>27789080.199999999</v>
      </c>
      <c r="J775" s="18">
        <v>26664779.739999998</v>
      </c>
      <c r="K775" s="15">
        <v>540</v>
      </c>
      <c r="L775" s="13" t="s">
        <v>102</v>
      </c>
      <c r="M775" s="13" t="s">
        <v>103</v>
      </c>
      <c r="N775" s="139" t="s">
        <v>379</v>
      </c>
      <c r="O775" s="139" t="s">
        <v>379</v>
      </c>
      <c r="P775" s="28">
        <v>27</v>
      </c>
      <c r="Q775" s="13" t="s">
        <v>54</v>
      </c>
      <c r="R775" s="13" t="s">
        <v>28</v>
      </c>
      <c r="S775" s="13"/>
      <c r="T775" s="13"/>
      <c r="U775" s="13" t="s">
        <v>1395</v>
      </c>
      <c r="V775" s="13" t="s">
        <v>1395</v>
      </c>
      <c r="W775" s="59">
        <f>+J775/$W$2</f>
        <v>5.9898185106899084E-4</v>
      </c>
      <c r="AC775" s="56"/>
    </row>
    <row r="776" spans="1:29">
      <c r="A776" s="13" t="s">
        <v>198</v>
      </c>
      <c r="B776" s="13" t="s">
        <v>538</v>
      </c>
      <c r="C776" s="139">
        <v>46238</v>
      </c>
      <c r="D776" s="139" t="s">
        <v>516</v>
      </c>
      <c r="E776" s="28">
        <v>0.96971317000000001</v>
      </c>
      <c r="F776" s="13"/>
      <c r="G776" s="18">
        <v>2500000</v>
      </c>
      <c r="H776" s="18">
        <v>2424282.92</v>
      </c>
      <c r="I776" s="18">
        <v>2500000</v>
      </c>
      <c r="J776" s="18">
        <v>2424282.92</v>
      </c>
      <c r="K776" s="15">
        <v>6129</v>
      </c>
      <c r="L776" s="13" t="s">
        <v>102</v>
      </c>
      <c r="M776" s="13" t="s">
        <v>103</v>
      </c>
      <c r="N776" s="139" t="s">
        <v>335</v>
      </c>
      <c r="O776" s="139" t="s">
        <v>335</v>
      </c>
      <c r="P776" s="28">
        <v>20</v>
      </c>
      <c r="Q776" s="13" t="s">
        <v>54</v>
      </c>
      <c r="R776" s="13" t="s">
        <v>28</v>
      </c>
      <c r="S776" s="13"/>
      <c r="T776" s="13"/>
      <c r="U776" s="13" t="s">
        <v>1760</v>
      </c>
      <c r="V776" s="13" t="s">
        <v>1760</v>
      </c>
      <c r="W776" s="59">
        <f>+J776/$W$2</f>
        <v>5.4457658570426211E-5</v>
      </c>
    </row>
    <row r="777" spans="1:29">
      <c r="A777" s="13" t="s">
        <v>819</v>
      </c>
      <c r="B777" s="13" t="s">
        <v>538</v>
      </c>
      <c r="C777" s="139">
        <v>46238</v>
      </c>
      <c r="D777" s="139" t="s">
        <v>516</v>
      </c>
      <c r="E777" s="28">
        <v>0.95667447999999999</v>
      </c>
      <c r="F777" s="13"/>
      <c r="G777" s="18">
        <v>5000000</v>
      </c>
      <c r="H777" s="18">
        <v>4783372.38</v>
      </c>
      <c r="I777" s="18">
        <v>5000000</v>
      </c>
      <c r="J777" s="18">
        <v>4783372.38</v>
      </c>
      <c r="K777" s="15">
        <v>43319</v>
      </c>
      <c r="L777" s="13" t="s">
        <v>102</v>
      </c>
      <c r="M777" s="13" t="s">
        <v>103</v>
      </c>
      <c r="N777" s="139" t="s">
        <v>366</v>
      </c>
      <c r="O777" s="139" t="s">
        <v>366</v>
      </c>
      <c r="P777" s="28">
        <v>29</v>
      </c>
      <c r="Q777" s="13" t="s">
        <v>54</v>
      </c>
      <c r="R777" s="13" t="s">
        <v>28</v>
      </c>
      <c r="S777" s="13"/>
      <c r="T777" s="13"/>
      <c r="U777" s="13" t="s">
        <v>1001</v>
      </c>
      <c r="V777" s="13" t="s">
        <v>1001</v>
      </c>
      <c r="W777" s="59">
        <f>+J777/$W$2</f>
        <v>1.0745084978994408E-4</v>
      </c>
    </row>
    <row r="778" spans="1:29">
      <c r="A778" s="13" t="s">
        <v>993</v>
      </c>
      <c r="B778" s="13" t="s">
        <v>538</v>
      </c>
      <c r="C778" s="139">
        <v>46238</v>
      </c>
      <c r="D778" s="139" t="s">
        <v>516</v>
      </c>
      <c r="E778" s="28">
        <v>0.95667458000000005</v>
      </c>
      <c r="F778" s="13"/>
      <c r="G778" s="18">
        <v>5000000</v>
      </c>
      <c r="H778" s="18">
        <v>4783372.91</v>
      </c>
      <c r="I778" s="18">
        <v>5000000</v>
      </c>
      <c r="J778" s="18">
        <v>4783372.91</v>
      </c>
      <c r="K778" s="15">
        <v>16779582</v>
      </c>
      <c r="L778" s="13" t="s">
        <v>102</v>
      </c>
      <c r="M778" s="13" t="s">
        <v>103</v>
      </c>
      <c r="N778" s="139" t="s">
        <v>428</v>
      </c>
      <c r="O778" s="139" t="s">
        <v>428</v>
      </c>
      <c r="P778" s="28">
        <v>29</v>
      </c>
      <c r="Q778" s="13" t="s">
        <v>54</v>
      </c>
      <c r="R778" s="13" t="s">
        <v>28</v>
      </c>
      <c r="S778" s="13"/>
      <c r="T778" s="13"/>
      <c r="U778" s="13" t="s">
        <v>934</v>
      </c>
      <c r="V778" s="13" t="s">
        <v>934</v>
      </c>
      <c r="W778" s="59">
        <f>+J778/$W$2</f>
        <v>1.0745086169555081E-4</v>
      </c>
      <c r="AC778" s="56"/>
    </row>
    <row r="779" spans="1:29">
      <c r="A779" s="13" t="s">
        <v>993</v>
      </c>
      <c r="B779" s="13" t="s">
        <v>538</v>
      </c>
      <c r="C779" s="139">
        <v>46238</v>
      </c>
      <c r="D779" s="139" t="s">
        <v>516</v>
      </c>
      <c r="E779" s="28">
        <v>0.95524743999999995</v>
      </c>
      <c r="F779" s="13"/>
      <c r="G779" s="18">
        <v>40000000</v>
      </c>
      <c r="H779" s="18">
        <v>38209897.43</v>
      </c>
      <c r="I779" s="18">
        <v>40000000</v>
      </c>
      <c r="J779" s="18">
        <v>38209897.43</v>
      </c>
      <c r="K779" s="15">
        <v>9631288</v>
      </c>
      <c r="L779" s="13" t="s">
        <v>102</v>
      </c>
      <c r="M779" s="13" t="s">
        <v>103</v>
      </c>
      <c r="N779" s="139" t="s">
        <v>431</v>
      </c>
      <c r="O779" s="139" t="s">
        <v>431</v>
      </c>
      <c r="P779" s="28">
        <v>30</v>
      </c>
      <c r="Q779" s="13" t="s">
        <v>54</v>
      </c>
      <c r="R779" s="13" t="s">
        <v>28</v>
      </c>
      <c r="S779" s="13"/>
      <c r="T779" s="13"/>
      <c r="U779" s="13" t="s">
        <v>1167</v>
      </c>
      <c r="V779" s="13" t="s">
        <v>1167</v>
      </c>
      <c r="W779" s="59">
        <f>+J779/$W$2</f>
        <v>8.5832455077229435E-4</v>
      </c>
    </row>
    <row r="780" spans="1:29">
      <c r="A780" s="13" t="s">
        <v>2017</v>
      </c>
      <c r="B780" s="13" t="s">
        <v>538</v>
      </c>
      <c r="C780" s="139">
        <v>46239</v>
      </c>
      <c r="D780" s="139" t="s">
        <v>516</v>
      </c>
      <c r="E780" s="28">
        <v>0.95161121999999998</v>
      </c>
      <c r="F780" s="13"/>
      <c r="G780" s="18">
        <v>2046492.39</v>
      </c>
      <c r="H780" s="18">
        <v>1947465.13</v>
      </c>
      <c r="I780" s="18">
        <v>2046492.39</v>
      </c>
      <c r="J780" s="18">
        <v>1947465.13</v>
      </c>
      <c r="K780" s="15">
        <v>12864393</v>
      </c>
      <c r="L780" s="13" t="s">
        <v>102</v>
      </c>
      <c r="M780" s="13" t="s">
        <v>103</v>
      </c>
      <c r="N780" s="139" t="s">
        <v>394</v>
      </c>
      <c r="O780" s="139" t="s">
        <v>394</v>
      </c>
      <c r="P780" s="28">
        <v>32</v>
      </c>
      <c r="Q780" s="13" t="s">
        <v>54</v>
      </c>
      <c r="R780" s="13" t="s">
        <v>28</v>
      </c>
      <c r="S780" s="13"/>
      <c r="T780" s="13"/>
      <c r="U780" s="13" t="s">
        <v>2018</v>
      </c>
      <c r="V780" s="13" t="s">
        <v>2018</v>
      </c>
      <c r="W780" s="59">
        <f>+J780/$W$2</f>
        <v>4.3746705573188909E-5</v>
      </c>
    </row>
    <row r="781" spans="1:29">
      <c r="A781" s="13" t="s">
        <v>1959</v>
      </c>
      <c r="B781" s="13" t="s">
        <v>538</v>
      </c>
      <c r="C781" s="139">
        <v>46239</v>
      </c>
      <c r="D781" s="139" t="s">
        <v>516</v>
      </c>
      <c r="E781" s="28">
        <v>0.95594800999999996</v>
      </c>
      <c r="F781" s="13"/>
      <c r="G781" s="18">
        <v>100000000</v>
      </c>
      <c r="H781" s="18">
        <v>95594800.890000001</v>
      </c>
      <c r="I781" s="18">
        <v>100000000</v>
      </c>
      <c r="J781" s="18">
        <v>95594800.890000001</v>
      </c>
      <c r="K781" s="15">
        <v>90003818</v>
      </c>
      <c r="L781" s="13" t="s">
        <v>102</v>
      </c>
      <c r="M781" s="13" t="s">
        <v>103</v>
      </c>
      <c r="N781" s="139" t="s">
        <v>369</v>
      </c>
      <c r="O781" s="139" t="s">
        <v>369</v>
      </c>
      <c r="P781" s="28">
        <v>29</v>
      </c>
      <c r="Q781" s="13" t="s">
        <v>54</v>
      </c>
      <c r="R781" s="13" t="s">
        <v>28</v>
      </c>
      <c r="S781" s="13"/>
      <c r="T781" s="13"/>
      <c r="U781" s="13" t="s">
        <v>1929</v>
      </c>
      <c r="V781" s="13" t="s">
        <v>1929</v>
      </c>
      <c r="W781" s="59">
        <f>+J781/$W$2</f>
        <v>2.147385103045438E-3</v>
      </c>
    </row>
    <row r="782" spans="1:29">
      <c r="A782" s="13" t="s">
        <v>1915</v>
      </c>
      <c r="B782" s="13" t="s">
        <v>538</v>
      </c>
      <c r="C782" s="139">
        <v>46239</v>
      </c>
      <c r="D782" s="139" t="s">
        <v>516</v>
      </c>
      <c r="E782" s="28">
        <v>0.97219270000000002</v>
      </c>
      <c r="F782" s="13"/>
      <c r="G782" s="18">
        <v>346128566</v>
      </c>
      <c r="H782" s="18">
        <v>336503664.92000002</v>
      </c>
      <c r="I782" s="18">
        <v>346128566</v>
      </c>
      <c r="J782" s="18">
        <v>336503664.92000002</v>
      </c>
      <c r="K782" s="15">
        <v>152123</v>
      </c>
      <c r="L782" s="13" t="s">
        <v>102</v>
      </c>
      <c r="M782" s="13" t="s">
        <v>103</v>
      </c>
      <c r="N782" s="139" t="s">
        <v>175</v>
      </c>
      <c r="O782" s="139" t="s">
        <v>175</v>
      </c>
      <c r="P782" s="28">
        <v>18</v>
      </c>
      <c r="Q782" s="13" t="s">
        <v>54</v>
      </c>
      <c r="R782" s="13" t="s">
        <v>28</v>
      </c>
      <c r="S782" s="13"/>
      <c r="T782" s="13"/>
      <c r="U782" s="13" t="s">
        <v>1888</v>
      </c>
      <c r="V782" s="13" t="s">
        <v>1888</v>
      </c>
      <c r="W782" s="59">
        <f>+J782/$W$2</f>
        <v>7.5590194282730292E-3</v>
      </c>
    </row>
    <row r="783" spans="1:29">
      <c r="A783" s="13" t="s">
        <v>2032</v>
      </c>
      <c r="B783" s="13" t="s">
        <v>538</v>
      </c>
      <c r="C783" s="139">
        <v>46239</v>
      </c>
      <c r="D783" s="139" t="s">
        <v>516</v>
      </c>
      <c r="E783" s="28">
        <v>0.95161121999999998</v>
      </c>
      <c r="F783" s="13"/>
      <c r="G783" s="18">
        <v>1000000</v>
      </c>
      <c r="H783" s="18">
        <v>951611.22</v>
      </c>
      <c r="I783" s="18">
        <v>1000000</v>
      </c>
      <c r="J783" s="18">
        <v>951611.22</v>
      </c>
      <c r="K783" s="15">
        <v>66487550</v>
      </c>
      <c r="L783" s="13" t="s">
        <v>102</v>
      </c>
      <c r="M783" s="13" t="s">
        <v>103</v>
      </c>
      <c r="N783" s="139" t="s">
        <v>394</v>
      </c>
      <c r="O783" s="139" t="s">
        <v>394</v>
      </c>
      <c r="P783" s="28">
        <v>32</v>
      </c>
      <c r="Q783" s="13" t="s">
        <v>54</v>
      </c>
      <c r="R783" s="13" t="s">
        <v>28</v>
      </c>
      <c r="S783" s="13"/>
      <c r="T783" s="13"/>
      <c r="U783" s="13" t="s">
        <v>2033</v>
      </c>
      <c r="V783" s="13" t="s">
        <v>2033</v>
      </c>
      <c r="W783" s="59">
        <f>+J783/$W$2</f>
        <v>2.1376431967992721E-5</v>
      </c>
    </row>
    <row r="784" spans="1:29">
      <c r="A784" s="13" t="s">
        <v>2038</v>
      </c>
      <c r="B784" s="13" t="s">
        <v>538</v>
      </c>
      <c r="C784" s="139">
        <v>46239</v>
      </c>
      <c r="D784" s="139" t="s">
        <v>516</v>
      </c>
      <c r="E784" s="28">
        <v>0.95161121999999998</v>
      </c>
      <c r="F784" s="13"/>
      <c r="G784" s="18">
        <v>5000000</v>
      </c>
      <c r="H784" s="18">
        <v>4758056.12</v>
      </c>
      <c r="I784" s="18">
        <v>5000000</v>
      </c>
      <c r="J784" s="18">
        <v>4758056.12</v>
      </c>
      <c r="K784" s="15">
        <v>551</v>
      </c>
      <c r="L784" s="13" t="s">
        <v>102</v>
      </c>
      <c r="M784" s="13" t="s">
        <v>103</v>
      </c>
      <c r="N784" s="139" t="s">
        <v>394</v>
      </c>
      <c r="O784" s="139" t="s">
        <v>394</v>
      </c>
      <c r="P784" s="28">
        <v>32</v>
      </c>
      <c r="Q784" s="13" t="s">
        <v>54</v>
      </c>
      <c r="R784" s="13" t="s">
        <v>28</v>
      </c>
      <c r="S784" s="13"/>
      <c r="T784" s="13"/>
      <c r="U784" s="13" t="s">
        <v>2039</v>
      </c>
      <c r="V784" s="13" t="s">
        <v>2039</v>
      </c>
      <c r="W784" s="59">
        <f>+J784/$W$2</f>
        <v>1.068821602892318E-4</v>
      </c>
    </row>
    <row r="785" spans="1:29">
      <c r="A785" s="13" t="s">
        <v>917</v>
      </c>
      <c r="B785" s="13" t="s">
        <v>538</v>
      </c>
      <c r="C785" s="139">
        <v>46239</v>
      </c>
      <c r="D785" s="139" t="s">
        <v>516</v>
      </c>
      <c r="E785" s="28">
        <v>0.94305501999999997</v>
      </c>
      <c r="F785" s="13"/>
      <c r="G785" s="18">
        <v>4500000</v>
      </c>
      <c r="H785" s="18">
        <v>4243747.59</v>
      </c>
      <c r="I785" s="18">
        <v>4500000</v>
      </c>
      <c r="J785" s="18">
        <v>4243747.59</v>
      </c>
      <c r="K785" s="15">
        <v>551</v>
      </c>
      <c r="L785" s="13" t="s">
        <v>102</v>
      </c>
      <c r="M785" s="13" t="s">
        <v>103</v>
      </c>
      <c r="N785" s="139" t="s">
        <v>344</v>
      </c>
      <c r="O785" s="139" t="s">
        <v>344</v>
      </c>
      <c r="P785" s="28">
        <v>38</v>
      </c>
      <c r="Q785" s="13" t="s">
        <v>54</v>
      </c>
      <c r="R785" s="13" t="s">
        <v>28</v>
      </c>
      <c r="S785" s="13"/>
      <c r="T785" s="13"/>
      <c r="U785" s="13" t="s">
        <v>1136</v>
      </c>
      <c r="V785" s="13" t="s">
        <v>1136</v>
      </c>
      <c r="W785" s="59">
        <f>+J785/$W$2</f>
        <v>9.5329037468650342E-5</v>
      </c>
    </row>
    <row r="786" spans="1:29">
      <c r="A786" s="13" t="s">
        <v>918</v>
      </c>
      <c r="B786" s="13" t="s">
        <v>538</v>
      </c>
      <c r="C786" s="139">
        <v>46239</v>
      </c>
      <c r="D786" s="139" t="s">
        <v>516</v>
      </c>
      <c r="E786" s="28">
        <v>0.94305512000000002</v>
      </c>
      <c r="F786" s="13"/>
      <c r="G786" s="18">
        <v>3116595.02</v>
      </c>
      <c r="H786" s="18">
        <v>2939120.9</v>
      </c>
      <c r="I786" s="18">
        <v>3116595.02</v>
      </c>
      <c r="J786" s="18">
        <v>2939120.9</v>
      </c>
      <c r="K786" s="15">
        <v>104</v>
      </c>
      <c r="L786" s="13" t="s">
        <v>102</v>
      </c>
      <c r="M786" s="13" t="s">
        <v>103</v>
      </c>
      <c r="N786" s="139" t="s">
        <v>378</v>
      </c>
      <c r="O786" s="139" t="s">
        <v>378</v>
      </c>
      <c r="P786" s="28">
        <v>38</v>
      </c>
      <c r="Q786" s="13" t="s">
        <v>54</v>
      </c>
      <c r="R786" s="13" t="s">
        <v>28</v>
      </c>
      <c r="S786" s="13"/>
      <c r="T786" s="13"/>
      <c r="U786" s="13" t="s">
        <v>869</v>
      </c>
      <c r="V786" s="13" t="s">
        <v>869</v>
      </c>
      <c r="W786" s="59">
        <f>+J786/$W$2</f>
        <v>6.6022674642860496E-5</v>
      </c>
    </row>
    <row r="787" spans="1:29">
      <c r="A787" s="13" t="s">
        <v>919</v>
      </c>
      <c r="B787" s="13" t="s">
        <v>538</v>
      </c>
      <c r="C787" s="139">
        <v>46239</v>
      </c>
      <c r="D787" s="139" t="s">
        <v>516</v>
      </c>
      <c r="E787" s="28">
        <v>0.94305512999999996</v>
      </c>
      <c r="F787" s="13"/>
      <c r="G787" s="18">
        <v>2398145.2000000002</v>
      </c>
      <c r="H787" s="18">
        <v>2261583.14</v>
      </c>
      <c r="I787" s="18">
        <v>2398145.2000000002</v>
      </c>
      <c r="J787" s="18">
        <v>2261583.14</v>
      </c>
      <c r="K787" s="15">
        <v>13270644</v>
      </c>
      <c r="L787" s="13" t="s">
        <v>102</v>
      </c>
      <c r="M787" s="13" t="s">
        <v>103</v>
      </c>
      <c r="N787" s="139" t="s">
        <v>374</v>
      </c>
      <c r="O787" s="139" t="s">
        <v>374</v>
      </c>
      <c r="P787" s="28">
        <v>38</v>
      </c>
      <c r="Q787" s="13" t="s">
        <v>54</v>
      </c>
      <c r="R787" s="13" t="s">
        <v>28</v>
      </c>
      <c r="S787" s="13"/>
      <c r="T787" s="13"/>
      <c r="U787" s="13" t="s">
        <v>1203</v>
      </c>
      <c r="V787" s="13" t="s">
        <v>1203</v>
      </c>
      <c r="W787" s="59">
        <f>+J787/$W$2</f>
        <v>5.0802866881045563E-5</v>
      </c>
    </row>
    <row r="788" spans="1:29">
      <c r="A788" s="13" t="s">
        <v>2065</v>
      </c>
      <c r="B788" s="13" t="s">
        <v>538</v>
      </c>
      <c r="C788" s="139">
        <v>46239</v>
      </c>
      <c r="D788" s="139" t="s">
        <v>516</v>
      </c>
      <c r="E788" s="28">
        <v>0.95161121999999998</v>
      </c>
      <c r="F788" s="13"/>
      <c r="G788" s="18">
        <v>1110641.67</v>
      </c>
      <c r="H788" s="18">
        <v>1056899.07</v>
      </c>
      <c r="I788" s="18">
        <v>1110641.67</v>
      </c>
      <c r="J788" s="18">
        <v>1056899.07</v>
      </c>
      <c r="K788" s="15">
        <v>925</v>
      </c>
      <c r="L788" s="13" t="s">
        <v>102</v>
      </c>
      <c r="M788" s="13" t="s">
        <v>103</v>
      </c>
      <c r="N788" s="139" t="s">
        <v>394</v>
      </c>
      <c r="O788" s="139" t="s">
        <v>394</v>
      </c>
      <c r="P788" s="28">
        <v>32</v>
      </c>
      <c r="Q788" s="13" t="s">
        <v>54</v>
      </c>
      <c r="R788" s="13" t="s">
        <v>28</v>
      </c>
      <c r="S788" s="13"/>
      <c r="T788" s="13"/>
      <c r="U788" s="13" t="s">
        <v>2066</v>
      </c>
      <c r="V788" s="13" t="s">
        <v>2066</v>
      </c>
      <c r="W788" s="59">
        <f>+J788/$W$2</f>
        <v>2.3741555996880509E-5</v>
      </c>
    </row>
    <row r="789" spans="1:29">
      <c r="A789" s="13" t="s">
        <v>129</v>
      </c>
      <c r="B789" s="13" t="s">
        <v>130</v>
      </c>
      <c r="C789" s="139">
        <v>46239</v>
      </c>
      <c r="D789" s="139" t="s">
        <v>516</v>
      </c>
      <c r="E789" s="28">
        <v>0.98590047999999997</v>
      </c>
      <c r="F789" s="13" t="s">
        <v>2102</v>
      </c>
      <c r="G789" s="18">
        <v>50000</v>
      </c>
      <c r="H789" s="18">
        <v>49295.02</v>
      </c>
      <c r="I789" s="18">
        <v>72269885.819999993</v>
      </c>
      <c r="J789" s="18">
        <v>71250909.340000004</v>
      </c>
      <c r="K789" s="15">
        <v>144917</v>
      </c>
      <c r="L789" s="13" t="s">
        <v>102</v>
      </c>
      <c r="M789" s="13" t="s">
        <v>103</v>
      </c>
      <c r="N789" s="139" t="s">
        <v>231</v>
      </c>
      <c r="O789" s="139" t="s">
        <v>231</v>
      </c>
      <c r="P789" s="28">
        <v>9</v>
      </c>
      <c r="Q789" s="13" t="s">
        <v>54</v>
      </c>
      <c r="R789" s="13" t="s">
        <v>28</v>
      </c>
      <c r="S789" s="13"/>
      <c r="T789" s="13"/>
      <c r="U789" s="13" t="s">
        <v>692</v>
      </c>
      <c r="V789" s="13" t="s">
        <v>692</v>
      </c>
      <c r="W789" s="59">
        <f>+J789/$W$2</f>
        <v>1.600538312446681E-3</v>
      </c>
    </row>
    <row r="790" spans="1:29">
      <c r="A790" s="13" t="s">
        <v>129</v>
      </c>
      <c r="B790" s="13" t="s">
        <v>130</v>
      </c>
      <c r="C790" s="139">
        <v>46239</v>
      </c>
      <c r="D790" s="139" t="s">
        <v>516</v>
      </c>
      <c r="E790" s="28">
        <v>0.98744750000000003</v>
      </c>
      <c r="F790" s="13" t="s">
        <v>2102</v>
      </c>
      <c r="G790" s="18">
        <v>50000</v>
      </c>
      <c r="H790" s="18">
        <v>49372.38</v>
      </c>
      <c r="I790" s="18">
        <v>72269885.819999993</v>
      </c>
      <c r="J790" s="18">
        <v>71362725.299999997</v>
      </c>
      <c r="K790" s="15">
        <v>144506</v>
      </c>
      <c r="L790" s="13" t="s">
        <v>102</v>
      </c>
      <c r="M790" s="13" t="s">
        <v>103</v>
      </c>
      <c r="N790" s="139" t="s">
        <v>368</v>
      </c>
      <c r="O790" s="139" t="s">
        <v>368</v>
      </c>
      <c r="P790" s="28">
        <v>8</v>
      </c>
      <c r="Q790" s="13" t="s">
        <v>54</v>
      </c>
      <c r="R790" s="13" t="s">
        <v>28</v>
      </c>
      <c r="S790" s="13"/>
      <c r="T790" s="13"/>
      <c r="U790" s="13" t="s">
        <v>595</v>
      </c>
      <c r="V790" s="13" t="s">
        <v>595</v>
      </c>
      <c r="W790" s="59">
        <f>+J790/$W$2</f>
        <v>1.6030500800799752E-3</v>
      </c>
    </row>
    <row r="791" spans="1:29">
      <c r="A791" s="13" t="s">
        <v>1181</v>
      </c>
      <c r="B791" s="13" t="s">
        <v>130</v>
      </c>
      <c r="C791" s="139">
        <v>46239</v>
      </c>
      <c r="D791" s="139" t="s">
        <v>516</v>
      </c>
      <c r="E791" s="28">
        <v>0.98899912999999995</v>
      </c>
      <c r="F791" s="13" t="s">
        <v>2102</v>
      </c>
      <c r="G791" s="18">
        <v>100000</v>
      </c>
      <c r="H791" s="18">
        <v>98899.91</v>
      </c>
      <c r="I791" s="18">
        <v>144539771.63999999</v>
      </c>
      <c r="J791" s="18">
        <v>142949704.06</v>
      </c>
      <c r="K791" s="15">
        <v>147169</v>
      </c>
      <c r="L791" s="13" t="s">
        <v>102</v>
      </c>
      <c r="M791" s="13" t="s">
        <v>103</v>
      </c>
      <c r="N791" s="139" t="s">
        <v>431</v>
      </c>
      <c r="O791" s="139" t="s">
        <v>431</v>
      </c>
      <c r="P791" s="28">
        <v>7</v>
      </c>
      <c r="Q791" s="13" t="s">
        <v>54</v>
      </c>
      <c r="R791" s="13" t="s">
        <v>28</v>
      </c>
      <c r="S791" s="13"/>
      <c r="T791" s="13"/>
      <c r="U791" s="13" t="s">
        <v>1179</v>
      </c>
      <c r="V791" s="13" t="s">
        <v>1179</v>
      </c>
      <c r="W791" s="59">
        <f>+J791/$W$2</f>
        <v>3.2111376573337198E-3</v>
      </c>
    </row>
    <row r="792" spans="1:29">
      <c r="A792" s="13" t="s">
        <v>1181</v>
      </c>
      <c r="B792" s="13" t="s">
        <v>130</v>
      </c>
      <c r="C792" s="139">
        <v>46239</v>
      </c>
      <c r="D792" s="139" t="s">
        <v>516</v>
      </c>
      <c r="E792" s="28">
        <v>0.98435777999999996</v>
      </c>
      <c r="F792" s="13" t="s">
        <v>2102</v>
      </c>
      <c r="G792" s="18">
        <v>25000</v>
      </c>
      <c r="H792" s="18">
        <v>24608.94</v>
      </c>
      <c r="I792" s="18">
        <v>36134942.909999996</v>
      </c>
      <c r="J792" s="18">
        <v>35569705.68</v>
      </c>
      <c r="K792" s="15">
        <v>150611</v>
      </c>
      <c r="L792" s="13" t="s">
        <v>102</v>
      </c>
      <c r="M792" s="13" t="s">
        <v>103</v>
      </c>
      <c r="N792" s="139" t="s">
        <v>163</v>
      </c>
      <c r="O792" s="139" t="s">
        <v>163</v>
      </c>
      <c r="P792" s="28">
        <v>10</v>
      </c>
      <c r="Q792" s="13" t="s">
        <v>54</v>
      </c>
      <c r="R792" s="13" t="s">
        <v>28</v>
      </c>
      <c r="S792" s="13"/>
      <c r="T792" s="13"/>
      <c r="U792" s="13" t="s">
        <v>1600</v>
      </c>
      <c r="V792" s="13" t="s">
        <v>1600</v>
      </c>
      <c r="W792" s="59">
        <f>+J792/$W$2</f>
        <v>7.9901684386407751E-4</v>
      </c>
    </row>
    <row r="793" spans="1:29">
      <c r="A793" s="13" t="s">
        <v>478</v>
      </c>
      <c r="B793" s="13" t="s">
        <v>538</v>
      </c>
      <c r="C793" s="139">
        <v>46239</v>
      </c>
      <c r="D793" s="139" t="s">
        <v>516</v>
      </c>
      <c r="E793" s="28">
        <v>0.94589005999999998</v>
      </c>
      <c r="F793" s="13"/>
      <c r="G793" s="18">
        <v>5882352.9299999997</v>
      </c>
      <c r="H793" s="18">
        <v>5564059.1500000004</v>
      </c>
      <c r="I793" s="18">
        <v>5882352.9299999997</v>
      </c>
      <c r="J793" s="18">
        <v>5564059.1500000004</v>
      </c>
      <c r="K793" s="15">
        <v>2621</v>
      </c>
      <c r="L793" s="13" t="s">
        <v>102</v>
      </c>
      <c r="M793" s="13" t="s">
        <v>103</v>
      </c>
      <c r="N793" s="139" t="s">
        <v>391</v>
      </c>
      <c r="O793" s="139" t="s">
        <v>391</v>
      </c>
      <c r="P793" s="28">
        <v>36</v>
      </c>
      <c r="Q793" s="13" t="s">
        <v>54</v>
      </c>
      <c r="R793" s="13" t="s">
        <v>28</v>
      </c>
      <c r="S793" s="13"/>
      <c r="T793" s="13"/>
      <c r="U793" s="13" t="s">
        <v>1665</v>
      </c>
      <c r="V793" s="13" t="s">
        <v>1665</v>
      </c>
      <c r="W793" s="59">
        <f>+J793/$W$2</f>
        <v>1.2498773594311175E-4</v>
      </c>
    </row>
    <row r="794" spans="1:29">
      <c r="A794" s="13" t="s">
        <v>2063</v>
      </c>
      <c r="B794" s="13" t="s">
        <v>538</v>
      </c>
      <c r="C794" s="139">
        <v>46239</v>
      </c>
      <c r="D794" s="139" t="s">
        <v>516</v>
      </c>
      <c r="E794" s="28">
        <v>0.95161121999999998</v>
      </c>
      <c r="F794" s="13"/>
      <c r="G794" s="18">
        <v>1017218.53</v>
      </c>
      <c r="H794" s="18">
        <v>967996.57</v>
      </c>
      <c r="I794" s="18">
        <v>1017218.53</v>
      </c>
      <c r="J794" s="18">
        <v>967996.57</v>
      </c>
      <c r="K794" s="15">
        <v>67391910</v>
      </c>
      <c r="L794" s="13" t="s">
        <v>102</v>
      </c>
      <c r="M794" s="13" t="s">
        <v>103</v>
      </c>
      <c r="N794" s="139" t="s">
        <v>394</v>
      </c>
      <c r="O794" s="139" t="s">
        <v>394</v>
      </c>
      <c r="P794" s="28">
        <v>32</v>
      </c>
      <c r="Q794" s="13" t="s">
        <v>54</v>
      </c>
      <c r="R794" s="13" t="s">
        <v>28</v>
      </c>
      <c r="S794" s="13"/>
      <c r="T794" s="13"/>
      <c r="U794" s="13" t="s">
        <v>2064</v>
      </c>
      <c r="V794" s="13" t="s">
        <v>2064</v>
      </c>
      <c r="W794" s="59">
        <f>+J794/$W$2</f>
        <v>2.1744502785344738E-5</v>
      </c>
      <c r="AC794" s="56"/>
    </row>
    <row r="795" spans="1:29">
      <c r="A795" s="13" t="s">
        <v>338</v>
      </c>
      <c r="B795" s="13" t="s">
        <v>538</v>
      </c>
      <c r="C795" s="139">
        <v>46239</v>
      </c>
      <c r="D795" s="139" t="s">
        <v>516</v>
      </c>
      <c r="E795" s="28">
        <v>0.95449803</v>
      </c>
      <c r="F795" s="13"/>
      <c r="G795" s="18">
        <v>8500000</v>
      </c>
      <c r="H795" s="18">
        <v>8113233.2800000003</v>
      </c>
      <c r="I795" s="18">
        <v>8500000</v>
      </c>
      <c r="J795" s="18">
        <v>8113233.2800000003</v>
      </c>
      <c r="K795" s="15">
        <v>1070</v>
      </c>
      <c r="L795" s="13" t="s">
        <v>102</v>
      </c>
      <c r="M795" s="13" t="s">
        <v>103</v>
      </c>
      <c r="N795" s="139" t="s">
        <v>378</v>
      </c>
      <c r="O795" s="139" t="s">
        <v>378</v>
      </c>
      <c r="P795" s="28">
        <v>30</v>
      </c>
      <c r="Q795" s="13" t="s">
        <v>54</v>
      </c>
      <c r="R795" s="13" t="s">
        <v>28</v>
      </c>
      <c r="S795" s="13"/>
      <c r="T795" s="13"/>
      <c r="U795" s="13" t="s">
        <v>872</v>
      </c>
      <c r="V795" s="13" t="s">
        <v>872</v>
      </c>
      <c r="W795" s="59">
        <f>+J795/$W$2</f>
        <v>1.8225087683431732E-4</v>
      </c>
    </row>
    <row r="796" spans="1:29">
      <c r="A796" s="13" t="s">
        <v>338</v>
      </c>
      <c r="B796" s="13" t="s">
        <v>538</v>
      </c>
      <c r="C796" s="139">
        <v>46239</v>
      </c>
      <c r="D796" s="139" t="s">
        <v>516</v>
      </c>
      <c r="E796" s="28">
        <v>0.95449803</v>
      </c>
      <c r="F796" s="13"/>
      <c r="G796" s="18">
        <v>10000000</v>
      </c>
      <c r="H796" s="18">
        <v>9544980.3300000001</v>
      </c>
      <c r="I796" s="18">
        <v>10000000</v>
      </c>
      <c r="J796" s="18">
        <v>9544980.3300000001</v>
      </c>
      <c r="K796" s="15">
        <v>40621855</v>
      </c>
      <c r="L796" s="13" t="s">
        <v>102</v>
      </c>
      <c r="M796" s="13" t="s">
        <v>103</v>
      </c>
      <c r="N796" s="139" t="s">
        <v>378</v>
      </c>
      <c r="O796" s="139" t="s">
        <v>378</v>
      </c>
      <c r="P796" s="28">
        <v>30</v>
      </c>
      <c r="Q796" s="13" t="s">
        <v>54</v>
      </c>
      <c r="R796" s="13" t="s">
        <v>28</v>
      </c>
      <c r="S796" s="13"/>
      <c r="T796" s="13"/>
      <c r="U796" s="13" t="s">
        <v>873</v>
      </c>
      <c r="V796" s="13" t="s">
        <v>873</v>
      </c>
      <c r="W796" s="59">
        <f>+J796/$W$2</f>
        <v>2.1441279628888122E-4</v>
      </c>
    </row>
    <row r="797" spans="1:29">
      <c r="A797" s="13" t="s">
        <v>1526</v>
      </c>
      <c r="B797" s="13" t="s">
        <v>538</v>
      </c>
      <c r="C797" s="139">
        <v>46239</v>
      </c>
      <c r="D797" s="139" t="s">
        <v>516</v>
      </c>
      <c r="E797" s="28">
        <v>0.95017461999999997</v>
      </c>
      <c r="F797" s="13"/>
      <c r="G797" s="18">
        <v>50000000</v>
      </c>
      <c r="H797" s="18">
        <v>47508730.899999999</v>
      </c>
      <c r="I797" s="18">
        <v>50000000</v>
      </c>
      <c r="J797" s="18">
        <v>47508730.899999999</v>
      </c>
      <c r="K797" s="15">
        <v>136</v>
      </c>
      <c r="L797" s="13" t="s">
        <v>102</v>
      </c>
      <c r="M797" s="13" t="s">
        <v>103</v>
      </c>
      <c r="N797" s="139" t="s">
        <v>384</v>
      </c>
      <c r="O797" s="139" t="s">
        <v>384</v>
      </c>
      <c r="P797" s="28">
        <v>33</v>
      </c>
      <c r="Q797" s="13" t="s">
        <v>54</v>
      </c>
      <c r="R797" s="13" t="s">
        <v>28</v>
      </c>
      <c r="S797" s="13"/>
      <c r="T797" s="13"/>
      <c r="U797" s="13" t="s">
        <v>1515</v>
      </c>
      <c r="V797" s="13" t="s">
        <v>1515</v>
      </c>
      <c r="W797" s="59">
        <f>+J797/$W$2</f>
        <v>1.067208049490551E-3</v>
      </c>
    </row>
    <row r="798" spans="1:29">
      <c r="A798" s="13" t="s">
        <v>739</v>
      </c>
      <c r="B798" s="13" t="s">
        <v>538</v>
      </c>
      <c r="C798" s="139">
        <v>46239</v>
      </c>
      <c r="D798" s="139" t="s">
        <v>516</v>
      </c>
      <c r="E798" s="28">
        <v>0.96326407999999997</v>
      </c>
      <c r="F798" s="13"/>
      <c r="G798" s="18">
        <v>1484637.46</v>
      </c>
      <c r="H798" s="18">
        <v>1430097.93</v>
      </c>
      <c r="I798" s="18">
        <v>1484637.46</v>
      </c>
      <c r="J798" s="18">
        <v>1430097.93</v>
      </c>
      <c r="K798" s="15">
        <v>40012463</v>
      </c>
      <c r="L798" s="13" t="s">
        <v>102</v>
      </c>
      <c r="M798" s="13" t="s">
        <v>103</v>
      </c>
      <c r="N798" s="139" t="s">
        <v>335</v>
      </c>
      <c r="O798" s="139" t="s">
        <v>335</v>
      </c>
      <c r="P798" s="28">
        <v>24</v>
      </c>
      <c r="Q798" s="13" t="s">
        <v>54</v>
      </c>
      <c r="R798" s="13" t="s">
        <v>28</v>
      </c>
      <c r="S798" s="13"/>
      <c r="T798" s="13"/>
      <c r="U798" s="13" t="s">
        <v>1778</v>
      </c>
      <c r="V798" s="13" t="s">
        <v>1778</v>
      </c>
      <c r="W798" s="59">
        <f>+J798/$W$2</f>
        <v>3.2124874597645262E-5</v>
      </c>
    </row>
    <row r="799" spans="1:29">
      <c r="A799" s="13" t="s">
        <v>739</v>
      </c>
      <c r="B799" s="13" t="s">
        <v>538</v>
      </c>
      <c r="C799" s="139">
        <v>46239</v>
      </c>
      <c r="D799" s="139" t="s">
        <v>516</v>
      </c>
      <c r="E799" s="28">
        <v>0.96770778999999996</v>
      </c>
      <c r="F799" s="13"/>
      <c r="G799" s="18">
        <v>8756336.9900000002</v>
      </c>
      <c r="H799" s="18">
        <v>8473575.5500000007</v>
      </c>
      <c r="I799" s="18">
        <v>8756336.9900000002</v>
      </c>
      <c r="J799" s="18">
        <v>8473575.5500000007</v>
      </c>
      <c r="K799" s="15">
        <v>40012226</v>
      </c>
      <c r="L799" s="13" t="s">
        <v>102</v>
      </c>
      <c r="M799" s="13" t="s">
        <v>103</v>
      </c>
      <c r="N799" s="139" t="s">
        <v>371</v>
      </c>
      <c r="O799" s="139" t="s">
        <v>371</v>
      </c>
      <c r="P799" s="28">
        <v>21</v>
      </c>
      <c r="Q799" s="13" t="s">
        <v>54</v>
      </c>
      <c r="R799" s="13" t="s">
        <v>28</v>
      </c>
      <c r="S799" s="13"/>
      <c r="T799" s="13"/>
      <c r="U799" s="13" t="s">
        <v>1645</v>
      </c>
      <c r="V799" s="13" t="s">
        <v>1645</v>
      </c>
      <c r="W799" s="59">
        <f>+J799/$W$2</f>
        <v>1.9034539259659162E-4</v>
      </c>
    </row>
    <row r="800" spans="1:29">
      <c r="A800" s="13" t="s">
        <v>993</v>
      </c>
      <c r="B800" s="13" t="s">
        <v>538</v>
      </c>
      <c r="C800" s="139">
        <v>46239</v>
      </c>
      <c r="D800" s="139" t="s">
        <v>516</v>
      </c>
      <c r="E800" s="28">
        <v>0.95449804000000005</v>
      </c>
      <c r="F800" s="13"/>
      <c r="G800" s="18">
        <v>15000000</v>
      </c>
      <c r="H800" s="18">
        <v>14317470.66</v>
      </c>
      <c r="I800" s="18">
        <v>15000000</v>
      </c>
      <c r="J800" s="18">
        <v>14317470.66</v>
      </c>
      <c r="K800" s="15">
        <v>90000127</v>
      </c>
      <c r="L800" s="13" t="s">
        <v>102</v>
      </c>
      <c r="M800" s="13" t="s">
        <v>103</v>
      </c>
      <c r="N800" s="139" t="s">
        <v>343</v>
      </c>
      <c r="O800" s="139" t="s">
        <v>343</v>
      </c>
      <c r="P800" s="28">
        <v>30</v>
      </c>
      <c r="Q800" s="13" t="s">
        <v>54</v>
      </c>
      <c r="R800" s="13" t="s">
        <v>28</v>
      </c>
      <c r="S800" s="13"/>
      <c r="T800" s="13"/>
      <c r="U800" s="13" t="s">
        <v>1421</v>
      </c>
      <c r="V800" s="13" t="s">
        <v>1421</v>
      </c>
      <c r="W800" s="59">
        <f>+J800/$W$2</f>
        <v>3.216191981397843E-4</v>
      </c>
    </row>
    <row r="801" spans="1:29">
      <c r="A801" s="13" t="s">
        <v>339</v>
      </c>
      <c r="B801" s="13" t="s">
        <v>538</v>
      </c>
      <c r="C801" s="139">
        <v>46239</v>
      </c>
      <c r="D801" s="139" t="s">
        <v>516</v>
      </c>
      <c r="E801" s="28">
        <v>0.95594789000000002</v>
      </c>
      <c r="F801" s="13"/>
      <c r="G801" s="18">
        <v>4166666.66</v>
      </c>
      <c r="H801" s="18">
        <v>3983116.21</v>
      </c>
      <c r="I801" s="18">
        <v>4166666.66</v>
      </c>
      <c r="J801" s="18">
        <v>3983116.21</v>
      </c>
      <c r="K801" s="15">
        <v>13567710</v>
      </c>
      <c r="L801" s="13" t="s">
        <v>102</v>
      </c>
      <c r="M801" s="13" t="s">
        <v>103</v>
      </c>
      <c r="N801" s="139" t="s">
        <v>359</v>
      </c>
      <c r="O801" s="139" t="s">
        <v>359</v>
      </c>
      <c r="P801" s="28">
        <v>29</v>
      </c>
      <c r="Q801" s="13" t="s">
        <v>54</v>
      </c>
      <c r="R801" s="13" t="s">
        <v>28</v>
      </c>
      <c r="S801" s="13"/>
      <c r="T801" s="13"/>
      <c r="U801" s="13" t="s">
        <v>1338</v>
      </c>
      <c r="V801" s="13" t="s">
        <v>1338</v>
      </c>
      <c r="W801" s="59">
        <f>+J801/$W$2</f>
        <v>8.9474368202251773E-5</v>
      </c>
    </row>
    <row r="802" spans="1:29">
      <c r="A802" s="13" t="s">
        <v>339</v>
      </c>
      <c r="B802" s="13" t="s">
        <v>538</v>
      </c>
      <c r="C802" s="139">
        <v>46239</v>
      </c>
      <c r="D802" s="139" t="s">
        <v>516</v>
      </c>
      <c r="E802" s="28">
        <v>0.95594794999999999</v>
      </c>
      <c r="F802" s="13"/>
      <c r="G802" s="18">
        <v>12500000</v>
      </c>
      <c r="H802" s="18">
        <v>11949349.310000001</v>
      </c>
      <c r="I802" s="18">
        <v>12500000</v>
      </c>
      <c r="J802" s="18">
        <v>11949349.310000001</v>
      </c>
      <c r="K802" s="15">
        <v>4955</v>
      </c>
      <c r="L802" s="13" t="s">
        <v>102</v>
      </c>
      <c r="M802" s="13" t="s">
        <v>103</v>
      </c>
      <c r="N802" s="139" t="s">
        <v>374</v>
      </c>
      <c r="O802" s="139" t="s">
        <v>374</v>
      </c>
      <c r="P802" s="28">
        <v>29</v>
      </c>
      <c r="Q802" s="13" t="s">
        <v>54</v>
      </c>
      <c r="R802" s="13" t="s">
        <v>28</v>
      </c>
      <c r="S802" s="13"/>
      <c r="T802" s="13"/>
      <c r="U802" s="13" t="s">
        <v>1186</v>
      </c>
      <c r="V802" s="13" t="s">
        <v>1186</v>
      </c>
      <c r="W802" s="59">
        <f>+J802/$W$2</f>
        <v>2.6842311988187336E-4</v>
      </c>
    </row>
    <row r="803" spans="1:29">
      <c r="A803" s="13" t="s">
        <v>380</v>
      </c>
      <c r="B803" s="13" t="s">
        <v>538</v>
      </c>
      <c r="C803" s="139">
        <v>46239</v>
      </c>
      <c r="D803" s="139" t="s">
        <v>516</v>
      </c>
      <c r="E803" s="28">
        <v>0.94588994000000004</v>
      </c>
      <c r="F803" s="13"/>
      <c r="G803" s="18">
        <v>16800000</v>
      </c>
      <c r="H803" s="18">
        <v>15890951.029999999</v>
      </c>
      <c r="I803" s="18">
        <v>16800000</v>
      </c>
      <c r="J803" s="18">
        <v>15890951.029999999</v>
      </c>
      <c r="K803" s="15">
        <v>32600</v>
      </c>
      <c r="L803" s="13" t="s">
        <v>102</v>
      </c>
      <c r="M803" s="13" t="s">
        <v>103</v>
      </c>
      <c r="N803" s="139" t="s">
        <v>334</v>
      </c>
      <c r="O803" s="139" t="s">
        <v>334</v>
      </c>
      <c r="P803" s="28">
        <v>36</v>
      </c>
      <c r="Q803" s="13" t="s">
        <v>54</v>
      </c>
      <c r="R803" s="13" t="s">
        <v>28</v>
      </c>
      <c r="S803" s="13"/>
      <c r="T803" s="13"/>
      <c r="U803" s="13" t="s">
        <v>1290</v>
      </c>
      <c r="V803" s="13" t="s">
        <v>1290</v>
      </c>
      <c r="W803" s="59">
        <f>+J803/$W$2</f>
        <v>3.5696493111913799E-4</v>
      </c>
    </row>
    <row r="804" spans="1:29">
      <c r="A804" s="13" t="s">
        <v>357</v>
      </c>
      <c r="B804" s="13" t="s">
        <v>538</v>
      </c>
      <c r="C804" s="139">
        <v>46239</v>
      </c>
      <c r="D804" s="139" t="s">
        <v>516</v>
      </c>
      <c r="E804" s="28">
        <v>0.94731390999999998</v>
      </c>
      <c r="F804" s="13"/>
      <c r="G804" s="18">
        <v>2000000</v>
      </c>
      <c r="H804" s="18">
        <v>1894627.82</v>
      </c>
      <c r="I804" s="18">
        <v>2000000</v>
      </c>
      <c r="J804" s="18">
        <v>1894627.82</v>
      </c>
      <c r="K804" s="15">
        <v>40751276</v>
      </c>
      <c r="L804" s="13" t="s">
        <v>102</v>
      </c>
      <c r="M804" s="13" t="s">
        <v>103</v>
      </c>
      <c r="N804" s="139" t="s">
        <v>175</v>
      </c>
      <c r="O804" s="139" t="s">
        <v>175</v>
      </c>
      <c r="P804" s="28">
        <v>35</v>
      </c>
      <c r="Q804" s="13" t="s">
        <v>54</v>
      </c>
      <c r="R804" s="13" t="s">
        <v>28</v>
      </c>
      <c r="S804" s="13"/>
      <c r="T804" s="13"/>
      <c r="U804" s="13" t="s">
        <v>1886</v>
      </c>
      <c r="V804" s="13" t="s">
        <v>1886</v>
      </c>
      <c r="W804" s="59">
        <f>+J804/$W$2</f>
        <v>4.2559799472410972E-5</v>
      </c>
    </row>
    <row r="805" spans="1:29">
      <c r="A805" s="13" t="s">
        <v>198</v>
      </c>
      <c r="B805" s="13" t="s">
        <v>538</v>
      </c>
      <c r="C805" s="139">
        <v>46239</v>
      </c>
      <c r="D805" s="139" t="s">
        <v>516</v>
      </c>
      <c r="E805" s="28">
        <v>0.96919814999999998</v>
      </c>
      <c r="F805" s="13"/>
      <c r="G805" s="18">
        <v>2500000</v>
      </c>
      <c r="H805" s="18">
        <v>2422995.37</v>
      </c>
      <c r="I805" s="18">
        <v>2500000</v>
      </c>
      <c r="J805" s="18">
        <v>2422995.37</v>
      </c>
      <c r="K805" s="15">
        <v>6130</v>
      </c>
      <c r="L805" s="13" t="s">
        <v>102</v>
      </c>
      <c r="M805" s="13" t="s">
        <v>103</v>
      </c>
      <c r="N805" s="139" t="s">
        <v>335</v>
      </c>
      <c r="O805" s="139" t="s">
        <v>335</v>
      </c>
      <c r="P805" s="28">
        <v>20</v>
      </c>
      <c r="Q805" s="13" t="s">
        <v>54</v>
      </c>
      <c r="R805" s="13" t="s">
        <v>28</v>
      </c>
      <c r="S805" s="13"/>
      <c r="T805" s="13"/>
      <c r="U805" s="13" t="s">
        <v>1753</v>
      </c>
      <c r="V805" s="13" t="s">
        <v>1753</v>
      </c>
      <c r="W805" s="59">
        <f>+J805/$W$2</f>
        <v>5.4428735808270902E-5</v>
      </c>
    </row>
    <row r="806" spans="1:29">
      <c r="A806" s="13" t="s">
        <v>1052</v>
      </c>
      <c r="B806" s="13" t="s">
        <v>538</v>
      </c>
      <c r="C806" s="139">
        <v>46239</v>
      </c>
      <c r="D806" s="139" t="s">
        <v>516</v>
      </c>
      <c r="E806" s="28">
        <v>0.95886093999999999</v>
      </c>
      <c r="F806" s="13"/>
      <c r="G806" s="18">
        <v>6060681.79</v>
      </c>
      <c r="H806" s="18">
        <v>5811351.0199999996</v>
      </c>
      <c r="I806" s="18">
        <v>6060681.79</v>
      </c>
      <c r="J806" s="18">
        <v>5811351.0199999996</v>
      </c>
      <c r="K806" s="15">
        <v>66717853</v>
      </c>
      <c r="L806" s="13" t="s">
        <v>102</v>
      </c>
      <c r="M806" s="13" t="s">
        <v>103</v>
      </c>
      <c r="N806" s="139" t="s">
        <v>360</v>
      </c>
      <c r="O806" s="139" t="s">
        <v>360</v>
      </c>
      <c r="P806" s="28">
        <v>27</v>
      </c>
      <c r="Q806" s="13" t="s">
        <v>54</v>
      </c>
      <c r="R806" s="13" t="s">
        <v>28</v>
      </c>
      <c r="S806" s="13"/>
      <c r="T806" s="13"/>
      <c r="U806" s="13" t="s">
        <v>1432</v>
      </c>
      <c r="V806" s="13" t="s">
        <v>1432</v>
      </c>
      <c r="W806" s="59">
        <f>+J806/$W$2</f>
        <v>1.3054275434158405E-4</v>
      </c>
      <c r="AC806" s="56"/>
    </row>
    <row r="807" spans="1:29">
      <c r="A807" s="13" t="s">
        <v>1402</v>
      </c>
      <c r="B807" s="13" t="s">
        <v>538</v>
      </c>
      <c r="C807" s="139">
        <v>46239</v>
      </c>
      <c r="D807" s="139" t="s">
        <v>516</v>
      </c>
      <c r="E807" s="28">
        <v>0.95740223999999996</v>
      </c>
      <c r="F807" s="13"/>
      <c r="G807" s="18">
        <v>6500000</v>
      </c>
      <c r="H807" s="18">
        <v>6223114.5899999999</v>
      </c>
      <c r="I807" s="18">
        <v>6500000</v>
      </c>
      <c r="J807" s="18">
        <v>6223114.5899999999</v>
      </c>
      <c r="K807" s="15">
        <v>29175491</v>
      </c>
      <c r="L807" s="13" t="s">
        <v>102</v>
      </c>
      <c r="M807" s="13" t="s">
        <v>103</v>
      </c>
      <c r="N807" s="139" t="s">
        <v>379</v>
      </c>
      <c r="O807" s="139" t="s">
        <v>379</v>
      </c>
      <c r="P807" s="28">
        <v>28</v>
      </c>
      <c r="Q807" s="13" t="s">
        <v>54</v>
      </c>
      <c r="R807" s="13" t="s">
        <v>28</v>
      </c>
      <c r="S807" s="13"/>
      <c r="T807" s="13"/>
      <c r="U807" s="13" t="s">
        <v>1376</v>
      </c>
      <c r="V807" s="13" t="s">
        <v>1376</v>
      </c>
      <c r="W807" s="59">
        <f>+J807/$W$2</f>
        <v>1.3979236779297109E-4</v>
      </c>
    </row>
    <row r="808" spans="1:29">
      <c r="A808" s="13" t="s">
        <v>550</v>
      </c>
      <c r="B808" s="13" t="s">
        <v>538</v>
      </c>
      <c r="C808" s="139">
        <v>46240</v>
      </c>
      <c r="D808" s="139" t="s">
        <v>516</v>
      </c>
      <c r="E808" s="28">
        <v>0.94645411000000002</v>
      </c>
      <c r="F808" s="13"/>
      <c r="G808" s="18">
        <v>25000000</v>
      </c>
      <c r="H808" s="18">
        <v>23661352.739999998</v>
      </c>
      <c r="I808" s="18">
        <v>25000000</v>
      </c>
      <c r="J808" s="18">
        <v>23661352.739999998</v>
      </c>
      <c r="K808" s="15">
        <v>1308</v>
      </c>
      <c r="L808" s="13" t="s">
        <v>102</v>
      </c>
      <c r="M808" s="13" t="s">
        <v>103</v>
      </c>
      <c r="N808" s="139" t="s">
        <v>428</v>
      </c>
      <c r="O808" s="139" t="s">
        <v>428</v>
      </c>
      <c r="P808" s="28">
        <v>35</v>
      </c>
      <c r="Q808" s="13" t="s">
        <v>54</v>
      </c>
      <c r="R808" s="13" t="s">
        <v>28</v>
      </c>
      <c r="S808" s="13"/>
      <c r="T808" s="13"/>
      <c r="U808" s="13" t="s">
        <v>987</v>
      </c>
      <c r="V808" s="13" t="s">
        <v>987</v>
      </c>
      <c r="W808" s="59">
        <f>+J808/$W$2</f>
        <v>5.3151464220576141E-4</v>
      </c>
    </row>
    <row r="809" spans="1:29">
      <c r="A809" s="13" t="s">
        <v>2101</v>
      </c>
      <c r="B809" s="13" t="s">
        <v>538</v>
      </c>
      <c r="C809" s="139">
        <v>46240</v>
      </c>
      <c r="D809" s="139" t="s">
        <v>516</v>
      </c>
      <c r="E809" s="28">
        <v>0.93926947000000005</v>
      </c>
      <c r="F809" s="13"/>
      <c r="G809" s="18">
        <v>25000000</v>
      </c>
      <c r="H809" s="18">
        <v>23481736.670000002</v>
      </c>
      <c r="I809" s="18">
        <v>25000000</v>
      </c>
      <c r="J809" s="18">
        <v>23481736.670000002</v>
      </c>
      <c r="K809" s="15">
        <v>70379055</v>
      </c>
      <c r="L809" s="13" t="s">
        <v>102</v>
      </c>
      <c r="M809" s="13" t="s">
        <v>103</v>
      </c>
      <c r="N809" s="139" t="s">
        <v>516</v>
      </c>
      <c r="O809" s="139" t="s">
        <v>516</v>
      </c>
      <c r="P809" s="28">
        <v>40</v>
      </c>
      <c r="Q809" s="13" t="s">
        <v>54</v>
      </c>
      <c r="R809" s="13" t="s">
        <v>28</v>
      </c>
      <c r="S809" s="13"/>
      <c r="T809" s="13"/>
      <c r="U809" s="13" t="s">
        <v>2097</v>
      </c>
      <c r="V809" s="13" t="s">
        <v>2097</v>
      </c>
      <c r="W809" s="59">
        <f>+J809/$W$2</f>
        <v>5.2747985297669673E-4</v>
      </c>
    </row>
    <row r="810" spans="1:29">
      <c r="A810" s="13" t="s">
        <v>1959</v>
      </c>
      <c r="B810" s="13" t="s">
        <v>538</v>
      </c>
      <c r="C810" s="139">
        <v>46240</v>
      </c>
      <c r="D810" s="139" t="s">
        <v>516</v>
      </c>
      <c r="E810" s="28">
        <v>0.95522242999999996</v>
      </c>
      <c r="F810" s="13"/>
      <c r="G810" s="18">
        <v>100000000</v>
      </c>
      <c r="H810" s="18">
        <v>95522243.170000002</v>
      </c>
      <c r="I810" s="18">
        <v>100000000</v>
      </c>
      <c r="J810" s="18">
        <v>95522243.170000002</v>
      </c>
      <c r="K810" s="15">
        <v>90003813</v>
      </c>
      <c r="L810" s="13" t="s">
        <v>102</v>
      </c>
      <c r="M810" s="13" t="s">
        <v>103</v>
      </c>
      <c r="N810" s="139" t="s">
        <v>369</v>
      </c>
      <c r="O810" s="139" t="s">
        <v>369</v>
      </c>
      <c r="P810" s="28">
        <v>29</v>
      </c>
      <c r="Q810" s="13" t="s">
        <v>54</v>
      </c>
      <c r="R810" s="13" t="s">
        <v>28</v>
      </c>
      <c r="S810" s="13"/>
      <c r="T810" s="13"/>
      <c r="U810" s="13" t="s">
        <v>1930</v>
      </c>
      <c r="V810" s="13" t="s">
        <v>1930</v>
      </c>
      <c r="W810" s="59">
        <f>+J810/$W$2</f>
        <v>2.1457552093107546E-3</v>
      </c>
    </row>
    <row r="811" spans="1:29">
      <c r="A811" s="13" t="s">
        <v>1833</v>
      </c>
      <c r="B811" s="13" t="s">
        <v>538</v>
      </c>
      <c r="C811" s="139">
        <v>46240</v>
      </c>
      <c r="D811" s="139" t="s">
        <v>516</v>
      </c>
      <c r="E811" s="28">
        <v>0.94935888000000002</v>
      </c>
      <c r="F811" s="13"/>
      <c r="G811" s="18">
        <v>1319000</v>
      </c>
      <c r="H811" s="18">
        <v>1252204.3600000001</v>
      </c>
      <c r="I811" s="18">
        <v>1319000</v>
      </c>
      <c r="J811" s="18">
        <v>1252204.3600000001</v>
      </c>
      <c r="K811" s="15">
        <v>67204033</v>
      </c>
      <c r="L811" s="13" t="s">
        <v>102</v>
      </c>
      <c r="M811" s="13" t="s">
        <v>103</v>
      </c>
      <c r="N811" s="139" t="s">
        <v>335</v>
      </c>
      <c r="O811" s="139" t="s">
        <v>335</v>
      </c>
      <c r="P811" s="28">
        <v>33</v>
      </c>
      <c r="Q811" s="13" t="s">
        <v>54</v>
      </c>
      <c r="R811" s="13" t="s">
        <v>28</v>
      </c>
      <c r="S811" s="13"/>
      <c r="T811" s="13"/>
      <c r="U811" s="13" t="s">
        <v>1807</v>
      </c>
      <c r="V811" s="13" t="s">
        <v>1807</v>
      </c>
      <c r="W811" s="59">
        <f>+J811/$W$2</f>
        <v>2.8128778590445655E-5</v>
      </c>
    </row>
    <row r="812" spans="1:29">
      <c r="A812" s="13" t="s">
        <v>558</v>
      </c>
      <c r="B812" s="13" t="s">
        <v>538</v>
      </c>
      <c r="C812" s="139">
        <v>46240</v>
      </c>
      <c r="D812" s="139" t="s">
        <v>516</v>
      </c>
      <c r="E812" s="28">
        <v>0.94213022000000002</v>
      </c>
      <c r="F812" s="13"/>
      <c r="G812" s="18">
        <v>20000000</v>
      </c>
      <c r="H812" s="18">
        <v>18842604.440000001</v>
      </c>
      <c r="I812" s="18">
        <v>20000000</v>
      </c>
      <c r="J812" s="18">
        <v>18842604.440000001</v>
      </c>
      <c r="K812" s="15">
        <v>70219539</v>
      </c>
      <c r="L812" s="13" t="s">
        <v>102</v>
      </c>
      <c r="M812" s="13" t="s">
        <v>103</v>
      </c>
      <c r="N812" s="139" t="s">
        <v>394</v>
      </c>
      <c r="O812" s="139" t="s">
        <v>394</v>
      </c>
      <c r="P812" s="28">
        <v>38</v>
      </c>
      <c r="Q812" s="13" t="s">
        <v>54</v>
      </c>
      <c r="R812" s="13" t="s">
        <v>28</v>
      </c>
      <c r="S812" s="13"/>
      <c r="T812" s="13"/>
      <c r="U812" s="13" t="s">
        <v>2067</v>
      </c>
      <c r="V812" s="13" t="s">
        <v>2067</v>
      </c>
      <c r="W812" s="59">
        <f>+J812/$W$2</f>
        <v>4.2326912865892611E-4</v>
      </c>
    </row>
    <row r="813" spans="1:29">
      <c r="A813" s="13" t="s">
        <v>558</v>
      </c>
      <c r="B813" s="13" t="s">
        <v>538</v>
      </c>
      <c r="C813" s="139">
        <v>46240</v>
      </c>
      <c r="D813" s="139" t="s">
        <v>516</v>
      </c>
      <c r="E813" s="28">
        <v>0.94213013000000001</v>
      </c>
      <c r="F813" s="13"/>
      <c r="G813" s="18">
        <v>20000000</v>
      </c>
      <c r="H813" s="18">
        <v>18842602.66</v>
      </c>
      <c r="I813" s="18">
        <v>20000000</v>
      </c>
      <c r="J813" s="18">
        <v>18842602.66</v>
      </c>
      <c r="K813" s="15">
        <v>70219540</v>
      </c>
      <c r="L813" s="13" t="s">
        <v>102</v>
      </c>
      <c r="M813" s="13" t="s">
        <v>103</v>
      </c>
      <c r="N813" s="139" t="s">
        <v>369</v>
      </c>
      <c r="O813" s="139" t="s">
        <v>369</v>
      </c>
      <c r="P813" s="28">
        <v>38</v>
      </c>
      <c r="Q813" s="13" t="s">
        <v>54</v>
      </c>
      <c r="R813" s="13" t="s">
        <v>28</v>
      </c>
      <c r="S813" s="13"/>
      <c r="T813" s="13"/>
      <c r="U813" s="13" t="s">
        <v>1926</v>
      </c>
      <c r="V813" s="13" t="s">
        <v>1926</v>
      </c>
      <c r="W813" s="59">
        <f>+J813/$W$2</f>
        <v>4.2326908867405821E-4</v>
      </c>
      <c r="AC813" s="56"/>
    </row>
    <row r="814" spans="1:29">
      <c r="A814" s="13" t="s">
        <v>478</v>
      </c>
      <c r="B814" s="13" t="s">
        <v>538</v>
      </c>
      <c r="C814" s="139">
        <v>46240</v>
      </c>
      <c r="D814" s="139" t="s">
        <v>516</v>
      </c>
      <c r="E814" s="28">
        <v>0.94500835999999999</v>
      </c>
      <c r="F814" s="13"/>
      <c r="G814" s="18">
        <v>5882352.9299999997</v>
      </c>
      <c r="H814" s="18">
        <v>5558872.6799999997</v>
      </c>
      <c r="I814" s="18">
        <v>5882352.9299999997</v>
      </c>
      <c r="J814" s="18">
        <v>5558872.6799999997</v>
      </c>
      <c r="K814" s="15">
        <v>2622</v>
      </c>
      <c r="L814" s="13" t="s">
        <v>102</v>
      </c>
      <c r="M814" s="13" t="s">
        <v>103</v>
      </c>
      <c r="N814" s="139" t="s">
        <v>391</v>
      </c>
      <c r="O814" s="139" t="s">
        <v>391</v>
      </c>
      <c r="P814" s="28">
        <v>36</v>
      </c>
      <c r="Q814" s="13" t="s">
        <v>54</v>
      </c>
      <c r="R814" s="13" t="s">
        <v>28</v>
      </c>
      <c r="S814" s="13"/>
      <c r="T814" s="13"/>
      <c r="U814" s="13" t="s">
        <v>1666</v>
      </c>
      <c r="V814" s="13" t="s">
        <v>1666</v>
      </c>
      <c r="W814" s="59">
        <f>+J814/$W$2</f>
        <v>1.2487123014664892E-4</v>
      </c>
      <c r="AC814"/>
    </row>
    <row r="815" spans="1:29">
      <c r="A815" s="13" t="s">
        <v>338</v>
      </c>
      <c r="B815" s="13" t="s">
        <v>538</v>
      </c>
      <c r="C815" s="139">
        <v>46240</v>
      </c>
      <c r="D815" s="139" t="s">
        <v>516</v>
      </c>
      <c r="E815" s="28">
        <v>0.95374976</v>
      </c>
      <c r="F815" s="13"/>
      <c r="G815" s="18">
        <v>8500000</v>
      </c>
      <c r="H815" s="18">
        <v>8106872.9500000002</v>
      </c>
      <c r="I815" s="18">
        <v>8500000</v>
      </c>
      <c r="J815" s="18">
        <v>8106872.9500000002</v>
      </c>
      <c r="K815" s="15">
        <v>1075</v>
      </c>
      <c r="L815" s="13" t="s">
        <v>102</v>
      </c>
      <c r="M815" s="13" t="s">
        <v>103</v>
      </c>
      <c r="N815" s="139" t="s">
        <v>378</v>
      </c>
      <c r="O815" s="139" t="s">
        <v>378</v>
      </c>
      <c r="P815" s="28">
        <v>30</v>
      </c>
      <c r="Q815" s="13" t="s">
        <v>54</v>
      </c>
      <c r="R815" s="13" t="s">
        <v>28</v>
      </c>
      <c r="S815" s="13"/>
      <c r="T815" s="13"/>
      <c r="U815" s="13" t="s">
        <v>874</v>
      </c>
      <c r="V815" s="13" t="s">
        <v>874</v>
      </c>
      <c r="W815" s="59">
        <f>+J815/$W$2</f>
        <v>1.8210800214065937E-4</v>
      </c>
    </row>
    <row r="816" spans="1:29">
      <c r="A816" s="13" t="s">
        <v>338</v>
      </c>
      <c r="B816" s="13" t="s">
        <v>538</v>
      </c>
      <c r="C816" s="139">
        <v>46240</v>
      </c>
      <c r="D816" s="139" t="s">
        <v>516</v>
      </c>
      <c r="E816" s="28">
        <v>0.95374976</v>
      </c>
      <c r="F816" s="13"/>
      <c r="G816" s="18">
        <v>10000000</v>
      </c>
      <c r="H816" s="18">
        <v>9537497.5899999999</v>
      </c>
      <c r="I816" s="18">
        <v>10000000</v>
      </c>
      <c r="J816" s="18">
        <v>9537497.5899999999</v>
      </c>
      <c r="K816" s="15">
        <v>40621856</v>
      </c>
      <c r="L816" s="13" t="s">
        <v>102</v>
      </c>
      <c r="M816" s="13" t="s">
        <v>103</v>
      </c>
      <c r="N816" s="139" t="s">
        <v>378</v>
      </c>
      <c r="O816" s="139" t="s">
        <v>378</v>
      </c>
      <c r="P816" s="28">
        <v>30</v>
      </c>
      <c r="Q816" s="13" t="s">
        <v>54</v>
      </c>
      <c r="R816" s="13" t="s">
        <v>28</v>
      </c>
      <c r="S816" s="13"/>
      <c r="T816" s="13"/>
      <c r="U816" s="13" t="s">
        <v>876</v>
      </c>
      <c r="V816" s="13" t="s">
        <v>876</v>
      </c>
      <c r="W816" s="59">
        <f>+J816/$W$2</f>
        <v>2.1424470844041702E-4</v>
      </c>
    </row>
    <row r="817" spans="1:29">
      <c r="A817" s="13" t="s">
        <v>1053</v>
      </c>
      <c r="B817" s="13" t="s">
        <v>538</v>
      </c>
      <c r="C817" s="139">
        <v>46240</v>
      </c>
      <c r="D817" s="139" t="s">
        <v>516</v>
      </c>
      <c r="E817" s="28">
        <v>0.95669965000000001</v>
      </c>
      <c r="F817" s="13"/>
      <c r="G817" s="18">
        <v>25000000</v>
      </c>
      <c r="H817" s="18">
        <v>23917491.350000001</v>
      </c>
      <c r="I817" s="18">
        <v>25000000</v>
      </c>
      <c r="J817" s="18">
        <v>23917491.350000001</v>
      </c>
      <c r="K817" s="15">
        <v>896</v>
      </c>
      <c r="L817" s="13" t="s">
        <v>102</v>
      </c>
      <c r="M817" s="13" t="s">
        <v>103</v>
      </c>
      <c r="N817" s="139" t="s">
        <v>344</v>
      </c>
      <c r="O817" s="139" t="s">
        <v>344</v>
      </c>
      <c r="P817" s="28">
        <v>28</v>
      </c>
      <c r="Q817" s="13" t="s">
        <v>54</v>
      </c>
      <c r="R817" s="13" t="s">
        <v>28</v>
      </c>
      <c r="S817" s="13"/>
      <c r="T817" s="13"/>
      <c r="U817" s="13" t="s">
        <v>1118</v>
      </c>
      <c r="V817" s="13" t="s">
        <v>1118</v>
      </c>
      <c r="W817" s="59">
        <f>+J817/$W$2</f>
        <v>5.3726838854246527E-4</v>
      </c>
    </row>
    <row r="818" spans="1:29">
      <c r="A818" s="13" t="s">
        <v>357</v>
      </c>
      <c r="B818" s="13" t="s">
        <v>538</v>
      </c>
      <c r="C818" s="139">
        <v>46240</v>
      </c>
      <c r="D818" s="139" t="s">
        <v>516</v>
      </c>
      <c r="E818" s="28">
        <v>0.94645409000000003</v>
      </c>
      <c r="F818" s="13"/>
      <c r="G818" s="18">
        <v>1718406.99</v>
      </c>
      <c r="H818" s="18">
        <v>1626393.33</v>
      </c>
      <c r="I818" s="18">
        <v>1718406.99</v>
      </c>
      <c r="J818" s="18">
        <v>1626393.33</v>
      </c>
      <c r="K818" s="15">
        <v>40751277</v>
      </c>
      <c r="L818" s="13" t="s">
        <v>102</v>
      </c>
      <c r="M818" s="13" t="s">
        <v>103</v>
      </c>
      <c r="N818" s="139" t="s">
        <v>175</v>
      </c>
      <c r="O818" s="139" t="s">
        <v>175</v>
      </c>
      <c r="P818" s="28">
        <v>35</v>
      </c>
      <c r="Q818" s="13" t="s">
        <v>54</v>
      </c>
      <c r="R818" s="13" t="s">
        <v>28</v>
      </c>
      <c r="S818" s="13"/>
      <c r="T818" s="13"/>
      <c r="U818" s="13" t="s">
        <v>1884</v>
      </c>
      <c r="V818" s="13" t="s">
        <v>1884</v>
      </c>
      <c r="W818" s="59">
        <f>+J818/$W$2</f>
        <v>3.6534338437016475E-5</v>
      </c>
    </row>
    <row r="819" spans="1:29">
      <c r="A819" s="13" t="s">
        <v>1402</v>
      </c>
      <c r="B819" s="13" t="s">
        <v>538</v>
      </c>
      <c r="C819" s="139">
        <v>46240</v>
      </c>
      <c r="D819" s="139" t="s">
        <v>516</v>
      </c>
      <c r="E819" s="28">
        <v>0.95669956</v>
      </c>
      <c r="F819" s="13"/>
      <c r="G819" s="18">
        <v>6500000</v>
      </c>
      <c r="H819" s="18">
        <v>6218547.1299999999</v>
      </c>
      <c r="I819" s="18">
        <v>6500000</v>
      </c>
      <c r="J819" s="18">
        <v>6218547.1299999999</v>
      </c>
      <c r="K819" s="15">
        <v>29175497</v>
      </c>
      <c r="L819" s="13" t="s">
        <v>102</v>
      </c>
      <c r="M819" s="13" t="s">
        <v>103</v>
      </c>
      <c r="N819" s="139" t="s">
        <v>379</v>
      </c>
      <c r="O819" s="139" t="s">
        <v>379</v>
      </c>
      <c r="P819" s="28">
        <v>28</v>
      </c>
      <c r="Q819" s="13" t="s">
        <v>54</v>
      </c>
      <c r="R819" s="13" t="s">
        <v>28</v>
      </c>
      <c r="S819" s="13"/>
      <c r="T819" s="13"/>
      <c r="U819" s="13" t="s">
        <v>1368</v>
      </c>
      <c r="V819" s="13" t="s">
        <v>1368</v>
      </c>
      <c r="W819" s="59">
        <f>+J819/$W$2</f>
        <v>1.3968976707126403E-4</v>
      </c>
    </row>
    <row r="820" spans="1:29">
      <c r="A820" s="13" t="s">
        <v>2004</v>
      </c>
      <c r="B820" s="13" t="s">
        <v>538</v>
      </c>
      <c r="C820" s="139">
        <v>46241</v>
      </c>
      <c r="D820" s="139" t="s">
        <v>516</v>
      </c>
      <c r="E820" s="28">
        <v>0.95002615000000001</v>
      </c>
      <c r="F820" s="13"/>
      <c r="G820" s="18">
        <v>3847875.41</v>
      </c>
      <c r="H820" s="18">
        <v>3655582.28</v>
      </c>
      <c r="I820" s="18">
        <v>3847875.41</v>
      </c>
      <c r="J820" s="18">
        <v>3655582.28</v>
      </c>
      <c r="K820" s="15">
        <v>844</v>
      </c>
      <c r="L820" s="13" t="s">
        <v>102</v>
      </c>
      <c r="M820" s="13" t="s">
        <v>103</v>
      </c>
      <c r="N820" s="139" t="s">
        <v>394</v>
      </c>
      <c r="O820" s="139" t="s">
        <v>394</v>
      </c>
      <c r="P820" s="28">
        <v>32</v>
      </c>
      <c r="Q820" s="13" t="s">
        <v>54</v>
      </c>
      <c r="R820" s="13" t="s">
        <v>28</v>
      </c>
      <c r="S820" s="13"/>
      <c r="T820" s="13"/>
      <c r="U820" s="13" t="s">
        <v>2005</v>
      </c>
      <c r="V820" s="13" t="s">
        <v>2005</v>
      </c>
      <c r="W820" s="59">
        <f>+J820/$W$2</f>
        <v>8.2116839597393276E-5</v>
      </c>
    </row>
    <row r="821" spans="1:29">
      <c r="A821" s="13" t="s">
        <v>2006</v>
      </c>
      <c r="B821" s="13" t="s">
        <v>538</v>
      </c>
      <c r="C821" s="139">
        <v>46241</v>
      </c>
      <c r="D821" s="139" t="s">
        <v>516</v>
      </c>
      <c r="E821" s="28">
        <v>0.95002615000000001</v>
      </c>
      <c r="F821" s="13"/>
      <c r="G821" s="18">
        <v>3300000</v>
      </c>
      <c r="H821" s="18">
        <v>3135086.31</v>
      </c>
      <c r="I821" s="18">
        <v>3300000</v>
      </c>
      <c r="J821" s="18">
        <v>3135086.31</v>
      </c>
      <c r="K821" s="15">
        <v>13647454</v>
      </c>
      <c r="L821" s="13" t="s">
        <v>102</v>
      </c>
      <c r="M821" s="13" t="s">
        <v>103</v>
      </c>
      <c r="N821" s="139" t="s">
        <v>394</v>
      </c>
      <c r="O821" s="139" t="s">
        <v>394</v>
      </c>
      <c r="P821" s="28">
        <v>32</v>
      </c>
      <c r="Q821" s="13" t="s">
        <v>54</v>
      </c>
      <c r="R821" s="13" t="s">
        <v>28</v>
      </c>
      <c r="S821" s="13"/>
      <c r="T821" s="13"/>
      <c r="U821" s="13" t="s">
        <v>2007</v>
      </c>
      <c r="V821" s="13" t="s">
        <v>2007</v>
      </c>
      <c r="W821" s="59">
        <f>+J821/$W$2</f>
        <v>7.0424725781922099E-5</v>
      </c>
    </row>
    <row r="822" spans="1:29">
      <c r="A822" s="13" t="s">
        <v>640</v>
      </c>
      <c r="B822" s="13" t="s">
        <v>538</v>
      </c>
      <c r="C822" s="139">
        <v>46241</v>
      </c>
      <c r="D822" s="139" t="s">
        <v>516</v>
      </c>
      <c r="E822" s="28">
        <v>0.94120685000000004</v>
      </c>
      <c r="F822" s="13"/>
      <c r="G822" s="18">
        <v>100000000</v>
      </c>
      <c r="H822" s="18">
        <v>94120684.549999997</v>
      </c>
      <c r="I822" s="18">
        <v>100000000</v>
      </c>
      <c r="J822" s="18">
        <v>94120684.549999997</v>
      </c>
      <c r="K822" s="15">
        <v>2598</v>
      </c>
      <c r="L822" s="13" t="s">
        <v>102</v>
      </c>
      <c r="M822" s="13" t="s">
        <v>103</v>
      </c>
      <c r="N822" s="139" t="s">
        <v>320</v>
      </c>
      <c r="O822" s="139" t="s">
        <v>320</v>
      </c>
      <c r="P822" s="28">
        <v>38</v>
      </c>
      <c r="Q822" s="13" t="s">
        <v>54</v>
      </c>
      <c r="R822" s="13" t="s">
        <v>28</v>
      </c>
      <c r="S822" s="13"/>
      <c r="T822" s="13"/>
      <c r="U822" s="13" t="s">
        <v>749</v>
      </c>
      <c r="V822" s="13" t="s">
        <v>749</v>
      </c>
      <c r="W822" s="59">
        <f>+J822/$W$2</f>
        <v>2.1142714249039419E-3</v>
      </c>
    </row>
    <row r="823" spans="1:29">
      <c r="A823" s="13" t="s">
        <v>550</v>
      </c>
      <c r="B823" s="13" t="s">
        <v>538</v>
      </c>
      <c r="C823" s="139">
        <v>46241</v>
      </c>
      <c r="D823" s="139" t="s">
        <v>516</v>
      </c>
      <c r="E823" s="28">
        <v>0.94559594000000002</v>
      </c>
      <c r="F823" s="13"/>
      <c r="G823" s="18">
        <v>17000000</v>
      </c>
      <c r="H823" s="18">
        <v>16075130.91</v>
      </c>
      <c r="I823" s="18">
        <v>17000000</v>
      </c>
      <c r="J823" s="18">
        <v>16075130.91</v>
      </c>
      <c r="K823" s="15">
        <v>29088028</v>
      </c>
      <c r="L823" s="13" t="s">
        <v>102</v>
      </c>
      <c r="M823" s="13" t="s">
        <v>103</v>
      </c>
      <c r="N823" s="139" t="s">
        <v>152</v>
      </c>
      <c r="O823" s="139" t="s">
        <v>152</v>
      </c>
      <c r="P823" s="28">
        <v>35</v>
      </c>
      <c r="Q823" s="13" t="s">
        <v>54</v>
      </c>
      <c r="R823" s="13" t="s">
        <v>28</v>
      </c>
      <c r="S823" s="13"/>
      <c r="T823" s="13"/>
      <c r="U823" s="13" t="s">
        <v>778</v>
      </c>
      <c r="V823" s="13" t="s">
        <v>778</v>
      </c>
      <c r="W823" s="59">
        <f>+J823/$W$2</f>
        <v>3.6110223907846728E-4</v>
      </c>
    </row>
    <row r="824" spans="1:29">
      <c r="A824" s="13" t="s">
        <v>1830</v>
      </c>
      <c r="B824" s="13" t="s">
        <v>538</v>
      </c>
      <c r="C824" s="139">
        <v>46241</v>
      </c>
      <c r="D824" s="139" t="s">
        <v>516</v>
      </c>
      <c r="E824" s="28">
        <v>0.94854490000000002</v>
      </c>
      <c r="F824" s="13"/>
      <c r="G824" s="18">
        <v>1701000</v>
      </c>
      <c r="H824" s="18">
        <v>1613474.88</v>
      </c>
      <c r="I824" s="18">
        <v>1701000</v>
      </c>
      <c r="J824" s="18">
        <v>1613474.88</v>
      </c>
      <c r="K824" s="15">
        <v>67242928</v>
      </c>
      <c r="L824" s="13" t="s">
        <v>102</v>
      </c>
      <c r="M824" s="13" t="s">
        <v>103</v>
      </c>
      <c r="N824" s="139" t="s">
        <v>335</v>
      </c>
      <c r="O824" s="139" t="s">
        <v>335</v>
      </c>
      <c r="P824" s="28">
        <v>33</v>
      </c>
      <c r="Q824" s="13" t="s">
        <v>54</v>
      </c>
      <c r="R824" s="13" t="s">
        <v>28</v>
      </c>
      <c r="S824" s="13"/>
      <c r="T824" s="13"/>
      <c r="U824" s="13" t="s">
        <v>1798</v>
      </c>
      <c r="V824" s="13" t="s">
        <v>1798</v>
      </c>
      <c r="W824" s="59">
        <f>+J824/$W$2</f>
        <v>3.6244146012050196E-5</v>
      </c>
    </row>
    <row r="825" spans="1:29">
      <c r="A825" s="13" t="s">
        <v>558</v>
      </c>
      <c r="B825" s="13" t="s">
        <v>538</v>
      </c>
      <c r="C825" s="139">
        <v>46241</v>
      </c>
      <c r="D825" s="139" t="s">
        <v>516</v>
      </c>
      <c r="E825" s="28">
        <v>0.94120694999999999</v>
      </c>
      <c r="F825" s="13"/>
      <c r="G825" s="18">
        <v>20000000</v>
      </c>
      <c r="H825" s="18">
        <v>18824139.09</v>
      </c>
      <c r="I825" s="18">
        <v>20000000</v>
      </c>
      <c r="J825" s="18">
        <v>18824139.09</v>
      </c>
      <c r="K825" s="15">
        <v>70219541</v>
      </c>
      <c r="L825" s="13" t="s">
        <v>102</v>
      </c>
      <c r="M825" s="13" t="s">
        <v>103</v>
      </c>
      <c r="N825" s="139" t="s">
        <v>394</v>
      </c>
      <c r="O825" s="139" t="s">
        <v>394</v>
      </c>
      <c r="P825" s="28">
        <v>38</v>
      </c>
      <c r="Q825" s="13" t="s">
        <v>54</v>
      </c>
      <c r="R825" s="13" t="s">
        <v>28</v>
      </c>
      <c r="S825" s="13"/>
      <c r="T825" s="13"/>
      <c r="U825" s="13" t="s">
        <v>2068</v>
      </c>
      <c r="V825" s="13" t="s">
        <v>2068</v>
      </c>
      <c r="W825" s="59">
        <f>+J825/$W$2</f>
        <v>4.2285433395101985E-4</v>
      </c>
      <c r="AC825" s="56"/>
    </row>
    <row r="826" spans="1:29">
      <c r="A826" s="13" t="s">
        <v>558</v>
      </c>
      <c r="B826" s="13" t="s">
        <v>538</v>
      </c>
      <c r="C826" s="139">
        <v>46241</v>
      </c>
      <c r="D826" s="139" t="s">
        <v>516</v>
      </c>
      <c r="E826" s="28">
        <v>0.94120694999999999</v>
      </c>
      <c r="F826" s="13"/>
      <c r="G826" s="18">
        <v>20000000</v>
      </c>
      <c r="H826" s="18">
        <v>18824139.09</v>
      </c>
      <c r="I826" s="18">
        <v>20000000</v>
      </c>
      <c r="J826" s="18">
        <v>18824139.09</v>
      </c>
      <c r="K826" s="15">
        <v>70219542</v>
      </c>
      <c r="L826" s="13" t="s">
        <v>102</v>
      </c>
      <c r="M826" s="13" t="s">
        <v>103</v>
      </c>
      <c r="N826" s="139" t="s">
        <v>394</v>
      </c>
      <c r="O826" s="139" t="s">
        <v>394</v>
      </c>
      <c r="P826" s="28">
        <v>38</v>
      </c>
      <c r="Q826" s="13" t="s">
        <v>54</v>
      </c>
      <c r="R826" s="13" t="s">
        <v>28</v>
      </c>
      <c r="S826" s="13"/>
      <c r="T826" s="13"/>
      <c r="U826" s="13" t="s">
        <v>2069</v>
      </c>
      <c r="V826" s="13" t="s">
        <v>2069</v>
      </c>
      <c r="W826" s="59">
        <f>+J826/$W$2</f>
        <v>4.2285433395101985E-4</v>
      </c>
    </row>
    <row r="827" spans="1:29">
      <c r="A827" s="13" t="s">
        <v>365</v>
      </c>
      <c r="B827" s="13" t="s">
        <v>538</v>
      </c>
      <c r="C827" s="139">
        <v>46241</v>
      </c>
      <c r="D827" s="139" t="s">
        <v>516</v>
      </c>
      <c r="E827" s="28">
        <v>0.94120691000000001</v>
      </c>
      <c r="F827" s="13"/>
      <c r="G827" s="18">
        <v>10000000</v>
      </c>
      <c r="H827" s="18">
        <v>9412069.1099999994</v>
      </c>
      <c r="I827" s="18">
        <v>10000000</v>
      </c>
      <c r="J827" s="18">
        <v>9412069.1099999994</v>
      </c>
      <c r="K827" s="15">
        <v>60524152</v>
      </c>
      <c r="L827" s="13" t="s">
        <v>102</v>
      </c>
      <c r="M827" s="13" t="s">
        <v>103</v>
      </c>
      <c r="N827" s="139" t="s">
        <v>155</v>
      </c>
      <c r="O827" s="139" t="s">
        <v>155</v>
      </c>
      <c r="P827" s="28">
        <v>38</v>
      </c>
      <c r="Q827" s="13" t="s">
        <v>54</v>
      </c>
      <c r="R827" s="13" t="s">
        <v>28</v>
      </c>
      <c r="S827" s="13"/>
      <c r="T827" s="13"/>
      <c r="U827" s="13" t="s">
        <v>635</v>
      </c>
      <c r="V827" s="13" t="s">
        <v>635</v>
      </c>
      <c r="W827" s="59">
        <f>+J827/$W$2</f>
        <v>2.1142715720392705E-4</v>
      </c>
    </row>
    <row r="828" spans="1:29">
      <c r="A828" s="13" t="s">
        <v>338</v>
      </c>
      <c r="B828" s="13" t="s">
        <v>538</v>
      </c>
      <c r="C828" s="139">
        <v>46241</v>
      </c>
      <c r="D828" s="139" t="s">
        <v>516</v>
      </c>
      <c r="E828" s="28">
        <v>0.95300266</v>
      </c>
      <c r="F828" s="13"/>
      <c r="G828" s="18">
        <v>10000000</v>
      </c>
      <c r="H828" s="18">
        <v>9530026.5700000003</v>
      </c>
      <c r="I828" s="18">
        <v>10000000</v>
      </c>
      <c r="J828" s="18">
        <v>9530026.5700000003</v>
      </c>
      <c r="K828" s="15">
        <v>40621854</v>
      </c>
      <c r="L828" s="13" t="s">
        <v>102</v>
      </c>
      <c r="M828" s="13" t="s">
        <v>103</v>
      </c>
      <c r="N828" s="139" t="s">
        <v>378</v>
      </c>
      <c r="O828" s="139" t="s">
        <v>378</v>
      </c>
      <c r="P828" s="28">
        <v>30</v>
      </c>
      <c r="Q828" s="13" t="s">
        <v>54</v>
      </c>
      <c r="R828" s="13" t="s">
        <v>28</v>
      </c>
      <c r="S828" s="13"/>
      <c r="T828" s="13"/>
      <c r="U828" s="13" t="s">
        <v>877</v>
      </c>
      <c r="V828" s="13" t="s">
        <v>877</v>
      </c>
      <c r="W828" s="59">
        <f>+J828/$W$2</f>
        <v>2.140768838631054E-4</v>
      </c>
      <c r="AC828" s="56"/>
    </row>
    <row r="829" spans="1:29">
      <c r="A829" s="13" t="s">
        <v>339</v>
      </c>
      <c r="B829" s="13" t="s">
        <v>538</v>
      </c>
      <c r="C829" s="139">
        <v>46241</v>
      </c>
      <c r="D829" s="139" t="s">
        <v>516</v>
      </c>
      <c r="E829" s="28">
        <v>0.95300264999999995</v>
      </c>
      <c r="F829" s="13"/>
      <c r="G829" s="18">
        <v>10000000</v>
      </c>
      <c r="H829" s="18">
        <v>9530026.5399999991</v>
      </c>
      <c r="I829" s="18">
        <v>10000000</v>
      </c>
      <c r="J829" s="18">
        <v>9530026.5399999991</v>
      </c>
      <c r="K829" s="15">
        <v>991</v>
      </c>
      <c r="L829" s="13" t="s">
        <v>102</v>
      </c>
      <c r="M829" s="13" t="s">
        <v>103</v>
      </c>
      <c r="N829" s="139" t="s">
        <v>343</v>
      </c>
      <c r="O829" s="139" t="s">
        <v>343</v>
      </c>
      <c r="P829" s="28">
        <v>30</v>
      </c>
      <c r="Q829" s="13" t="s">
        <v>54</v>
      </c>
      <c r="R829" s="13" t="s">
        <v>28</v>
      </c>
      <c r="S829" s="13"/>
      <c r="T829" s="13"/>
      <c r="U829" s="13" t="s">
        <v>1429</v>
      </c>
      <c r="V829" s="13" t="s">
        <v>1429</v>
      </c>
      <c r="W829" s="59">
        <f>+J829/$W$2</f>
        <v>2.1407688318920309E-4</v>
      </c>
    </row>
    <row r="830" spans="1:29">
      <c r="A830" s="13" t="s">
        <v>1526</v>
      </c>
      <c r="B830" s="13" t="s">
        <v>538</v>
      </c>
      <c r="C830" s="139">
        <v>46241</v>
      </c>
      <c r="D830" s="139" t="s">
        <v>516</v>
      </c>
      <c r="E830" s="28">
        <v>0.94854490999999996</v>
      </c>
      <c r="F830" s="13"/>
      <c r="G830" s="18">
        <v>50000000</v>
      </c>
      <c r="H830" s="18">
        <v>47427245.359999999</v>
      </c>
      <c r="I830" s="18">
        <v>50000000</v>
      </c>
      <c r="J830" s="18">
        <v>47427245.359999999</v>
      </c>
      <c r="K830" s="15">
        <v>141</v>
      </c>
      <c r="L830" s="13" t="s">
        <v>102</v>
      </c>
      <c r="M830" s="13" t="s">
        <v>103</v>
      </c>
      <c r="N830" s="139" t="s">
        <v>371</v>
      </c>
      <c r="O830" s="139" t="s">
        <v>371</v>
      </c>
      <c r="P830" s="28">
        <v>33</v>
      </c>
      <c r="Q830" s="13" t="s">
        <v>54</v>
      </c>
      <c r="R830" s="13" t="s">
        <v>28</v>
      </c>
      <c r="S830" s="13"/>
      <c r="T830" s="13"/>
      <c r="U830" s="13" t="s">
        <v>1643</v>
      </c>
      <c r="V830" s="13" t="s">
        <v>1643</v>
      </c>
      <c r="W830" s="59">
        <f>+J830/$W$2</f>
        <v>1.0653776064844407E-3</v>
      </c>
    </row>
    <row r="831" spans="1:29">
      <c r="A831" s="13" t="s">
        <v>993</v>
      </c>
      <c r="B831" s="13" t="s">
        <v>538</v>
      </c>
      <c r="C831" s="139">
        <v>46241</v>
      </c>
      <c r="D831" s="139" t="s">
        <v>516</v>
      </c>
      <c r="E831" s="28">
        <v>0.95300278000000005</v>
      </c>
      <c r="F831" s="13"/>
      <c r="G831" s="18">
        <v>8000000</v>
      </c>
      <c r="H831" s="18">
        <v>7624022.2300000004</v>
      </c>
      <c r="I831" s="18">
        <v>8000000</v>
      </c>
      <c r="J831" s="18">
        <v>7624022.2300000004</v>
      </c>
      <c r="K831" s="15">
        <v>90000620</v>
      </c>
      <c r="L831" s="13" t="s">
        <v>102</v>
      </c>
      <c r="M831" s="13" t="s">
        <v>103</v>
      </c>
      <c r="N831" s="139" t="s">
        <v>379</v>
      </c>
      <c r="O831" s="139" t="s">
        <v>379</v>
      </c>
      <c r="P831" s="28">
        <v>30</v>
      </c>
      <c r="Q831" s="13" t="s">
        <v>54</v>
      </c>
      <c r="R831" s="13" t="s">
        <v>28</v>
      </c>
      <c r="S831" s="13"/>
      <c r="T831" s="13"/>
      <c r="U831" s="13" t="s">
        <v>1384</v>
      </c>
      <c r="V831" s="13" t="s">
        <v>1384</v>
      </c>
      <c r="W831" s="59">
        <f>+J831/$W$2</f>
        <v>1.712615289698446E-4</v>
      </c>
    </row>
    <row r="832" spans="1:29">
      <c r="A832" s="13" t="s">
        <v>357</v>
      </c>
      <c r="B832" s="13" t="s">
        <v>538</v>
      </c>
      <c r="C832" s="139">
        <v>46241</v>
      </c>
      <c r="D832" s="139" t="s">
        <v>516</v>
      </c>
      <c r="E832" s="28">
        <v>0.94559610999999999</v>
      </c>
      <c r="F832" s="13"/>
      <c r="G832" s="18">
        <v>4104000</v>
      </c>
      <c r="H832" s="18">
        <v>3880726.45</v>
      </c>
      <c r="I832" s="18">
        <v>4104000</v>
      </c>
      <c r="J832" s="18">
        <v>3880726.45</v>
      </c>
      <c r="K832" s="15">
        <v>40751278</v>
      </c>
      <c r="L832" s="13" t="s">
        <v>102</v>
      </c>
      <c r="M832" s="13" t="s">
        <v>103</v>
      </c>
      <c r="N832" s="139" t="s">
        <v>175</v>
      </c>
      <c r="O832" s="139" t="s">
        <v>175</v>
      </c>
      <c r="P832" s="28">
        <v>35</v>
      </c>
      <c r="Q832" s="13" t="s">
        <v>54</v>
      </c>
      <c r="R832" s="13" t="s">
        <v>28</v>
      </c>
      <c r="S832" s="13"/>
      <c r="T832" s="13"/>
      <c r="U832" s="13" t="s">
        <v>1885</v>
      </c>
      <c r="V832" s="13" t="s">
        <v>1885</v>
      </c>
      <c r="W832" s="59">
        <f>+J832/$W$2</f>
        <v>8.7174345154121785E-5</v>
      </c>
    </row>
    <row r="833" spans="1:29">
      <c r="A833" s="13" t="s">
        <v>357</v>
      </c>
      <c r="B833" s="13" t="s">
        <v>538</v>
      </c>
      <c r="C833" s="139">
        <v>46241</v>
      </c>
      <c r="D833" s="139" t="s">
        <v>516</v>
      </c>
      <c r="E833" s="28">
        <v>0.94559612000000004</v>
      </c>
      <c r="F833" s="13"/>
      <c r="G833" s="18">
        <v>5500000</v>
      </c>
      <c r="H833" s="18">
        <v>5200778.63</v>
      </c>
      <c r="I833" s="18">
        <v>5500000</v>
      </c>
      <c r="J833" s="18">
        <v>5200778.63</v>
      </c>
      <c r="K833" s="15">
        <v>40751262</v>
      </c>
      <c r="L833" s="13" t="s">
        <v>102</v>
      </c>
      <c r="M833" s="13" t="s">
        <v>103</v>
      </c>
      <c r="N833" s="139" t="s">
        <v>175</v>
      </c>
      <c r="O833" s="139" t="s">
        <v>175</v>
      </c>
      <c r="P833" s="28">
        <v>35</v>
      </c>
      <c r="Q833" s="13" t="s">
        <v>54</v>
      </c>
      <c r="R833" s="13" t="s">
        <v>28</v>
      </c>
      <c r="S833" s="13"/>
      <c r="T833" s="13"/>
      <c r="U833" s="13" t="s">
        <v>1887</v>
      </c>
      <c r="V833" s="13" t="s">
        <v>1887</v>
      </c>
      <c r="W833" s="59">
        <f>+J833/$W$2</f>
        <v>1.1682721706957741E-4</v>
      </c>
    </row>
    <row r="834" spans="1:29">
      <c r="A834" s="13" t="s">
        <v>265</v>
      </c>
      <c r="B834" s="13" t="s">
        <v>538</v>
      </c>
      <c r="C834" s="139">
        <v>46241</v>
      </c>
      <c r="D834" s="139" t="s">
        <v>516</v>
      </c>
      <c r="E834" s="28">
        <v>0.93685845000000001</v>
      </c>
      <c r="F834" s="13"/>
      <c r="G834" s="18">
        <v>50000000</v>
      </c>
      <c r="H834" s="18">
        <v>46842922.590000004</v>
      </c>
      <c r="I834" s="18">
        <v>50000000</v>
      </c>
      <c r="J834" s="18">
        <v>46842922.590000004</v>
      </c>
      <c r="K834" s="15">
        <v>1127975</v>
      </c>
      <c r="L834" s="13" t="s">
        <v>102</v>
      </c>
      <c r="M834" s="13" t="s">
        <v>103</v>
      </c>
      <c r="N834" s="139" t="s">
        <v>154</v>
      </c>
      <c r="O834" s="139" t="s">
        <v>154</v>
      </c>
      <c r="P834" s="28">
        <v>41</v>
      </c>
      <c r="Q834" s="13" t="s">
        <v>54</v>
      </c>
      <c r="R834" s="13" t="s">
        <v>28</v>
      </c>
      <c r="S834" s="13"/>
      <c r="T834" s="13"/>
      <c r="U834" s="13" t="s">
        <v>469</v>
      </c>
      <c r="V834" s="13" t="s">
        <v>469</v>
      </c>
      <c r="W834" s="59">
        <f>+J834/$W$2</f>
        <v>1.0522517251604962E-3</v>
      </c>
      <c r="AC834" s="56"/>
    </row>
    <row r="835" spans="1:29">
      <c r="A835" s="13" t="s">
        <v>261</v>
      </c>
      <c r="B835" s="13" t="s">
        <v>538</v>
      </c>
      <c r="C835" s="139">
        <v>46244</v>
      </c>
      <c r="D835" s="139" t="s">
        <v>516</v>
      </c>
      <c r="E835" s="28">
        <v>0.94765820000000001</v>
      </c>
      <c r="F835" s="13"/>
      <c r="G835" s="18">
        <v>50000000</v>
      </c>
      <c r="H835" s="18">
        <v>47382909.759999998</v>
      </c>
      <c r="I835" s="18">
        <v>50000000</v>
      </c>
      <c r="J835" s="18">
        <v>47382909.759999998</v>
      </c>
      <c r="K835" s="15">
        <v>4578</v>
      </c>
      <c r="L835" s="13" t="s">
        <v>102</v>
      </c>
      <c r="M835" s="13" t="s">
        <v>103</v>
      </c>
      <c r="N835" s="139" t="s">
        <v>343</v>
      </c>
      <c r="O835" s="139" t="s">
        <v>343</v>
      </c>
      <c r="P835" s="28">
        <v>32</v>
      </c>
      <c r="Q835" s="13" t="s">
        <v>54</v>
      </c>
      <c r="R835" s="13" t="s">
        <v>28</v>
      </c>
      <c r="S835" s="13"/>
      <c r="T835" s="13"/>
      <c r="U835" s="13" t="s">
        <v>1412</v>
      </c>
      <c r="V835" s="13" t="s">
        <v>1412</v>
      </c>
      <c r="W835" s="59">
        <f>+J835/$W$2</f>
        <v>1.0643816777719144E-3</v>
      </c>
    </row>
    <row r="836" spans="1:29">
      <c r="A836" s="13" t="s">
        <v>1959</v>
      </c>
      <c r="B836" s="13" t="s">
        <v>538</v>
      </c>
      <c r="C836" s="139">
        <v>46244</v>
      </c>
      <c r="D836" s="139" t="s">
        <v>516</v>
      </c>
      <c r="E836" s="28">
        <v>0.95233135000000002</v>
      </c>
      <c r="F836" s="13"/>
      <c r="G836" s="18">
        <v>100000000</v>
      </c>
      <c r="H836" s="18">
        <v>95233134.549999997</v>
      </c>
      <c r="I836" s="18">
        <v>100000000</v>
      </c>
      <c r="J836" s="18">
        <v>95233134.549999997</v>
      </c>
      <c r="K836" s="15">
        <v>90003814</v>
      </c>
      <c r="L836" s="13" t="s">
        <v>102</v>
      </c>
      <c r="M836" s="13" t="s">
        <v>103</v>
      </c>
      <c r="N836" s="139" t="s">
        <v>369</v>
      </c>
      <c r="O836" s="139" t="s">
        <v>369</v>
      </c>
      <c r="P836" s="28">
        <v>29</v>
      </c>
      <c r="Q836" s="13" t="s">
        <v>54</v>
      </c>
      <c r="R836" s="13" t="s">
        <v>28</v>
      </c>
      <c r="S836" s="13"/>
      <c r="T836" s="13"/>
      <c r="U836" s="13" t="s">
        <v>1931</v>
      </c>
      <c r="V836" s="13" t="s">
        <v>1931</v>
      </c>
      <c r="W836" s="59">
        <f>+J836/$W$2</f>
        <v>2.1392608441573148E-3</v>
      </c>
    </row>
    <row r="837" spans="1:29">
      <c r="A837" s="13" t="s">
        <v>915</v>
      </c>
      <c r="B837" s="13" t="s">
        <v>538</v>
      </c>
      <c r="C837" s="139">
        <v>46244</v>
      </c>
      <c r="D837" s="139" t="s">
        <v>516</v>
      </c>
      <c r="E837" s="28">
        <v>0.94611065000000005</v>
      </c>
      <c r="F837" s="13"/>
      <c r="G837" s="18">
        <v>5600000</v>
      </c>
      <c r="H837" s="18">
        <v>5298219.6399999997</v>
      </c>
      <c r="I837" s="18">
        <v>5600000</v>
      </c>
      <c r="J837" s="18">
        <v>5298219.6399999997</v>
      </c>
      <c r="K837" s="15">
        <v>3501249</v>
      </c>
      <c r="L837" s="13" t="s">
        <v>102</v>
      </c>
      <c r="M837" s="13" t="s">
        <v>103</v>
      </c>
      <c r="N837" s="139" t="s">
        <v>374</v>
      </c>
      <c r="O837" s="139" t="s">
        <v>374</v>
      </c>
      <c r="P837" s="28">
        <v>33</v>
      </c>
      <c r="Q837" s="13" t="s">
        <v>54</v>
      </c>
      <c r="R837" s="13" t="s">
        <v>28</v>
      </c>
      <c r="S837" s="13"/>
      <c r="T837" s="13"/>
      <c r="U837" s="13" t="s">
        <v>1193</v>
      </c>
      <c r="V837" s="13" t="s">
        <v>1193</v>
      </c>
      <c r="W837" s="59">
        <f>+J837/$W$2</f>
        <v>1.1901607432281314E-4</v>
      </c>
    </row>
    <row r="838" spans="1:29">
      <c r="A838" s="13" t="s">
        <v>558</v>
      </c>
      <c r="B838" s="13" t="s">
        <v>538</v>
      </c>
      <c r="C838" s="139">
        <v>46244</v>
      </c>
      <c r="D838" s="139" t="s">
        <v>516</v>
      </c>
      <c r="E838" s="28">
        <v>0.93844828999999996</v>
      </c>
      <c r="F838" s="13"/>
      <c r="G838" s="18">
        <v>20000000</v>
      </c>
      <c r="H838" s="18">
        <v>18768965.84</v>
      </c>
      <c r="I838" s="18">
        <v>20000000</v>
      </c>
      <c r="J838" s="18">
        <v>18768965.84</v>
      </c>
      <c r="K838" s="15">
        <v>70219544</v>
      </c>
      <c r="L838" s="13" t="s">
        <v>102</v>
      </c>
      <c r="M838" s="13" t="s">
        <v>103</v>
      </c>
      <c r="N838" s="139" t="s">
        <v>394</v>
      </c>
      <c r="O838" s="139" t="s">
        <v>394</v>
      </c>
      <c r="P838" s="28">
        <v>38</v>
      </c>
      <c r="Q838" s="13" t="s">
        <v>54</v>
      </c>
      <c r="R838" s="13" t="s">
        <v>28</v>
      </c>
      <c r="S838" s="13"/>
      <c r="T838" s="13"/>
      <c r="U838" s="13" t="s">
        <v>2070</v>
      </c>
      <c r="V838" s="13" t="s">
        <v>2070</v>
      </c>
      <c r="W838" s="59">
        <f>+J838/$W$2</f>
        <v>4.2161495467480867E-4</v>
      </c>
    </row>
    <row r="839" spans="1:29">
      <c r="A839" s="13" t="s">
        <v>558</v>
      </c>
      <c r="B839" s="13" t="s">
        <v>538</v>
      </c>
      <c r="C839" s="139">
        <v>46244</v>
      </c>
      <c r="D839" s="139" t="s">
        <v>516</v>
      </c>
      <c r="E839" s="28">
        <v>0.93844833999999999</v>
      </c>
      <c r="F839" s="13"/>
      <c r="G839" s="18">
        <v>20000000</v>
      </c>
      <c r="H839" s="18">
        <v>18768966.75</v>
      </c>
      <c r="I839" s="18">
        <v>20000000</v>
      </c>
      <c r="J839" s="18">
        <v>18768966.75</v>
      </c>
      <c r="K839" s="15">
        <v>70219543</v>
      </c>
      <c r="L839" s="13" t="s">
        <v>102</v>
      </c>
      <c r="M839" s="13" t="s">
        <v>103</v>
      </c>
      <c r="N839" s="139" t="s">
        <v>516</v>
      </c>
      <c r="O839" s="139" t="s">
        <v>516</v>
      </c>
      <c r="P839" s="28">
        <v>38</v>
      </c>
      <c r="Q839" s="13" t="s">
        <v>54</v>
      </c>
      <c r="R839" s="13" t="s">
        <v>28</v>
      </c>
      <c r="S839" s="13"/>
      <c r="T839" s="13"/>
      <c r="U839" s="13" t="s">
        <v>2092</v>
      </c>
      <c r="V839" s="13" t="s">
        <v>2092</v>
      </c>
      <c r="W839" s="59">
        <f>+J839/$W$2</f>
        <v>4.2161497511651076E-4</v>
      </c>
    </row>
    <row r="840" spans="1:29">
      <c r="A840" s="13" t="s">
        <v>641</v>
      </c>
      <c r="B840" s="13" t="s">
        <v>538</v>
      </c>
      <c r="C840" s="139">
        <v>46244</v>
      </c>
      <c r="D840" s="139" t="s">
        <v>516</v>
      </c>
      <c r="E840" s="28">
        <v>0.94149833999999999</v>
      </c>
      <c r="F840" s="13"/>
      <c r="G840" s="18">
        <v>20000000</v>
      </c>
      <c r="H840" s="18">
        <v>18829966.859999999</v>
      </c>
      <c r="I840" s="18">
        <v>20000000</v>
      </c>
      <c r="J840" s="18">
        <v>18829966.859999999</v>
      </c>
      <c r="K840" s="15">
        <v>424</v>
      </c>
      <c r="L840" s="13" t="s">
        <v>102</v>
      </c>
      <c r="M840" s="13" t="s">
        <v>103</v>
      </c>
      <c r="N840" s="139" t="s">
        <v>472</v>
      </c>
      <c r="O840" s="139" t="s">
        <v>472</v>
      </c>
      <c r="P840" s="28">
        <v>36</v>
      </c>
      <c r="Q840" s="13" t="s">
        <v>54</v>
      </c>
      <c r="R840" s="13" t="s">
        <v>28</v>
      </c>
      <c r="S840" s="13"/>
      <c r="T840" s="13"/>
      <c r="U840" s="13" t="s">
        <v>1637</v>
      </c>
      <c r="V840" s="13" t="s">
        <v>1637</v>
      </c>
      <c r="W840" s="59">
        <f>+J840/$W$2</f>
        <v>4.2298524553162321E-4</v>
      </c>
    </row>
    <row r="841" spans="1:29">
      <c r="A841" s="13" t="s">
        <v>993</v>
      </c>
      <c r="B841" s="13" t="s">
        <v>538</v>
      </c>
      <c r="C841" s="139">
        <v>46244</v>
      </c>
      <c r="D841" s="139" t="s">
        <v>516</v>
      </c>
      <c r="E841" s="28">
        <v>0.95076850000000002</v>
      </c>
      <c r="F841" s="13"/>
      <c r="G841" s="18">
        <v>10000000</v>
      </c>
      <c r="H841" s="18">
        <v>9507685.0399999991</v>
      </c>
      <c r="I841" s="18">
        <v>10000000</v>
      </c>
      <c r="J841" s="18">
        <v>9507685.0399999991</v>
      </c>
      <c r="K841" s="15">
        <v>40200399</v>
      </c>
      <c r="L841" s="13" t="s">
        <v>102</v>
      </c>
      <c r="M841" s="13" t="s">
        <v>103</v>
      </c>
      <c r="N841" s="139" t="s">
        <v>343</v>
      </c>
      <c r="O841" s="139" t="s">
        <v>343</v>
      </c>
      <c r="P841" s="28">
        <v>30</v>
      </c>
      <c r="Q841" s="13" t="s">
        <v>54</v>
      </c>
      <c r="R841" s="13" t="s">
        <v>28</v>
      </c>
      <c r="S841" s="13"/>
      <c r="T841" s="13"/>
      <c r="U841" s="13" t="s">
        <v>1422</v>
      </c>
      <c r="V841" s="13" t="s">
        <v>1422</v>
      </c>
      <c r="W841" s="59">
        <f>+J841/$W$2</f>
        <v>2.1357501693881052E-4</v>
      </c>
    </row>
    <row r="842" spans="1:29">
      <c r="A842" s="13" t="s">
        <v>993</v>
      </c>
      <c r="B842" s="13" t="s">
        <v>538</v>
      </c>
      <c r="C842" s="139">
        <v>46244</v>
      </c>
      <c r="D842" s="139" t="s">
        <v>516</v>
      </c>
      <c r="E842" s="28">
        <v>0.95076843</v>
      </c>
      <c r="F842" s="13"/>
      <c r="G842" s="18">
        <v>1040000</v>
      </c>
      <c r="H842" s="18">
        <v>988799.17</v>
      </c>
      <c r="I842" s="18">
        <v>1040000</v>
      </c>
      <c r="J842" s="18">
        <v>988799.17</v>
      </c>
      <c r="K842" s="15">
        <v>13001545</v>
      </c>
      <c r="L842" s="13" t="s">
        <v>102</v>
      </c>
      <c r="M842" s="13" t="s">
        <v>103</v>
      </c>
      <c r="N842" s="139" t="s">
        <v>359</v>
      </c>
      <c r="O842" s="139" t="s">
        <v>359</v>
      </c>
      <c r="P842" s="28">
        <v>30</v>
      </c>
      <c r="Q842" s="13" t="s">
        <v>54</v>
      </c>
      <c r="R842" s="13" t="s">
        <v>28</v>
      </c>
      <c r="S842" s="13"/>
      <c r="T842" s="13"/>
      <c r="U842" s="13" t="s">
        <v>1300</v>
      </c>
      <c r="V842" s="13" t="s">
        <v>1300</v>
      </c>
      <c r="W842" s="59">
        <f>+J842/$W$2</f>
        <v>2.2211800095749892E-5</v>
      </c>
    </row>
    <row r="843" spans="1:29">
      <c r="A843" s="13" t="s">
        <v>198</v>
      </c>
      <c r="B843" s="13" t="s">
        <v>538</v>
      </c>
      <c r="C843" s="139">
        <v>46244</v>
      </c>
      <c r="D843" s="139" t="s">
        <v>516</v>
      </c>
      <c r="E843" s="28">
        <v>0.96663136000000005</v>
      </c>
      <c r="F843" s="13"/>
      <c r="G843" s="18">
        <v>2500000</v>
      </c>
      <c r="H843" s="18">
        <v>2416578.39</v>
      </c>
      <c r="I843" s="18">
        <v>2500000</v>
      </c>
      <c r="J843" s="18">
        <v>2416578.39</v>
      </c>
      <c r="K843" s="15">
        <v>6131</v>
      </c>
      <c r="L843" s="13" t="s">
        <v>102</v>
      </c>
      <c r="M843" s="13" t="s">
        <v>103</v>
      </c>
      <c r="N843" s="139" t="s">
        <v>335</v>
      </c>
      <c r="O843" s="139" t="s">
        <v>335</v>
      </c>
      <c r="P843" s="28">
        <v>20</v>
      </c>
      <c r="Q843" s="13" t="s">
        <v>54</v>
      </c>
      <c r="R843" s="13" t="s">
        <v>28</v>
      </c>
      <c r="S843" s="13"/>
      <c r="T843" s="13"/>
      <c r="U843" s="13" t="s">
        <v>1755</v>
      </c>
      <c r="V843" s="13" t="s">
        <v>1755</v>
      </c>
      <c r="W843" s="59">
        <f>+J843/$W$2</f>
        <v>5.4284588562497598E-5</v>
      </c>
      <c r="AC843" s="56"/>
    </row>
    <row r="844" spans="1:29">
      <c r="A844" s="13" t="s">
        <v>261</v>
      </c>
      <c r="B844" s="13" t="s">
        <v>538</v>
      </c>
      <c r="C844" s="139">
        <v>46245</v>
      </c>
      <c r="D844" s="139" t="s">
        <v>516</v>
      </c>
      <c r="E844" s="28">
        <v>0.94687144999999995</v>
      </c>
      <c r="F844" s="13"/>
      <c r="G844" s="18">
        <v>50000000</v>
      </c>
      <c r="H844" s="18">
        <v>47343572.359999999</v>
      </c>
      <c r="I844" s="18">
        <v>50000000</v>
      </c>
      <c r="J844" s="18">
        <v>47343572.359999999</v>
      </c>
      <c r="K844" s="15">
        <v>4636</v>
      </c>
      <c r="L844" s="13" t="s">
        <v>102</v>
      </c>
      <c r="M844" s="13" t="s">
        <v>103</v>
      </c>
      <c r="N844" s="139" t="s">
        <v>367</v>
      </c>
      <c r="O844" s="139" t="s">
        <v>367</v>
      </c>
      <c r="P844" s="28">
        <v>32</v>
      </c>
      <c r="Q844" s="13" t="s">
        <v>54</v>
      </c>
      <c r="R844" s="13" t="s">
        <v>28</v>
      </c>
      <c r="S844" s="13"/>
      <c r="T844" s="13"/>
      <c r="U844" s="13" t="s">
        <v>1488</v>
      </c>
      <c r="V844" s="13" t="s">
        <v>1488</v>
      </c>
      <c r="W844" s="59">
        <f>+J844/$W$2</f>
        <v>1.0634980256698536E-3</v>
      </c>
    </row>
    <row r="845" spans="1:29">
      <c r="A845" s="13" t="s">
        <v>2101</v>
      </c>
      <c r="B845" s="13" t="s">
        <v>538</v>
      </c>
      <c r="C845" s="139">
        <v>46245</v>
      </c>
      <c r="D845" s="139" t="s">
        <v>516</v>
      </c>
      <c r="E845" s="28">
        <v>0.93445997000000003</v>
      </c>
      <c r="F845" s="13"/>
      <c r="G845" s="18">
        <v>25000000</v>
      </c>
      <c r="H845" s="18">
        <v>23361499.190000001</v>
      </c>
      <c r="I845" s="18">
        <v>25000000</v>
      </c>
      <c r="J845" s="18">
        <v>23361499.190000001</v>
      </c>
      <c r="K845" s="15">
        <v>70379056</v>
      </c>
      <c r="L845" s="13" t="s">
        <v>102</v>
      </c>
      <c r="M845" s="13" t="s">
        <v>103</v>
      </c>
      <c r="N845" s="139" t="s">
        <v>516</v>
      </c>
      <c r="O845" s="139" t="s">
        <v>516</v>
      </c>
      <c r="P845" s="28">
        <v>40</v>
      </c>
      <c r="Q845" s="13" t="s">
        <v>54</v>
      </c>
      <c r="R845" s="13" t="s">
        <v>28</v>
      </c>
      <c r="S845" s="13"/>
      <c r="T845" s="13"/>
      <c r="U845" s="13" t="s">
        <v>2098</v>
      </c>
      <c r="V845" s="13" t="s">
        <v>2098</v>
      </c>
      <c r="W845" s="59">
        <f>+J845/$W$2</f>
        <v>5.2477890929591195E-4</v>
      </c>
    </row>
    <row r="846" spans="1:29">
      <c r="A846" s="13" t="s">
        <v>1959</v>
      </c>
      <c r="B846" s="13" t="s">
        <v>538</v>
      </c>
      <c r="C846" s="139">
        <v>46245</v>
      </c>
      <c r="D846" s="139" t="s">
        <v>516</v>
      </c>
      <c r="E846" s="28">
        <v>0.95161125000000002</v>
      </c>
      <c r="F846" s="13"/>
      <c r="G846" s="18">
        <v>100000000</v>
      </c>
      <c r="H846" s="18">
        <v>95161124.5</v>
      </c>
      <c r="I846" s="18">
        <v>100000000</v>
      </c>
      <c r="J846" s="18">
        <v>95161124.5</v>
      </c>
      <c r="K846" s="15">
        <v>90003815</v>
      </c>
      <c r="L846" s="13" t="s">
        <v>102</v>
      </c>
      <c r="M846" s="13" t="s">
        <v>103</v>
      </c>
      <c r="N846" s="139" t="s">
        <v>369</v>
      </c>
      <c r="O846" s="139" t="s">
        <v>369</v>
      </c>
      <c r="P846" s="28">
        <v>29</v>
      </c>
      <c r="Q846" s="13" t="s">
        <v>54</v>
      </c>
      <c r="R846" s="13" t="s">
        <v>28</v>
      </c>
      <c r="S846" s="13"/>
      <c r="T846" s="13"/>
      <c r="U846" s="13" t="s">
        <v>1932</v>
      </c>
      <c r="V846" s="13" t="s">
        <v>1932</v>
      </c>
      <c r="W846" s="59">
        <f>+J846/$W$2</f>
        <v>2.1376432529577943E-3</v>
      </c>
    </row>
    <row r="847" spans="1:29">
      <c r="A847" s="13" t="s">
        <v>1828</v>
      </c>
      <c r="B847" s="13" t="s">
        <v>538</v>
      </c>
      <c r="C847" s="139">
        <v>46245</v>
      </c>
      <c r="D847" s="139" t="s">
        <v>516</v>
      </c>
      <c r="E847" s="28">
        <v>0.94530216</v>
      </c>
      <c r="F847" s="13"/>
      <c r="G847" s="18">
        <v>3000000</v>
      </c>
      <c r="H847" s="18">
        <v>2835906.48</v>
      </c>
      <c r="I847" s="18">
        <v>3000000</v>
      </c>
      <c r="J847" s="18">
        <v>2835906.48</v>
      </c>
      <c r="K847" s="15">
        <v>90015794</v>
      </c>
      <c r="L847" s="13" t="s">
        <v>102</v>
      </c>
      <c r="M847" s="13" t="s">
        <v>103</v>
      </c>
      <c r="N847" s="139" t="s">
        <v>335</v>
      </c>
      <c r="O847" s="139" t="s">
        <v>335</v>
      </c>
      <c r="P847" s="28">
        <v>33</v>
      </c>
      <c r="Q847" s="13" t="s">
        <v>54</v>
      </c>
      <c r="R847" s="13" t="s">
        <v>28</v>
      </c>
      <c r="S847" s="13"/>
      <c r="T847" s="13"/>
      <c r="U847" s="13" t="s">
        <v>1796</v>
      </c>
      <c r="V847" s="13" t="s">
        <v>1796</v>
      </c>
      <c r="W847" s="59">
        <f>+J847/$W$2</f>
        <v>6.3704126919930293E-5</v>
      </c>
    </row>
    <row r="848" spans="1:29">
      <c r="A848" s="13" t="s">
        <v>916</v>
      </c>
      <c r="B848" s="13" t="s">
        <v>538</v>
      </c>
      <c r="C848" s="139">
        <v>46245</v>
      </c>
      <c r="D848" s="139" t="s">
        <v>516</v>
      </c>
      <c r="E848" s="28">
        <v>0.94530219999999998</v>
      </c>
      <c r="F848" s="13"/>
      <c r="G848" s="18">
        <v>10000000</v>
      </c>
      <c r="H848" s="18">
        <v>9453022.0099999998</v>
      </c>
      <c r="I848" s="18">
        <v>10000000</v>
      </c>
      <c r="J848" s="18">
        <v>9453022.0099999998</v>
      </c>
      <c r="K848" s="15">
        <v>13633528</v>
      </c>
      <c r="L848" s="13" t="s">
        <v>102</v>
      </c>
      <c r="M848" s="13" t="s">
        <v>103</v>
      </c>
      <c r="N848" s="139" t="s">
        <v>163</v>
      </c>
      <c r="O848" s="139" t="s">
        <v>163</v>
      </c>
      <c r="P848" s="28">
        <v>33</v>
      </c>
      <c r="Q848" s="13" t="s">
        <v>54</v>
      </c>
      <c r="R848" s="13" t="s">
        <v>28</v>
      </c>
      <c r="S848" s="13"/>
      <c r="T848" s="13"/>
      <c r="U848" s="13" t="s">
        <v>1582</v>
      </c>
      <c r="V848" s="13" t="s">
        <v>1582</v>
      </c>
      <c r="W848" s="59">
        <f>+J848/$W$2</f>
        <v>2.1234709894309863E-4</v>
      </c>
    </row>
    <row r="849" spans="1:29">
      <c r="A849" s="13" t="s">
        <v>1236</v>
      </c>
      <c r="B849" s="13" t="s">
        <v>538</v>
      </c>
      <c r="C849" s="139">
        <v>46245</v>
      </c>
      <c r="D849" s="139" t="s">
        <v>516</v>
      </c>
      <c r="E849" s="28">
        <v>0.93753213000000002</v>
      </c>
      <c r="F849" s="13"/>
      <c r="G849" s="18">
        <v>5211510.2699999996</v>
      </c>
      <c r="H849" s="18">
        <v>4885958.33</v>
      </c>
      <c r="I849" s="18">
        <v>5211510.2699999996</v>
      </c>
      <c r="J849" s="18">
        <v>4885958.33</v>
      </c>
      <c r="K849" s="15">
        <v>90000479</v>
      </c>
      <c r="L849" s="13" t="s">
        <v>102</v>
      </c>
      <c r="M849" s="13" t="s">
        <v>103</v>
      </c>
      <c r="N849" s="139" t="s">
        <v>374</v>
      </c>
      <c r="O849" s="139" t="s">
        <v>374</v>
      </c>
      <c r="P849" s="28">
        <v>38</v>
      </c>
      <c r="Q849" s="13" t="s">
        <v>54</v>
      </c>
      <c r="R849" s="13" t="s">
        <v>28</v>
      </c>
      <c r="S849" s="13"/>
      <c r="T849" s="13"/>
      <c r="U849" s="13" t="s">
        <v>1201</v>
      </c>
      <c r="V849" s="13" t="s">
        <v>1201</v>
      </c>
      <c r="W849" s="59">
        <f>+J849/$W$2</f>
        <v>1.0975527993427015E-4</v>
      </c>
    </row>
    <row r="850" spans="1:29">
      <c r="A850" s="13" t="s">
        <v>558</v>
      </c>
      <c r="B850" s="13" t="s">
        <v>538</v>
      </c>
      <c r="C850" s="139">
        <v>46245</v>
      </c>
      <c r="D850" s="139" t="s">
        <v>516</v>
      </c>
      <c r="E850" s="28">
        <v>0.93753226000000001</v>
      </c>
      <c r="F850" s="13"/>
      <c r="G850" s="18">
        <v>20000000</v>
      </c>
      <c r="H850" s="18">
        <v>18750645.260000002</v>
      </c>
      <c r="I850" s="18">
        <v>20000000</v>
      </c>
      <c r="J850" s="18">
        <v>18750645.260000002</v>
      </c>
      <c r="K850" s="15">
        <v>70219545</v>
      </c>
      <c r="L850" s="13" t="s">
        <v>102</v>
      </c>
      <c r="M850" s="13" t="s">
        <v>103</v>
      </c>
      <c r="N850" s="139" t="s">
        <v>516</v>
      </c>
      <c r="O850" s="139" t="s">
        <v>516</v>
      </c>
      <c r="P850" s="28">
        <v>38</v>
      </c>
      <c r="Q850" s="13" t="s">
        <v>54</v>
      </c>
      <c r="R850" s="13" t="s">
        <v>28</v>
      </c>
      <c r="S850" s="13"/>
      <c r="T850" s="13"/>
      <c r="U850" s="13" t="s">
        <v>2093</v>
      </c>
      <c r="V850" s="13" t="s">
        <v>2093</v>
      </c>
      <c r="W850" s="59">
        <f>+J850/$W$2</f>
        <v>4.2120341199461186E-4</v>
      </c>
      <c r="AC850" s="56"/>
    </row>
    <row r="851" spans="1:29">
      <c r="A851" s="13" t="s">
        <v>641</v>
      </c>
      <c r="B851" s="13" t="s">
        <v>538</v>
      </c>
      <c r="C851" s="139">
        <v>46245</v>
      </c>
      <c r="D851" s="139" t="s">
        <v>516</v>
      </c>
      <c r="E851" s="28">
        <v>0.94062480999999998</v>
      </c>
      <c r="F851" s="13"/>
      <c r="G851" s="18">
        <v>20000000</v>
      </c>
      <c r="H851" s="18">
        <v>18812496.23</v>
      </c>
      <c r="I851" s="18">
        <v>20000000</v>
      </c>
      <c r="J851" s="18">
        <v>18812496.23</v>
      </c>
      <c r="K851" s="15">
        <v>425</v>
      </c>
      <c r="L851" s="13" t="s">
        <v>102</v>
      </c>
      <c r="M851" s="13" t="s">
        <v>103</v>
      </c>
      <c r="N851" s="139" t="s">
        <v>472</v>
      </c>
      <c r="O851" s="139" t="s">
        <v>472</v>
      </c>
      <c r="P851" s="28">
        <v>36</v>
      </c>
      <c r="Q851" s="13" t="s">
        <v>54</v>
      </c>
      <c r="R851" s="13" t="s">
        <v>28</v>
      </c>
      <c r="S851" s="13"/>
      <c r="T851" s="13"/>
      <c r="U851" s="13" t="s">
        <v>1638</v>
      </c>
      <c r="V851" s="13" t="s">
        <v>1638</v>
      </c>
      <c r="W851" s="59">
        <f>+J851/$W$2</f>
        <v>4.2259279562583822E-4</v>
      </c>
    </row>
    <row r="852" spans="1:29">
      <c r="A852" s="13" t="s">
        <v>325</v>
      </c>
      <c r="B852" s="13" t="s">
        <v>538</v>
      </c>
      <c r="C852" s="139">
        <v>46245</v>
      </c>
      <c r="D852" s="139" t="s">
        <v>516</v>
      </c>
      <c r="E852" s="28">
        <v>0.94530206000000006</v>
      </c>
      <c r="F852" s="13"/>
      <c r="G852" s="18">
        <v>50000000</v>
      </c>
      <c r="H852" s="18">
        <v>47265102.93</v>
      </c>
      <c r="I852" s="18">
        <v>50000000</v>
      </c>
      <c r="J852" s="18">
        <v>47265102.93</v>
      </c>
      <c r="K852" s="15">
        <v>29007571</v>
      </c>
      <c r="L852" s="13" t="s">
        <v>102</v>
      </c>
      <c r="M852" s="13" t="s">
        <v>103</v>
      </c>
      <c r="N852" s="139" t="s">
        <v>155</v>
      </c>
      <c r="O852" s="139" t="s">
        <v>155</v>
      </c>
      <c r="P852" s="28">
        <v>33</v>
      </c>
      <c r="Q852" s="13" t="s">
        <v>54</v>
      </c>
      <c r="R852" s="13" t="s">
        <v>28</v>
      </c>
      <c r="S852" s="13"/>
      <c r="T852" s="13"/>
      <c r="U852" s="13" t="s">
        <v>627</v>
      </c>
      <c r="V852" s="13" t="s">
        <v>627</v>
      </c>
      <c r="W852" s="59">
        <f>+J852/$W$2</f>
        <v>1.0617353347760216E-3</v>
      </c>
    </row>
    <row r="853" spans="1:29">
      <c r="A853" s="13" t="s">
        <v>2006</v>
      </c>
      <c r="B853" s="13" t="s">
        <v>538</v>
      </c>
      <c r="C853" s="139">
        <v>46246</v>
      </c>
      <c r="D853" s="139" t="s">
        <v>516</v>
      </c>
      <c r="E853" s="28">
        <v>0.94608608000000005</v>
      </c>
      <c r="F853" s="13"/>
      <c r="G853" s="18">
        <v>3300000</v>
      </c>
      <c r="H853" s="18">
        <v>3122084.07</v>
      </c>
      <c r="I853" s="18">
        <v>3300000</v>
      </c>
      <c r="J853" s="18">
        <v>3122084.07</v>
      </c>
      <c r="K853" s="15">
        <v>13647455</v>
      </c>
      <c r="L853" s="13" t="s">
        <v>102</v>
      </c>
      <c r="M853" s="13" t="s">
        <v>103</v>
      </c>
      <c r="N853" s="139" t="s">
        <v>394</v>
      </c>
      <c r="O853" s="139" t="s">
        <v>394</v>
      </c>
      <c r="P853" s="28">
        <v>32</v>
      </c>
      <c r="Q853" s="13" t="s">
        <v>54</v>
      </c>
      <c r="R853" s="13" t="s">
        <v>28</v>
      </c>
      <c r="S853" s="13"/>
      <c r="T853" s="13"/>
      <c r="U853" s="13" t="s">
        <v>2008</v>
      </c>
      <c r="V853" s="13" t="s">
        <v>2008</v>
      </c>
      <c r="W853" s="59">
        <f>+J853/$W$2</f>
        <v>7.0132651147922391E-5</v>
      </c>
    </row>
    <row r="854" spans="1:29">
      <c r="A854" s="13" t="s">
        <v>261</v>
      </c>
      <c r="B854" s="13" t="s">
        <v>538</v>
      </c>
      <c r="C854" s="139">
        <v>46246</v>
      </c>
      <c r="D854" s="139" t="s">
        <v>516</v>
      </c>
      <c r="E854" s="28">
        <v>0.94608627000000001</v>
      </c>
      <c r="F854" s="13"/>
      <c r="G854" s="18">
        <v>50000000</v>
      </c>
      <c r="H854" s="18">
        <v>47304313.670000002</v>
      </c>
      <c r="I854" s="18">
        <v>50000000</v>
      </c>
      <c r="J854" s="18">
        <v>47304313.670000002</v>
      </c>
      <c r="K854" s="15">
        <v>4678</v>
      </c>
      <c r="L854" s="13" t="s">
        <v>102</v>
      </c>
      <c r="M854" s="13" t="s">
        <v>103</v>
      </c>
      <c r="N854" s="139" t="s">
        <v>382</v>
      </c>
      <c r="O854" s="139" t="s">
        <v>382</v>
      </c>
      <c r="P854" s="28">
        <v>32</v>
      </c>
      <c r="Q854" s="13" t="s">
        <v>54</v>
      </c>
      <c r="R854" s="13" t="s">
        <v>28</v>
      </c>
      <c r="S854" s="13"/>
      <c r="T854" s="13"/>
      <c r="U854" s="13" t="s">
        <v>1617</v>
      </c>
      <c r="V854" s="13" t="s">
        <v>1617</v>
      </c>
      <c r="W854" s="59">
        <f>+J854/$W$2</f>
        <v>1.0626161416627089E-3</v>
      </c>
    </row>
    <row r="855" spans="1:29">
      <c r="A855" s="13" t="s">
        <v>923</v>
      </c>
      <c r="B855" s="13" t="s">
        <v>538</v>
      </c>
      <c r="C855" s="139">
        <v>46246</v>
      </c>
      <c r="D855" s="139" t="s">
        <v>516</v>
      </c>
      <c r="E855" s="28">
        <v>0.94928488</v>
      </c>
      <c r="F855" s="13"/>
      <c r="G855" s="18">
        <v>10000000</v>
      </c>
      <c r="H855" s="18">
        <v>9492848.8300000001</v>
      </c>
      <c r="I855" s="18">
        <v>10000000</v>
      </c>
      <c r="J855" s="18">
        <v>9492848.8300000001</v>
      </c>
      <c r="K855" s="15">
        <v>3435966</v>
      </c>
      <c r="L855" s="13" t="s">
        <v>102</v>
      </c>
      <c r="M855" s="13" t="s">
        <v>103</v>
      </c>
      <c r="N855" s="139" t="s">
        <v>377</v>
      </c>
      <c r="O855" s="139" t="s">
        <v>377</v>
      </c>
      <c r="P855" s="28">
        <v>30</v>
      </c>
      <c r="Q855" s="13" t="s">
        <v>54</v>
      </c>
      <c r="R855" s="13" t="s">
        <v>28</v>
      </c>
      <c r="S855" s="13"/>
      <c r="T855" s="13"/>
      <c r="U855" s="13" t="s">
        <v>1463</v>
      </c>
      <c r="V855" s="13" t="s">
        <v>1463</v>
      </c>
      <c r="W855" s="59">
        <f>+J855/$W$2</f>
        <v>2.1324174508675331E-4</v>
      </c>
    </row>
    <row r="856" spans="1:29">
      <c r="A856" s="13" t="s">
        <v>1959</v>
      </c>
      <c r="B856" s="13" t="s">
        <v>538</v>
      </c>
      <c r="C856" s="139">
        <v>46246</v>
      </c>
      <c r="D856" s="139" t="s">
        <v>516</v>
      </c>
      <c r="E856" s="28">
        <v>0.95089248000000004</v>
      </c>
      <c r="F856" s="13"/>
      <c r="G856" s="18">
        <v>100000000</v>
      </c>
      <c r="H856" s="18">
        <v>95089247.530000001</v>
      </c>
      <c r="I856" s="18">
        <v>100000000</v>
      </c>
      <c r="J856" s="18">
        <v>95089247.530000001</v>
      </c>
      <c r="K856" s="15">
        <v>90003816</v>
      </c>
      <c r="L856" s="13" t="s">
        <v>102</v>
      </c>
      <c r="M856" s="13" t="s">
        <v>103</v>
      </c>
      <c r="N856" s="139" t="s">
        <v>369</v>
      </c>
      <c r="O856" s="139" t="s">
        <v>369</v>
      </c>
      <c r="P856" s="28">
        <v>29</v>
      </c>
      <c r="Q856" s="13" t="s">
        <v>54</v>
      </c>
      <c r="R856" s="13" t="s">
        <v>28</v>
      </c>
      <c r="S856" s="13"/>
      <c r="T856" s="13"/>
      <c r="U856" s="13" t="s">
        <v>1938</v>
      </c>
      <c r="V856" s="13" t="s">
        <v>1938</v>
      </c>
      <c r="W856" s="59">
        <f>+J856/$W$2</f>
        <v>2.1360286511887335E-3</v>
      </c>
    </row>
    <row r="857" spans="1:29">
      <c r="A857" s="13" t="s">
        <v>1688</v>
      </c>
      <c r="B857" s="13" t="s">
        <v>538</v>
      </c>
      <c r="C857" s="139">
        <v>46246</v>
      </c>
      <c r="D857" s="139" t="s">
        <v>516</v>
      </c>
      <c r="E857" s="28">
        <v>0.94449499000000003</v>
      </c>
      <c r="F857" s="13"/>
      <c r="G857" s="18">
        <v>3900000</v>
      </c>
      <c r="H857" s="18">
        <v>3683530.44</v>
      </c>
      <c r="I857" s="18">
        <v>3900000</v>
      </c>
      <c r="J857" s="18">
        <v>3683530.44</v>
      </c>
      <c r="K857" s="15">
        <v>283</v>
      </c>
      <c r="L857" s="13" t="s">
        <v>102</v>
      </c>
      <c r="M857" s="13" t="s">
        <v>103</v>
      </c>
      <c r="N857" s="139" t="s">
        <v>514</v>
      </c>
      <c r="O857" s="139" t="s">
        <v>514</v>
      </c>
      <c r="P857" s="28">
        <v>33</v>
      </c>
      <c r="Q857" s="13" t="s">
        <v>54</v>
      </c>
      <c r="R857" s="13" t="s">
        <v>28</v>
      </c>
      <c r="S857" s="13"/>
      <c r="T857" s="13"/>
      <c r="U857" s="13" t="s">
        <v>1690</v>
      </c>
      <c r="V857" s="13" t="s">
        <v>1690</v>
      </c>
      <c r="W857" s="59">
        <f>+J857/$W$2</f>
        <v>8.2744650544042863E-5</v>
      </c>
    </row>
    <row r="858" spans="1:29">
      <c r="A858" s="13" t="s">
        <v>2002</v>
      </c>
      <c r="B858" s="13" t="s">
        <v>538</v>
      </c>
      <c r="C858" s="139">
        <v>46246</v>
      </c>
      <c r="D858" s="139" t="s">
        <v>516</v>
      </c>
      <c r="E858" s="28">
        <v>0.94608608000000005</v>
      </c>
      <c r="F858" s="13"/>
      <c r="G858" s="18">
        <v>2899135.68</v>
      </c>
      <c r="H858" s="18">
        <v>2742831.9</v>
      </c>
      <c r="I858" s="18">
        <v>2899135.68</v>
      </c>
      <c r="J858" s="18">
        <v>2742831.9</v>
      </c>
      <c r="K858" s="15">
        <v>6553</v>
      </c>
      <c r="L858" s="13" t="s">
        <v>102</v>
      </c>
      <c r="M858" s="13" t="s">
        <v>103</v>
      </c>
      <c r="N858" s="139" t="s">
        <v>394</v>
      </c>
      <c r="O858" s="139" t="s">
        <v>394</v>
      </c>
      <c r="P858" s="28">
        <v>32</v>
      </c>
      <c r="Q858" s="13" t="s">
        <v>54</v>
      </c>
      <c r="R858" s="13" t="s">
        <v>28</v>
      </c>
      <c r="S858" s="13"/>
      <c r="T858" s="13"/>
      <c r="U858" s="13" t="s">
        <v>2062</v>
      </c>
      <c r="V858" s="13" t="s">
        <v>2062</v>
      </c>
      <c r="W858" s="59">
        <f>+J858/$W$2</f>
        <v>6.1613354569306378E-5</v>
      </c>
    </row>
    <row r="859" spans="1:29">
      <c r="A859" s="13" t="s">
        <v>915</v>
      </c>
      <c r="B859" s="13" t="s">
        <v>538</v>
      </c>
      <c r="C859" s="139">
        <v>46246</v>
      </c>
      <c r="D859" s="139" t="s">
        <v>516</v>
      </c>
      <c r="E859" s="28">
        <v>0.94928493000000003</v>
      </c>
      <c r="F859" s="13"/>
      <c r="G859" s="18">
        <v>5000000</v>
      </c>
      <c r="H859" s="18">
        <v>4746424.63</v>
      </c>
      <c r="I859" s="18">
        <v>5000000</v>
      </c>
      <c r="J859" s="18">
        <v>4746424.63</v>
      </c>
      <c r="K859" s="15">
        <v>3501230</v>
      </c>
      <c r="L859" s="13" t="s">
        <v>102</v>
      </c>
      <c r="M859" s="13" t="s">
        <v>103</v>
      </c>
      <c r="N859" s="139" t="s">
        <v>378</v>
      </c>
      <c r="O859" s="139" t="s">
        <v>378</v>
      </c>
      <c r="P859" s="28">
        <v>30</v>
      </c>
      <c r="Q859" s="13" t="s">
        <v>54</v>
      </c>
      <c r="R859" s="13" t="s">
        <v>28</v>
      </c>
      <c r="S859" s="13"/>
      <c r="T859" s="13"/>
      <c r="U859" s="13" t="s">
        <v>883</v>
      </c>
      <c r="V859" s="13" t="s">
        <v>883</v>
      </c>
      <c r="W859" s="59">
        <f>+J859/$W$2</f>
        <v>1.0662087737300956E-4</v>
      </c>
    </row>
    <row r="860" spans="1:29">
      <c r="A860" s="13" t="s">
        <v>917</v>
      </c>
      <c r="B860" s="13" t="s">
        <v>538</v>
      </c>
      <c r="C860" s="139">
        <v>46246</v>
      </c>
      <c r="D860" s="139" t="s">
        <v>516</v>
      </c>
      <c r="E860" s="28">
        <v>0.93661808000000002</v>
      </c>
      <c r="F860" s="13"/>
      <c r="G860" s="18">
        <v>4957711.8099999996</v>
      </c>
      <c r="H860" s="18">
        <v>4643482.53</v>
      </c>
      <c r="I860" s="18">
        <v>4957711.8099999996</v>
      </c>
      <c r="J860" s="18">
        <v>4643482.53</v>
      </c>
      <c r="K860" s="15">
        <v>590</v>
      </c>
      <c r="L860" s="13" t="s">
        <v>102</v>
      </c>
      <c r="M860" s="13" t="s">
        <v>103</v>
      </c>
      <c r="N860" s="139" t="s">
        <v>374</v>
      </c>
      <c r="O860" s="139" t="s">
        <v>374</v>
      </c>
      <c r="P860" s="28">
        <v>38</v>
      </c>
      <c r="Q860" s="13" t="s">
        <v>54</v>
      </c>
      <c r="R860" s="13" t="s">
        <v>28</v>
      </c>
      <c r="S860" s="13"/>
      <c r="T860" s="13"/>
      <c r="U860" s="13" t="s">
        <v>1207</v>
      </c>
      <c r="V860" s="13" t="s">
        <v>1207</v>
      </c>
      <c r="W860" s="59">
        <f>+J860/$W$2</f>
        <v>1.0430844688559655E-4</v>
      </c>
    </row>
    <row r="861" spans="1:29">
      <c r="A861" s="13" t="s">
        <v>539</v>
      </c>
      <c r="B861" s="13" t="s">
        <v>538</v>
      </c>
      <c r="C861" s="139">
        <v>46246</v>
      </c>
      <c r="D861" s="139" t="s">
        <v>516</v>
      </c>
      <c r="E861" s="28">
        <v>0.94928484999999996</v>
      </c>
      <c r="F861" s="13"/>
      <c r="G861" s="18">
        <v>10000000</v>
      </c>
      <c r="H861" s="18">
        <v>9492848.5299999993</v>
      </c>
      <c r="I861" s="18">
        <v>10000000</v>
      </c>
      <c r="J861" s="18">
        <v>9492848.5299999993</v>
      </c>
      <c r="K861" s="15">
        <v>500</v>
      </c>
      <c r="L861" s="13" t="s">
        <v>102</v>
      </c>
      <c r="M861" s="13" t="s">
        <v>103</v>
      </c>
      <c r="N861" s="139" t="s">
        <v>383</v>
      </c>
      <c r="O861" s="139" t="s">
        <v>383</v>
      </c>
      <c r="P861" s="28">
        <v>30</v>
      </c>
      <c r="Q861" s="13" t="s">
        <v>54</v>
      </c>
      <c r="R861" s="13" t="s">
        <v>28</v>
      </c>
      <c r="S861" s="13"/>
      <c r="T861" s="13"/>
      <c r="U861" s="13" t="s">
        <v>1535</v>
      </c>
      <c r="V861" s="13" t="s">
        <v>1535</v>
      </c>
      <c r="W861" s="59">
        <f>+J861/$W$2</f>
        <v>2.1324173834773061E-4</v>
      </c>
    </row>
    <row r="862" spans="1:29">
      <c r="A862" s="13" t="s">
        <v>539</v>
      </c>
      <c r="B862" s="13" t="s">
        <v>538</v>
      </c>
      <c r="C862" s="139">
        <v>46246</v>
      </c>
      <c r="D862" s="139" t="s">
        <v>516</v>
      </c>
      <c r="E862" s="28">
        <v>0.94928488</v>
      </c>
      <c r="F862" s="13"/>
      <c r="G862" s="18">
        <v>10000000</v>
      </c>
      <c r="H862" s="18">
        <v>9492848.8200000003</v>
      </c>
      <c r="I862" s="18">
        <v>10000000</v>
      </c>
      <c r="J862" s="18">
        <v>9492848.8200000003</v>
      </c>
      <c r="K862" s="15">
        <v>608</v>
      </c>
      <c r="L862" s="13" t="s">
        <v>102</v>
      </c>
      <c r="M862" s="13" t="s">
        <v>103</v>
      </c>
      <c r="N862" s="139" t="s">
        <v>361</v>
      </c>
      <c r="O862" s="139" t="s">
        <v>361</v>
      </c>
      <c r="P862" s="28">
        <v>30</v>
      </c>
      <c r="Q862" s="13" t="s">
        <v>54</v>
      </c>
      <c r="R862" s="13" t="s">
        <v>28</v>
      </c>
      <c r="S862" s="13"/>
      <c r="T862" s="13"/>
      <c r="U862" s="13" t="s">
        <v>2076</v>
      </c>
      <c r="V862" s="13" t="s">
        <v>2076</v>
      </c>
      <c r="W862" s="59">
        <f>+J862/$W$2</f>
        <v>2.1324174486211922E-4</v>
      </c>
    </row>
    <row r="863" spans="1:29">
      <c r="A863" s="13" t="s">
        <v>539</v>
      </c>
      <c r="B863" s="13" t="s">
        <v>538</v>
      </c>
      <c r="C863" s="139">
        <v>46246</v>
      </c>
      <c r="D863" s="139" t="s">
        <v>516</v>
      </c>
      <c r="E863" s="28">
        <v>0.94928482999999997</v>
      </c>
      <c r="F863" s="13"/>
      <c r="G863" s="18">
        <v>10000000</v>
      </c>
      <c r="H863" s="18">
        <v>9492848.2699999996</v>
      </c>
      <c r="I863" s="18">
        <v>10000000</v>
      </c>
      <c r="J863" s="18">
        <v>9492848.2699999996</v>
      </c>
      <c r="K863" s="15">
        <v>559</v>
      </c>
      <c r="L863" s="13" t="s">
        <v>102</v>
      </c>
      <c r="M863" s="13" t="s">
        <v>103</v>
      </c>
      <c r="N863" s="139" t="s">
        <v>429</v>
      </c>
      <c r="O863" s="139" t="s">
        <v>429</v>
      </c>
      <c r="P863" s="28">
        <v>30</v>
      </c>
      <c r="Q863" s="13" t="s">
        <v>54</v>
      </c>
      <c r="R863" s="13" t="s">
        <v>28</v>
      </c>
      <c r="S863" s="13"/>
      <c r="T863" s="13"/>
      <c r="U863" s="13" t="s">
        <v>1724</v>
      </c>
      <c r="V863" s="13" t="s">
        <v>1724</v>
      </c>
      <c r="W863" s="59">
        <f>+J863/$W$2</f>
        <v>2.1324173250724429E-4</v>
      </c>
    </row>
    <row r="864" spans="1:29">
      <c r="A864" s="13" t="s">
        <v>545</v>
      </c>
      <c r="B864" s="13" t="s">
        <v>538</v>
      </c>
      <c r="C864" s="139">
        <v>46246</v>
      </c>
      <c r="D864" s="139" t="s">
        <v>516</v>
      </c>
      <c r="E864" s="28">
        <v>0.93975284000000003</v>
      </c>
      <c r="F864" s="13"/>
      <c r="G864" s="18">
        <v>65000000</v>
      </c>
      <c r="H864" s="18">
        <v>61083934.399999999</v>
      </c>
      <c r="I864" s="18">
        <v>65000000</v>
      </c>
      <c r="J864" s="18">
        <v>61083934.399999999</v>
      </c>
      <c r="K864" s="15">
        <v>312</v>
      </c>
      <c r="L864" s="13" t="s">
        <v>102</v>
      </c>
      <c r="M864" s="13" t="s">
        <v>103</v>
      </c>
      <c r="N864" s="139" t="s">
        <v>363</v>
      </c>
      <c r="O864" s="139" t="s">
        <v>363</v>
      </c>
      <c r="P864" s="28">
        <v>36</v>
      </c>
      <c r="Q864" s="13" t="s">
        <v>54</v>
      </c>
      <c r="R864" s="13" t="s">
        <v>28</v>
      </c>
      <c r="S864" s="13"/>
      <c r="T864" s="13"/>
      <c r="U864" s="13" t="s">
        <v>735</v>
      </c>
      <c r="V864" s="13" t="s">
        <v>735</v>
      </c>
      <c r="W864" s="59">
        <f>+J864/$W$2</f>
        <v>1.3721533968871556E-3</v>
      </c>
    </row>
    <row r="865" spans="1:29">
      <c r="A865" s="13" t="s">
        <v>558</v>
      </c>
      <c r="B865" s="13" t="s">
        <v>538</v>
      </c>
      <c r="C865" s="139">
        <v>46246</v>
      </c>
      <c r="D865" s="139" t="s">
        <v>516</v>
      </c>
      <c r="E865" s="28">
        <v>0.93661797999999996</v>
      </c>
      <c r="F865" s="13"/>
      <c r="G865" s="18">
        <v>42000000</v>
      </c>
      <c r="H865" s="18">
        <v>39337954.960000001</v>
      </c>
      <c r="I865" s="18">
        <v>42000000</v>
      </c>
      <c r="J865" s="18">
        <v>39337954.960000001</v>
      </c>
      <c r="K865" s="15">
        <v>151336</v>
      </c>
      <c r="L865" s="13" t="s">
        <v>102</v>
      </c>
      <c r="M865" s="13" t="s">
        <v>103</v>
      </c>
      <c r="N865" s="139" t="s">
        <v>516</v>
      </c>
      <c r="O865" s="139" t="s">
        <v>516</v>
      </c>
      <c r="P865" s="28">
        <v>38</v>
      </c>
      <c r="Q865" s="13" t="s">
        <v>54</v>
      </c>
      <c r="R865" s="13" t="s">
        <v>28</v>
      </c>
      <c r="S865" s="13"/>
      <c r="T865" s="13"/>
      <c r="U865" s="13" t="s">
        <v>2094</v>
      </c>
      <c r="V865" s="13" t="s">
        <v>2094</v>
      </c>
      <c r="W865" s="59">
        <f>+J865/$W$2</f>
        <v>8.8366456835429271E-4</v>
      </c>
    </row>
    <row r="866" spans="1:29">
      <c r="A866" s="13" t="s">
        <v>1960</v>
      </c>
      <c r="B866" s="13" t="s">
        <v>538</v>
      </c>
      <c r="C866" s="139">
        <v>46246</v>
      </c>
      <c r="D866" s="139" t="s">
        <v>516</v>
      </c>
      <c r="E866" s="28">
        <v>0.94449499000000003</v>
      </c>
      <c r="F866" s="13"/>
      <c r="G866" s="18">
        <v>2000000</v>
      </c>
      <c r="H866" s="18">
        <v>1888989.98</v>
      </c>
      <c r="I866" s="18">
        <v>2000000</v>
      </c>
      <c r="J866" s="18">
        <v>1888989.98</v>
      </c>
      <c r="K866" s="15">
        <v>6186</v>
      </c>
      <c r="L866" s="13" t="s">
        <v>102</v>
      </c>
      <c r="M866" s="13" t="s">
        <v>103</v>
      </c>
      <c r="N866" s="139" t="s">
        <v>369</v>
      </c>
      <c r="O866" s="139" t="s">
        <v>369</v>
      </c>
      <c r="P866" s="28">
        <v>33</v>
      </c>
      <c r="Q866" s="13" t="s">
        <v>54</v>
      </c>
      <c r="R866" s="13" t="s">
        <v>28</v>
      </c>
      <c r="S866" s="13"/>
      <c r="T866" s="13"/>
      <c r="U866" s="13" t="s">
        <v>1951</v>
      </c>
      <c r="V866" s="13" t="s">
        <v>1951</v>
      </c>
      <c r="W866" s="59">
        <f>+J866/$W$2</f>
        <v>4.2433154367063821E-5</v>
      </c>
    </row>
    <row r="867" spans="1:29">
      <c r="A867" s="13" t="s">
        <v>338</v>
      </c>
      <c r="B867" s="13" t="s">
        <v>538</v>
      </c>
      <c r="C867" s="139">
        <v>46246</v>
      </c>
      <c r="D867" s="139" t="s">
        <v>516</v>
      </c>
      <c r="E867" s="28">
        <v>0.95089239000000003</v>
      </c>
      <c r="F867" s="13"/>
      <c r="G867" s="18">
        <v>80000000</v>
      </c>
      <c r="H867" s="18">
        <v>76071391.200000003</v>
      </c>
      <c r="I867" s="18">
        <v>80000000</v>
      </c>
      <c r="J867" s="18">
        <v>76071391.200000003</v>
      </c>
      <c r="K867" s="15">
        <v>90041870</v>
      </c>
      <c r="L867" s="13" t="s">
        <v>102</v>
      </c>
      <c r="M867" s="13" t="s">
        <v>103</v>
      </c>
      <c r="N867" s="139" t="s">
        <v>428</v>
      </c>
      <c r="O867" s="139" t="s">
        <v>428</v>
      </c>
      <c r="P867" s="28">
        <v>29</v>
      </c>
      <c r="Q867" s="13" t="s">
        <v>54</v>
      </c>
      <c r="R867" s="13" t="s">
        <v>28</v>
      </c>
      <c r="S867" s="13"/>
      <c r="T867" s="13"/>
      <c r="U867" s="13" t="s">
        <v>940</v>
      </c>
      <c r="V867" s="13" t="s">
        <v>940</v>
      </c>
      <c r="W867" s="59">
        <f>+J867/$W$2</f>
        <v>1.7088227676606842E-3</v>
      </c>
    </row>
    <row r="868" spans="1:29">
      <c r="A868" s="13" t="s">
        <v>380</v>
      </c>
      <c r="B868" s="13" t="s">
        <v>538</v>
      </c>
      <c r="C868" s="139">
        <v>46246</v>
      </c>
      <c r="D868" s="139" t="s">
        <v>516</v>
      </c>
      <c r="E868" s="28">
        <v>0.94928489000000005</v>
      </c>
      <c r="F868" s="13"/>
      <c r="G868" s="18">
        <v>16800000</v>
      </c>
      <c r="H868" s="18">
        <v>15947986.18</v>
      </c>
      <c r="I868" s="18">
        <v>16800000</v>
      </c>
      <c r="J868" s="18">
        <v>15947986.18</v>
      </c>
      <c r="K868" s="15">
        <v>32660</v>
      </c>
      <c r="L868" s="13" t="s">
        <v>102</v>
      </c>
      <c r="M868" s="13" t="s">
        <v>103</v>
      </c>
      <c r="N868" s="139" t="s">
        <v>379</v>
      </c>
      <c r="O868" s="139" t="s">
        <v>379</v>
      </c>
      <c r="P868" s="28">
        <v>30</v>
      </c>
      <c r="Q868" s="13" t="s">
        <v>54</v>
      </c>
      <c r="R868" s="13" t="s">
        <v>28</v>
      </c>
      <c r="S868" s="13"/>
      <c r="T868" s="13"/>
      <c r="U868" s="13" t="s">
        <v>1396</v>
      </c>
      <c r="V868" s="13" t="s">
        <v>1396</v>
      </c>
      <c r="W868" s="59">
        <f>+J868/$W$2</f>
        <v>3.5824613501641786E-4</v>
      </c>
    </row>
    <row r="869" spans="1:29">
      <c r="A869" s="13" t="s">
        <v>198</v>
      </c>
      <c r="B869" s="13" t="s">
        <v>538</v>
      </c>
      <c r="C869" s="139">
        <v>46246</v>
      </c>
      <c r="D869" s="139" t="s">
        <v>516</v>
      </c>
      <c r="E869" s="28">
        <v>0.96560853999999996</v>
      </c>
      <c r="F869" s="13"/>
      <c r="G869" s="18">
        <v>2500000</v>
      </c>
      <c r="H869" s="18">
        <v>2414021.35</v>
      </c>
      <c r="I869" s="18">
        <v>2500000</v>
      </c>
      <c r="J869" s="18">
        <v>2414021.35</v>
      </c>
      <c r="K869" s="15">
        <v>6132</v>
      </c>
      <c r="L869" s="13" t="s">
        <v>102</v>
      </c>
      <c r="M869" s="13" t="s">
        <v>103</v>
      </c>
      <c r="N869" s="139" t="s">
        <v>335</v>
      </c>
      <c r="O869" s="139" t="s">
        <v>335</v>
      </c>
      <c r="P869" s="28">
        <v>20</v>
      </c>
      <c r="Q869" s="13" t="s">
        <v>54</v>
      </c>
      <c r="R869" s="13" t="s">
        <v>28</v>
      </c>
      <c r="S869" s="13"/>
      <c r="T869" s="13"/>
      <c r="U869" s="13" t="s">
        <v>1757</v>
      </c>
      <c r="V869" s="13" t="s">
        <v>1757</v>
      </c>
      <c r="W869" s="59">
        <f>+J869/$W$2</f>
        <v>5.422714872735207E-5</v>
      </c>
    </row>
    <row r="870" spans="1:29">
      <c r="A870" s="13" t="s">
        <v>1402</v>
      </c>
      <c r="B870" s="13" t="s">
        <v>538</v>
      </c>
      <c r="C870" s="139">
        <v>46246</v>
      </c>
      <c r="D870" s="139" t="s">
        <v>516</v>
      </c>
      <c r="E870" s="28">
        <v>0.95250531999999999</v>
      </c>
      <c r="F870" s="13"/>
      <c r="G870" s="18">
        <v>7000000</v>
      </c>
      <c r="H870" s="18">
        <v>6667537.2199999997</v>
      </c>
      <c r="I870" s="18">
        <v>7000000</v>
      </c>
      <c r="J870" s="18">
        <v>6667537.2199999997</v>
      </c>
      <c r="K870" s="15">
        <v>29175494</v>
      </c>
      <c r="L870" s="13" t="s">
        <v>102</v>
      </c>
      <c r="M870" s="13" t="s">
        <v>103</v>
      </c>
      <c r="N870" s="139" t="s">
        <v>379</v>
      </c>
      <c r="O870" s="139" t="s">
        <v>379</v>
      </c>
      <c r="P870" s="28">
        <v>28</v>
      </c>
      <c r="Q870" s="13" t="s">
        <v>54</v>
      </c>
      <c r="R870" s="13" t="s">
        <v>28</v>
      </c>
      <c r="S870" s="13"/>
      <c r="T870" s="13"/>
      <c r="U870" s="13" t="s">
        <v>1371</v>
      </c>
      <c r="V870" s="13" t="s">
        <v>1371</v>
      </c>
      <c r="W870" s="59">
        <f>+J870/$W$2</f>
        <v>1.4977561506409026E-4</v>
      </c>
    </row>
    <row r="871" spans="1:29">
      <c r="A871" s="13" t="s">
        <v>261</v>
      </c>
      <c r="B871" s="13" t="s">
        <v>538</v>
      </c>
      <c r="C871" s="139">
        <v>46247</v>
      </c>
      <c r="D871" s="139" t="s">
        <v>516</v>
      </c>
      <c r="E871" s="28">
        <v>0.94530208000000004</v>
      </c>
      <c r="F871" s="13"/>
      <c r="G871" s="18">
        <v>50000000</v>
      </c>
      <c r="H871" s="18">
        <v>47265104.189999998</v>
      </c>
      <c r="I871" s="18">
        <v>50000000</v>
      </c>
      <c r="J871" s="18">
        <v>47265104.189999998</v>
      </c>
      <c r="K871" s="15">
        <v>4633</v>
      </c>
      <c r="L871" s="13" t="s">
        <v>102</v>
      </c>
      <c r="M871" s="13" t="s">
        <v>103</v>
      </c>
      <c r="N871" s="139" t="s">
        <v>367</v>
      </c>
      <c r="O871" s="139" t="s">
        <v>367</v>
      </c>
      <c r="P871" s="28">
        <v>32</v>
      </c>
      <c r="Q871" s="13" t="s">
        <v>54</v>
      </c>
      <c r="R871" s="13" t="s">
        <v>28</v>
      </c>
      <c r="S871" s="13"/>
      <c r="T871" s="13"/>
      <c r="U871" s="13" t="s">
        <v>1489</v>
      </c>
      <c r="V871" s="13" t="s">
        <v>1489</v>
      </c>
      <c r="W871" s="59">
        <f>+J871/$W$2</f>
        <v>1.0617353630799169E-3</v>
      </c>
    </row>
    <row r="872" spans="1:29">
      <c r="A872" s="13" t="s">
        <v>550</v>
      </c>
      <c r="B872" s="13" t="s">
        <v>538</v>
      </c>
      <c r="C872" s="139">
        <v>46247</v>
      </c>
      <c r="D872" s="139" t="s">
        <v>516</v>
      </c>
      <c r="E872" s="28">
        <v>0.94047935000000005</v>
      </c>
      <c r="F872" s="13"/>
      <c r="G872" s="18">
        <v>25000000</v>
      </c>
      <c r="H872" s="18">
        <v>23511983.649999999</v>
      </c>
      <c r="I872" s="18">
        <v>25000000</v>
      </c>
      <c r="J872" s="18">
        <v>23511983.649999999</v>
      </c>
      <c r="K872" s="15">
        <v>1309</v>
      </c>
      <c r="L872" s="13" t="s">
        <v>102</v>
      </c>
      <c r="M872" s="13" t="s">
        <v>103</v>
      </c>
      <c r="N872" s="139" t="s">
        <v>428</v>
      </c>
      <c r="O872" s="139" t="s">
        <v>428</v>
      </c>
      <c r="P872" s="28">
        <v>35</v>
      </c>
      <c r="Q872" s="13" t="s">
        <v>54</v>
      </c>
      <c r="R872" s="13" t="s">
        <v>28</v>
      </c>
      <c r="S872" s="13"/>
      <c r="T872" s="13"/>
      <c r="U872" s="13" t="s">
        <v>988</v>
      </c>
      <c r="V872" s="13" t="s">
        <v>988</v>
      </c>
      <c r="W872" s="59">
        <f>+J872/$W$2</f>
        <v>5.2815930325704041E-4</v>
      </c>
    </row>
    <row r="873" spans="1:29">
      <c r="A873" s="13" t="s">
        <v>1873</v>
      </c>
      <c r="B873" s="13" t="s">
        <v>538</v>
      </c>
      <c r="C873" s="139">
        <v>46247</v>
      </c>
      <c r="D873" s="139" t="s">
        <v>516</v>
      </c>
      <c r="E873" s="28">
        <v>0.96847812</v>
      </c>
      <c r="F873" s="13"/>
      <c r="G873" s="18">
        <v>31000000</v>
      </c>
      <c r="H873" s="18">
        <v>30022821.609999999</v>
      </c>
      <c r="I873" s="18">
        <v>31000000</v>
      </c>
      <c r="J873" s="18">
        <v>30022821.609999999</v>
      </c>
      <c r="K873" s="15">
        <v>152408</v>
      </c>
      <c r="L873" s="13" t="s">
        <v>102</v>
      </c>
      <c r="M873" s="13" t="s">
        <v>103</v>
      </c>
      <c r="N873" s="139" t="s">
        <v>369</v>
      </c>
      <c r="O873" s="139" t="s">
        <v>369</v>
      </c>
      <c r="P873" s="28">
        <v>18</v>
      </c>
      <c r="Q873" s="13" t="s">
        <v>54</v>
      </c>
      <c r="R873" s="13" t="s">
        <v>28</v>
      </c>
      <c r="S873" s="13"/>
      <c r="T873" s="13"/>
      <c r="U873" s="13" t="s">
        <v>1958</v>
      </c>
      <c r="V873" s="13" t="s">
        <v>1958</v>
      </c>
      <c r="W873" s="59">
        <f>+J873/$W$2</f>
        <v>6.7441491876624442E-4</v>
      </c>
    </row>
    <row r="874" spans="1:29">
      <c r="A874" s="13" t="s">
        <v>365</v>
      </c>
      <c r="B874" s="13" t="s">
        <v>538</v>
      </c>
      <c r="C874" s="139">
        <v>46247</v>
      </c>
      <c r="D874" s="139" t="s">
        <v>516</v>
      </c>
      <c r="E874" s="28">
        <v>0.94047930000000002</v>
      </c>
      <c r="F874" s="13"/>
      <c r="G874" s="18">
        <v>10000000</v>
      </c>
      <c r="H874" s="18">
        <v>9404793.0399999991</v>
      </c>
      <c r="I874" s="18">
        <v>10000000</v>
      </c>
      <c r="J874" s="18">
        <v>9404793.0399999991</v>
      </c>
      <c r="K874" s="15">
        <v>254</v>
      </c>
      <c r="L874" s="13" t="s">
        <v>102</v>
      </c>
      <c r="M874" s="13" t="s">
        <v>103</v>
      </c>
      <c r="N874" s="139" t="s">
        <v>359</v>
      </c>
      <c r="O874" s="139" t="s">
        <v>359</v>
      </c>
      <c r="P874" s="28">
        <v>35</v>
      </c>
      <c r="Q874" s="13" t="s">
        <v>54</v>
      </c>
      <c r="R874" s="13" t="s">
        <v>28</v>
      </c>
      <c r="S874" s="13"/>
      <c r="T874" s="13"/>
      <c r="U874" s="13" t="s">
        <v>1350</v>
      </c>
      <c r="V874" s="13" t="s">
        <v>1350</v>
      </c>
      <c r="W874" s="59">
        <f>+J874/$W$2</f>
        <v>2.1126371186818441E-4</v>
      </c>
      <c r="AC874" s="56"/>
    </row>
    <row r="875" spans="1:29">
      <c r="A875" s="13" t="s">
        <v>148</v>
      </c>
      <c r="B875" s="13" t="s">
        <v>538</v>
      </c>
      <c r="C875" s="139">
        <v>46247</v>
      </c>
      <c r="D875" s="139" t="s">
        <v>516</v>
      </c>
      <c r="E875" s="28">
        <v>0.94047930000000002</v>
      </c>
      <c r="F875" s="13"/>
      <c r="G875" s="18">
        <v>15000000</v>
      </c>
      <c r="H875" s="18">
        <v>14107189.439999999</v>
      </c>
      <c r="I875" s="18">
        <v>15000000</v>
      </c>
      <c r="J875" s="18">
        <v>14107189.439999999</v>
      </c>
      <c r="K875" s="15">
        <v>4182</v>
      </c>
      <c r="L875" s="13" t="s">
        <v>102</v>
      </c>
      <c r="M875" s="13" t="s">
        <v>103</v>
      </c>
      <c r="N875" s="139" t="s">
        <v>390</v>
      </c>
      <c r="O875" s="139" t="s">
        <v>390</v>
      </c>
      <c r="P875" s="28">
        <v>35</v>
      </c>
      <c r="Q875" s="13" t="s">
        <v>54</v>
      </c>
      <c r="R875" s="13" t="s">
        <v>28</v>
      </c>
      <c r="S875" s="13"/>
      <c r="T875" s="13"/>
      <c r="U875" s="13" t="s">
        <v>1568</v>
      </c>
      <c r="V875" s="13" t="s">
        <v>1568</v>
      </c>
      <c r="W875" s="59">
        <f>+J875/$W$2</f>
        <v>3.1689556510666755E-4</v>
      </c>
    </row>
    <row r="876" spans="1:29">
      <c r="A876" s="13" t="s">
        <v>1960</v>
      </c>
      <c r="B876" s="13" t="s">
        <v>538</v>
      </c>
      <c r="C876" s="139">
        <v>46247</v>
      </c>
      <c r="D876" s="139" t="s">
        <v>516</v>
      </c>
      <c r="E876" s="28">
        <v>0.94368907000000002</v>
      </c>
      <c r="F876" s="13"/>
      <c r="G876" s="18">
        <v>2200000</v>
      </c>
      <c r="H876" s="18">
        <v>2076115.94</v>
      </c>
      <c r="I876" s="18">
        <v>2200000</v>
      </c>
      <c r="J876" s="18">
        <v>2076115.94</v>
      </c>
      <c r="K876" s="15">
        <v>6187</v>
      </c>
      <c r="L876" s="13" t="s">
        <v>102</v>
      </c>
      <c r="M876" s="13" t="s">
        <v>103</v>
      </c>
      <c r="N876" s="139" t="s">
        <v>369</v>
      </c>
      <c r="O876" s="139" t="s">
        <v>369</v>
      </c>
      <c r="P876" s="28">
        <v>33</v>
      </c>
      <c r="Q876" s="13" t="s">
        <v>54</v>
      </c>
      <c r="R876" s="13" t="s">
        <v>28</v>
      </c>
      <c r="S876" s="13"/>
      <c r="T876" s="13"/>
      <c r="U876" s="13" t="s">
        <v>1942</v>
      </c>
      <c r="V876" s="13" t="s">
        <v>1942</v>
      </c>
      <c r="W876" s="59">
        <f>+J876/$W$2</f>
        <v>4.6636641326145E-5</v>
      </c>
    </row>
    <row r="877" spans="1:29">
      <c r="A877" s="13" t="s">
        <v>1492</v>
      </c>
      <c r="B877" s="13" t="s">
        <v>538</v>
      </c>
      <c r="C877" s="139">
        <v>46247</v>
      </c>
      <c r="D877" s="139" t="s">
        <v>516</v>
      </c>
      <c r="E877" s="28">
        <v>0.95345080000000004</v>
      </c>
      <c r="F877" s="13"/>
      <c r="G877" s="18">
        <v>150000000</v>
      </c>
      <c r="H877" s="18">
        <v>143017619.75</v>
      </c>
      <c r="I877" s="18">
        <v>150000000</v>
      </c>
      <c r="J877" s="18">
        <v>143017619.75</v>
      </c>
      <c r="K877" s="15">
        <v>67981</v>
      </c>
      <c r="L877" s="13" t="s">
        <v>102</v>
      </c>
      <c r="M877" s="13" t="s">
        <v>103</v>
      </c>
      <c r="N877" s="139" t="s">
        <v>367</v>
      </c>
      <c r="O877" s="139" t="s">
        <v>367</v>
      </c>
      <c r="P877" s="28">
        <v>27</v>
      </c>
      <c r="Q877" s="13" t="s">
        <v>54</v>
      </c>
      <c r="R877" s="13" t="s">
        <v>28</v>
      </c>
      <c r="S877" s="13"/>
      <c r="T877" s="13"/>
      <c r="U877" s="13" t="s">
        <v>1476</v>
      </c>
      <c r="V877" s="13" t="s">
        <v>1476</v>
      </c>
      <c r="W877" s="59">
        <f>+J877/$W$2</f>
        <v>3.2126632752502932E-3</v>
      </c>
    </row>
    <row r="878" spans="1:29">
      <c r="A878" s="13" t="s">
        <v>993</v>
      </c>
      <c r="B878" s="13" t="s">
        <v>538</v>
      </c>
      <c r="C878" s="139">
        <v>46247</v>
      </c>
      <c r="D878" s="139" t="s">
        <v>516</v>
      </c>
      <c r="E878" s="28">
        <v>0.95017443000000001</v>
      </c>
      <c r="F878" s="13"/>
      <c r="G878" s="18">
        <v>5000000</v>
      </c>
      <c r="H878" s="18">
        <v>4750872.13</v>
      </c>
      <c r="I878" s="18">
        <v>5000000</v>
      </c>
      <c r="J878" s="18">
        <v>4750872.13</v>
      </c>
      <c r="K878" s="15">
        <v>6879</v>
      </c>
      <c r="L878" s="13" t="s">
        <v>102</v>
      </c>
      <c r="M878" s="13" t="s">
        <v>103</v>
      </c>
      <c r="N878" s="139" t="s">
        <v>344</v>
      </c>
      <c r="O878" s="139" t="s">
        <v>344</v>
      </c>
      <c r="P878" s="28">
        <v>29</v>
      </c>
      <c r="Q878" s="13" t="s">
        <v>54</v>
      </c>
      <c r="R878" s="13" t="s">
        <v>28</v>
      </c>
      <c r="S878" s="13"/>
      <c r="T878" s="13"/>
      <c r="U878" s="13" t="s">
        <v>1069</v>
      </c>
      <c r="V878" s="13" t="s">
        <v>1069</v>
      </c>
      <c r="W878" s="59">
        <f>+J878/$W$2</f>
        <v>1.0672078338418254E-4</v>
      </c>
    </row>
    <row r="879" spans="1:29">
      <c r="A879" s="13" t="s">
        <v>1402</v>
      </c>
      <c r="B879" s="13" t="s">
        <v>538</v>
      </c>
      <c r="C879" s="139">
        <v>46247</v>
      </c>
      <c r="D879" s="139" t="s">
        <v>516</v>
      </c>
      <c r="E879" s="28">
        <v>0.95180980000000004</v>
      </c>
      <c r="F879" s="13"/>
      <c r="G879" s="18">
        <v>7000000</v>
      </c>
      <c r="H879" s="18">
        <v>6662668.5700000003</v>
      </c>
      <c r="I879" s="18">
        <v>7000000</v>
      </c>
      <c r="J879" s="18">
        <v>6662668.5700000003</v>
      </c>
      <c r="K879" s="15">
        <v>29175498</v>
      </c>
      <c r="L879" s="13" t="s">
        <v>102</v>
      </c>
      <c r="M879" s="13" t="s">
        <v>103</v>
      </c>
      <c r="N879" s="139" t="s">
        <v>379</v>
      </c>
      <c r="O879" s="139" t="s">
        <v>379</v>
      </c>
      <c r="P879" s="28">
        <v>28</v>
      </c>
      <c r="Q879" s="13" t="s">
        <v>54</v>
      </c>
      <c r="R879" s="13" t="s">
        <v>28</v>
      </c>
      <c r="S879" s="13"/>
      <c r="T879" s="13"/>
      <c r="U879" s="13" t="s">
        <v>1372</v>
      </c>
      <c r="V879" s="13" t="s">
        <v>1372</v>
      </c>
      <c r="W879" s="59">
        <f>+J879/$W$2</f>
        <v>1.4966624858825053E-4</v>
      </c>
    </row>
    <row r="880" spans="1:29">
      <c r="A880" s="13" t="s">
        <v>640</v>
      </c>
      <c r="B880" s="13" t="s">
        <v>538</v>
      </c>
      <c r="C880" s="139">
        <v>46248</v>
      </c>
      <c r="D880" s="139" t="s">
        <v>516</v>
      </c>
      <c r="E880" s="28">
        <v>0.93963207999999998</v>
      </c>
      <c r="F880" s="13"/>
      <c r="G880" s="18">
        <v>100000000</v>
      </c>
      <c r="H880" s="18">
        <v>93963207.930000007</v>
      </c>
      <c r="I880" s="18">
        <v>100000000</v>
      </c>
      <c r="J880" s="18">
        <v>93963207.930000007</v>
      </c>
      <c r="K880" s="15">
        <v>2763</v>
      </c>
      <c r="L880" s="13" t="s">
        <v>102</v>
      </c>
      <c r="M880" s="13" t="s">
        <v>103</v>
      </c>
      <c r="N880" s="139" t="s">
        <v>390</v>
      </c>
      <c r="O880" s="139" t="s">
        <v>390</v>
      </c>
      <c r="P880" s="28">
        <v>35</v>
      </c>
      <c r="Q880" s="13" t="s">
        <v>54</v>
      </c>
      <c r="R880" s="13" t="s">
        <v>28</v>
      </c>
      <c r="S880" s="13"/>
      <c r="T880" s="13"/>
      <c r="U880" s="13" t="s">
        <v>1562</v>
      </c>
      <c r="V880" s="13" t="s">
        <v>1562</v>
      </c>
      <c r="W880" s="59">
        <f>+J880/$W$2</f>
        <v>2.1107339631934977E-3</v>
      </c>
    </row>
    <row r="881" spans="1:29">
      <c r="A881" s="13" t="s">
        <v>401</v>
      </c>
      <c r="B881" s="13" t="s">
        <v>538</v>
      </c>
      <c r="C881" s="139">
        <v>46248</v>
      </c>
      <c r="D881" s="139" t="s">
        <v>516</v>
      </c>
      <c r="E881" s="28">
        <v>0.93801407999999997</v>
      </c>
      <c r="F881" s="13"/>
      <c r="G881" s="18">
        <v>50000000</v>
      </c>
      <c r="H881" s="18">
        <v>46900704.020000003</v>
      </c>
      <c r="I881" s="18">
        <v>50000000</v>
      </c>
      <c r="J881" s="18">
        <v>46900704.020000003</v>
      </c>
      <c r="K881" s="15">
        <v>6573</v>
      </c>
      <c r="L881" s="13" t="s">
        <v>102</v>
      </c>
      <c r="M881" s="13" t="s">
        <v>103</v>
      </c>
      <c r="N881" s="139" t="s">
        <v>152</v>
      </c>
      <c r="O881" s="139" t="s">
        <v>152</v>
      </c>
      <c r="P881" s="28">
        <v>36</v>
      </c>
      <c r="Q881" s="13" t="s">
        <v>54</v>
      </c>
      <c r="R881" s="13" t="s">
        <v>28</v>
      </c>
      <c r="S881" s="13"/>
      <c r="T881" s="13"/>
      <c r="U881" s="13" t="s">
        <v>784</v>
      </c>
      <c r="V881" s="13" t="s">
        <v>784</v>
      </c>
      <c r="W881" s="59">
        <f>+J881/$W$2</f>
        <v>1.0535496930505852E-3</v>
      </c>
    </row>
    <row r="882" spans="1:29">
      <c r="A882" s="13" t="s">
        <v>1959</v>
      </c>
      <c r="B882" s="13" t="s">
        <v>538</v>
      </c>
      <c r="C882" s="139">
        <v>46248</v>
      </c>
      <c r="D882" s="139" t="s">
        <v>516</v>
      </c>
      <c r="E882" s="28">
        <v>0.94945769999999996</v>
      </c>
      <c r="F882" s="13"/>
      <c r="G882" s="18">
        <v>100000000</v>
      </c>
      <c r="H882" s="18">
        <v>94945770.480000004</v>
      </c>
      <c r="I882" s="18">
        <v>100000000</v>
      </c>
      <c r="J882" s="18">
        <v>94945770.480000004</v>
      </c>
      <c r="K882" s="15">
        <v>90003817</v>
      </c>
      <c r="L882" s="13" t="s">
        <v>102</v>
      </c>
      <c r="M882" s="13" t="s">
        <v>103</v>
      </c>
      <c r="N882" s="139" t="s">
        <v>369</v>
      </c>
      <c r="O882" s="139" t="s">
        <v>369</v>
      </c>
      <c r="P882" s="28">
        <v>29</v>
      </c>
      <c r="Q882" s="13" t="s">
        <v>54</v>
      </c>
      <c r="R882" s="13" t="s">
        <v>28</v>
      </c>
      <c r="S882" s="13"/>
      <c r="T882" s="13"/>
      <c r="U882" s="13" t="s">
        <v>1933</v>
      </c>
      <c r="V882" s="13" t="s">
        <v>1933</v>
      </c>
      <c r="W882" s="59">
        <f>+J882/$W$2</f>
        <v>2.1328056675439071E-3</v>
      </c>
    </row>
    <row r="883" spans="1:29">
      <c r="A883" s="13" t="s">
        <v>917</v>
      </c>
      <c r="B883" s="13" t="s">
        <v>538</v>
      </c>
      <c r="C883" s="139">
        <v>46248</v>
      </c>
      <c r="D883" s="139" t="s">
        <v>516</v>
      </c>
      <c r="E883" s="28">
        <v>0.93479491999999997</v>
      </c>
      <c r="F883" s="13"/>
      <c r="G883" s="18">
        <v>4957711.8099999996</v>
      </c>
      <c r="H883" s="18">
        <v>4634443.8099999996</v>
      </c>
      <c r="I883" s="18">
        <v>4957711.8099999996</v>
      </c>
      <c r="J883" s="18">
        <v>4634443.8099999996</v>
      </c>
      <c r="K883" s="15">
        <v>591</v>
      </c>
      <c r="L883" s="13" t="s">
        <v>102</v>
      </c>
      <c r="M883" s="13" t="s">
        <v>103</v>
      </c>
      <c r="N883" s="139" t="s">
        <v>374</v>
      </c>
      <c r="O883" s="139" t="s">
        <v>374</v>
      </c>
      <c r="P883" s="28">
        <v>38</v>
      </c>
      <c r="Q883" s="13" t="s">
        <v>54</v>
      </c>
      <c r="R883" s="13" t="s">
        <v>28</v>
      </c>
      <c r="S883" s="13"/>
      <c r="T883" s="13"/>
      <c r="U883" s="13" t="s">
        <v>1210</v>
      </c>
      <c r="V883" s="13" t="s">
        <v>1210</v>
      </c>
      <c r="W883" s="59">
        <f>+J883/$W$2</f>
        <v>1.0410540642212056E-4</v>
      </c>
    </row>
    <row r="884" spans="1:29">
      <c r="A884" s="13" t="s">
        <v>539</v>
      </c>
      <c r="B884" s="13" t="s">
        <v>538</v>
      </c>
      <c r="C884" s="139">
        <v>46248</v>
      </c>
      <c r="D884" s="139" t="s">
        <v>516</v>
      </c>
      <c r="E884" s="28">
        <v>0.94780576000000005</v>
      </c>
      <c r="F884" s="13"/>
      <c r="G884" s="18">
        <v>10000000</v>
      </c>
      <c r="H884" s="18">
        <v>9478057.6500000004</v>
      </c>
      <c r="I884" s="18">
        <v>10000000</v>
      </c>
      <c r="J884" s="18">
        <v>9478057.6500000004</v>
      </c>
      <c r="K884" s="15">
        <v>575</v>
      </c>
      <c r="L884" s="13" t="s">
        <v>102</v>
      </c>
      <c r="M884" s="13" t="s">
        <v>103</v>
      </c>
      <c r="N884" s="139" t="s">
        <v>175</v>
      </c>
      <c r="O884" s="139" t="s">
        <v>175</v>
      </c>
      <c r="P884" s="28">
        <v>30</v>
      </c>
      <c r="Q884" s="13" t="s">
        <v>54</v>
      </c>
      <c r="R884" s="13" t="s">
        <v>28</v>
      </c>
      <c r="S884" s="13"/>
      <c r="T884" s="13"/>
      <c r="U884" s="13" t="s">
        <v>1874</v>
      </c>
      <c r="V884" s="13" t="s">
        <v>1874</v>
      </c>
      <c r="W884" s="59">
        <f>+J884/$W$2</f>
        <v>2.1290948476199975E-4</v>
      </c>
      <c r="AC884" s="56"/>
    </row>
    <row r="885" spans="1:29">
      <c r="A885" s="13" t="s">
        <v>1960</v>
      </c>
      <c r="B885" s="13" t="s">
        <v>538</v>
      </c>
      <c r="C885" s="139">
        <v>46248</v>
      </c>
      <c r="D885" s="139" t="s">
        <v>516</v>
      </c>
      <c r="E885" s="28">
        <v>0.94288453000000005</v>
      </c>
      <c r="F885" s="13"/>
      <c r="G885" s="18">
        <v>2200000</v>
      </c>
      <c r="H885" s="18">
        <v>2074345.96</v>
      </c>
      <c r="I885" s="18">
        <v>2200000</v>
      </c>
      <c r="J885" s="18">
        <v>2074345.96</v>
      </c>
      <c r="K885" s="15">
        <v>6188</v>
      </c>
      <c r="L885" s="13" t="s">
        <v>102</v>
      </c>
      <c r="M885" s="13" t="s">
        <v>103</v>
      </c>
      <c r="N885" s="139" t="s">
        <v>369</v>
      </c>
      <c r="O885" s="139" t="s">
        <v>369</v>
      </c>
      <c r="P885" s="28">
        <v>33</v>
      </c>
      <c r="Q885" s="13" t="s">
        <v>54</v>
      </c>
      <c r="R885" s="13" t="s">
        <v>28</v>
      </c>
      <c r="S885" s="13"/>
      <c r="T885" s="13"/>
      <c r="U885" s="13" t="s">
        <v>1952</v>
      </c>
      <c r="V885" s="13" t="s">
        <v>1952</v>
      </c>
      <c r="W885" s="59">
        <f>+J885/$W$2</f>
        <v>4.659688154162427E-5</v>
      </c>
      <c r="AC885" s="56"/>
    </row>
    <row r="886" spans="1:29">
      <c r="A886" s="13" t="s">
        <v>338</v>
      </c>
      <c r="B886" s="13" t="s">
        <v>538</v>
      </c>
      <c r="C886" s="139">
        <v>46248</v>
      </c>
      <c r="D886" s="139" t="s">
        <v>516</v>
      </c>
      <c r="E886" s="28">
        <v>0.95277882999999997</v>
      </c>
      <c r="F886" s="13"/>
      <c r="G886" s="18">
        <v>75000000</v>
      </c>
      <c r="H886" s="18">
        <v>71458412.280000001</v>
      </c>
      <c r="I886" s="18">
        <v>75000000</v>
      </c>
      <c r="J886" s="18">
        <v>71458412.280000001</v>
      </c>
      <c r="K886" s="15">
        <v>16182</v>
      </c>
      <c r="L886" s="13" t="s">
        <v>102</v>
      </c>
      <c r="M886" s="13" t="s">
        <v>103</v>
      </c>
      <c r="N886" s="139" t="s">
        <v>344</v>
      </c>
      <c r="O886" s="139" t="s">
        <v>344</v>
      </c>
      <c r="P886" s="28">
        <v>27</v>
      </c>
      <c r="Q886" s="13" t="s">
        <v>54</v>
      </c>
      <c r="R886" s="13" t="s">
        <v>28</v>
      </c>
      <c r="S886" s="13"/>
      <c r="T886" s="13"/>
      <c r="U886" s="13" t="s">
        <v>1113</v>
      </c>
      <c r="V886" s="13" t="s">
        <v>1113</v>
      </c>
      <c r="W886" s="59">
        <f>+J886/$W$2</f>
        <v>1.6051995358400627E-3</v>
      </c>
    </row>
    <row r="887" spans="1:29">
      <c r="A887" s="13" t="s">
        <v>993</v>
      </c>
      <c r="B887" s="13" t="s">
        <v>538</v>
      </c>
      <c r="C887" s="139">
        <v>46248</v>
      </c>
      <c r="D887" s="139" t="s">
        <v>516</v>
      </c>
      <c r="E887" s="28">
        <v>0.94780591000000003</v>
      </c>
      <c r="F887" s="13"/>
      <c r="G887" s="18">
        <v>1040000</v>
      </c>
      <c r="H887" s="18">
        <v>985718.15</v>
      </c>
      <c r="I887" s="18">
        <v>1040000</v>
      </c>
      <c r="J887" s="18">
        <v>985718.15</v>
      </c>
      <c r="K887" s="15">
        <v>10401546</v>
      </c>
      <c r="L887" s="13" t="s">
        <v>102</v>
      </c>
      <c r="M887" s="13" t="s">
        <v>103</v>
      </c>
      <c r="N887" s="139" t="s">
        <v>359</v>
      </c>
      <c r="O887" s="139" t="s">
        <v>359</v>
      </c>
      <c r="P887" s="28">
        <v>30</v>
      </c>
      <c r="Q887" s="13" t="s">
        <v>54</v>
      </c>
      <c r="R887" s="13" t="s">
        <v>28</v>
      </c>
      <c r="S887" s="13"/>
      <c r="T887" s="13"/>
      <c r="U887" s="13" t="s">
        <v>1295</v>
      </c>
      <c r="V887" s="13" t="s">
        <v>1295</v>
      </c>
      <c r="W887" s="59">
        <f>+J887/$W$2</f>
        <v>2.214258988359831E-5</v>
      </c>
    </row>
    <row r="888" spans="1:29">
      <c r="A888" s="13" t="s">
        <v>426</v>
      </c>
      <c r="B888" s="13" t="s">
        <v>538</v>
      </c>
      <c r="C888" s="139">
        <v>46248</v>
      </c>
      <c r="D888" s="139" t="s">
        <v>516</v>
      </c>
      <c r="E888" s="28">
        <v>0.92684292000000001</v>
      </c>
      <c r="F888" s="13"/>
      <c r="G888" s="18">
        <v>3000000</v>
      </c>
      <c r="H888" s="18">
        <v>2780528.75</v>
      </c>
      <c r="I888" s="18">
        <v>3000000</v>
      </c>
      <c r="J888" s="18">
        <v>2780528.75</v>
      </c>
      <c r="K888" s="15">
        <v>3074</v>
      </c>
      <c r="L888" s="13" t="s">
        <v>102</v>
      </c>
      <c r="M888" s="13" t="s">
        <v>103</v>
      </c>
      <c r="N888" s="139" t="s">
        <v>230</v>
      </c>
      <c r="O888" s="139" t="s">
        <v>230</v>
      </c>
      <c r="P888" s="28">
        <v>43</v>
      </c>
      <c r="Q888" s="13" t="s">
        <v>54</v>
      </c>
      <c r="R888" s="13" t="s">
        <v>28</v>
      </c>
      <c r="S888" s="13"/>
      <c r="T888" s="13"/>
      <c r="U888" s="13" t="s">
        <v>411</v>
      </c>
      <c r="V888" s="13" t="s">
        <v>411</v>
      </c>
      <c r="W888" s="59">
        <f>+J888/$W$2</f>
        <v>6.2460154325863078E-5</v>
      </c>
    </row>
    <row r="889" spans="1:29">
      <c r="A889" s="13" t="s">
        <v>265</v>
      </c>
      <c r="B889" s="13" t="s">
        <v>538</v>
      </c>
      <c r="C889" s="139">
        <v>46248</v>
      </c>
      <c r="D889" s="139" t="s">
        <v>516</v>
      </c>
      <c r="E889" s="28">
        <v>0.93801407999999997</v>
      </c>
      <c r="F889" s="13"/>
      <c r="G889" s="18">
        <v>25000000</v>
      </c>
      <c r="H889" s="18">
        <v>23450352.010000002</v>
      </c>
      <c r="I889" s="18">
        <v>25000000</v>
      </c>
      <c r="J889" s="18">
        <v>23450352.010000002</v>
      </c>
      <c r="K889" s="15">
        <v>1176620</v>
      </c>
      <c r="L889" s="13" t="s">
        <v>102</v>
      </c>
      <c r="M889" s="13" t="s">
        <v>103</v>
      </c>
      <c r="N889" s="139" t="s">
        <v>152</v>
      </c>
      <c r="O889" s="139" t="s">
        <v>152</v>
      </c>
      <c r="P889" s="28">
        <v>36</v>
      </c>
      <c r="Q889" s="13" t="s">
        <v>54</v>
      </c>
      <c r="R889" s="13" t="s">
        <v>28</v>
      </c>
      <c r="S889" s="13"/>
      <c r="T889" s="13"/>
      <c r="U889" s="13" t="s">
        <v>761</v>
      </c>
      <c r="V889" s="13" t="s">
        <v>761</v>
      </c>
      <c r="W889" s="59">
        <f>+J889/$W$2</f>
        <v>5.2677484652529261E-4</v>
      </c>
    </row>
    <row r="890" spans="1:29">
      <c r="A890" s="13" t="s">
        <v>198</v>
      </c>
      <c r="B890" s="13" t="s">
        <v>538</v>
      </c>
      <c r="C890" s="139">
        <v>46248</v>
      </c>
      <c r="D890" s="139" t="s">
        <v>516</v>
      </c>
      <c r="E890" s="28">
        <v>0.94945767000000003</v>
      </c>
      <c r="F890" s="13"/>
      <c r="G890" s="18">
        <v>42000000</v>
      </c>
      <c r="H890" s="18">
        <v>39877222.210000001</v>
      </c>
      <c r="I890" s="18">
        <v>42000000</v>
      </c>
      <c r="J890" s="18">
        <v>39877222.210000001</v>
      </c>
      <c r="K890" s="15">
        <v>7578</v>
      </c>
      <c r="L890" s="13" t="s">
        <v>102</v>
      </c>
      <c r="M890" s="13" t="s">
        <v>103</v>
      </c>
      <c r="N890" s="139" t="s">
        <v>428</v>
      </c>
      <c r="O890" s="139" t="s">
        <v>428</v>
      </c>
      <c r="P890" s="28">
        <v>29</v>
      </c>
      <c r="Q890" s="13" t="s">
        <v>54</v>
      </c>
      <c r="R890" s="13" t="s">
        <v>28</v>
      </c>
      <c r="S890" s="13"/>
      <c r="T890" s="13"/>
      <c r="U890" s="13" t="s">
        <v>939</v>
      </c>
      <c r="V890" s="13" t="s">
        <v>939</v>
      </c>
      <c r="W890" s="59">
        <f>+J890/$W$2</f>
        <v>8.957783491083611E-4</v>
      </c>
    </row>
    <row r="891" spans="1:29">
      <c r="A891" s="13" t="s">
        <v>198</v>
      </c>
      <c r="B891" s="13" t="s">
        <v>538</v>
      </c>
      <c r="C891" s="139">
        <v>46248</v>
      </c>
      <c r="D891" s="139" t="s">
        <v>516</v>
      </c>
      <c r="E891" s="28">
        <v>0.96458787999999995</v>
      </c>
      <c r="F891" s="13"/>
      <c r="G891" s="18">
        <v>2500000</v>
      </c>
      <c r="H891" s="18">
        <v>2411469.7000000002</v>
      </c>
      <c r="I891" s="18">
        <v>2500000</v>
      </c>
      <c r="J891" s="18">
        <v>2411469.7000000002</v>
      </c>
      <c r="K891" s="15">
        <v>6133</v>
      </c>
      <c r="L891" s="13" t="s">
        <v>102</v>
      </c>
      <c r="M891" s="13" t="s">
        <v>103</v>
      </c>
      <c r="N891" s="139" t="s">
        <v>335</v>
      </c>
      <c r="O891" s="139" t="s">
        <v>335</v>
      </c>
      <c r="P891" s="28">
        <v>20</v>
      </c>
      <c r="Q891" s="13" t="s">
        <v>54</v>
      </c>
      <c r="R891" s="13" t="s">
        <v>28</v>
      </c>
      <c r="S891" s="13"/>
      <c r="T891" s="13"/>
      <c r="U891" s="13" t="s">
        <v>1748</v>
      </c>
      <c r="V891" s="13" t="s">
        <v>1748</v>
      </c>
      <c r="W891" s="59">
        <f>+J891/$W$2</f>
        <v>5.4169829969980624E-5</v>
      </c>
    </row>
    <row r="892" spans="1:29">
      <c r="A892" s="13" t="s">
        <v>2006</v>
      </c>
      <c r="B892" s="13" t="s">
        <v>538</v>
      </c>
      <c r="C892" s="139">
        <v>46252</v>
      </c>
      <c r="D892" s="139" t="s">
        <v>516</v>
      </c>
      <c r="E892" s="28">
        <v>0.94140113000000003</v>
      </c>
      <c r="F892" s="13"/>
      <c r="G892" s="18">
        <v>3300000</v>
      </c>
      <c r="H892" s="18">
        <v>3106623.74</v>
      </c>
      <c r="I892" s="18">
        <v>3300000</v>
      </c>
      <c r="J892" s="18">
        <v>3106623.74</v>
      </c>
      <c r="K892" s="15">
        <v>13647456</v>
      </c>
      <c r="L892" s="13" t="s">
        <v>102</v>
      </c>
      <c r="M892" s="13" t="s">
        <v>103</v>
      </c>
      <c r="N892" s="139" t="s">
        <v>394</v>
      </c>
      <c r="O892" s="139" t="s">
        <v>394</v>
      </c>
      <c r="P892" s="28">
        <v>32</v>
      </c>
      <c r="Q892" s="13" t="s">
        <v>54</v>
      </c>
      <c r="R892" s="13" t="s">
        <v>28</v>
      </c>
      <c r="S892" s="13"/>
      <c r="T892" s="13"/>
      <c r="U892" s="13" t="s">
        <v>2009</v>
      </c>
      <c r="V892" s="13" t="s">
        <v>2009</v>
      </c>
      <c r="W892" s="59">
        <f>+J892/$W$2</f>
        <v>6.9785359433089829E-5</v>
      </c>
    </row>
    <row r="893" spans="1:29">
      <c r="A893" s="13" t="s">
        <v>923</v>
      </c>
      <c r="B893" s="13" t="s">
        <v>538</v>
      </c>
      <c r="C893" s="139">
        <v>46252</v>
      </c>
      <c r="D893" s="139" t="s">
        <v>516</v>
      </c>
      <c r="E893" s="28">
        <v>0.94140106000000001</v>
      </c>
      <c r="F893" s="13"/>
      <c r="G893" s="18">
        <v>15000000</v>
      </c>
      <c r="H893" s="18">
        <v>14121015.92</v>
      </c>
      <c r="I893" s="18">
        <v>15000000</v>
      </c>
      <c r="J893" s="18">
        <v>14121015.92</v>
      </c>
      <c r="K893" s="15">
        <v>176</v>
      </c>
      <c r="L893" s="13" t="s">
        <v>102</v>
      </c>
      <c r="M893" s="13" t="s">
        <v>103</v>
      </c>
      <c r="N893" s="139" t="s">
        <v>378</v>
      </c>
      <c r="O893" s="139" t="s">
        <v>378</v>
      </c>
      <c r="P893" s="28">
        <v>32</v>
      </c>
      <c r="Q893" s="13" t="s">
        <v>54</v>
      </c>
      <c r="R893" s="13" t="s">
        <v>28</v>
      </c>
      <c r="S893" s="13"/>
      <c r="T893" s="13"/>
      <c r="U893" s="13" t="s">
        <v>852</v>
      </c>
      <c r="V893" s="13" t="s">
        <v>852</v>
      </c>
      <c r="W893" s="59">
        <f>+J893/$W$2</f>
        <v>3.1720615498083573E-4</v>
      </c>
    </row>
    <row r="894" spans="1:29">
      <c r="A894" s="13" t="s">
        <v>1830</v>
      </c>
      <c r="B894" s="13" t="s">
        <v>538</v>
      </c>
      <c r="C894" s="139">
        <v>46252</v>
      </c>
      <c r="D894" s="139" t="s">
        <v>516</v>
      </c>
      <c r="E894" s="28">
        <v>0.93968046000000005</v>
      </c>
      <c r="F894" s="13"/>
      <c r="G894" s="18">
        <v>1701000</v>
      </c>
      <c r="H894" s="18">
        <v>1598396.46</v>
      </c>
      <c r="I894" s="18">
        <v>1701000</v>
      </c>
      <c r="J894" s="18">
        <v>1598396.46</v>
      </c>
      <c r="K894" s="15">
        <v>67242959</v>
      </c>
      <c r="L894" s="13" t="s">
        <v>102</v>
      </c>
      <c r="M894" s="13" t="s">
        <v>103</v>
      </c>
      <c r="N894" s="139" t="s">
        <v>335</v>
      </c>
      <c r="O894" s="139" t="s">
        <v>335</v>
      </c>
      <c r="P894" s="28">
        <v>33</v>
      </c>
      <c r="Q894" s="13" t="s">
        <v>54</v>
      </c>
      <c r="R894" s="13" t="s">
        <v>28</v>
      </c>
      <c r="S894" s="13"/>
      <c r="T894" s="13"/>
      <c r="U894" s="13" t="s">
        <v>1799</v>
      </c>
      <c r="V894" s="13" t="s">
        <v>1799</v>
      </c>
      <c r="W894" s="59">
        <f>+J894/$W$2</f>
        <v>3.5905433297718366E-5</v>
      </c>
    </row>
    <row r="895" spans="1:29">
      <c r="A895" s="13" t="s">
        <v>822</v>
      </c>
      <c r="B895" s="13" t="s">
        <v>538</v>
      </c>
      <c r="C895" s="139">
        <v>46252</v>
      </c>
      <c r="D895" s="139" t="s">
        <v>516</v>
      </c>
      <c r="E895" s="28">
        <v>0.92780885000000002</v>
      </c>
      <c r="F895" s="13"/>
      <c r="G895" s="18">
        <v>9943984.5</v>
      </c>
      <c r="H895" s="18">
        <v>9226116.8300000001</v>
      </c>
      <c r="I895" s="18">
        <v>9943984.5</v>
      </c>
      <c r="J895" s="18">
        <v>9226116.8300000001</v>
      </c>
      <c r="K895" s="15">
        <v>1820</v>
      </c>
      <c r="L895" s="13" t="s">
        <v>102</v>
      </c>
      <c r="M895" s="13" t="s">
        <v>103</v>
      </c>
      <c r="N895" s="139" t="s">
        <v>364</v>
      </c>
      <c r="O895" s="139" t="s">
        <v>364</v>
      </c>
      <c r="P895" s="28">
        <v>40</v>
      </c>
      <c r="Q895" s="13" t="s">
        <v>54</v>
      </c>
      <c r="R895" s="13" t="s">
        <v>28</v>
      </c>
      <c r="S895" s="13"/>
      <c r="T895" s="13"/>
      <c r="U895" s="13" t="s">
        <v>810</v>
      </c>
      <c r="V895" s="13" t="s">
        <v>810</v>
      </c>
      <c r="W895" s="59">
        <f>+J895/$W$2</f>
        <v>2.0725003509862745E-4</v>
      </c>
    </row>
    <row r="896" spans="1:29">
      <c r="A896" s="13" t="s">
        <v>822</v>
      </c>
      <c r="B896" s="13" t="s">
        <v>538</v>
      </c>
      <c r="C896" s="139">
        <v>46252</v>
      </c>
      <c r="D896" s="139" t="s">
        <v>516</v>
      </c>
      <c r="E896" s="28">
        <v>0.92780885000000002</v>
      </c>
      <c r="F896" s="13"/>
      <c r="G896" s="18">
        <v>9943984.5</v>
      </c>
      <c r="H896" s="18">
        <v>9226116.8300000001</v>
      </c>
      <c r="I896" s="18">
        <v>9943984.5</v>
      </c>
      <c r="J896" s="18">
        <v>9226116.8300000001</v>
      </c>
      <c r="K896" s="15">
        <v>1819</v>
      </c>
      <c r="L896" s="13" t="s">
        <v>102</v>
      </c>
      <c r="M896" s="13" t="s">
        <v>103</v>
      </c>
      <c r="N896" s="139" t="s">
        <v>364</v>
      </c>
      <c r="O896" s="139" t="s">
        <v>364</v>
      </c>
      <c r="P896" s="28">
        <v>40</v>
      </c>
      <c r="Q896" s="13" t="s">
        <v>54</v>
      </c>
      <c r="R896" s="13" t="s">
        <v>28</v>
      </c>
      <c r="S896" s="13"/>
      <c r="T896" s="13"/>
      <c r="U896" s="13" t="s">
        <v>815</v>
      </c>
      <c r="V896" s="13" t="s">
        <v>815</v>
      </c>
      <c r="W896" s="59">
        <f>+J896/$W$2</f>
        <v>2.0725003509862745E-4</v>
      </c>
    </row>
    <row r="897" spans="1:29">
      <c r="A897" s="13" t="s">
        <v>915</v>
      </c>
      <c r="B897" s="13" t="s">
        <v>538</v>
      </c>
      <c r="C897" s="139">
        <v>46252</v>
      </c>
      <c r="D897" s="139" t="s">
        <v>516</v>
      </c>
      <c r="E897" s="28">
        <v>0.94486155999999999</v>
      </c>
      <c r="F897" s="13"/>
      <c r="G897" s="18">
        <v>5000000</v>
      </c>
      <c r="H897" s="18">
        <v>4724307.79</v>
      </c>
      <c r="I897" s="18">
        <v>5000000</v>
      </c>
      <c r="J897" s="18">
        <v>4724307.79</v>
      </c>
      <c r="K897" s="15">
        <v>3501229</v>
      </c>
      <c r="L897" s="13" t="s">
        <v>102</v>
      </c>
      <c r="M897" s="13" t="s">
        <v>103</v>
      </c>
      <c r="N897" s="139" t="s">
        <v>378</v>
      </c>
      <c r="O897" s="139" t="s">
        <v>378</v>
      </c>
      <c r="P897" s="28">
        <v>30</v>
      </c>
      <c r="Q897" s="13" t="s">
        <v>54</v>
      </c>
      <c r="R897" s="13" t="s">
        <v>28</v>
      </c>
      <c r="S897" s="13"/>
      <c r="T897" s="13"/>
      <c r="U897" s="13" t="s">
        <v>884</v>
      </c>
      <c r="V897" s="13" t="s">
        <v>884</v>
      </c>
      <c r="W897" s="59">
        <f>+J897/$W$2</f>
        <v>1.0612405775206501E-4</v>
      </c>
      <c r="AC897" s="56"/>
    </row>
    <row r="898" spans="1:29">
      <c r="A898" s="13" t="s">
        <v>915</v>
      </c>
      <c r="B898" s="13" t="s">
        <v>538</v>
      </c>
      <c r="C898" s="139">
        <v>46252</v>
      </c>
      <c r="D898" s="139" t="s">
        <v>516</v>
      </c>
      <c r="E898" s="28">
        <v>0.93968028999999997</v>
      </c>
      <c r="F898" s="13"/>
      <c r="G898" s="18">
        <v>5600000</v>
      </c>
      <c r="H898" s="18">
        <v>5262209.62</v>
      </c>
      <c r="I898" s="18">
        <v>5600000</v>
      </c>
      <c r="J898" s="18">
        <v>5262209.62</v>
      </c>
      <c r="K898" s="15">
        <v>3501250</v>
      </c>
      <c r="L898" s="13" t="s">
        <v>102</v>
      </c>
      <c r="M898" s="13" t="s">
        <v>103</v>
      </c>
      <c r="N898" s="139" t="s">
        <v>374</v>
      </c>
      <c r="O898" s="139" t="s">
        <v>374</v>
      </c>
      <c r="P898" s="28">
        <v>33</v>
      </c>
      <c r="Q898" s="13" t="s">
        <v>54</v>
      </c>
      <c r="R898" s="13" t="s">
        <v>28</v>
      </c>
      <c r="S898" s="13"/>
      <c r="T898" s="13"/>
      <c r="U898" s="13" t="s">
        <v>1197</v>
      </c>
      <c r="V898" s="13" t="s">
        <v>1197</v>
      </c>
      <c r="W898" s="59">
        <f>+J898/$W$2</f>
        <v>1.1820716651832546E-4</v>
      </c>
    </row>
    <row r="899" spans="1:29">
      <c r="A899" s="13" t="s">
        <v>1960</v>
      </c>
      <c r="B899" s="13" t="s">
        <v>538</v>
      </c>
      <c r="C899" s="139">
        <v>46252</v>
      </c>
      <c r="D899" s="139" t="s">
        <v>516</v>
      </c>
      <c r="E899" s="28">
        <v>0.93968030000000002</v>
      </c>
      <c r="F899" s="13"/>
      <c r="G899" s="18">
        <v>2200000</v>
      </c>
      <c r="H899" s="18">
        <v>2067296.67</v>
      </c>
      <c r="I899" s="18">
        <v>2200000</v>
      </c>
      <c r="J899" s="18">
        <v>2067296.67</v>
      </c>
      <c r="K899" s="15">
        <v>6189</v>
      </c>
      <c r="L899" s="13" t="s">
        <v>102</v>
      </c>
      <c r="M899" s="13" t="s">
        <v>103</v>
      </c>
      <c r="N899" s="139" t="s">
        <v>369</v>
      </c>
      <c r="O899" s="139" t="s">
        <v>369</v>
      </c>
      <c r="P899" s="28">
        <v>33</v>
      </c>
      <c r="Q899" s="13" t="s">
        <v>54</v>
      </c>
      <c r="R899" s="13" t="s">
        <v>28</v>
      </c>
      <c r="S899" s="13"/>
      <c r="T899" s="13"/>
      <c r="U899" s="13" t="s">
        <v>1953</v>
      </c>
      <c r="V899" s="13" t="s">
        <v>1953</v>
      </c>
      <c r="W899" s="59">
        <f>+J899/$W$2</f>
        <v>4.6438530457756583E-5</v>
      </c>
    </row>
    <row r="900" spans="1:29">
      <c r="A900" s="13" t="s">
        <v>313</v>
      </c>
      <c r="B900" s="13" t="s">
        <v>538</v>
      </c>
      <c r="C900" s="139">
        <v>46252</v>
      </c>
      <c r="D900" s="139" t="s">
        <v>516</v>
      </c>
      <c r="E900" s="28">
        <v>0.93117011000000005</v>
      </c>
      <c r="F900" s="13"/>
      <c r="G900" s="18">
        <v>5450000</v>
      </c>
      <c r="H900" s="18">
        <v>5074877.08</v>
      </c>
      <c r="I900" s="18">
        <v>5450000</v>
      </c>
      <c r="J900" s="18">
        <v>5074877.08</v>
      </c>
      <c r="K900" s="15">
        <v>28517</v>
      </c>
      <c r="L900" s="13" t="s">
        <v>102</v>
      </c>
      <c r="M900" s="13" t="s">
        <v>103</v>
      </c>
      <c r="N900" s="139" t="s">
        <v>319</v>
      </c>
      <c r="O900" s="139" t="s">
        <v>319</v>
      </c>
      <c r="P900" s="28">
        <v>38</v>
      </c>
      <c r="Q900" s="13" t="s">
        <v>54</v>
      </c>
      <c r="R900" s="13" t="s">
        <v>28</v>
      </c>
      <c r="S900" s="13"/>
      <c r="T900" s="13"/>
      <c r="U900" s="13" t="s">
        <v>716</v>
      </c>
      <c r="V900" s="13" t="s">
        <v>716</v>
      </c>
      <c r="W900" s="59">
        <f>+J900/$W$2</f>
        <v>1.1399903906822952E-4</v>
      </c>
    </row>
    <row r="901" spans="1:29">
      <c r="A901" s="13" t="s">
        <v>426</v>
      </c>
      <c r="B901" s="13" t="s">
        <v>538</v>
      </c>
      <c r="C901" s="139">
        <v>46252</v>
      </c>
      <c r="D901" s="139" t="s">
        <v>516</v>
      </c>
      <c r="E901" s="28">
        <v>0.92281243000000002</v>
      </c>
      <c r="F901" s="13"/>
      <c r="G901" s="18">
        <v>3500000</v>
      </c>
      <c r="H901" s="18">
        <v>3229843.52</v>
      </c>
      <c r="I901" s="18">
        <v>3500000</v>
      </c>
      <c r="J901" s="18">
        <v>3229843.52</v>
      </c>
      <c r="K901" s="15">
        <v>3075</v>
      </c>
      <c r="L901" s="13" t="s">
        <v>102</v>
      </c>
      <c r="M901" s="13" t="s">
        <v>103</v>
      </c>
      <c r="N901" s="139" t="s">
        <v>230</v>
      </c>
      <c r="O901" s="139" t="s">
        <v>230</v>
      </c>
      <c r="P901" s="28">
        <v>43</v>
      </c>
      <c r="Q901" s="13" t="s">
        <v>54</v>
      </c>
      <c r="R901" s="13" t="s">
        <v>28</v>
      </c>
      <c r="S901" s="13"/>
      <c r="T901" s="13"/>
      <c r="U901" s="13" t="s">
        <v>418</v>
      </c>
      <c r="V901" s="13" t="s">
        <v>418</v>
      </c>
      <c r="W901" s="59">
        <f>+J901/$W$2</f>
        <v>7.2553295738297561E-5</v>
      </c>
    </row>
    <row r="902" spans="1:29">
      <c r="A902" s="13" t="s">
        <v>550</v>
      </c>
      <c r="B902" s="13" t="s">
        <v>538</v>
      </c>
      <c r="C902" s="139">
        <v>46253</v>
      </c>
      <c r="D902" s="139" t="s">
        <v>516</v>
      </c>
      <c r="E902" s="28">
        <v>0.92686656000000001</v>
      </c>
      <c r="F902" s="13"/>
      <c r="G902" s="18">
        <v>40000000</v>
      </c>
      <c r="H902" s="18">
        <v>37074662.399999999</v>
      </c>
      <c r="I902" s="18">
        <v>40000000</v>
      </c>
      <c r="J902" s="18">
        <v>37074662.399999999</v>
      </c>
      <c r="K902" s="15">
        <v>223</v>
      </c>
      <c r="L902" s="13" t="s">
        <v>102</v>
      </c>
      <c r="M902" s="13" t="s">
        <v>103</v>
      </c>
      <c r="N902" s="139" t="s">
        <v>336</v>
      </c>
      <c r="O902" s="139" t="s">
        <v>336</v>
      </c>
      <c r="P902" s="28">
        <v>40</v>
      </c>
      <c r="Q902" s="13" t="s">
        <v>54</v>
      </c>
      <c r="R902" s="13" t="s">
        <v>28</v>
      </c>
      <c r="S902" s="13"/>
      <c r="T902" s="13"/>
      <c r="U902" s="13" t="s">
        <v>553</v>
      </c>
      <c r="V902" s="13" t="s">
        <v>553</v>
      </c>
      <c r="W902" s="59">
        <f>+J902/$W$2</f>
        <v>8.3282330207277056E-4</v>
      </c>
    </row>
    <row r="903" spans="1:29">
      <c r="A903" s="13" t="s">
        <v>1828</v>
      </c>
      <c r="B903" s="13" t="s">
        <v>538</v>
      </c>
      <c r="C903" s="139">
        <v>46253</v>
      </c>
      <c r="D903" s="139" t="s">
        <v>516</v>
      </c>
      <c r="E903" s="28">
        <v>0.93888274000000005</v>
      </c>
      <c r="F903" s="13"/>
      <c r="G903" s="18">
        <v>3000000</v>
      </c>
      <c r="H903" s="18">
        <v>2816648.22</v>
      </c>
      <c r="I903" s="18">
        <v>3000000</v>
      </c>
      <c r="J903" s="18">
        <v>2816648.22</v>
      </c>
      <c r="K903" s="15">
        <v>90015795</v>
      </c>
      <c r="L903" s="13" t="s">
        <v>102</v>
      </c>
      <c r="M903" s="13" t="s">
        <v>103</v>
      </c>
      <c r="N903" s="139" t="s">
        <v>335</v>
      </c>
      <c r="O903" s="139" t="s">
        <v>335</v>
      </c>
      <c r="P903" s="28">
        <v>33</v>
      </c>
      <c r="Q903" s="13" t="s">
        <v>54</v>
      </c>
      <c r="R903" s="13" t="s">
        <v>28</v>
      </c>
      <c r="S903" s="13"/>
      <c r="T903" s="13"/>
      <c r="U903" s="13" t="s">
        <v>1791</v>
      </c>
      <c r="V903" s="13" t="s">
        <v>1791</v>
      </c>
      <c r="W903" s="59">
        <f>+J903/$W$2</f>
        <v>6.3271520750457104E-5</v>
      </c>
    </row>
    <row r="904" spans="1:29">
      <c r="A904" s="13" t="s">
        <v>822</v>
      </c>
      <c r="B904" s="13" t="s">
        <v>538</v>
      </c>
      <c r="C904" s="139">
        <v>46253</v>
      </c>
      <c r="D904" s="139" t="s">
        <v>516</v>
      </c>
      <c r="E904" s="28">
        <v>0.92686658</v>
      </c>
      <c r="F904" s="13"/>
      <c r="G904" s="18">
        <v>9943984.5</v>
      </c>
      <c r="H904" s="18">
        <v>9216746.8900000006</v>
      </c>
      <c r="I904" s="18">
        <v>9943984.5</v>
      </c>
      <c r="J904" s="18">
        <v>9216746.8900000006</v>
      </c>
      <c r="K904" s="15">
        <v>1821</v>
      </c>
      <c r="L904" s="13" t="s">
        <v>102</v>
      </c>
      <c r="M904" s="13" t="s">
        <v>103</v>
      </c>
      <c r="N904" s="139" t="s">
        <v>364</v>
      </c>
      <c r="O904" s="139" t="s">
        <v>364</v>
      </c>
      <c r="P904" s="28">
        <v>40</v>
      </c>
      <c r="Q904" s="13" t="s">
        <v>54</v>
      </c>
      <c r="R904" s="13" t="s">
        <v>28</v>
      </c>
      <c r="S904" s="13"/>
      <c r="T904" s="13"/>
      <c r="U904" s="13" t="s">
        <v>811</v>
      </c>
      <c r="V904" s="13" t="s">
        <v>811</v>
      </c>
      <c r="W904" s="59">
        <f>+J904/$W$2</f>
        <v>2.0703955430484891E-4</v>
      </c>
    </row>
    <row r="905" spans="1:29">
      <c r="A905" s="13" t="s">
        <v>822</v>
      </c>
      <c r="B905" s="13" t="s">
        <v>538</v>
      </c>
      <c r="C905" s="139">
        <v>46253</v>
      </c>
      <c r="D905" s="139" t="s">
        <v>516</v>
      </c>
      <c r="E905" s="28">
        <v>0.92686658</v>
      </c>
      <c r="F905" s="13"/>
      <c r="G905" s="18">
        <v>9943984.5</v>
      </c>
      <c r="H905" s="18">
        <v>9216746.8900000006</v>
      </c>
      <c r="I905" s="18">
        <v>9943984.5</v>
      </c>
      <c r="J905" s="18">
        <v>9216746.8900000006</v>
      </c>
      <c r="K905" s="15">
        <v>1822</v>
      </c>
      <c r="L905" s="13" t="s">
        <v>102</v>
      </c>
      <c r="M905" s="13" t="s">
        <v>103</v>
      </c>
      <c r="N905" s="139" t="s">
        <v>364</v>
      </c>
      <c r="O905" s="139" t="s">
        <v>364</v>
      </c>
      <c r="P905" s="28">
        <v>40</v>
      </c>
      <c r="Q905" s="13" t="s">
        <v>54</v>
      </c>
      <c r="R905" s="13" t="s">
        <v>28</v>
      </c>
      <c r="S905" s="13"/>
      <c r="T905" s="13"/>
      <c r="U905" s="13" t="s">
        <v>816</v>
      </c>
      <c r="V905" s="13" t="s">
        <v>816</v>
      </c>
      <c r="W905" s="59">
        <f>+J905/$W$2</f>
        <v>2.0703955430484891E-4</v>
      </c>
    </row>
    <row r="906" spans="1:29">
      <c r="A906" s="13" t="s">
        <v>122</v>
      </c>
      <c r="B906" s="13" t="s">
        <v>538</v>
      </c>
      <c r="C906" s="139">
        <v>46253</v>
      </c>
      <c r="D906" s="139" t="s">
        <v>516</v>
      </c>
      <c r="E906" s="28">
        <v>0.86665402000000002</v>
      </c>
      <c r="F906" s="13"/>
      <c r="G906" s="18">
        <v>10000000</v>
      </c>
      <c r="H906" s="18">
        <v>8666540.1699999999</v>
      </c>
      <c r="I906" s="18">
        <v>10000000</v>
      </c>
      <c r="J906" s="18">
        <v>8666540.1699999999</v>
      </c>
      <c r="K906" s="15">
        <v>3936</v>
      </c>
      <c r="L906" s="13" t="s">
        <v>102</v>
      </c>
      <c r="M906" s="13" t="s">
        <v>103</v>
      </c>
      <c r="N906" s="139" t="s">
        <v>135</v>
      </c>
      <c r="O906" s="139" t="s">
        <v>135</v>
      </c>
      <c r="P906" s="28">
        <v>78</v>
      </c>
      <c r="Q906" s="13" t="s">
        <v>54</v>
      </c>
      <c r="R906" s="13" t="s">
        <v>28</v>
      </c>
      <c r="S906" s="13"/>
      <c r="T906" s="13"/>
      <c r="U906" s="13" t="s">
        <v>188</v>
      </c>
      <c r="V906" s="13" t="s">
        <v>188</v>
      </c>
      <c r="W906" s="59">
        <f>+J906/$W$2</f>
        <v>1.946800357627993E-4</v>
      </c>
    </row>
    <row r="907" spans="1:29">
      <c r="A907" s="13" t="s">
        <v>148</v>
      </c>
      <c r="B907" s="13" t="s">
        <v>538</v>
      </c>
      <c r="C907" s="139">
        <v>46253</v>
      </c>
      <c r="D907" s="139" t="s">
        <v>516</v>
      </c>
      <c r="E907" s="28">
        <v>0.93541792000000001</v>
      </c>
      <c r="F907" s="13"/>
      <c r="G907" s="18">
        <v>20000000</v>
      </c>
      <c r="H907" s="18">
        <v>18708358.489999998</v>
      </c>
      <c r="I907" s="18">
        <v>20000000</v>
      </c>
      <c r="J907" s="18">
        <v>18708358.489999998</v>
      </c>
      <c r="K907" s="15">
        <v>4183</v>
      </c>
      <c r="L907" s="13" t="s">
        <v>102</v>
      </c>
      <c r="M907" s="13" t="s">
        <v>103</v>
      </c>
      <c r="N907" s="139" t="s">
        <v>163</v>
      </c>
      <c r="O907" s="139" t="s">
        <v>163</v>
      </c>
      <c r="P907" s="28">
        <v>35</v>
      </c>
      <c r="Q907" s="13" t="s">
        <v>54</v>
      </c>
      <c r="R907" s="13" t="s">
        <v>28</v>
      </c>
      <c r="S907" s="13"/>
      <c r="T907" s="13"/>
      <c r="U907" s="13" t="s">
        <v>1577</v>
      </c>
      <c r="V907" s="13" t="s">
        <v>1577</v>
      </c>
      <c r="W907" s="59">
        <f>+J907/$W$2</f>
        <v>4.2025350698818368E-4</v>
      </c>
      <c r="AC907" s="56"/>
    </row>
    <row r="908" spans="1:29">
      <c r="A908" s="13" t="s">
        <v>1960</v>
      </c>
      <c r="B908" s="13" t="s">
        <v>538</v>
      </c>
      <c r="C908" s="139">
        <v>46253</v>
      </c>
      <c r="D908" s="139" t="s">
        <v>516</v>
      </c>
      <c r="E908" s="28">
        <v>0.93888285000000005</v>
      </c>
      <c r="F908" s="13"/>
      <c r="G908" s="18">
        <v>2200000</v>
      </c>
      <c r="H908" s="18">
        <v>2065542.26</v>
      </c>
      <c r="I908" s="18">
        <v>2200000</v>
      </c>
      <c r="J908" s="18">
        <v>2065542.26</v>
      </c>
      <c r="K908" s="15">
        <v>6190</v>
      </c>
      <c r="L908" s="13" t="s">
        <v>102</v>
      </c>
      <c r="M908" s="13" t="s">
        <v>103</v>
      </c>
      <c r="N908" s="139" t="s">
        <v>369</v>
      </c>
      <c r="O908" s="139" t="s">
        <v>369</v>
      </c>
      <c r="P908" s="28">
        <v>33</v>
      </c>
      <c r="Q908" s="13" t="s">
        <v>54</v>
      </c>
      <c r="R908" s="13" t="s">
        <v>28</v>
      </c>
      <c r="S908" s="13"/>
      <c r="T908" s="13"/>
      <c r="U908" s="13" t="s">
        <v>1954</v>
      </c>
      <c r="V908" s="13" t="s">
        <v>1954</v>
      </c>
      <c r="W908" s="59">
        <f>+J908/$W$2</f>
        <v>4.6399120428512744E-5</v>
      </c>
    </row>
    <row r="909" spans="1:29">
      <c r="A909" s="13" t="s">
        <v>325</v>
      </c>
      <c r="B909" s="13" t="s">
        <v>538</v>
      </c>
      <c r="C909" s="139">
        <v>46253</v>
      </c>
      <c r="D909" s="139" t="s">
        <v>516</v>
      </c>
      <c r="E909" s="28">
        <v>0.93888265999999998</v>
      </c>
      <c r="F909" s="13"/>
      <c r="G909" s="18">
        <v>50000000</v>
      </c>
      <c r="H909" s="18">
        <v>46944132.840000004</v>
      </c>
      <c r="I909" s="18">
        <v>50000000</v>
      </c>
      <c r="J909" s="18">
        <v>46944132.840000004</v>
      </c>
      <c r="K909" s="15">
        <v>29007570</v>
      </c>
      <c r="L909" s="13" t="s">
        <v>102</v>
      </c>
      <c r="M909" s="13" t="s">
        <v>103</v>
      </c>
      <c r="N909" s="139" t="s">
        <v>155</v>
      </c>
      <c r="O909" s="139" t="s">
        <v>155</v>
      </c>
      <c r="P909" s="28">
        <v>33</v>
      </c>
      <c r="Q909" s="13" t="s">
        <v>54</v>
      </c>
      <c r="R909" s="13" t="s">
        <v>28</v>
      </c>
      <c r="S909" s="13"/>
      <c r="T909" s="13"/>
      <c r="U909" s="13" t="s">
        <v>629</v>
      </c>
      <c r="V909" s="13" t="s">
        <v>629</v>
      </c>
      <c r="W909" s="59">
        <f>+J909/$W$2</f>
        <v>1.0545252523931708E-3</v>
      </c>
    </row>
    <row r="910" spans="1:29">
      <c r="A910" s="13" t="s">
        <v>706</v>
      </c>
      <c r="B910" s="13" t="s">
        <v>538</v>
      </c>
      <c r="C910" s="139">
        <v>46253</v>
      </c>
      <c r="D910" s="139" t="s">
        <v>516</v>
      </c>
      <c r="E910" s="28">
        <v>0.94062469000000004</v>
      </c>
      <c r="F910" s="13"/>
      <c r="G910" s="18">
        <v>3243208.42</v>
      </c>
      <c r="H910" s="18">
        <v>3050641.93</v>
      </c>
      <c r="I910" s="18">
        <v>3243208.42</v>
      </c>
      <c r="J910" s="18">
        <v>3050641.93</v>
      </c>
      <c r="K910" s="15">
        <v>143910</v>
      </c>
      <c r="L910" s="13" t="s">
        <v>102</v>
      </c>
      <c r="M910" s="13" t="s">
        <v>103</v>
      </c>
      <c r="N910" s="139" t="s">
        <v>378</v>
      </c>
      <c r="O910" s="139" t="s">
        <v>378</v>
      </c>
      <c r="P910" s="28">
        <v>32</v>
      </c>
      <c r="Q910" s="13" t="s">
        <v>54</v>
      </c>
      <c r="R910" s="13" t="s">
        <v>28</v>
      </c>
      <c r="S910" s="13"/>
      <c r="T910" s="13"/>
      <c r="U910" s="13" t="s">
        <v>827</v>
      </c>
      <c r="V910" s="13" t="s">
        <v>827</v>
      </c>
      <c r="W910" s="59">
        <f>+J910/$W$2</f>
        <v>6.8527817142962036E-5</v>
      </c>
    </row>
    <row r="911" spans="1:29">
      <c r="A911" s="13" t="s">
        <v>339</v>
      </c>
      <c r="B911" s="13" t="s">
        <v>538</v>
      </c>
      <c r="C911" s="139">
        <v>46253</v>
      </c>
      <c r="D911" s="139" t="s">
        <v>516</v>
      </c>
      <c r="E911" s="28">
        <v>0.94412847</v>
      </c>
      <c r="F911" s="13"/>
      <c r="G911" s="18">
        <v>60000000</v>
      </c>
      <c r="H911" s="18">
        <v>56647708.329999998</v>
      </c>
      <c r="I911" s="18">
        <v>60000000</v>
      </c>
      <c r="J911" s="18">
        <v>56647708.329999998</v>
      </c>
      <c r="K911" s="15">
        <v>60</v>
      </c>
      <c r="L911" s="13" t="s">
        <v>102</v>
      </c>
      <c r="M911" s="13" t="s">
        <v>103</v>
      </c>
      <c r="N911" s="139" t="s">
        <v>343</v>
      </c>
      <c r="O911" s="139" t="s">
        <v>343</v>
      </c>
      <c r="P911" s="28">
        <v>30</v>
      </c>
      <c r="Q911" s="13" t="s">
        <v>54</v>
      </c>
      <c r="R911" s="13" t="s">
        <v>28</v>
      </c>
      <c r="S911" s="13"/>
      <c r="T911" s="13"/>
      <c r="U911" s="13" t="s">
        <v>1428</v>
      </c>
      <c r="V911" s="13" t="s">
        <v>1428</v>
      </c>
      <c r="W911" s="59">
        <f>+J911/$W$2</f>
        <v>1.27250063661391E-3</v>
      </c>
    </row>
    <row r="912" spans="1:29">
      <c r="A912" s="13" t="s">
        <v>993</v>
      </c>
      <c r="B912" s="13" t="s">
        <v>538</v>
      </c>
      <c r="C912" s="139">
        <v>46253</v>
      </c>
      <c r="D912" s="139" t="s">
        <v>516</v>
      </c>
      <c r="E912" s="28">
        <v>0.94588998000000002</v>
      </c>
      <c r="F912" s="13"/>
      <c r="G912" s="18">
        <v>5000000</v>
      </c>
      <c r="H912" s="18">
        <v>4729449.88</v>
      </c>
      <c r="I912" s="18">
        <v>5000000</v>
      </c>
      <c r="J912" s="18">
        <v>4729449.88</v>
      </c>
      <c r="K912" s="15">
        <v>6880</v>
      </c>
      <c r="L912" s="13" t="s">
        <v>102</v>
      </c>
      <c r="M912" s="13" t="s">
        <v>103</v>
      </c>
      <c r="N912" s="139" t="s">
        <v>344</v>
      </c>
      <c r="O912" s="139" t="s">
        <v>344</v>
      </c>
      <c r="P912" s="28">
        <v>29</v>
      </c>
      <c r="Q912" s="13" t="s">
        <v>54</v>
      </c>
      <c r="R912" s="13" t="s">
        <v>28</v>
      </c>
      <c r="S912" s="13"/>
      <c r="T912" s="13"/>
      <c r="U912" s="13" t="s">
        <v>1070</v>
      </c>
      <c r="V912" s="13" t="s">
        <v>1070</v>
      </c>
      <c r="W912" s="59">
        <f>+J912/$W$2</f>
        <v>1.0623956662243992E-4</v>
      </c>
    </row>
    <row r="913" spans="1:23">
      <c r="A913" s="13" t="s">
        <v>339</v>
      </c>
      <c r="B913" s="13" t="s">
        <v>538</v>
      </c>
      <c r="C913" s="139">
        <v>46253</v>
      </c>
      <c r="D913" s="139" t="s">
        <v>516</v>
      </c>
      <c r="E913" s="28">
        <v>0.94588992000000005</v>
      </c>
      <c r="F913" s="13"/>
      <c r="G913" s="18">
        <v>5500000</v>
      </c>
      <c r="H913" s="18">
        <v>5202394.57</v>
      </c>
      <c r="I913" s="18">
        <v>5500000</v>
      </c>
      <c r="J913" s="18">
        <v>5202394.57</v>
      </c>
      <c r="K913" s="15">
        <v>66554053</v>
      </c>
      <c r="L913" s="13" t="s">
        <v>102</v>
      </c>
      <c r="M913" s="13" t="s">
        <v>103</v>
      </c>
      <c r="N913" s="139" t="s">
        <v>161</v>
      </c>
      <c r="O913" s="139" t="s">
        <v>161</v>
      </c>
      <c r="P913" s="28">
        <v>29</v>
      </c>
      <c r="Q913" s="13" t="s">
        <v>54</v>
      </c>
      <c r="R913" s="13" t="s">
        <v>28</v>
      </c>
      <c r="S913" s="13"/>
      <c r="T913" s="13"/>
      <c r="U913" s="13" t="s">
        <v>1258</v>
      </c>
      <c r="V913" s="13" t="s">
        <v>1258</v>
      </c>
      <c r="W913" s="59">
        <f>+J913/$W$2</f>
        <v>1.1686351659058808E-4</v>
      </c>
    </row>
    <row r="914" spans="1:23">
      <c r="A914" s="13" t="s">
        <v>426</v>
      </c>
      <c r="B914" s="13" t="s">
        <v>538</v>
      </c>
      <c r="C914" s="139">
        <v>46253</v>
      </c>
      <c r="D914" s="139" t="s">
        <v>516</v>
      </c>
      <c r="E914" s="28">
        <v>0.92181040000000003</v>
      </c>
      <c r="F914" s="13"/>
      <c r="G914" s="18">
        <v>3500000</v>
      </c>
      <c r="H914" s="18">
        <v>3226336.4</v>
      </c>
      <c r="I914" s="18">
        <v>3500000</v>
      </c>
      <c r="J914" s="18">
        <v>3226336.4</v>
      </c>
      <c r="K914" s="15">
        <v>3076</v>
      </c>
      <c r="L914" s="13" t="s">
        <v>102</v>
      </c>
      <c r="M914" s="13" t="s">
        <v>103</v>
      </c>
      <c r="N914" s="139" t="s">
        <v>230</v>
      </c>
      <c r="O914" s="139" t="s">
        <v>230</v>
      </c>
      <c r="P914" s="28">
        <v>43</v>
      </c>
      <c r="Q914" s="13" t="s">
        <v>54</v>
      </c>
      <c r="R914" s="13" t="s">
        <v>28</v>
      </c>
      <c r="S914" s="13"/>
      <c r="T914" s="13"/>
      <c r="U914" s="13" t="s">
        <v>422</v>
      </c>
      <c r="V914" s="13" t="s">
        <v>422</v>
      </c>
      <c r="W914" s="59">
        <f>+J914/$W$2</f>
        <v>7.2474513867605041E-5</v>
      </c>
    </row>
    <row r="915" spans="1:23">
      <c r="A915" s="13" t="s">
        <v>819</v>
      </c>
      <c r="B915" s="13" t="s">
        <v>538</v>
      </c>
      <c r="C915" s="139">
        <v>46253</v>
      </c>
      <c r="D915" s="139" t="s">
        <v>516</v>
      </c>
      <c r="E915" s="28">
        <v>0.94588992999999999</v>
      </c>
      <c r="F915" s="13"/>
      <c r="G915" s="18">
        <v>2500000</v>
      </c>
      <c r="H915" s="18">
        <v>2364724.8199999998</v>
      </c>
      <c r="I915" s="18">
        <v>2500000</v>
      </c>
      <c r="J915" s="18">
        <v>2364724.8199999998</v>
      </c>
      <c r="K915" s="15">
        <v>366</v>
      </c>
      <c r="L915" s="13" t="s">
        <v>102</v>
      </c>
      <c r="M915" s="13" t="s">
        <v>103</v>
      </c>
      <c r="N915" s="139" t="s">
        <v>378</v>
      </c>
      <c r="O915" s="139" t="s">
        <v>378</v>
      </c>
      <c r="P915" s="28">
        <v>29</v>
      </c>
      <c r="Q915" s="13" t="s">
        <v>54</v>
      </c>
      <c r="R915" s="13" t="s">
        <v>28</v>
      </c>
      <c r="S915" s="13"/>
      <c r="T915" s="13"/>
      <c r="U915" s="13" t="s">
        <v>830</v>
      </c>
      <c r="V915" s="13" t="s">
        <v>830</v>
      </c>
      <c r="W915" s="59">
        <f>+J915/$W$2</f>
        <v>5.3119780615610893E-5</v>
      </c>
    </row>
    <row r="916" spans="1:23">
      <c r="A916" s="13" t="s">
        <v>550</v>
      </c>
      <c r="B916" s="13" t="s">
        <v>538</v>
      </c>
      <c r="C916" s="139">
        <v>46254</v>
      </c>
      <c r="D916" s="139" t="s">
        <v>516</v>
      </c>
      <c r="E916" s="28">
        <v>0.93457953999999999</v>
      </c>
      <c r="F916" s="13"/>
      <c r="G916" s="18">
        <v>25000000</v>
      </c>
      <c r="H916" s="18">
        <v>23364488.600000001</v>
      </c>
      <c r="I916" s="18">
        <v>25000000</v>
      </c>
      <c r="J916" s="18">
        <v>23364488.600000001</v>
      </c>
      <c r="K916" s="15">
        <v>1307</v>
      </c>
      <c r="L916" s="13" t="s">
        <v>102</v>
      </c>
      <c r="M916" s="13" t="s">
        <v>103</v>
      </c>
      <c r="N916" s="139" t="s">
        <v>428</v>
      </c>
      <c r="O916" s="139" t="s">
        <v>428</v>
      </c>
      <c r="P916" s="28">
        <v>35</v>
      </c>
      <c r="Q916" s="13" t="s">
        <v>54</v>
      </c>
      <c r="R916" s="13" t="s">
        <v>28</v>
      </c>
      <c r="S916" s="13"/>
      <c r="T916" s="13"/>
      <c r="U916" s="13" t="s">
        <v>990</v>
      </c>
      <c r="V916" s="13" t="s">
        <v>990</v>
      </c>
      <c r="W916" s="59">
        <f>+J916/$W$2</f>
        <v>5.2484606163517237E-4</v>
      </c>
    </row>
    <row r="917" spans="1:23">
      <c r="A917" s="13" t="s">
        <v>1430</v>
      </c>
      <c r="B917" s="13" t="s">
        <v>538</v>
      </c>
      <c r="C917" s="139">
        <v>46254</v>
      </c>
      <c r="D917" s="139" t="s">
        <v>516</v>
      </c>
      <c r="E917" s="28">
        <v>0.94339640000000002</v>
      </c>
      <c r="F917" s="13"/>
      <c r="G917" s="18">
        <v>17969542.75</v>
      </c>
      <c r="H917" s="18">
        <v>16952401.989999998</v>
      </c>
      <c r="I917" s="18">
        <v>17969542.75</v>
      </c>
      <c r="J917" s="18">
        <v>16952401.989999998</v>
      </c>
      <c r="K917" s="15">
        <v>691</v>
      </c>
      <c r="L917" s="13" t="s">
        <v>102</v>
      </c>
      <c r="M917" s="13" t="s">
        <v>103</v>
      </c>
      <c r="N917" s="139" t="s">
        <v>360</v>
      </c>
      <c r="O917" s="139" t="s">
        <v>360</v>
      </c>
      <c r="P917" s="28">
        <v>30</v>
      </c>
      <c r="Q917" s="13" t="s">
        <v>54</v>
      </c>
      <c r="R917" s="13" t="s">
        <v>28</v>
      </c>
      <c r="S917" s="13"/>
      <c r="T917" s="13"/>
      <c r="U917" s="13" t="s">
        <v>1431</v>
      </c>
      <c r="V917" s="13" t="s">
        <v>1431</v>
      </c>
      <c r="W917" s="59">
        <f>+J917/$W$2</f>
        <v>3.8080873808244862E-4</v>
      </c>
    </row>
    <row r="918" spans="1:23">
      <c r="A918" s="13" t="s">
        <v>1688</v>
      </c>
      <c r="B918" s="13" t="s">
        <v>538</v>
      </c>
      <c r="C918" s="139">
        <v>46254</v>
      </c>
      <c r="D918" s="139" t="s">
        <v>516</v>
      </c>
      <c r="E918" s="28">
        <v>0.93808647999999994</v>
      </c>
      <c r="F918" s="13"/>
      <c r="G918" s="18">
        <v>3900000</v>
      </c>
      <c r="H918" s="18">
        <v>3658537.27</v>
      </c>
      <c r="I918" s="18">
        <v>3900000</v>
      </c>
      <c r="J918" s="18">
        <v>3658537.27</v>
      </c>
      <c r="K918" s="15">
        <v>284</v>
      </c>
      <c r="L918" s="13" t="s">
        <v>102</v>
      </c>
      <c r="M918" s="13" t="s">
        <v>103</v>
      </c>
      <c r="N918" s="139" t="s">
        <v>514</v>
      </c>
      <c r="O918" s="139" t="s">
        <v>514</v>
      </c>
      <c r="P918" s="28">
        <v>33</v>
      </c>
      <c r="Q918" s="13" t="s">
        <v>54</v>
      </c>
      <c r="R918" s="13" t="s">
        <v>28</v>
      </c>
      <c r="S918" s="13"/>
      <c r="T918" s="13"/>
      <c r="U918" s="13" t="s">
        <v>1689</v>
      </c>
      <c r="V918" s="13" t="s">
        <v>1689</v>
      </c>
      <c r="W918" s="59">
        <f>+J918/$W$2</f>
        <v>8.2183218746118626E-5</v>
      </c>
    </row>
    <row r="919" spans="1:23">
      <c r="A919" s="13" t="s">
        <v>2038</v>
      </c>
      <c r="B919" s="13" t="s">
        <v>538</v>
      </c>
      <c r="C919" s="139">
        <v>46254</v>
      </c>
      <c r="D919" s="139" t="s">
        <v>516</v>
      </c>
      <c r="E919" s="28">
        <v>0.93984986999999998</v>
      </c>
      <c r="F919" s="13"/>
      <c r="G919" s="18">
        <v>13000000</v>
      </c>
      <c r="H919" s="18">
        <v>12218048.26</v>
      </c>
      <c r="I919" s="18">
        <v>13000000</v>
      </c>
      <c r="J919" s="18">
        <v>12218048.26</v>
      </c>
      <c r="K919" s="15">
        <v>545</v>
      </c>
      <c r="L919" s="13" t="s">
        <v>102</v>
      </c>
      <c r="M919" s="13" t="s">
        <v>103</v>
      </c>
      <c r="N919" s="139" t="s">
        <v>394</v>
      </c>
      <c r="O919" s="139" t="s">
        <v>394</v>
      </c>
      <c r="P919" s="28">
        <v>32</v>
      </c>
      <c r="Q919" s="13" t="s">
        <v>54</v>
      </c>
      <c r="R919" s="13" t="s">
        <v>28</v>
      </c>
      <c r="S919" s="13"/>
      <c r="T919" s="13"/>
      <c r="U919" s="13" t="s">
        <v>2041</v>
      </c>
      <c r="V919" s="13" t="s">
        <v>2041</v>
      </c>
      <c r="W919" s="59">
        <f>+J919/$W$2</f>
        <v>2.7445901427217498E-4</v>
      </c>
    </row>
    <row r="920" spans="1:23">
      <c r="A920" s="13" t="s">
        <v>2044</v>
      </c>
      <c r="B920" s="13" t="s">
        <v>538</v>
      </c>
      <c r="C920" s="139">
        <v>46254</v>
      </c>
      <c r="D920" s="139" t="s">
        <v>516</v>
      </c>
      <c r="E920" s="28">
        <v>0.93984986000000004</v>
      </c>
      <c r="F920" s="13"/>
      <c r="G920" s="18">
        <v>1000000</v>
      </c>
      <c r="H920" s="18">
        <v>939849.86</v>
      </c>
      <c r="I920" s="18">
        <v>1000000</v>
      </c>
      <c r="J920" s="18">
        <v>939849.86</v>
      </c>
      <c r="K920" s="15">
        <v>67381452</v>
      </c>
      <c r="L920" s="13" t="s">
        <v>102</v>
      </c>
      <c r="M920" s="13" t="s">
        <v>103</v>
      </c>
      <c r="N920" s="139" t="s">
        <v>394</v>
      </c>
      <c r="O920" s="139" t="s">
        <v>394</v>
      </c>
      <c r="P920" s="28">
        <v>32</v>
      </c>
      <c r="Q920" s="13" t="s">
        <v>54</v>
      </c>
      <c r="R920" s="13" t="s">
        <v>28</v>
      </c>
      <c r="S920" s="13"/>
      <c r="T920" s="13"/>
      <c r="U920" s="13" t="s">
        <v>2045</v>
      </c>
      <c r="V920" s="13" t="s">
        <v>2045</v>
      </c>
      <c r="W920" s="59">
        <f>+J920/$W$2</f>
        <v>2.1112231728854022E-5</v>
      </c>
    </row>
    <row r="921" spans="1:23">
      <c r="A921" s="13" t="s">
        <v>822</v>
      </c>
      <c r="B921" s="13" t="s">
        <v>538</v>
      </c>
      <c r="C921" s="139">
        <v>46254</v>
      </c>
      <c r="D921" s="139" t="s">
        <v>516</v>
      </c>
      <c r="E921" s="28">
        <v>0.92592602000000002</v>
      </c>
      <c r="F921" s="13"/>
      <c r="G921" s="18">
        <v>7551944</v>
      </c>
      <c r="H921" s="18">
        <v>6992541.4699999997</v>
      </c>
      <c r="I921" s="18">
        <v>7551944</v>
      </c>
      <c r="J921" s="18">
        <v>6992541.4699999997</v>
      </c>
      <c r="K921" s="15">
        <v>1824</v>
      </c>
      <c r="L921" s="13" t="s">
        <v>102</v>
      </c>
      <c r="M921" s="13" t="s">
        <v>103</v>
      </c>
      <c r="N921" s="139" t="s">
        <v>364</v>
      </c>
      <c r="O921" s="139" t="s">
        <v>364</v>
      </c>
      <c r="P921" s="28">
        <v>40</v>
      </c>
      <c r="Q921" s="13" t="s">
        <v>54</v>
      </c>
      <c r="R921" s="13" t="s">
        <v>28</v>
      </c>
      <c r="S921" s="13"/>
      <c r="T921" s="13"/>
      <c r="U921" s="13" t="s">
        <v>808</v>
      </c>
      <c r="V921" s="13" t="s">
        <v>808</v>
      </c>
      <c r="W921" s="59">
        <f>+J921/$W$2</f>
        <v>1.5707631843267129E-4</v>
      </c>
    </row>
    <row r="922" spans="1:23">
      <c r="A922" s="13" t="s">
        <v>822</v>
      </c>
      <c r="B922" s="13" t="s">
        <v>538</v>
      </c>
      <c r="C922" s="139">
        <v>46254</v>
      </c>
      <c r="D922" s="139" t="s">
        <v>516</v>
      </c>
      <c r="E922" s="28">
        <v>0.92592602000000002</v>
      </c>
      <c r="F922" s="13"/>
      <c r="G922" s="18">
        <v>7551944</v>
      </c>
      <c r="H922" s="18">
        <v>6992541.4699999997</v>
      </c>
      <c r="I922" s="18">
        <v>7551944</v>
      </c>
      <c r="J922" s="18">
        <v>6992541.4699999997</v>
      </c>
      <c r="K922" s="15">
        <v>1823</v>
      </c>
      <c r="L922" s="13" t="s">
        <v>102</v>
      </c>
      <c r="M922" s="13" t="s">
        <v>103</v>
      </c>
      <c r="N922" s="139" t="s">
        <v>364</v>
      </c>
      <c r="O922" s="139" t="s">
        <v>364</v>
      </c>
      <c r="P922" s="28">
        <v>40</v>
      </c>
      <c r="Q922" s="13" t="s">
        <v>54</v>
      </c>
      <c r="R922" s="13" t="s">
        <v>28</v>
      </c>
      <c r="S922" s="13"/>
      <c r="T922" s="13"/>
      <c r="U922" s="13" t="s">
        <v>817</v>
      </c>
      <c r="V922" s="13" t="s">
        <v>817</v>
      </c>
      <c r="W922" s="59">
        <f>+J922/$W$2</f>
        <v>1.5707631843267129E-4</v>
      </c>
    </row>
    <row r="923" spans="1:23">
      <c r="A923" s="13" t="s">
        <v>539</v>
      </c>
      <c r="B923" s="13" t="s">
        <v>538</v>
      </c>
      <c r="C923" s="139">
        <v>46254</v>
      </c>
      <c r="D923" s="139" t="s">
        <v>516</v>
      </c>
      <c r="E923" s="28">
        <v>0.94339625999999999</v>
      </c>
      <c r="F923" s="13"/>
      <c r="G923" s="18">
        <v>10000000</v>
      </c>
      <c r="H923" s="18">
        <v>9433962.5700000003</v>
      </c>
      <c r="I923" s="18">
        <v>10000000</v>
      </c>
      <c r="J923" s="18">
        <v>9433962.5700000003</v>
      </c>
      <c r="K923" s="15">
        <v>501</v>
      </c>
      <c r="L923" s="13" t="s">
        <v>102</v>
      </c>
      <c r="M923" s="13" t="s">
        <v>103</v>
      </c>
      <c r="N923" s="139" t="s">
        <v>383</v>
      </c>
      <c r="O923" s="139" t="s">
        <v>383</v>
      </c>
      <c r="P923" s="28">
        <v>30</v>
      </c>
      <c r="Q923" s="13" t="s">
        <v>54</v>
      </c>
      <c r="R923" s="13" t="s">
        <v>28</v>
      </c>
      <c r="S923" s="13"/>
      <c r="T923" s="13"/>
      <c r="U923" s="13" t="s">
        <v>1533</v>
      </c>
      <c r="V923" s="13" t="s">
        <v>1533</v>
      </c>
      <c r="W923" s="59">
        <f>+J923/$W$2</f>
        <v>2.11918958948587E-4</v>
      </c>
    </row>
    <row r="924" spans="1:23">
      <c r="A924" s="13" t="s">
        <v>539</v>
      </c>
      <c r="B924" s="13" t="s">
        <v>538</v>
      </c>
      <c r="C924" s="139">
        <v>46254</v>
      </c>
      <c r="D924" s="139" t="s">
        <v>516</v>
      </c>
      <c r="E924" s="28">
        <v>0.94339634000000006</v>
      </c>
      <c r="F924" s="13"/>
      <c r="G924" s="18">
        <v>10000000</v>
      </c>
      <c r="H924" s="18">
        <v>9433963.4399999995</v>
      </c>
      <c r="I924" s="18">
        <v>10000000</v>
      </c>
      <c r="J924" s="18">
        <v>9433963.4399999995</v>
      </c>
      <c r="K924" s="15">
        <v>472</v>
      </c>
      <c r="L924" s="13" t="s">
        <v>102</v>
      </c>
      <c r="M924" s="13" t="s">
        <v>103</v>
      </c>
      <c r="N924" s="139" t="s">
        <v>367</v>
      </c>
      <c r="O924" s="139" t="s">
        <v>367</v>
      </c>
      <c r="P924" s="28">
        <v>30</v>
      </c>
      <c r="Q924" s="13" t="s">
        <v>54</v>
      </c>
      <c r="R924" s="13" t="s">
        <v>28</v>
      </c>
      <c r="S924" s="13"/>
      <c r="T924" s="13"/>
      <c r="U924" s="13" t="s">
        <v>1485</v>
      </c>
      <c r="V924" s="13" t="s">
        <v>1485</v>
      </c>
      <c r="W924" s="59">
        <f>+J924/$W$2</f>
        <v>2.1191897849175272E-4</v>
      </c>
    </row>
    <row r="925" spans="1:23">
      <c r="A925" s="13" t="s">
        <v>539</v>
      </c>
      <c r="B925" s="13" t="s">
        <v>538</v>
      </c>
      <c r="C925" s="139">
        <v>46254</v>
      </c>
      <c r="D925" s="139" t="s">
        <v>516</v>
      </c>
      <c r="E925" s="28">
        <v>0.94339645000000005</v>
      </c>
      <c r="F925" s="13"/>
      <c r="G925" s="18">
        <v>10000000</v>
      </c>
      <c r="H925" s="18">
        <v>9433964.5399999991</v>
      </c>
      <c r="I925" s="18">
        <v>10000000</v>
      </c>
      <c r="J925" s="18">
        <v>9433964.5399999991</v>
      </c>
      <c r="K925" s="15">
        <v>560</v>
      </c>
      <c r="L925" s="13" t="s">
        <v>102</v>
      </c>
      <c r="M925" s="13" t="s">
        <v>103</v>
      </c>
      <c r="N925" s="139" t="s">
        <v>429</v>
      </c>
      <c r="O925" s="139" t="s">
        <v>429</v>
      </c>
      <c r="P925" s="28">
        <v>30</v>
      </c>
      <c r="Q925" s="13" t="s">
        <v>54</v>
      </c>
      <c r="R925" s="13" t="s">
        <v>28</v>
      </c>
      <c r="S925" s="13"/>
      <c r="T925" s="13"/>
      <c r="U925" s="13" t="s">
        <v>1725</v>
      </c>
      <c r="V925" s="13" t="s">
        <v>1725</v>
      </c>
      <c r="W925" s="59">
        <f>+J925/$W$2</f>
        <v>2.1191900320150254E-4</v>
      </c>
    </row>
    <row r="926" spans="1:23">
      <c r="A926" s="13" t="s">
        <v>597</v>
      </c>
      <c r="B926" s="13" t="s">
        <v>538</v>
      </c>
      <c r="C926" s="139">
        <v>46254</v>
      </c>
      <c r="D926" s="139" t="s">
        <v>516</v>
      </c>
      <c r="E926" s="28">
        <v>0.93457950999999995</v>
      </c>
      <c r="F926" s="13"/>
      <c r="G926" s="18">
        <v>1500000</v>
      </c>
      <c r="H926" s="18">
        <v>1401869.27</v>
      </c>
      <c r="I926" s="18">
        <v>1500000</v>
      </c>
      <c r="J926" s="18">
        <v>1401869.27</v>
      </c>
      <c r="K926" s="15">
        <v>2</v>
      </c>
      <c r="L926" s="13" t="s">
        <v>102</v>
      </c>
      <c r="M926" s="13" t="s">
        <v>103</v>
      </c>
      <c r="N926" s="139" t="s">
        <v>431</v>
      </c>
      <c r="O926" s="139" t="s">
        <v>431</v>
      </c>
      <c r="P926" s="28">
        <v>35</v>
      </c>
      <c r="Q926" s="13" t="s">
        <v>54</v>
      </c>
      <c r="R926" s="13" t="s">
        <v>28</v>
      </c>
      <c r="S926" s="13"/>
      <c r="T926" s="13"/>
      <c r="U926" s="13" t="s">
        <v>1169</v>
      </c>
      <c r="V926" s="13" t="s">
        <v>1169</v>
      </c>
      <c r="W926" s="59">
        <f>+J926/$W$2</f>
        <v>3.1490762664793527E-5</v>
      </c>
    </row>
    <row r="927" spans="1:23">
      <c r="A927" s="13" t="s">
        <v>1960</v>
      </c>
      <c r="B927" s="13" t="s">
        <v>538</v>
      </c>
      <c r="C927" s="139">
        <v>46254</v>
      </c>
      <c r="D927" s="139" t="s">
        <v>516</v>
      </c>
      <c r="E927" s="28">
        <v>0.93808647999999994</v>
      </c>
      <c r="F927" s="13"/>
      <c r="G927" s="18">
        <v>2200000</v>
      </c>
      <c r="H927" s="18">
        <v>2063790.25</v>
      </c>
      <c r="I927" s="18">
        <v>2200000</v>
      </c>
      <c r="J927" s="18">
        <v>2063790.25</v>
      </c>
      <c r="K927" s="15">
        <v>6191</v>
      </c>
      <c r="L927" s="13" t="s">
        <v>102</v>
      </c>
      <c r="M927" s="13" t="s">
        <v>103</v>
      </c>
      <c r="N927" s="139" t="s">
        <v>369</v>
      </c>
      <c r="O927" s="139" t="s">
        <v>369</v>
      </c>
      <c r="P927" s="28">
        <v>33</v>
      </c>
      <c r="Q927" s="13" t="s">
        <v>54</v>
      </c>
      <c r="R927" s="13" t="s">
        <v>28</v>
      </c>
      <c r="S927" s="13"/>
      <c r="T927" s="13"/>
      <c r="U927" s="13" t="s">
        <v>1955</v>
      </c>
      <c r="V927" s="13" t="s">
        <v>1955</v>
      </c>
      <c r="W927" s="59">
        <f>+J927/$W$2</f>
        <v>4.6359764311450313E-5</v>
      </c>
    </row>
    <row r="928" spans="1:23">
      <c r="A928" s="13" t="s">
        <v>339</v>
      </c>
      <c r="B928" s="13" t="s">
        <v>538</v>
      </c>
      <c r="C928" s="139">
        <v>46254</v>
      </c>
      <c r="D928" s="139" t="s">
        <v>516</v>
      </c>
      <c r="E928" s="28">
        <v>0.94517967000000003</v>
      </c>
      <c r="F928" s="13"/>
      <c r="G928" s="18">
        <v>10000000</v>
      </c>
      <c r="H928" s="18">
        <v>9451796.6600000001</v>
      </c>
      <c r="I928" s="18">
        <v>10000000</v>
      </c>
      <c r="J928" s="18">
        <v>9451796.6600000001</v>
      </c>
      <c r="K928" s="15">
        <v>2149</v>
      </c>
      <c r="L928" s="13" t="s">
        <v>102</v>
      </c>
      <c r="M928" s="13" t="s">
        <v>103</v>
      </c>
      <c r="N928" s="139" t="s">
        <v>395</v>
      </c>
      <c r="O928" s="139" t="s">
        <v>395</v>
      </c>
      <c r="P928" s="28">
        <v>29</v>
      </c>
      <c r="Q928" s="13" t="s">
        <v>54</v>
      </c>
      <c r="R928" s="13" t="s">
        <v>28</v>
      </c>
      <c r="S928" s="13"/>
      <c r="T928" s="13"/>
      <c r="U928" s="13" t="s">
        <v>1242</v>
      </c>
      <c r="V928" s="13" t="s">
        <v>1242</v>
      </c>
      <c r="W928" s="59">
        <f>+J928/$W$2</f>
        <v>2.1231957340497819E-4</v>
      </c>
    </row>
    <row r="929" spans="1:29">
      <c r="A929" s="13" t="s">
        <v>209</v>
      </c>
      <c r="B929" s="13" t="s">
        <v>538</v>
      </c>
      <c r="C929" s="139">
        <v>46254</v>
      </c>
      <c r="D929" s="139" t="s">
        <v>516</v>
      </c>
      <c r="E929" s="28">
        <v>0.95057044000000002</v>
      </c>
      <c r="F929" s="13"/>
      <c r="G929" s="18">
        <v>28712357.309999999</v>
      </c>
      <c r="H929" s="18">
        <v>27293118.120000001</v>
      </c>
      <c r="I929" s="18">
        <v>28712357.309999999</v>
      </c>
      <c r="J929" s="18">
        <v>27293118.120000001</v>
      </c>
      <c r="K929" s="15">
        <v>568307</v>
      </c>
      <c r="L929" s="13" t="s">
        <v>102</v>
      </c>
      <c r="M929" s="13" t="s">
        <v>103</v>
      </c>
      <c r="N929" s="139" t="s">
        <v>374</v>
      </c>
      <c r="O929" s="139" t="s">
        <v>374</v>
      </c>
      <c r="P929" s="28">
        <v>26</v>
      </c>
      <c r="Q929" s="13" t="s">
        <v>54</v>
      </c>
      <c r="R929" s="13" t="s">
        <v>28</v>
      </c>
      <c r="S929" s="13"/>
      <c r="T929" s="13"/>
      <c r="U929" s="13" t="s">
        <v>1216</v>
      </c>
      <c r="V929" s="13" t="s">
        <v>1216</v>
      </c>
      <c r="W929" s="59">
        <f>+J929/$W$2</f>
        <v>6.1309647303924117E-4</v>
      </c>
    </row>
    <row r="930" spans="1:29">
      <c r="A930" s="13" t="s">
        <v>209</v>
      </c>
      <c r="B930" s="13" t="s">
        <v>538</v>
      </c>
      <c r="C930" s="139">
        <v>46254</v>
      </c>
      <c r="D930" s="139" t="s">
        <v>516</v>
      </c>
      <c r="E930" s="28">
        <v>0.95057044000000002</v>
      </c>
      <c r="F930" s="13"/>
      <c r="G930" s="18">
        <v>50399108.950000003</v>
      </c>
      <c r="H930" s="18">
        <v>47907903.159999996</v>
      </c>
      <c r="I930" s="18">
        <v>50399108.950000003</v>
      </c>
      <c r="J930" s="18">
        <v>47907903.159999996</v>
      </c>
      <c r="K930" s="15">
        <v>568283</v>
      </c>
      <c r="L930" s="13" t="s">
        <v>102</v>
      </c>
      <c r="M930" s="13" t="s">
        <v>103</v>
      </c>
      <c r="N930" s="139" t="s">
        <v>374</v>
      </c>
      <c r="O930" s="139" t="s">
        <v>374</v>
      </c>
      <c r="P930" s="28">
        <v>26</v>
      </c>
      <c r="Q930" s="13" t="s">
        <v>54</v>
      </c>
      <c r="R930" s="13" t="s">
        <v>28</v>
      </c>
      <c r="S930" s="13"/>
      <c r="T930" s="13"/>
      <c r="U930" s="13" t="s">
        <v>1217</v>
      </c>
      <c r="V930" s="13" t="s">
        <v>1217</v>
      </c>
      <c r="W930" s="59">
        <f>+J930/$W$2</f>
        <v>1.0761748191965659E-3</v>
      </c>
    </row>
    <row r="931" spans="1:29">
      <c r="A931" s="13" t="s">
        <v>209</v>
      </c>
      <c r="B931" s="13" t="s">
        <v>538</v>
      </c>
      <c r="C931" s="139">
        <v>46254</v>
      </c>
      <c r="D931" s="139" t="s">
        <v>516</v>
      </c>
      <c r="E931" s="28">
        <v>0.95057044000000002</v>
      </c>
      <c r="F931" s="13"/>
      <c r="G931" s="18">
        <v>4643215.3099999996</v>
      </c>
      <c r="H931" s="18">
        <v>4413703.21</v>
      </c>
      <c r="I931" s="18">
        <v>4643215.3099999996</v>
      </c>
      <c r="J931" s="18">
        <v>4413703.21</v>
      </c>
      <c r="K931" s="15">
        <v>568282</v>
      </c>
      <c r="L931" s="13" t="s">
        <v>102</v>
      </c>
      <c r="M931" s="13" t="s">
        <v>103</v>
      </c>
      <c r="N931" s="139" t="s">
        <v>374</v>
      </c>
      <c r="O931" s="139" t="s">
        <v>374</v>
      </c>
      <c r="P931" s="28">
        <v>26</v>
      </c>
      <c r="Q931" s="13" t="s">
        <v>54</v>
      </c>
      <c r="R931" s="13" t="s">
        <v>28</v>
      </c>
      <c r="S931" s="13"/>
      <c r="T931" s="13"/>
      <c r="U931" s="13" t="s">
        <v>1218</v>
      </c>
      <c r="V931" s="13" t="s">
        <v>1218</v>
      </c>
      <c r="W931" s="59">
        <f>+J931/$W$2</f>
        <v>9.9146820059011178E-5</v>
      </c>
      <c r="AC931" s="56"/>
    </row>
    <row r="932" spans="1:29">
      <c r="A932" s="13" t="s">
        <v>209</v>
      </c>
      <c r="B932" s="13" t="s">
        <v>538</v>
      </c>
      <c r="C932" s="139">
        <v>46254</v>
      </c>
      <c r="D932" s="139" t="s">
        <v>516</v>
      </c>
      <c r="E932" s="28">
        <v>0.95057042999999997</v>
      </c>
      <c r="F932" s="13"/>
      <c r="G932" s="18">
        <v>2120477.86</v>
      </c>
      <c r="H932" s="18">
        <v>2015663.56</v>
      </c>
      <c r="I932" s="18">
        <v>2120477.86</v>
      </c>
      <c r="J932" s="18">
        <v>2015663.56</v>
      </c>
      <c r="K932" s="15">
        <v>568321</v>
      </c>
      <c r="L932" s="13" t="s">
        <v>102</v>
      </c>
      <c r="M932" s="13" t="s">
        <v>103</v>
      </c>
      <c r="N932" s="139" t="s">
        <v>374</v>
      </c>
      <c r="O932" s="139" t="s">
        <v>374</v>
      </c>
      <c r="P932" s="28">
        <v>26</v>
      </c>
      <c r="Q932" s="13" t="s">
        <v>54</v>
      </c>
      <c r="R932" s="13" t="s">
        <v>28</v>
      </c>
      <c r="S932" s="13"/>
      <c r="T932" s="13"/>
      <c r="U932" s="13" t="s">
        <v>1219</v>
      </c>
      <c r="V932" s="13" t="s">
        <v>1219</v>
      </c>
      <c r="W932" s="59">
        <f>+J932/$W$2</f>
        <v>4.5278674794000451E-5</v>
      </c>
    </row>
    <row r="933" spans="1:29">
      <c r="A933" s="13" t="s">
        <v>209</v>
      </c>
      <c r="B933" s="13" t="s">
        <v>538</v>
      </c>
      <c r="C933" s="139">
        <v>46254</v>
      </c>
      <c r="D933" s="139" t="s">
        <v>516</v>
      </c>
      <c r="E933" s="28">
        <v>0.95057044000000002</v>
      </c>
      <c r="F933" s="13"/>
      <c r="G933" s="18">
        <v>3412014.84</v>
      </c>
      <c r="H933" s="18">
        <v>3243360.44</v>
      </c>
      <c r="I933" s="18">
        <v>3412014.84</v>
      </c>
      <c r="J933" s="18">
        <v>3243360.44</v>
      </c>
      <c r="K933" s="15">
        <v>568312</v>
      </c>
      <c r="L933" s="13" t="s">
        <v>102</v>
      </c>
      <c r="M933" s="13" t="s">
        <v>103</v>
      </c>
      <c r="N933" s="139" t="s">
        <v>374</v>
      </c>
      <c r="O933" s="139" t="s">
        <v>374</v>
      </c>
      <c r="P933" s="28">
        <v>26</v>
      </c>
      <c r="Q933" s="13" t="s">
        <v>54</v>
      </c>
      <c r="R933" s="13" t="s">
        <v>28</v>
      </c>
      <c r="S933" s="13"/>
      <c r="T933" s="13"/>
      <c r="U933" s="13" t="s">
        <v>1224</v>
      </c>
      <c r="V933" s="13" t="s">
        <v>1224</v>
      </c>
      <c r="W933" s="59">
        <f>+J933/$W$2</f>
        <v>7.2856931839600364E-5</v>
      </c>
    </row>
    <row r="934" spans="1:29">
      <c r="A934" s="13" t="s">
        <v>209</v>
      </c>
      <c r="B934" s="13" t="s">
        <v>538</v>
      </c>
      <c r="C934" s="139">
        <v>46254</v>
      </c>
      <c r="D934" s="139" t="s">
        <v>516</v>
      </c>
      <c r="E934" s="28">
        <v>0.95057044999999996</v>
      </c>
      <c r="F934" s="13"/>
      <c r="G934" s="18">
        <v>2502217.0699999998</v>
      </c>
      <c r="H934" s="18">
        <v>2378533.59</v>
      </c>
      <c r="I934" s="18">
        <v>2502217.0699999998</v>
      </c>
      <c r="J934" s="18">
        <v>2378533.59</v>
      </c>
      <c r="K934" s="15">
        <v>568315</v>
      </c>
      <c r="L934" s="13" t="s">
        <v>102</v>
      </c>
      <c r="M934" s="13" t="s">
        <v>103</v>
      </c>
      <c r="N934" s="139" t="s">
        <v>374</v>
      </c>
      <c r="O934" s="139" t="s">
        <v>374</v>
      </c>
      <c r="P934" s="28">
        <v>26</v>
      </c>
      <c r="Q934" s="13" t="s">
        <v>54</v>
      </c>
      <c r="R934" s="13" t="s">
        <v>28</v>
      </c>
      <c r="S934" s="13"/>
      <c r="T934" s="13"/>
      <c r="U934" s="13" t="s">
        <v>1225</v>
      </c>
      <c r="V934" s="13" t="s">
        <v>1225</v>
      </c>
      <c r="W934" s="59">
        <f>+J934/$W$2</f>
        <v>5.3429972662807074E-5</v>
      </c>
    </row>
    <row r="935" spans="1:29">
      <c r="A935" s="13" t="s">
        <v>209</v>
      </c>
      <c r="B935" s="13" t="s">
        <v>538</v>
      </c>
      <c r="C935" s="139">
        <v>46254</v>
      </c>
      <c r="D935" s="139" t="s">
        <v>516</v>
      </c>
      <c r="E935" s="28">
        <v>0.95057044000000002</v>
      </c>
      <c r="F935" s="13"/>
      <c r="G935" s="18">
        <v>6395453.2000000002</v>
      </c>
      <c r="H935" s="18">
        <v>6079328.7599999998</v>
      </c>
      <c r="I935" s="18">
        <v>6395453.2000000002</v>
      </c>
      <c r="J935" s="18">
        <v>6079328.7599999998</v>
      </c>
      <c r="K935" s="15">
        <v>568311</v>
      </c>
      <c r="L935" s="13" t="s">
        <v>102</v>
      </c>
      <c r="M935" s="13" t="s">
        <v>103</v>
      </c>
      <c r="N935" s="139" t="s">
        <v>374</v>
      </c>
      <c r="O935" s="139" t="s">
        <v>374</v>
      </c>
      <c r="P935" s="28">
        <v>26</v>
      </c>
      <c r="Q935" s="13" t="s">
        <v>54</v>
      </c>
      <c r="R935" s="13" t="s">
        <v>28</v>
      </c>
      <c r="S935" s="13"/>
      <c r="T935" s="13"/>
      <c r="U935" s="13" t="s">
        <v>1226</v>
      </c>
      <c r="V935" s="13" t="s">
        <v>1226</v>
      </c>
      <c r="W935" s="59">
        <f>+J935/$W$2</f>
        <v>1.3656244789673829E-4</v>
      </c>
    </row>
    <row r="936" spans="1:29">
      <c r="A936" s="13" t="s">
        <v>209</v>
      </c>
      <c r="B936" s="13" t="s">
        <v>538</v>
      </c>
      <c r="C936" s="139">
        <v>46254</v>
      </c>
      <c r="D936" s="139" t="s">
        <v>516</v>
      </c>
      <c r="E936" s="28">
        <v>0.95057044999999996</v>
      </c>
      <c r="F936" s="13"/>
      <c r="G936" s="18">
        <v>1860181.4</v>
      </c>
      <c r="H936" s="18">
        <v>1768233.46</v>
      </c>
      <c r="I936" s="18">
        <v>1860181.4</v>
      </c>
      <c r="J936" s="18">
        <v>1768233.46</v>
      </c>
      <c r="K936" s="15">
        <v>568323</v>
      </c>
      <c r="L936" s="13" t="s">
        <v>102</v>
      </c>
      <c r="M936" s="13" t="s">
        <v>103</v>
      </c>
      <c r="N936" s="139" t="s">
        <v>374</v>
      </c>
      <c r="O936" s="139" t="s">
        <v>374</v>
      </c>
      <c r="P936" s="28">
        <v>26</v>
      </c>
      <c r="Q936" s="13" t="s">
        <v>54</v>
      </c>
      <c r="R936" s="13" t="s">
        <v>28</v>
      </c>
      <c r="S936" s="13"/>
      <c r="T936" s="13"/>
      <c r="U936" s="13" t="s">
        <v>1227</v>
      </c>
      <c r="V936" s="13" t="s">
        <v>1227</v>
      </c>
      <c r="W936" s="59">
        <f>+J936/$W$2</f>
        <v>3.9720551278513066E-5</v>
      </c>
      <c r="AC936" s="56"/>
    </row>
    <row r="937" spans="1:29">
      <c r="A937" s="13" t="s">
        <v>209</v>
      </c>
      <c r="B937" s="13" t="s">
        <v>538</v>
      </c>
      <c r="C937" s="139">
        <v>46254</v>
      </c>
      <c r="D937" s="139" t="s">
        <v>516</v>
      </c>
      <c r="E937" s="28">
        <v>0.95057042999999997</v>
      </c>
      <c r="F937" s="13"/>
      <c r="G937" s="18">
        <v>3621557.13</v>
      </c>
      <c r="H937" s="18">
        <v>3442545.13</v>
      </c>
      <c r="I937" s="18">
        <v>3621557.13</v>
      </c>
      <c r="J937" s="18">
        <v>3442545.13</v>
      </c>
      <c r="K937" s="15">
        <v>568292</v>
      </c>
      <c r="L937" s="13" t="s">
        <v>102</v>
      </c>
      <c r="M937" s="13" t="s">
        <v>103</v>
      </c>
      <c r="N937" s="139" t="s">
        <v>374</v>
      </c>
      <c r="O937" s="139" t="s">
        <v>374</v>
      </c>
      <c r="P937" s="28">
        <v>26</v>
      </c>
      <c r="Q937" s="13" t="s">
        <v>54</v>
      </c>
      <c r="R937" s="13" t="s">
        <v>28</v>
      </c>
      <c r="S937" s="13"/>
      <c r="T937" s="13"/>
      <c r="U937" s="13" t="s">
        <v>1228</v>
      </c>
      <c r="V937" s="13" t="s">
        <v>1228</v>
      </c>
      <c r="W937" s="59">
        <f>+J937/$W$2</f>
        <v>7.7331298981730861E-5</v>
      </c>
    </row>
    <row r="938" spans="1:29">
      <c r="A938" s="13" t="s">
        <v>209</v>
      </c>
      <c r="B938" s="13" t="s">
        <v>538</v>
      </c>
      <c r="C938" s="139">
        <v>46254</v>
      </c>
      <c r="D938" s="139" t="s">
        <v>516</v>
      </c>
      <c r="E938" s="28">
        <v>0.95057044000000002</v>
      </c>
      <c r="F938" s="13"/>
      <c r="G938" s="18">
        <v>14947325.66</v>
      </c>
      <c r="H938" s="18">
        <v>14208485.93</v>
      </c>
      <c r="I938" s="18">
        <v>14947325.66</v>
      </c>
      <c r="J938" s="18">
        <v>14208485.93</v>
      </c>
      <c r="K938" s="15">
        <v>568359</v>
      </c>
      <c r="L938" s="13" t="s">
        <v>102</v>
      </c>
      <c r="M938" s="13" t="s">
        <v>103</v>
      </c>
      <c r="N938" s="139" t="s">
        <v>374</v>
      </c>
      <c r="O938" s="139" t="s">
        <v>374</v>
      </c>
      <c r="P938" s="28">
        <v>26</v>
      </c>
      <c r="Q938" s="13" t="s">
        <v>54</v>
      </c>
      <c r="R938" s="13" t="s">
        <v>28</v>
      </c>
      <c r="S938" s="13"/>
      <c r="T938" s="13"/>
      <c r="U938" s="13" t="s">
        <v>1229</v>
      </c>
      <c r="V938" s="13" t="s">
        <v>1229</v>
      </c>
      <c r="W938" s="59">
        <f>+J938/$W$2</f>
        <v>3.1917102958372727E-4</v>
      </c>
    </row>
    <row r="939" spans="1:29">
      <c r="A939" s="13" t="s">
        <v>209</v>
      </c>
      <c r="B939" s="13" t="s">
        <v>538</v>
      </c>
      <c r="C939" s="139">
        <v>46254</v>
      </c>
      <c r="D939" s="139" t="s">
        <v>516</v>
      </c>
      <c r="E939" s="28">
        <v>0.95057044000000002</v>
      </c>
      <c r="F939" s="13"/>
      <c r="G939" s="18">
        <v>10604114.439999999</v>
      </c>
      <c r="H939" s="18">
        <v>10079957.73</v>
      </c>
      <c r="I939" s="18">
        <v>10604114.439999999</v>
      </c>
      <c r="J939" s="18">
        <v>10079957.73</v>
      </c>
      <c r="K939" s="15">
        <v>568349</v>
      </c>
      <c r="L939" s="13" t="s">
        <v>102</v>
      </c>
      <c r="M939" s="13" t="s">
        <v>103</v>
      </c>
      <c r="N939" s="139" t="s">
        <v>374</v>
      </c>
      <c r="O939" s="139" t="s">
        <v>374</v>
      </c>
      <c r="P939" s="28">
        <v>26</v>
      </c>
      <c r="Q939" s="13" t="s">
        <v>54</v>
      </c>
      <c r="R939" s="13" t="s">
        <v>28</v>
      </c>
      <c r="S939" s="13"/>
      <c r="T939" s="13"/>
      <c r="U939" s="13" t="s">
        <v>1230</v>
      </c>
      <c r="V939" s="13" t="s">
        <v>1230</v>
      </c>
      <c r="W939" s="59">
        <f>+J939/$W$2</f>
        <v>2.264302123881929E-4</v>
      </c>
    </row>
    <row r="940" spans="1:29">
      <c r="A940" s="13" t="s">
        <v>993</v>
      </c>
      <c r="B940" s="13" t="s">
        <v>538</v>
      </c>
      <c r="C940" s="139">
        <v>46254</v>
      </c>
      <c r="D940" s="139" t="s">
        <v>516</v>
      </c>
      <c r="E940" s="28">
        <v>0.94517960000000001</v>
      </c>
      <c r="F940" s="13"/>
      <c r="G940" s="18">
        <v>6410198.7999999998</v>
      </c>
      <c r="H940" s="18">
        <v>6058789.1600000001</v>
      </c>
      <c r="I940" s="18">
        <v>6410198.7999999998</v>
      </c>
      <c r="J940" s="18">
        <v>6058789.1600000001</v>
      </c>
      <c r="K940" s="15">
        <v>5612</v>
      </c>
      <c r="L940" s="13" t="s">
        <v>102</v>
      </c>
      <c r="M940" s="13" t="s">
        <v>103</v>
      </c>
      <c r="N940" s="139" t="s">
        <v>344</v>
      </c>
      <c r="O940" s="139" t="s">
        <v>344</v>
      </c>
      <c r="P940" s="28">
        <v>29</v>
      </c>
      <c r="Q940" s="13" t="s">
        <v>54</v>
      </c>
      <c r="R940" s="13" t="s">
        <v>28</v>
      </c>
      <c r="S940" s="13"/>
      <c r="T940" s="13"/>
      <c r="U940" s="13" t="s">
        <v>1065</v>
      </c>
      <c r="V940" s="13" t="s">
        <v>1065</v>
      </c>
      <c r="W940" s="59">
        <f>+J940/$W$2</f>
        <v>1.3610105846287917E-4</v>
      </c>
    </row>
    <row r="941" spans="1:29">
      <c r="A941" s="13" t="s">
        <v>993</v>
      </c>
      <c r="B941" s="13" t="s">
        <v>538</v>
      </c>
      <c r="C941" s="139">
        <v>46254</v>
      </c>
      <c r="D941" s="139" t="s">
        <v>516</v>
      </c>
      <c r="E941" s="28">
        <v>0.94517960000000001</v>
      </c>
      <c r="F941" s="13"/>
      <c r="G941" s="18">
        <v>5184831.3600000003</v>
      </c>
      <c r="H941" s="18">
        <v>4900596.8499999996</v>
      </c>
      <c r="I941" s="18">
        <v>5184831.3600000003</v>
      </c>
      <c r="J941" s="18">
        <v>4900596.8499999996</v>
      </c>
      <c r="K941" s="15">
        <v>6881</v>
      </c>
      <c r="L941" s="13" t="s">
        <v>102</v>
      </c>
      <c r="M941" s="13" t="s">
        <v>103</v>
      </c>
      <c r="N941" s="139" t="s">
        <v>344</v>
      </c>
      <c r="O941" s="139" t="s">
        <v>344</v>
      </c>
      <c r="P941" s="28">
        <v>29</v>
      </c>
      <c r="Q941" s="13" t="s">
        <v>54</v>
      </c>
      <c r="R941" s="13" t="s">
        <v>28</v>
      </c>
      <c r="S941" s="13"/>
      <c r="T941" s="13"/>
      <c r="U941" s="13" t="s">
        <v>1066</v>
      </c>
      <c r="V941" s="13" t="s">
        <v>1066</v>
      </c>
      <c r="W941" s="59">
        <f>+J941/$W$2</f>
        <v>1.1008411099501793E-4</v>
      </c>
    </row>
    <row r="942" spans="1:29">
      <c r="A942" s="13" t="s">
        <v>993</v>
      </c>
      <c r="B942" s="13" t="s">
        <v>538</v>
      </c>
      <c r="C942" s="139">
        <v>46254</v>
      </c>
      <c r="D942" s="139" t="s">
        <v>516</v>
      </c>
      <c r="E942" s="28">
        <v>0.94339627999999998</v>
      </c>
      <c r="F942" s="13"/>
      <c r="G942" s="18">
        <v>1040000</v>
      </c>
      <c r="H942" s="18">
        <v>981132.13</v>
      </c>
      <c r="I942" s="18">
        <v>1040000</v>
      </c>
      <c r="J942" s="18">
        <v>981132.13</v>
      </c>
      <c r="K942" s="15">
        <v>13301548</v>
      </c>
      <c r="L942" s="13" t="s">
        <v>102</v>
      </c>
      <c r="M942" s="13" t="s">
        <v>103</v>
      </c>
      <c r="N942" s="139" t="s">
        <v>359</v>
      </c>
      <c r="O942" s="139" t="s">
        <v>359</v>
      </c>
      <c r="P942" s="28">
        <v>30</v>
      </c>
      <c r="Q942" s="13" t="s">
        <v>54</v>
      </c>
      <c r="R942" s="13" t="s">
        <v>28</v>
      </c>
      <c r="S942" s="13"/>
      <c r="T942" s="13"/>
      <c r="U942" s="13" t="s">
        <v>1297</v>
      </c>
      <c r="V942" s="13" t="s">
        <v>1297</v>
      </c>
      <c r="W942" s="59">
        <f>+J942/$W$2</f>
        <v>2.2039572241021699E-5</v>
      </c>
    </row>
    <row r="943" spans="1:29">
      <c r="A943" s="13" t="s">
        <v>993</v>
      </c>
      <c r="B943" s="13" t="s">
        <v>538</v>
      </c>
      <c r="C943" s="139">
        <v>46254</v>
      </c>
      <c r="D943" s="139" t="s">
        <v>516</v>
      </c>
      <c r="E943" s="28">
        <v>0.94339627999999998</v>
      </c>
      <c r="F943" s="13"/>
      <c r="G943" s="18">
        <v>1040000</v>
      </c>
      <c r="H943" s="18">
        <v>981132.13</v>
      </c>
      <c r="I943" s="18">
        <v>1040000</v>
      </c>
      <c r="J943" s="18">
        <v>981132.13</v>
      </c>
      <c r="K943" s="15">
        <v>19101547</v>
      </c>
      <c r="L943" s="13" t="s">
        <v>102</v>
      </c>
      <c r="M943" s="13" t="s">
        <v>103</v>
      </c>
      <c r="N943" s="139" t="s">
        <v>359</v>
      </c>
      <c r="O943" s="139" t="s">
        <v>359</v>
      </c>
      <c r="P943" s="28">
        <v>30</v>
      </c>
      <c r="Q943" s="13" t="s">
        <v>54</v>
      </c>
      <c r="R943" s="13" t="s">
        <v>28</v>
      </c>
      <c r="S943" s="13"/>
      <c r="T943" s="13"/>
      <c r="U943" s="13" t="s">
        <v>1303</v>
      </c>
      <c r="V943" s="13" t="s">
        <v>1303</v>
      </c>
      <c r="W943" s="59">
        <f>+J943/$W$2</f>
        <v>2.2039572241021699E-5</v>
      </c>
    </row>
    <row r="944" spans="1:29">
      <c r="A944" s="13" t="s">
        <v>339</v>
      </c>
      <c r="B944" s="13" t="s">
        <v>538</v>
      </c>
      <c r="C944" s="139">
        <v>46254</v>
      </c>
      <c r="D944" s="139" t="s">
        <v>516</v>
      </c>
      <c r="E944" s="28">
        <v>0.94517967000000003</v>
      </c>
      <c r="F944" s="13"/>
      <c r="G944" s="18">
        <v>10000000</v>
      </c>
      <c r="H944" s="18">
        <v>9451796.6600000001</v>
      </c>
      <c r="I944" s="18">
        <v>10000000</v>
      </c>
      <c r="J944" s="18">
        <v>9451796.6600000001</v>
      </c>
      <c r="K944" s="15">
        <v>2150</v>
      </c>
      <c r="L944" s="13" t="s">
        <v>102</v>
      </c>
      <c r="M944" s="13" t="s">
        <v>103</v>
      </c>
      <c r="N944" s="139" t="s">
        <v>395</v>
      </c>
      <c r="O944" s="139" t="s">
        <v>395</v>
      </c>
      <c r="P944" s="28">
        <v>29</v>
      </c>
      <c r="Q944" s="13" t="s">
        <v>54</v>
      </c>
      <c r="R944" s="13" t="s">
        <v>28</v>
      </c>
      <c r="S944" s="13"/>
      <c r="T944" s="13"/>
      <c r="U944" s="13" t="s">
        <v>1250</v>
      </c>
      <c r="V944" s="13" t="s">
        <v>1250</v>
      </c>
      <c r="W944" s="59">
        <f>+J944/$W$2</f>
        <v>2.1231957340497819E-4</v>
      </c>
    </row>
    <row r="945" spans="1:29">
      <c r="A945" s="13" t="s">
        <v>380</v>
      </c>
      <c r="B945" s="13" t="s">
        <v>538</v>
      </c>
      <c r="C945" s="139">
        <v>46254</v>
      </c>
      <c r="D945" s="139" t="s">
        <v>516</v>
      </c>
      <c r="E945" s="28">
        <v>0.94339627000000004</v>
      </c>
      <c r="F945" s="13"/>
      <c r="G945" s="18">
        <v>13500000</v>
      </c>
      <c r="H945" s="18">
        <v>12735849.630000001</v>
      </c>
      <c r="I945" s="18">
        <v>13500000</v>
      </c>
      <c r="J945" s="18">
        <v>12735849.630000001</v>
      </c>
      <c r="K945" s="15">
        <v>32806</v>
      </c>
      <c r="L945" s="13" t="s">
        <v>102</v>
      </c>
      <c r="M945" s="13" t="s">
        <v>103</v>
      </c>
      <c r="N945" s="139" t="s">
        <v>473</v>
      </c>
      <c r="O945" s="139" t="s">
        <v>473</v>
      </c>
      <c r="P945" s="28">
        <v>30</v>
      </c>
      <c r="Q945" s="13" t="s">
        <v>54</v>
      </c>
      <c r="R945" s="13" t="s">
        <v>28</v>
      </c>
      <c r="S945" s="13"/>
      <c r="T945" s="13"/>
      <c r="U945" s="13" t="s">
        <v>1444</v>
      </c>
      <c r="V945" s="13" t="s">
        <v>1444</v>
      </c>
      <c r="W945" s="59">
        <f>+J945/$W$2</f>
        <v>2.8609059818596958E-4</v>
      </c>
    </row>
    <row r="946" spans="1:29">
      <c r="A946" s="13" t="s">
        <v>198</v>
      </c>
      <c r="B946" s="13" t="s">
        <v>538</v>
      </c>
      <c r="C946" s="139">
        <v>46254</v>
      </c>
      <c r="D946" s="139" t="s">
        <v>516</v>
      </c>
      <c r="E946" s="28">
        <v>0.96153849999999996</v>
      </c>
      <c r="F946" s="13"/>
      <c r="G946" s="18">
        <v>2500000</v>
      </c>
      <c r="H946" s="18">
        <v>2403846.25</v>
      </c>
      <c r="I946" s="18">
        <v>2500000</v>
      </c>
      <c r="J946" s="18">
        <v>2403846.25</v>
      </c>
      <c r="K946" s="15">
        <v>6135</v>
      </c>
      <c r="L946" s="13" t="s">
        <v>102</v>
      </c>
      <c r="M946" s="13" t="s">
        <v>103</v>
      </c>
      <c r="N946" s="139" t="s">
        <v>335</v>
      </c>
      <c r="O946" s="139" t="s">
        <v>335</v>
      </c>
      <c r="P946" s="28">
        <v>20</v>
      </c>
      <c r="Q946" s="13" t="s">
        <v>54</v>
      </c>
      <c r="R946" s="13" t="s">
        <v>28</v>
      </c>
      <c r="S946" s="13"/>
      <c r="T946" s="13"/>
      <c r="U946" s="13" t="s">
        <v>1744</v>
      </c>
      <c r="V946" s="13" t="s">
        <v>1744</v>
      </c>
      <c r="W946" s="59">
        <f>+J946/$W$2</f>
        <v>5.3998581295247262E-5</v>
      </c>
    </row>
    <row r="947" spans="1:29">
      <c r="A947" s="13" t="s">
        <v>198</v>
      </c>
      <c r="B947" s="13" t="s">
        <v>538</v>
      </c>
      <c r="C947" s="139">
        <v>46254</v>
      </c>
      <c r="D947" s="139" t="s">
        <v>516</v>
      </c>
      <c r="E947" s="28">
        <v>0.96153849999999996</v>
      </c>
      <c r="F947" s="13"/>
      <c r="G947" s="18">
        <v>2500000</v>
      </c>
      <c r="H947" s="18">
        <v>2403846.25</v>
      </c>
      <c r="I947" s="18">
        <v>2500000</v>
      </c>
      <c r="J947" s="18">
        <v>2403846.25</v>
      </c>
      <c r="K947" s="15">
        <v>6134</v>
      </c>
      <c r="L947" s="13" t="s">
        <v>102</v>
      </c>
      <c r="M947" s="13" t="s">
        <v>103</v>
      </c>
      <c r="N947" s="139" t="s">
        <v>335</v>
      </c>
      <c r="O947" s="139" t="s">
        <v>335</v>
      </c>
      <c r="P947" s="28">
        <v>20</v>
      </c>
      <c r="Q947" s="13" t="s">
        <v>54</v>
      </c>
      <c r="R947" s="13" t="s">
        <v>28</v>
      </c>
      <c r="S947" s="13"/>
      <c r="T947" s="13"/>
      <c r="U947" s="13" t="s">
        <v>1746</v>
      </c>
      <c r="V947" s="13" t="s">
        <v>1746</v>
      </c>
      <c r="W947" s="59">
        <f>+J947/$W$2</f>
        <v>5.3998581295247262E-5</v>
      </c>
    </row>
    <row r="948" spans="1:29">
      <c r="A948" s="13" t="s">
        <v>1402</v>
      </c>
      <c r="B948" s="13" t="s">
        <v>538</v>
      </c>
      <c r="C948" s="139">
        <v>46254</v>
      </c>
      <c r="D948" s="139" t="s">
        <v>516</v>
      </c>
      <c r="E948" s="28">
        <v>0.94696977000000004</v>
      </c>
      <c r="F948" s="13"/>
      <c r="G948" s="18">
        <v>5000000</v>
      </c>
      <c r="H948" s="18">
        <v>4734848.83</v>
      </c>
      <c r="I948" s="18">
        <v>5000000</v>
      </c>
      <c r="J948" s="18">
        <v>4734848.83</v>
      </c>
      <c r="K948" s="15">
        <v>29175486</v>
      </c>
      <c r="L948" s="13" t="s">
        <v>102</v>
      </c>
      <c r="M948" s="13" t="s">
        <v>103</v>
      </c>
      <c r="N948" s="139" t="s">
        <v>379</v>
      </c>
      <c r="O948" s="139" t="s">
        <v>379</v>
      </c>
      <c r="P948" s="28">
        <v>28</v>
      </c>
      <c r="Q948" s="13" t="s">
        <v>54</v>
      </c>
      <c r="R948" s="13" t="s">
        <v>28</v>
      </c>
      <c r="S948" s="13"/>
      <c r="T948" s="13"/>
      <c r="U948" s="13" t="s">
        <v>1375</v>
      </c>
      <c r="V948" s="13" t="s">
        <v>1375</v>
      </c>
      <c r="W948" s="59">
        <f>+J948/$W$2</f>
        <v>1.0636084544403011E-4</v>
      </c>
    </row>
    <row r="949" spans="1:29">
      <c r="A949" s="13" t="s">
        <v>1402</v>
      </c>
      <c r="B949" s="13" t="s">
        <v>538</v>
      </c>
      <c r="C949" s="139">
        <v>46254</v>
      </c>
      <c r="D949" s="139" t="s">
        <v>516</v>
      </c>
      <c r="E949" s="28">
        <v>0.94696977000000004</v>
      </c>
      <c r="F949" s="13"/>
      <c r="G949" s="18">
        <v>5000000</v>
      </c>
      <c r="H949" s="18">
        <v>4734848.83</v>
      </c>
      <c r="I949" s="18">
        <v>5000000</v>
      </c>
      <c r="J949" s="18">
        <v>4734848.83</v>
      </c>
      <c r="K949" s="15">
        <v>29175484</v>
      </c>
      <c r="L949" s="13" t="s">
        <v>102</v>
      </c>
      <c r="M949" s="13" t="s">
        <v>103</v>
      </c>
      <c r="N949" s="139" t="s">
        <v>379</v>
      </c>
      <c r="O949" s="139" t="s">
        <v>379</v>
      </c>
      <c r="P949" s="28">
        <v>28</v>
      </c>
      <c r="Q949" s="13" t="s">
        <v>54</v>
      </c>
      <c r="R949" s="13" t="s">
        <v>28</v>
      </c>
      <c r="S949" s="13"/>
      <c r="T949" s="13"/>
      <c r="U949" s="13" t="s">
        <v>1383</v>
      </c>
      <c r="V949" s="13" t="s">
        <v>1383</v>
      </c>
      <c r="W949" s="59">
        <f>+J949/$W$2</f>
        <v>1.0636084544403011E-4</v>
      </c>
    </row>
    <row r="950" spans="1:29">
      <c r="A950" s="13" t="s">
        <v>2006</v>
      </c>
      <c r="B950" s="13" t="s">
        <v>538</v>
      </c>
      <c r="C950" s="139">
        <v>46255</v>
      </c>
      <c r="D950" s="139" t="s">
        <v>516</v>
      </c>
      <c r="E950" s="28">
        <v>0.93907600999999996</v>
      </c>
      <c r="F950" s="13"/>
      <c r="G950" s="18">
        <v>3090647.25</v>
      </c>
      <c r="H950" s="18">
        <v>2902352.7</v>
      </c>
      <c r="I950" s="18">
        <v>3090647.25</v>
      </c>
      <c r="J950" s="18">
        <v>2902352.7</v>
      </c>
      <c r="K950" s="15">
        <v>13647457</v>
      </c>
      <c r="L950" s="13" t="s">
        <v>102</v>
      </c>
      <c r="M950" s="13" t="s">
        <v>103</v>
      </c>
      <c r="N950" s="139" t="s">
        <v>394</v>
      </c>
      <c r="O950" s="139" t="s">
        <v>394</v>
      </c>
      <c r="P950" s="28">
        <v>32</v>
      </c>
      <c r="Q950" s="13" t="s">
        <v>54</v>
      </c>
      <c r="R950" s="13" t="s">
        <v>28</v>
      </c>
      <c r="S950" s="13"/>
      <c r="T950" s="13"/>
      <c r="U950" s="13" t="s">
        <v>2010</v>
      </c>
      <c r="V950" s="13" t="s">
        <v>2010</v>
      </c>
      <c r="W950" s="59">
        <f>+J950/$W$2</f>
        <v>6.5196735530997617E-5</v>
      </c>
      <c r="AC950" s="56"/>
    </row>
    <row r="951" spans="1:29">
      <c r="A951" s="13" t="s">
        <v>550</v>
      </c>
      <c r="B951" s="13" t="s">
        <v>538</v>
      </c>
      <c r="C951" s="139">
        <v>46255</v>
      </c>
      <c r="D951" s="139" t="s">
        <v>516</v>
      </c>
      <c r="E951" s="28">
        <v>0.93374276</v>
      </c>
      <c r="F951" s="13"/>
      <c r="G951" s="18">
        <v>16600000</v>
      </c>
      <c r="H951" s="18">
        <v>15500129.82</v>
      </c>
      <c r="I951" s="18">
        <v>16600000</v>
      </c>
      <c r="J951" s="18">
        <v>15500129.82</v>
      </c>
      <c r="K951" s="15">
        <v>29088026</v>
      </c>
      <c r="L951" s="13" t="s">
        <v>102</v>
      </c>
      <c r="M951" s="13" t="s">
        <v>103</v>
      </c>
      <c r="N951" s="139" t="s">
        <v>152</v>
      </c>
      <c r="O951" s="139" t="s">
        <v>152</v>
      </c>
      <c r="P951" s="28">
        <v>35</v>
      </c>
      <c r="Q951" s="13" t="s">
        <v>54</v>
      </c>
      <c r="R951" s="13" t="s">
        <v>28</v>
      </c>
      <c r="S951" s="13"/>
      <c r="T951" s="13"/>
      <c r="U951" s="13" t="s">
        <v>779</v>
      </c>
      <c r="V951" s="13" t="s">
        <v>779</v>
      </c>
      <c r="W951" s="59">
        <f>+J951/$W$2</f>
        <v>3.4818575446418686E-4</v>
      </c>
    </row>
    <row r="952" spans="1:29">
      <c r="A952" s="13" t="s">
        <v>1830</v>
      </c>
      <c r="B952" s="13" t="s">
        <v>538</v>
      </c>
      <c r="C952" s="139">
        <v>46255</v>
      </c>
      <c r="D952" s="139" t="s">
        <v>516</v>
      </c>
      <c r="E952" s="28">
        <v>0.9372916</v>
      </c>
      <c r="F952" s="13"/>
      <c r="G952" s="18">
        <v>1698044.02</v>
      </c>
      <c r="H952" s="18">
        <v>1591562.4</v>
      </c>
      <c r="I952" s="18">
        <v>1698044.02</v>
      </c>
      <c r="J952" s="18">
        <v>1591562.4</v>
      </c>
      <c r="K952" s="15">
        <v>67243116</v>
      </c>
      <c r="L952" s="13" t="s">
        <v>102</v>
      </c>
      <c r="M952" s="13" t="s">
        <v>103</v>
      </c>
      <c r="N952" s="139" t="s">
        <v>335</v>
      </c>
      <c r="O952" s="139" t="s">
        <v>335</v>
      </c>
      <c r="P952" s="28">
        <v>33</v>
      </c>
      <c r="Q952" s="13" t="s">
        <v>54</v>
      </c>
      <c r="R952" s="13" t="s">
        <v>28</v>
      </c>
      <c r="S952" s="13"/>
      <c r="T952" s="13"/>
      <c r="U952" s="13" t="s">
        <v>1801</v>
      </c>
      <c r="V952" s="13" t="s">
        <v>1801</v>
      </c>
      <c r="W952" s="59">
        <f>+J952/$W$2</f>
        <v>3.5751917013352592E-5</v>
      </c>
      <c r="AC952" s="56"/>
    </row>
    <row r="953" spans="1:29">
      <c r="A953" s="13" t="s">
        <v>2044</v>
      </c>
      <c r="B953" s="13" t="s">
        <v>538</v>
      </c>
      <c r="C953" s="139">
        <v>46255</v>
      </c>
      <c r="D953" s="139" t="s">
        <v>516</v>
      </c>
      <c r="E953" s="28">
        <v>0.93907600999999996</v>
      </c>
      <c r="F953" s="13"/>
      <c r="G953" s="18">
        <v>1000000</v>
      </c>
      <c r="H953" s="18">
        <v>939076.01</v>
      </c>
      <c r="I953" s="18">
        <v>1000000</v>
      </c>
      <c r="J953" s="18">
        <v>939076.01</v>
      </c>
      <c r="K953" s="15">
        <v>67277718</v>
      </c>
      <c r="L953" s="13" t="s">
        <v>102</v>
      </c>
      <c r="M953" s="13" t="s">
        <v>103</v>
      </c>
      <c r="N953" s="139" t="s">
        <v>394</v>
      </c>
      <c r="O953" s="139" t="s">
        <v>394</v>
      </c>
      <c r="P953" s="28">
        <v>32</v>
      </c>
      <c r="Q953" s="13" t="s">
        <v>54</v>
      </c>
      <c r="R953" s="13" t="s">
        <v>28</v>
      </c>
      <c r="S953" s="13"/>
      <c r="T953" s="13"/>
      <c r="U953" s="13" t="s">
        <v>2052</v>
      </c>
      <c r="V953" s="13" t="s">
        <v>2052</v>
      </c>
      <c r="W953" s="59">
        <f>+J953/$W$2</f>
        <v>2.1094848419861057E-5</v>
      </c>
    </row>
    <row r="954" spans="1:29">
      <c r="A954" s="13" t="s">
        <v>539</v>
      </c>
      <c r="B954" s="13" t="s">
        <v>538</v>
      </c>
      <c r="C954" s="139">
        <v>46255</v>
      </c>
      <c r="D954" s="139" t="s">
        <v>516</v>
      </c>
      <c r="E954" s="28">
        <v>0.94266552000000003</v>
      </c>
      <c r="F954" s="13"/>
      <c r="G954" s="18">
        <v>10000000</v>
      </c>
      <c r="H954" s="18">
        <v>9426655.2200000007</v>
      </c>
      <c r="I954" s="18">
        <v>10000000</v>
      </c>
      <c r="J954" s="18">
        <v>9426655.2200000007</v>
      </c>
      <c r="K954" s="15">
        <v>609</v>
      </c>
      <c r="L954" s="13" t="s">
        <v>102</v>
      </c>
      <c r="M954" s="13" t="s">
        <v>103</v>
      </c>
      <c r="N954" s="139" t="s">
        <v>361</v>
      </c>
      <c r="O954" s="139" t="s">
        <v>361</v>
      </c>
      <c r="P954" s="28">
        <v>30</v>
      </c>
      <c r="Q954" s="13" t="s">
        <v>54</v>
      </c>
      <c r="R954" s="13" t="s">
        <v>28</v>
      </c>
      <c r="S954" s="13"/>
      <c r="T954" s="13"/>
      <c r="U954" s="13" t="s">
        <v>2080</v>
      </c>
      <c r="V954" s="13" t="s">
        <v>2080</v>
      </c>
      <c r="W954" s="59">
        <f>+J954/$W$2</f>
        <v>2.1175481095741334E-4</v>
      </c>
    </row>
    <row r="955" spans="1:29">
      <c r="A955" s="13" t="s">
        <v>539</v>
      </c>
      <c r="B955" s="13" t="s">
        <v>538</v>
      </c>
      <c r="C955" s="139">
        <v>46255</v>
      </c>
      <c r="D955" s="139" t="s">
        <v>516</v>
      </c>
      <c r="E955" s="28">
        <v>0.94266530999999998</v>
      </c>
      <c r="F955" s="13"/>
      <c r="G955" s="18">
        <v>10000000</v>
      </c>
      <c r="H955" s="18">
        <v>9426653.0899999999</v>
      </c>
      <c r="I955" s="18">
        <v>10000000</v>
      </c>
      <c r="J955" s="18">
        <v>9426653.0899999999</v>
      </c>
      <c r="K955" s="15">
        <v>576</v>
      </c>
      <c r="L955" s="13" t="s">
        <v>102</v>
      </c>
      <c r="M955" s="13" t="s">
        <v>103</v>
      </c>
      <c r="N955" s="139" t="s">
        <v>175</v>
      </c>
      <c r="O955" s="139" t="s">
        <v>175</v>
      </c>
      <c r="P955" s="28">
        <v>30</v>
      </c>
      <c r="Q955" s="13" t="s">
        <v>54</v>
      </c>
      <c r="R955" s="13" t="s">
        <v>28</v>
      </c>
      <c r="S955" s="13"/>
      <c r="T955" s="13"/>
      <c r="U955" s="13" t="s">
        <v>1881</v>
      </c>
      <c r="V955" s="13" t="s">
        <v>1881</v>
      </c>
      <c r="W955" s="59">
        <f>+J955/$W$2</f>
        <v>2.1175476311035234E-4</v>
      </c>
    </row>
    <row r="956" spans="1:29">
      <c r="A956" s="13" t="s">
        <v>1960</v>
      </c>
      <c r="B956" s="13" t="s">
        <v>538</v>
      </c>
      <c r="C956" s="139">
        <v>46255</v>
      </c>
      <c r="D956" s="139" t="s">
        <v>516</v>
      </c>
      <c r="E956" s="28">
        <v>0.93729145000000003</v>
      </c>
      <c r="F956" s="13"/>
      <c r="G956" s="18">
        <v>2200000</v>
      </c>
      <c r="H956" s="18">
        <v>2062041.2</v>
      </c>
      <c r="I956" s="18">
        <v>2200000</v>
      </c>
      <c r="J956" s="18">
        <v>2062041.2</v>
      </c>
      <c r="K956" s="15">
        <v>6192</v>
      </c>
      <c r="L956" s="13" t="s">
        <v>102</v>
      </c>
      <c r="M956" s="13" t="s">
        <v>103</v>
      </c>
      <c r="N956" s="139" t="s">
        <v>369</v>
      </c>
      <c r="O956" s="139" t="s">
        <v>369</v>
      </c>
      <c r="P956" s="28">
        <v>33</v>
      </c>
      <c r="Q956" s="13" t="s">
        <v>54</v>
      </c>
      <c r="R956" s="13" t="s">
        <v>28</v>
      </c>
      <c r="S956" s="13"/>
      <c r="T956" s="13"/>
      <c r="U956" s="13" t="s">
        <v>1956</v>
      </c>
      <c r="V956" s="13" t="s">
        <v>1956</v>
      </c>
      <c r="W956" s="59">
        <f>+J956/$W$2</f>
        <v>4.6320474686078283E-5</v>
      </c>
    </row>
    <row r="957" spans="1:29">
      <c r="A957" s="13" t="s">
        <v>339</v>
      </c>
      <c r="B957" s="13" t="s">
        <v>538</v>
      </c>
      <c r="C957" s="139">
        <v>46255</v>
      </c>
      <c r="D957" s="139" t="s">
        <v>516</v>
      </c>
      <c r="E957" s="28">
        <v>0.94447035999999995</v>
      </c>
      <c r="F957" s="13"/>
      <c r="G957" s="18">
        <v>10000000</v>
      </c>
      <c r="H957" s="18">
        <v>9444703.5700000003</v>
      </c>
      <c r="I957" s="18">
        <v>10000000</v>
      </c>
      <c r="J957" s="18">
        <v>9444703.5700000003</v>
      </c>
      <c r="K957" s="15">
        <v>2151</v>
      </c>
      <c r="L957" s="13" t="s">
        <v>102</v>
      </c>
      <c r="M957" s="13" t="s">
        <v>103</v>
      </c>
      <c r="N957" s="139" t="s">
        <v>395</v>
      </c>
      <c r="O957" s="139" t="s">
        <v>395</v>
      </c>
      <c r="P957" s="28">
        <v>29</v>
      </c>
      <c r="Q957" s="13" t="s">
        <v>54</v>
      </c>
      <c r="R957" s="13" t="s">
        <v>28</v>
      </c>
      <c r="S957" s="13"/>
      <c r="T957" s="13"/>
      <c r="U957" s="13" t="s">
        <v>1241</v>
      </c>
      <c r="V957" s="13" t="s">
        <v>1241</v>
      </c>
      <c r="W957" s="59">
        <f>+J957/$W$2</f>
        <v>2.121602384237998E-4</v>
      </c>
      <c r="AC957" s="56"/>
    </row>
    <row r="958" spans="1:29">
      <c r="A958" s="13" t="s">
        <v>540</v>
      </c>
      <c r="B958" s="13" t="s">
        <v>538</v>
      </c>
      <c r="C958" s="139">
        <v>46258</v>
      </c>
      <c r="D958" s="139" t="s">
        <v>516</v>
      </c>
      <c r="E958" s="28">
        <v>0.92578510999999997</v>
      </c>
      <c r="F958" s="13"/>
      <c r="G958" s="18">
        <v>50000000</v>
      </c>
      <c r="H958" s="18">
        <v>46289255.539999999</v>
      </c>
      <c r="I958" s="18">
        <v>50000000</v>
      </c>
      <c r="J958" s="18">
        <v>46289255.539999999</v>
      </c>
      <c r="K958" s="15">
        <v>67105677</v>
      </c>
      <c r="L958" s="13" t="s">
        <v>102</v>
      </c>
      <c r="M958" s="13" t="s">
        <v>103</v>
      </c>
      <c r="N958" s="139" t="s">
        <v>391</v>
      </c>
      <c r="O958" s="139" t="s">
        <v>391</v>
      </c>
      <c r="P958" s="28">
        <v>38</v>
      </c>
      <c r="Q958" s="13" t="s">
        <v>54</v>
      </c>
      <c r="R958" s="13" t="s">
        <v>28</v>
      </c>
      <c r="S958" s="13"/>
      <c r="T958" s="13"/>
      <c r="U958" s="13" t="s">
        <v>1659</v>
      </c>
      <c r="V958" s="13" t="s">
        <v>1659</v>
      </c>
      <c r="W958" s="59">
        <f>+J958/$W$2</f>
        <v>1.0398144758106574E-3</v>
      </c>
    </row>
    <row r="959" spans="1:29">
      <c r="A959" s="13" t="s">
        <v>822</v>
      </c>
      <c r="B959" s="13" t="s">
        <v>538</v>
      </c>
      <c r="C959" s="139">
        <v>46258</v>
      </c>
      <c r="D959" s="139" t="s">
        <v>516</v>
      </c>
      <c r="E959" s="28">
        <v>0.92218299999999997</v>
      </c>
      <c r="F959" s="13"/>
      <c r="G959" s="18">
        <v>7551944</v>
      </c>
      <c r="H959" s="18">
        <v>6964274.3600000003</v>
      </c>
      <c r="I959" s="18">
        <v>7551944</v>
      </c>
      <c r="J959" s="18">
        <v>6964274.3600000003</v>
      </c>
      <c r="K959" s="15">
        <v>1825</v>
      </c>
      <c r="L959" s="13" t="s">
        <v>102</v>
      </c>
      <c r="M959" s="13" t="s">
        <v>103</v>
      </c>
      <c r="N959" s="139" t="s">
        <v>364</v>
      </c>
      <c r="O959" s="139" t="s">
        <v>364</v>
      </c>
      <c r="P959" s="28">
        <v>40</v>
      </c>
      <c r="Q959" s="13" t="s">
        <v>54</v>
      </c>
      <c r="R959" s="13" t="s">
        <v>28</v>
      </c>
      <c r="S959" s="13"/>
      <c r="T959" s="13"/>
      <c r="U959" s="13" t="s">
        <v>812</v>
      </c>
      <c r="V959" s="13" t="s">
        <v>812</v>
      </c>
      <c r="W959" s="59">
        <f>+J959/$W$2</f>
        <v>1.5644134278174659E-4</v>
      </c>
    </row>
    <row r="960" spans="1:29">
      <c r="A960" s="13" t="s">
        <v>822</v>
      </c>
      <c r="B960" s="13" t="s">
        <v>538</v>
      </c>
      <c r="C960" s="139">
        <v>46258</v>
      </c>
      <c r="D960" s="139" t="s">
        <v>516</v>
      </c>
      <c r="E960" s="28">
        <v>0.92218299999999997</v>
      </c>
      <c r="F960" s="13"/>
      <c r="G960" s="18">
        <v>7551944</v>
      </c>
      <c r="H960" s="18">
        <v>6964274.3600000003</v>
      </c>
      <c r="I960" s="18">
        <v>7551944</v>
      </c>
      <c r="J960" s="18">
        <v>6964274.3600000003</v>
      </c>
      <c r="K960" s="15">
        <v>1826</v>
      </c>
      <c r="L960" s="13" t="s">
        <v>102</v>
      </c>
      <c r="M960" s="13" t="s">
        <v>103</v>
      </c>
      <c r="N960" s="139" t="s">
        <v>364</v>
      </c>
      <c r="O960" s="139" t="s">
        <v>364</v>
      </c>
      <c r="P960" s="28">
        <v>40</v>
      </c>
      <c r="Q960" s="13" t="s">
        <v>54</v>
      </c>
      <c r="R960" s="13" t="s">
        <v>28</v>
      </c>
      <c r="S960" s="13"/>
      <c r="T960" s="13"/>
      <c r="U960" s="13" t="s">
        <v>814</v>
      </c>
      <c r="V960" s="13" t="s">
        <v>814</v>
      </c>
      <c r="W960" s="59">
        <f>+J960/$W$2</f>
        <v>1.5644134278174659E-4</v>
      </c>
    </row>
    <row r="961" spans="1:29">
      <c r="A961" s="13" t="s">
        <v>915</v>
      </c>
      <c r="B961" s="13" t="s">
        <v>538</v>
      </c>
      <c r="C961" s="139">
        <v>46258</v>
      </c>
      <c r="D961" s="139" t="s">
        <v>516</v>
      </c>
      <c r="E961" s="28">
        <v>0.93491468</v>
      </c>
      <c r="F961" s="13"/>
      <c r="G961" s="18">
        <v>5600000</v>
      </c>
      <c r="H961" s="18">
        <v>5235522.22</v>
      </c>
      <c r="I961" s="18">
        <v>5600000</v>
      </c>
      <c r="J961" s="18">
        <v>5235522.22</v>
      </c>
      <c r="K961" s="15">
        <v>3501251</v>
      </c>
      <c r="L961" s="13" t="s">
        <v>102</v>
      </c>
      <c r="M961" s="13" t="s">
        <v>103</v>
      </c>
      <c r="N961" s="139" t="s">
        <v>374</v>
      </c>
      <c r="O961" s="139" t="s">
        <v>374</v>
      </c>
      <c r="P961" s="28">
        <v>33</v>
      </c>
      <c r="Q961" s="13" t="s">
        <v>54</v>
      </c>
      <c r="R961" s="13" t="s">
        <v>28</v>
      </c>
      <c r="S961" s="13"/>
      <c r="T961" s="13"/>
      <c r="U961" s="13" t="s">
        <v>1198</v>
      </c>
      <c r="V961" s="13" t="s">
        <v>1198</v>
      </c>
      <c r="W961" s="59">
        <f>+J961/$W$2</f>
        <v>1.1760767653910619E-4</v>
      </c>
      <c r="AC961" s="56"/>
    </row>
    <row r="962" spans="1:29">
      <c r="A962" s="13" t="s">
        <v>1164</v>
      </c>
      <c r="B962" s="13" t="s">
        <v>538</v>
      </c>
      <c r="C962" s="139">
        <v>46258</v>
      </c>
      <c r="D962" s="139" t="s">
        <v>516</v>
      </c>
      <c r="E962" s="28">
        <v>0.92578501999999996</v>
      </c>
      <c r="F962" s="13"/>
      <c r="G962" s="18">
        <v>7865231.25</v>
      </c>
      <c r="H962" s="18">
        <v>7281513.2699999996</v>
      </c>
      <c r="I962" s="18">
        <v>7865231.25</v>
      </c>
      <c r="J962" s="18">
        <v>7281513.2699999996</v>
      </c>
      <c r="K962" s="15">
        <v>90000558</v>
      </c>
      <c r="L962" s="13" t="s">
        <v>102</v>
      </c>
      <c r="M962" s="13" t="s">
        <v>103</v>
      </c>
      <c r="N962" s="139" t="s">
        <v>344</v>
      </c>
      <c r="O962" s="139" t="s">
        <v>344</v>
      </c>
      <c r="P962" s="28">
        <v>38</v>
      </c>
      <c r="Q962" s="13" t="s">
        <v>54</v>
      </c>
      <c r="R962" s="13" t="s">
        <v>28</v>
      </c>
      <c r="S962" s="13"/>
      <c r="T962" s="13"/>
      <c r="U962" s="13" t="s">
        <v>1151</v>
      </c>
      <c r="V962" s="13" t="s">
        <v>1151</v>
      </c>
      <c r="W962" s="59">
        <f>+J962/$W$2</f>
        <v>1.6356761014250254E-4</v>
      </c>
    </row>
    <row r="963" spans="1:29">
      <c r="A963" s="13" t="s">
        <v>539</v>
      </c>
      <c r="B963" s="13" t="s">
        <v>538</v>
      </c>
      <c r="C963" s="139">
        <v>46258</v>
      </c>
      <c r="D963" s="139" t="s">
        <v>516</v>
      </c>
      <c r="E963" s="28">
        <v>0.94047928999999997</v>
      </c>
      <c r="F963" s="13"/>
      <c r="G963" s="18">
        <v>7500000</v>
      </c>
      <c r="H963" s="18">
        <v>7053594.6699999999</v>
      </c>
      <c r="I963" s="18">
        <v>7500000</v>
      </c>
      <c r="J963" s="18">
        <v>7053594.6699999999</v>
      </c>
      <c r="K963" s="15">
        <v>510</v>
      </c>
      <c r="L963" s="13" t="s">
        <v>102</v>
      </c>
      <c r="M963" s="13" t="s">
        <v>103</v>
      </c>
      <c r="N963" s="139" t="s">
        <v>390</v>
      </c>
      <c r="O963" s="139" t="s">
        <v>390</v>
      </c>
      <c r="P963" s="28">
        <v>30</v>
      </c>
      <c r="Q963" s="13" t="s">
        <v>54</v>
      </c>
      <c r="R963" s="13" t="s">
        <v>28</v>
      </c>
      <c r="S963" s="13"/>
      <c r="T963" s="13"/>
      <c r="U963" s="13" t="s">
        <v>1565</v>
      </c>
      <c r="V963" s="13" t="s">
        <v>1565</v>
      </c>
      <c r="W963" s="59">
        <f>+J963/$W$2</f>
        <v>1.5844778143016334E-4</v>
      </c>
    </row>
    <row r="964" spans="1:29">
      <c r="A964" s="13" t="s">
        <v>247</v>
      </c>
      <c r="B964" s="13" t="s">
        <v>538</v>
      </c>
      <c r="C964" s="139">
        <v>46258</v>
      </c>
      <c r="D964" s="139" t="s">
        <v>516</v>
      </c>
      <c r="E964" s="28">
        <v>0.93491468</v>
      </c>
      <c r="F964" s="13"/>
      <c r="G964" s="18">
        <v>2500000</v>
      </c>
      <c r="H964" s="18">
        <v>2337286.7000000002</v>
      </c>
      <c r="I964" s="18">
        <v>2500000</v>
      </c>
      <c r="J964" s="18">
        <v>2337286.7000000002</v>
      </c>
      <c r="K964" s="15">
        <v>1197</v>
      </c>
      <c r="L964" s="13" t="s">
        <v>102</v>
      </c>
      <c r="M964" s="13" t="s">
        <v>103</v>
      </c>
      <c r="N964" s="139" t="s">
        <v>163</v>
      </c>
      <c r="O964" s="139" t="s">
        <v>163</v>
      </c>
      <c r="P964" s="28">
        <v>33</v>
      </c>
      <c r="Q964" s="13" t="s">
        <v>54</v>
      </c>
      <c r="R964" s="13" t="s">
        <v>28</v>
      </c>
      <c r="S964" s="13"/>
      <c r="T964" s="13"/>
      <c r="U964" s="13" t="s">
        <v>1594</v>
      </c>
      <c r="V964" s="13" t="s">
        <v>1594</v>
      </c>
      <c r="W964" s="59">
        <f>+J964/$W$2</f>
        <v>5.2503426906047007E-5</v>
      </c>
    </row>
    <row r="965" spans="1:29">
      <c r="A965" s="13" t="s">
        <v>1960</v>
      </c>
      <c r="B965" s="13" t="s">
        <v>538</v>
      </c>
      <c r="C965" s="139">
        <v>46258</v>
      </c>
      <c r="D965" s="139" t="s">
        <v>516</v>
      </c>
      <c r="E965" s="28">
        <v>0.93491471999999998</v>
      </c>
      <c r="F965" s="13"/>
      <c r="G965" s="18">
        <v>2200000</v>
      </c>
      <c r="H965" s="18">
        <v>2056812.39</v>
      </c>
      <c r="I965" s="18">
        <v>2200000</v>
      </c>
      <c r="J965" s="18">
        <v>2056812.39</v>
      </c>
      <c r="K965" s="15">
        <v>6193</v>
      </c>
      <c r="L965" s="13" t="s">
        <v>102</v>
      </c>
      <c r="M965" s="13" t="s">
        <v>103</v>
      </c>
      <c r="N965" s="139" t="s">
        <v>369</v>
      </c>
      <c r="O965" s="139" t="s">
        <v>369</v>
      </c>
      <c r="P965" s="28">
        <v>33</v>
      </c>
      <c r="Q965" s="13" t="s">
        <v>54</v>
      </c>
      <c r="R965" s="13" t="s">
        <v>28</v>
      </c>
      <c r="S965" s="13"/>
      <c r="T965" s="13"/>
      <c r="U965" s="13" t="s">
        <v>1943</v>
      </c>
      <c r="V965" s="13" t="s">
        <v>1943</v>
      </c>
      <c r="W965" s="59">
        <f>+J965/$W$2</f>
        <v>4.6203017788881802E-5</v>
      </c>
    </row>
    <row r="966" spans="1:29">
      <c r="A966" s="13" t="s">
        <v>141</v>
      </c>
      <c r="B966" s="13" t="s">
        <v>538</v>
      </c>
      <c r="C966" s="139">
        <v>46258</v>
      </c>
      <c r="D966" s="139" t="s">
        <v>516</v>
      </c>
      <c r="E966" s="28">
        <v>0.9312414</v>
      </c>
      <c r="F966" s="13"/>
      <c r="G966" s="18">
        <v>100000000</v>
      </c>
      <c r="H966" s="18">
        <v>93124139.989999995</v>
      </c>
      <c r="I966" s="18">
        <v>100000000</v>
      </c>
      <c r="J966" s="18">
        <v>93124139.989999995</v>
      </c>
      <c r="K966" s="15">
        <v>7413</v>
      </c>
      <c r="L966" s="13" t="s">
        <v>102</v>
      </c>
      <c r="M966" s="13" t="s">
        <v>103</v>
      </c>
      <c r="N966" s="139" t="s">
        <v>382</v>
      </c>
      <c r="O966" s="139" t="s">
        <v>382</v>
      </c>
      <c r="P966" s="28">
        <v>35</v>
      </c>
      <c r="Q966" s="13" t="s">
        <v>54</v>
      </c>
      <c r="R966" s="13" t="s">
        <v>28</v>
      </c>
      <c r="S966" s="13"/>
      <c r="T966" s="13"/>
      <c r="U966" s="13" t="s">
        <v>1618</v>
      </c>
      <c r="V966" s="13" t="s">
        <v>1618</v>
      </c>
      <c r="W966" s="59">
        <f>+J966/$W$2</f>
        <v>2.0918856369453748E-3</v>
      </c>
    </row>
    <row r="967" spans="1:29">
      <c r="A967" s="13" t="s">
        <v>993</v>
      </c>
      <c r="B967" s="13" t="s">
        <v>538</v>
      </c>
      <c r="C967" s="139">
        <v>46258</v>
      </c>
      <c r="D967" s="139" t="s">
        <v>516</v>
      </c>
      <c r="E967" s="28">
        <v>0.94234894000000002</v>
      </c>
      <c r="F967" s="13"/>
      <c r="G967" s="18">
        <v>11923076.92</v>
      </c>
      <c r="H967" s="18">
        <v>11235698.880000001</v>
      </c>
      <c r="I967" s="18">
        <v>11923076.92</v>
      </c>
      <c r="J967" s="18">
        <v>11235698.880000001</v>
      </c>
      <c r="K967" s="15">
        <v>90021985</v>
      </c>
      <c r="L967" s="13" t="s">
        <v>102</v>
      </c>
      <c r="M967" s="13" t="s">
        <v>103</v>
      </c>
      <c r="N967" s="139" t="s">
        <v>359</v>
      </c>
      <c r="O967" s="139" t="s">
        <v>359</v>
      </c>
      <c r="P967" s="28">
        <v>29</v>
      </c>
      <c r="Q967" s="13" t="s">
        <v>54</v>
      </c>
      <c r="R967" s="13" t="s">
        <v>28</v>
      </c>
      <c r="S967" s="13"/>
      <c r="T967" s="13"/>
      <c r="U967" s="13" t="s">
        <v>1317</v>
      </c>
      <c r="V967" s="13" t="s">
        <v>1317</v>
      </c>
      <c r="W967" s="59">
        <f>+J967/$W$2</f>
        <v>2.5239209844664509E-4</v>
      </c>
    </row>
    <row r="968" spans="1:29">
      <c r="A968" s="13" t="s">
        <v>339</v>
      </c>
      <c r="B968" s="13" t="s">
        <v>538</v>
      </c>
      <c r="C968" s="139">
        <v>46258</v>
      </c>
      <c r="D968" s="139" t="s">
        <v>516</v>
      </c>
      <c r="E968" s="28">
        <v>0.94234896999999995</v>
      </c>
      <c r="F968" s="13"/>
      <c r="G968" s="18">
        <v>10000000</v>
      </c>
      <c r="H968" s="18">
        <v>9423489.6699999999</v>
      </c>
      <c r="I968" s="18">
        <v>10000000</v>
      </c>
      <c r="J968" s="18">
        <v>9423489.6699999999</v>
      </c>
      <c r="K968" s="15">
        <v>2152</v>
      </c>
      <c r="L968" s="13" t="s">
        <v>102</v>
      </c>
      <c r="M968" s="13" t="s">
        <v>103</v>
      </c>
      <c r="N968" s="139" t="s">
        <v>395</v>
      </c>
      <c r="O968" s="139" t="s">
        <v>395</v>
      </c>
      <c r="P968" s="28">
        <v>29</v>
      </c>
      <c r="Q968" s="13" t="s">
        <v>54</v>
      </c>
      <c r="R968" s="13" t="s">
        <v>28</v>
      </c>
      <c r="S968" s="13"/>
      <c r="T968" s="13"/>
      <c r="U968" s="13" t="s">
        <v>1247</v>
      </c>
      <c r="V968" s="13" t="s">
        <v>1247</v>
      </c>
      <c r="W968" s="59">
        <f>+J968/$W$2</f>
        <v>2.1168370191330572E-4</v>
      </c>
    </row>
    <row r="969" spans="1:29">
      <c r="A969" s="13" t="s">
        <v>339</v>
      </c>
      <c r="B969" s="13" t="s">
        <v>538</v>
      </c>
      <c r="C969" s="139">
        <v>46258</v>
      </c>
      <c r="D969" s="139" t="s">
        <v>516</v>
      </c>
      <c r="E969" s="28">
        <v>0.94234890999999998</v>
      </c>
      <c r="F969" s="13"/>
      <c r="G969" s="18">
        <v>10000000</v>
      </c>
      <c r="H969" s="18">
        <v>9423489.0500000007</v>
      </c>
      <c r="I969" s="18">
        <v>10000000</v>
      </c>
      <c r="J969" s="18">
        <v>9423489.0500000007</v>
      </c>
      <c r="K969" s="15">
        <v>66412292</v>
      </c>
      <c r="L969" s="13" t="s">
        <v>102</v>
      </c>
      <c r="M969" s="13" t="s">
        <v>103</v>
      </c>
      <c r="N969" s="139" t="s">
        <v>344</v>
      </c>
      <c r="O969" s="139" t="s">
        <v>344</v>
      </c>
      <c r="P969" s="28">
        <v>29</v>
      </c>
      <c r="Q969" s="13" t="s">
        <v>54</v>
      </c>
      <c r="R969" s="13" t="s">
        <v>28</v>
      </c>
      <c r="S969" s="13"/>
      <c r="T969" s="13"/>
      <c r="U969" s="13" t="s">
        <v>1121</v>
      </c>
      <c r="V969" s="13" t="s">
        <v>1121</v>
      </c>
      <c r="W969" s="59">
        <f>+J969/$W$2</f>
        <v>2.116836879859922E-4</v>
      </c>
      <c r="AC969" s="56"/>
    </row>
    <row r="970" spans="1:29">
      <c r="A970" s="13" t="s">
        <v>1291</v>
      </c>
      <c r="B970" s="13" t="s">
        <v>538</v>
      </c>
      <c r="C970" s="139">
        <v>46258</v>
      </c>
      <c r="D970" s="139" t="s">
        <v>516</v>
      </c>
      <c r="E970" s="28">
        <v>0.93491471999999998</v>
      </c>
      <c r="F970" s="13"/>
      <c r="G970" s="18">
        <v>10000000</v>
      </c>
      <c r="H970" s="18">
        <v>9349147.2300000004</v>
      </c>
      <c r="I970" s="18">
        <v>10000000</v>
      </c>
      <c r="J970" s="18">
        <v>9349147.2300000004</v>
      </c>
      <c r="K970" s="15">
        <v>3221</v>
      </c>
      <c r="L970" s="13" t="s">
        <v>102</v>
      </c>
      <c r="M970" s="13" t="s">
        <v>103</v>
      </c>
      <c r="N970" s="139" t="s">
        <v>369</v>
      </c>
      <c r="O970" s="139" t="s">
        <v>369</v>
      </c>
      <c r="P970" s="28">
        <v>33</v>
      </c>
      <c r="Q970" s="13" t="s">
        <v>54</v>
      </c>
      <c r="R970" s="13" t="s">
        <v>28</v>
      </c>
      <c r="S970" s="13"/>
      <c r="T970" s="13"/>
      <c r="U970" s="13" t="s">
        <v>1927</v>
      </c>
      <c r="V970" s="13" t="s">
        <v>1927</v>
      </c>
      <c r="W970" s="59">
        <f>+J970/$W$2</f>
        <v>2.1001371728345387E-4</v>
      </c>
    </row>
    <row r="971" spans="1:29">
      <c r="A971" s="13" t="s">
        <v>1828</v>
      </c>
      <c r="B971" s="13" t="s">
        <v>538</v>
      </c>
      <c r="C971" s="139">
        <v>46259</v>
      </c>
      <c r="D971" s="139" t="s">
        <v>516</v>
      </c>
      <c r="E971" s="28">
        <v>0.93412521999999998</v>
      </c>
      <c r="F971" s="13"/>
      <c r="G971" s="18">
        <v>3000000</v>
      </c>
      <c r="H971" s="18">
        <v>2802375.66</v>
      </c>
      <c r="I971" s="18">
        <v>3000000</v>
      </c>
      <c r="J971" s="18">
        <v>2802375.66</v>
      </c>
      <c r="K971" s="15">
        <v>90015796</v>
      </c>
      <c r="L971" s="13" t="s">
        <v>102</v>
      </c>
      <c r="M971" s="13" t="s">
        <v>103</v>
      </c>
      <c r="N971" s="139" t="s">
        <v>335</v>
      </c>
      <c r="O971" s="139" t="s">
        <v>335</v>
      </c>
      <c r="P971" s="28">
        <v>33</v>
      </c>
      <c r="Q971" s="13" t="s">
        <v>54</v>
      </c>
      <c r="R971" s="13" t="s">
        <v>28</v>
      </c>
      <c r="S971" s="13"/>
      <c r="T971" s="13"/>
      <c r="U971" s="13" t="s">
        <v>1792</v>
      </c>
      <c r="V971" s="13" t="s">
        <v>1792</v>
      </c>
      <c r="W971" s="59">
        <f>+J971/$W$2</f>
        <v>6.2950910398837777E-5</v>
      </c>
    </row>
    <row r="972" spans="1:29">
      <c r="A972" s="13" t="s">
        <v>2044</v>
      </c>
      <c r="B972" s="13" t="s">
        <v>538</v>
      </c>
      <c r="C972" s="139">
        <v>46259</v>
      </c>
      <c r="D972" s="139" t="s">
        <v>516</v>
      </c>
      <c r="E972" s="28">
        <v>0.93599357999999999</v>
      </c>
      <c r="F972" s="13"/>
      <c r="G972" s="18">
        <v>1000000</v>
      </c>
      <c r="H972" s="18">
        <v>935993.58</v>
      </c>
      <c r="I972" s="18">
        <v>1000000</v>
      </c>
      <c r="J972" s="18">
        <v>935993.58</v>
      </c>
      <c r="K972" s="15">
        <v>67277769</v>
      </c>
      <c r="L972" s="13" t="s">
        <v>102</v>
      </c>
      <c r="M972" s="13" t="s">
        <v>103</v>
      </c>
      <c r="N972" s="139" t="s">
        <v>394</v>
      </c>
      <c r="O972" s="139" t="s">
        <v>394</v>
      </c>
      <c r="P972" s="28">
        <v>32</v>
      </c>
      <c r="Q972" s="13" t="s">
        <v>54</v>
      </c>
      <c r="R972" s="13" t="s">
        <v>28</v>
      </c>
      <c r="S972" s="13"/>
      <c r="T972" s="13"/>
      <c r="U972" s="13" t="s">
        <v>2048</v>
      </c>
      <c r="V972" s="13" t="s">
        <v>2048</v>
      </c>
      <c r="W972" s="59">
        <f>+J972/$W$2</f>
        <v>2.1025606534302898E-5</v>
      </c>
    </row>
    <row r="973" spans="1:29">
      <c r="A973" s="13" t="s">
        <v>365</v>
      </c>
      <c r="B973" s="13" t="s">
        <v>538</v>
      </c>
      <c r="C973" s="139">
        <v>46259</v>
      </c>
      <c r="D973" s="139" t="s">
        <v>516</v>
      </c>
      <c r="E973" s="28">
        <v>0.93041041000000002</v>
      </c>
      <c r="F973" s="13"/>
      <c r="G973" s="18">
        <v>10000000</v>
      </c>
      <c r="H973" s="18">
        <v>9304104.0600000005</v>
      </c>
      <c r="I973" s="18">
        <v>10000000</v>
      </c>
      <c r="J973" s="18">
        <v>9304104.0600000005</v>
      </c>
      <c r="K973" s="15">
        <v>161</v>
      </c>
      <c r="L973" s="13" t="s">
        <v>102</v>
      </c>
      <c r="M973" s="13" t="s">
        <v>103</v>
      </c>
      <c r="N973" s="139" t="s">
        <v>431</v>
      </c>
      <c r="O973" s="139" t="s">
        <v>431</v>
      </c>
      <c r="P973" s="28">
        <v>35</v>
      </c>
      <c r="Q973" s="13" t="s">
        <v>54</v>
      </c>
      <c r="R973" s="13" t="s">
        <v>28</v>
      </c>
      <c r="S973" s="13"/>
      <c r="T973" s="13"/>
      <c r="U973" s="13" t="s">
        <v>1178</v>
      </c>
      <c r="V973" s="13" t="s">
        <v>1178</v>
      </c>
      <c r="W973" s="59">
        <f>+J973/$W$2</f>
        <v>2.0900189413667789E-4</v>
      </c>
      <c r="AC973" s="56"/>
    </row>
    <row r="974" spans="1:29">
      <c r="A974" s="13" t="s">
        <v>1960</v>
      </c>
      <c r="B974" s="13" t="s">
        <v>538</v>
      </c>
      <c r="C974" s="139">
        <v>46259</v>
      </c>
      <c r="D974" s="139" t="s">
        <v>516</v>
      </c>
      <c r="E974" s="28">
        <v>0.93412507</v>
      </c>
      <c r="F974" s="13"/>
      <c r="G974" s="18">
        <v>2200000</v>
      </c>
      <c r="H974" s="18">
        <v>2055075.15</v>
      </c>
      <c r="I974" s="18">
        <v>2200000</v>
      </c>
      <c r="J974" s="18">
        <v>2055075.15</v>
      </c>
      <c r="K974" s="15">
        <v>6194</v>
      </c>
      <c r="L974" s="13" t="s">
        <v>102</v>
      </c>
      <c r="M974" s="13" t="s">
        <v>103</v>
      </c>
      <c r="N974" s="139" t="s">
        <v>369</v>
      </c>
      <c r="O974" s="139" t="s">
        <v>369</v>
      </c>
      <c r="P974" s="28">
        <v>33</v>
      </c>
      <c r="Q974" s="13" t="s">
        <v>54</v>
      </c>
      <c r="R974" s="13" t="s">
        <v>28</v>
      </c>
      <c r="S974" s="13"/>
      <c r="T974" s="13"/>
      <c r="U974" s="13" t="s">
        <v>1957</v>
      </c>
      <c r="V974" s="13" t="s">
        <v>1957</v>
      </c>
      <c r="W974" s="59">
        <f>+J974/$W$2</f>
        <v>4.6163993456369122E-5</v>
      </c>
    </row>
    <row r="975" spans="1:29">
      <c r="A975" s="13" t="s">
        <v>325</v>
      </c>
      <c r="B975" s="13" t="s">
        <v>538</v>
      </c>
      <c r="C975" s="139">
        <v>46259</v>
      </c>
      <c r="D975" s="139" t="s">
        <v>516</v>
      </c>
      <c r="E975" s="28">
        <v>0.93412510000000004</v>
      </c>
      <c r="F975" s="13"/>
      <c r="G975" s="18">
        <v>50000000</v>
      </c>
      <c r="H975" s="18">
        <v>46706255.18</v>
      </c>
      <c r="I975" s="18">
        <v>50000000</v>
      </c>
      <c r="J975" s="18">
        <v>46706255.18</v>
      </c>
      <c r="K975" s="15">
        <v>29007567</v>
      </c>
      <c r="L975" s="13" t="s">
        <v>102</v>
      </c>
      <c r="M975" s="13" t="s">
        <v>103</v>
      </c>
      <c r="N975" s="139" t="s">
        <v>155</v>
      </c>
      <c r="O975" s="139" t="s">
        <v>155</v>
      </c>
      <c r="P975" s="28">
        <v>33</v>
      </c>
      <c r="Q975" s="13" t="s">
        <v>54</v>
      </c>
      <c r="R975" s="13" t="s">
        <v>28</v>
      </c>
      <c r="S975" s="13"/>
      <c r="T975" s="13"/>
      <c r="U975" s="13" t="s">
        <v>631</v>
      </c>
      <c r="V975" s="13" t="s">
        <v>631</v>
      </c>
      <c r="W975" s="59">
        <f>+J975/$W$2</f>
        <v>1.0491817092435898E-3</v>
      </c>
    </row>
    <row r="976" spans="1:29">
      <c r="A976" s="13" t="s">
        <v>993</v>
      </c>
      <c r="B976" s="13" t="s">
        <v>538</v>
      </c>
      <c r="C976" s="139">
        <v>46259</v>
      </c>
      <c r="D976" s="139" t="s">
        <v>516</v>
      </c>
      <c r="E976" s="28">
        <v>0.94164404000000002</v>
      </c>
      <c r="F976" s="13"/>
      <c r="G976" s="18">
        <v>40000000</v>
      </c>
      <c r="H976" s="18">
        <v>37665761.640000001</v>
      </c>
      <c r="I976" s="18">
        <v>40000000</v>
      </c>
      <c r="J976" s="18">
        <v>37665761.640000001</v>
      </c>
      <c r="K976" s="15">
        <v>80939847</v>
      </c>
      <c r="L976" s="13" t="s">
        <v>102</v>
      </c>
      <c r="M976" s="13" t="s">
        <v>103</v>
      </c>
      <c r="N976" s="139" t="s">
        <v>359</v>
      </c>
      <c r="O976" s="139" t="s">
        <v>359</v>
      </c>
      <c r="P976" s="28">
        <v>29</v>
      </c>
      <c r="Q976" s="13" t="s">
        <v>54</v>
      </c>
      <c r="R976" s="13" t="s">
        <v>28</v>
      </c>
      <c r="S976" s="13"/>
      <c r="T976" s="13"/>
      <c r="U976" s="13" t="s">
        <v>1319</v>
      </c>
      <c r="V976" s="13" t="s">
        <v>1319</v>
      </c>
      <c r="W976" s="59">
        <f>+J976/$W$2</f>
        <v>8.4610140601336121E-4</v>
      </c>
    </row>
    <row r="977" spans="1:29">
      <c r="A977" s="13" t="s">
        <v>339</v>
      </c>
      <c r="B977" s="13" t="s">
        <v>538</v>
      </c>
      <c r="C977" s="139">
        <v>46259</v>
      </c>
      <c r="D977" s="139" t="s">
        <v>516</v>
      </c>
      <c r="E977" s="28">
        <v>0.94164389999999998</v>
      </c>
      <c r="F977" s="13"/>
      <c r="G977" s="18">
        <v>10000000</v>
      </c>
      <c r="H977" s="18">
        <v>9416438.9900000002</v>
      </c>
      <c r="I977" s="18">
        <v>10000000</v>
      </c>
      <c r="J977" s="18">
        <v>9416438.9900000002</v>
      </c>
      <c r="K977" s="15">
        <v>2153</v>
      </c>
      <c r="L977" s="13" t="s">
        <v>102</v>
      </c>
      <c r="M977" s="13" t="s">
        <v>103</v>
      </c>
      <c r="N977" s="139" t="s">
        <v>395</v>
      </c>
      <c r="O977" s="139" t="s">
        <v>395</v>
      </c>
      <c r="P977" s="28">
        <v>29</v>
      </c>
      <c r="Q977" s="13" t="s">
        <v>54</v>
      </c>
      <c r="R977" s="13" t="s">
        <v>28</v>
      </c>
      <c r="S977" s="13"/>
      <c r="T977" s="13"/>
      <c r="U977" s="13" t="s">
        <v>1245</v>
      </c>
      <c r="V977" s="13" t="s">
        <v>1245</v>
      </c>
      <c r="W977" s="59">
        <f>+J977/$W$2</f>
        <v>2.1152531960529964E-4</v>
      </c>
    </row>
    <row r="978" spans="1:29">
      <c r="A978" s="13" t="s">
        <v>339</v>
      </c>
      <c r="B978" s="13" t="s">
        <v>538</v>
      </c>
      <c r="C978" s="139">
        <v>46259</v>
      </c>
      <c r="D978" s="139" t="s">
        <v>516</v>
      </c>
      <c r="E978" s="28">
        <v>0.94164393999999996</v>
      </c>
      <c r="F978" s="13"/>
      <c r="G978" s="18">
        <v>5500000</v>
      </c>
      <c r="H978" s="18">
        <v>5179041.6900000004</v>
      </c>
      <c r="I978" s="18">
        <v>5500000</v>
      </c>
      <c r="J978" s="18">
        <v>5179041.6900000004</v>
      </c>
      <c r="K978" s="15">
        <v>66554072</v>
      </c>
      <c r="L978" s="13" t="s">
        <v>102</v>
      </c>
      <c r="M978" s="13" t="s">
        <v>103</v>
      </c>
      <c r="N978" s="139" t="s">
        <v>161</v>
      </c>
      <c r="O978" s="139" t="s">
        <v>161</v>
      </c>
      <c r="P978" s="28">
        <v>29</v>
      </c>
      <c r="Q978" s="13" t="s">
        <v>54</v>
      </c>
      <c r="R978" s="13" t="s">
        <v>28</v>
      </c>
      <c r="S978" s="13"/>
      <c r="T978" s="13"/>
      <c r="U978" s="13" t="s">
        <v>1259</v>
      </c>
      <c r="V978" s="13" t="s">
        <v>1259</v>
      </c>
      <c r="W978" s="59">
        <f>+J978/$W$2</f>
        <v>1.163389312976817E-4</v>
      </c>
      <c r="AC978" s="56"/>
    </row>
    <row r="979" spans="1:29">
      <c r="A979" s="13" t="s">
        <v>339</v>
      </c>
      <c r="B979" s="13" t="s">
        <v>538</v>
      </c>
      <c r="C979" s="139">
        <v>46259</v>
      </c>
      <c r="D979" s="139" t="s">
        <v>516</v>
      </c>
      <c r="E979" s="28">
        <v>0.94164393000000002</v>
      </c>
      <c r="F979" s="13"/>
      <c r="G979" s="18">
        <v>12500000</v>
      </c>
      <c r="H979" s="18">
        <v>11770549.09</v>
      </c>
      <c r="I979" s="18">
        <v>12500000</v>
      </c>
      <c r="J979" s="18">
        <v>11770549.09</v>
      </c>
      <c r="K979" s="15">
        <v>4956</v>
      </c>
      <c r="L979" s="13" t="s">
        <v>102</v>
      </c>
      <c r="M979" s="13" t="s">
        <v>103</v>
      </c>
      <c r="N979" s="139" t="s">
        <v>374</v>
      </c>
      <c r="O979" s="139" t="s">
        <v>374</v>
      </c>
      <c r="P979" s="28">
        <v>29</v>
      </c>
      <c r="Q979" s="13" t="s">
        <v>54</v>
      </c>
      <c r="R979" s="13" t="s">
        <v>28</v>
      </c>
      <c r="S979" s="13"/>
      <c r="T979" s="13"/>
      <c r="U979" s="13" t="s">
        <v>1188</v>
      </c>
      <c r="V979" s="13" t="s">
        <v>1188</v>
      </c>
      <c r="W979" s="59">
        <f>+J979/$W$2</f>
        <v>2.6440665742497618E-4</v>
      </c>
    </row>
    <row r="980" spans="1:29">
      <c r="A980" s="13" t="s">
        <v>339</v>
      </c>
      <c r="B980" s="13" t="s">
        <v>538</v>
      </c>
      <c r="C980" s="139">
        <v>46259</v>
      </c>
      <c r="D980" s="139" t="s">
        <v>516</v>
      </c>
      <c r="E980" s="28">
        <v>0.94164400000000004</v>
      </c>
      <c r="F980" s="13"/>
      <c r="G980" s="18">
        <v>10000000</v>
      </c>
      <c r="H980" s="18">
        <v>9416439.9900000002</v>
      </c>
      <c r="I980" s="18">
        <v>10000000</v>
      </c>
      <c r="J980" s="18">
        <v>9416439.9900000002</v>
      </c>
      <c r="K980" s="15">
        <v>66412351</v>
      </c>
      <c r="L980" s="13" t="s">
        <v>102</v>
      </c>
      <c r="M980" s="13" t="s">
        <v>103</v>
      </c>
      <c r="N980" s="139" t="s">
        <v>344</v>
      </c>
      <c r="O980" s="139" t="s">
        <v>344</v>
      </c>
      <c r="P980" s="28">
        <v>29</v>
      </c>
      <c r="Q980" s="13" t="s">
        <v>54</v>
      </c>
      <c r="R980" s="13" t="s">
        <v>28</v>
      </c>
      <c r="S980" s="13"/>
      <c r="T980" s="13"/>
      <c r="U980" s="13" t="s">
        <v>1128</v>
      </c>
      <c r="V980" s="13" t="s">
        <v>1128</v>
      </c>
      <c r="W980" s="59">
        <f>+J980/$W$2</f>
        <v>2.1152534206870857E-4</v>
      </c>
    </row>
    <row r="981" spans="1:29">
      <c r="A981" s="13" t="s">
        <v>198</v>
      </c>
      <c r="B981" s="13" t="s">
        <v>538</v>
      </c>
      <c r="C981" s="139">
        <v>46259</v>
      </c>
      <c r="D981" s="139" t="s">
        <v>516</v>
      </c>
      <c r="E981" s="28">
        <v>0.95901223000000002</v>
      </c>
      <c r="F981" s="13"/>
      <c r="G981" s="18">
        <v>2500000</v>
      </c>
      <c r="H981" s="18">
        <v>2397530.5699999998</v>
      </c>
      <c r="I981" s="18">
        <v>2500000</v>
      </c>
      <c r="J981" s="18">
        <v>2397530.5699999998</v>
      </c>
      <c r="K981" s="15">
        <v>6136</v>
      </c>
      <c r="L981" s="13" t="s">
        <v>102</v>
      </c>
      <c r="M981" s="13" t="s">
        <v>103</v>
      </c>
      <c r="N981" s="139" t="s">
        <v>335</v>
      </c>
      <c r="O981" s="139" t="s">
        <v>335</v>
      </c>
      <c r="P981" s="28">
        <v>20</v>
      </c>
      <c r="Q981" s="13" t="s">
        <v>54</v>
      </c>
      <c r="R981" s="13" t="s">
        <v>28</v>
      </c>
      <c r="S981" s="13"/>
      <c r="T981" s="13"/>
      <c r="U981" s="13" t="s">
        <v>1749</v>
      </c>
      <c r="V981" s="13" t="s">
        <v>1749</v>
      </c>
      <c r="W981" s="59">
        <f>+J981/$W$2</f>
        <v>5.385670959279758E-5</v>
      </c>
    </row>
    <row r="982" spans="1:29">
      <c r="A982" s="13" t="s">
        <v>819</v>
      </c>
      <c r="B982" s="13" t="s">
        <v>538</v>
      </c>
      <c r="C982" s="139">
        <v>46259</v>
      </c>
      <c r="D982" s="139" t="s">
        <v>516</v>
      </c>
      <c r="E982" s="28">
        <v>0.94354262</v>
      </c>
      <c r="F982" s="13"/>
      <c r="G982" s="18">
        <v>10000000</v>
      </c>
      <c r="H982" s="18">
        <v>9435426.2400000002</v>
      </c>
      <c r="I982" s="18">
        <v>10000000</v>
      </c>
      <c r="J982" s="18">
        <v>9435426.2400000002</v>
      </c>
      <c r="K982" s="15">
        <v>360532</v>
      </c>
      <c r="L982" s="13" t="s">
        <v>102</v>
      </c>
      <c r="M982" s="13" t="s">
        <v>103</v>
      </c>
      <c r="N982" s="139" t="s">
        <v>366</v>
      </c>
      <c r="O982" s="139" t="s">
        <v>366</v>
      </c>
      <c r="P982" s="28">
        <v>28</v>
      </c>
      <c r="Q982" s="13" t="s">
        <v>54</v>
      </c>
      <c r="R982" s="13" t="s">
        <v>28</v>
      </c>
      <c r="S982" s="13"/>
      <c r="T982" s="13"/>
      <c r="U982" s="13" t="s">
        <v>1018</v>
      </c>
      <c r="V982" s="13" t="s">
        <v>1018</v>
      </c>
      <c r="W982" s="59">
        <f>+J982/$W$2</f>
        <v>2.1195183796632135E-4</v>
      </c>
    </row>
    <row r="983" spans="1:29">
      <c r="A983" s="13" t="s">
        <v>923</v>
      </c>
      <c r="B983" s="13" t="s">
        <v>538</v>
      </c>
      <c r="C983" s="139">
        <v>46260</v>
      </c>
      <c r="D983" s="139" t="s">
        <v>516</v>
      </c>
      <c r="E983" s="28">
        <v>0.93522601000000005</v>
      </c>
      <c r="F983" s="13"/>
      <c r="G983" s="18">
        <v>15000000</v>
      </c>
      <c r="H983" s="18">
        <v>14028390.16</v>
      </c>
      <c r="I983" s="18">
        <v>15000000</v>
      </c>
      <c r="J983" s="18">
        <v>14028390.16</v>
      </c>
      <c r="K983" s="15">
        <v>177</v>
      </c>
      <c r="L983" s="13" t="s">
        <v>102</v>
      </c>
      <c r="M983" s="13" t="s">
        <v>103</v>
      </c>
      <c r="N983" s="139" t="s">
        <v>378</v>
      </c>
      <c r="O983" s="139" t="s">
        <v>378</v>
      </c>
      <c r="P983" s="28">
        <v>32</v>
      </c>
      <c r="Q983" s="13" t="s">
        <v>54</v>
      </c>
      <c r="R983" s="13" t="s">
        <v>28</v>
      </c>
      <c r="S983" s="13"/>
      <c r="T983" s="13"/>
      <c r="U983" s="13" t="s">
        <v>859</v>
      </c>
      <c r="V983" s="13" t="s">
        <v>859</v>
      </c>
      <c r="W983" s="59">
        <f>+J983/$W$2</f>
        <v>3.151254646574034E-4</v>
      </c>
      <c r="AC983"/>
    </row>
    <row r="984" spans="1:29">
      <c r="A984" s="13" t="s">
        <v>1554</v>
      </c>
      <c r="B984" s="13" t="s">
        <v>538</v>
      </c>
      <c r="C984" s="139">
        <v>46260</v>
      </c>
      <c r="D984" s="139" t="s">
        <v>516</v>
      </c>
      <c r="E984" s="28">
        <v>0.92215981999999996</v>
      </c>
      <c r="F984" s="13"/>
      <c r="G984" s="18">
        <v>10800428.970000001</v>
      </c>
      <c r="H984" s="18">
        <v>9959721.6400000006</v>
      </c>
      <c r="I984" s="18">
        <v>10800428.970000001</v>
      </c>
      <c r="J984" s="18">
        <v>9959721.6400000006</v>
      </c>
      <c r="K984" s="15">
        <v>53243195</v>
      </c>
      <c r="L984" s="13" t="s">
        <v>102</v>
      </c>
      <c r="M984" s="13" t="s">
        <v>103</v>
      </c>
      <c r="N984" s="139" t="s">
        <v>471</v>
      </c>
      <c r="O984" s="139" t="s">
        <v>471</v>
      </c>
      <c r="P984" s="28">
        <v>39</v>
      </c>
      <c r="Q984" s="13" t="s">
        <v>54</v>
      </c>
      <c r="R984" s="13" t="s">
        <v>28</v>
      </c>
      <c r="S984" s="13"/>
      <c r="T984" s="13"/>
      <c r="U984" s="13" t="s">
        <v>1546</v>
      </c>
      <c r="V984" s="13" t="s">
        <v>1546</v>
      </c>
      <c r="W984" s="59">
        <f>+J984/$W$2</f>
        <v>2.2372929993154654E-4</v>
      </c>
    </row>
    <row r="985" spans="1:29">
      <c r="A985" s="13" t="s">
        <v>1688</v>
      </c>
      <c r="B985" s="13" t="s">
        <v>538</v>
      </c>
      <c r="C985" s="139">
        <v>46260</v>
      </c>
      <c r="D985" s="139" t="s">
        <v>516</v>
      </c>
      <c r="E985" s="28">
        <v>0.93333675999999999</v>
      </c>
      <c r="F985" s="13"/>
      <c r="G985" s="18">
        <v>3900000</v>
      </c>
      <c r="H985" s="18">
        <v>3640013.36</v>
      </c>
      <c r="I985" s="18">
        <v>3900000</v>
      </c>
      <c r="J985" s="18">
        <v>3640013.36</v>
      </c>
      <c r="K985" s="15">
        <v>285</v>
      </c>
      <c r="L985" s="13" t="s">
        <v>102</v>
      </c>
      <c r="M985" s="13" t="s">
        <v>103</v>
      </c>
      <c r="N985" s="139" t="s">
        <v>514</v>
      </c>
      <c r="O985" s="139" t="s">
        <v>514</v>
      </c>
      <c r="P985" s="28">
        <v>33</v>
      </c>
      <c r="Q985" s="13" t="s">
        <v>54</v>
      </c>
      <c r="R985" s="13" t="s">
        <v>28</v>
      </c>
      <c r="S985" s="13"/>
      <c r="T985" s="13"/>
      <c r="U985" s="13" t="s">
        <v>1691</v>
      </c>
      <c r="V985" s="13" t="s">
        <v>1691</v>
      </c>
      <c r="W985" s="59">
        <f>+J985/$W$2</f>
        <v>8.1767108580986045E-5</v>
      </c>
    </row>
    <row r="986" spans="1:29">
      <c r="A986" s="13" t="s">
        <v>2044</v>
      </c>
      <c r="B986" s="13" t="s">
        <v>538</v>
      </c>
      <c r="C986" s="139">
        <v>46260</v>
      </c>
      <c r="D986" s="139" t="s">
        <v>516</v>
      </c>
      <c r="E986" s="28">
        <v>0.93522605999999997</v>
      </c>
      <c r="F986" s="13"/>
      <c r="G986" s="18">
        <v>1000000</v>
      </c>
      <c r="H986" s="18">
        <v>935226.06</v>
      </c>
      <c r="I986" s="18">
        <v>1000000</v>
      </c>
      <c r="J986" s="18">
        <v>935226.06</v>
      </c>
      <c r="K986" s="15">
        <v>67381469</v>
      </c>
      <c r="L986" s="13" t="s">
        <v>102</v>
      </c>
      <c r="M986" s="13" t="s">
        <v>103</v>
      </c>
      <c r="N986" s="139" t="s">
        <v>394</v>
      </c>
      <c r="O986" s="139" t="s">
        <v>394</v>
      </c>
      <c r="P986" s="28">
        <v>32</v>
      </c>
      <c r="Q986" s="13" t="s">
        <v>54</v>
      </c>
      <c r="R986" s="13" t="s">
        <v>28</v>
      </c>
      <c r="S986" s="13"/>
      <c r="T986" s="13"/>
      <c r="U986" s="13" t="s">
        <v>2049</v>
      </c>
      <c r="V986" s="13" t="s">
        <v>2049</v>
      </c>
      <c r="W986" s="59">
        <f>+J986/$W$2</f>
        <v>2.1008365418688401E-5</v>
      </c>
    </row>
    <row r="987" spans="1:29">
      <c r="A987" s="13" t="s">
        <v>2044</v>
      </c>
      <c r="B987" s="13" t="s">
        <v>538</v>
      </c>
      <c r="C987" s="139">
        <v>46260</v>
      </c>
      <c r="D987" s="139" t="s">
        <v>516</v>
      </c>
      <c r="E987" s="28">
        <v>0.93522605999999997</v>
      </c>
      <c r="F987" s="13"/>
      <c r="G987" s="18">
        <v>1000000</v>
      </c>
      <c r="H987" s="18">
        <v>935226.06</v>
      </c>
      <c r="I987" s="18">
        <v>1000000</v>
      </c>
      <c r="J987" s="18">
        <v>935226.06</v>
      </c>
      <c r="K987" s="15">
        <v>67277847</v>
      </c>
      <c r="L987" s="13" t="s">
        <v>102</v>
      </c>
      <c r="M987" s="13" t="s">
        <v>103</v>
      </c>
      <c r="N987" s="139" t="s">
        <v>394</v>
      </c>
      <c r="O987" s="139" t="s">
        <v>394</v>
      </c>
      <c r="P987" s="28">
        <v>32</v>
      </c>
      <c r="Q987" s="13" t="s">
        <v>54</v>
      </c>
      <c r="R987" s="13" t="s">
        <v>28</v>
      </c>
      <c r="S987" s="13"/>
      <c r="T987" s="13"/>
      <c r="U987" s="13" t="s">
        <v>2053</v>
      </c>
      <c r="V987" s="13" t="s">
        <v>2053</v>
      </c>
      <c r="W987" s="59">
        <f>+J987/$W$2</f>
        <v>2.1008365418688401E-5</v>
      </c>
    </row>
    <row r="988" spans="1:29">
      <c r="A988" s="13" t="s">
        <v>917</v>
      </c>
      <c r="B988" s="13" t="s">
        <v>538</v>
      </c>
      <c r="C988" s="139">
        <v>46260</v>
      </c>
      <c r="D988" s="139" t="s">
        <v>516</v>
      </c>
      <c r="E988" s="28">
        <v>0.92400395000000002</v>
      </c>
      <c r="F988" s="13"/>
      <c r="G988" s="18">
        <v>4500000</v>
      </c>
      <c r="H988" s="18">
        <v>4158017.76</v>
      </c>
      <c r="I988" s="18">
        <v>4500000</v>
      </c>
      <c r="J988" s="18">
        <v>4158017.76</v>
      </c>
      <c r="K988" s="15">
        <v>555</v>
      </c>
      <c r="L988" s="13" t="s">
        <v>102</v>
      </c>
      <c r="M988" s="13" t="s">
        <v>103</v>
      </c>
      <c r="N988" s="139" t="s">
        <v>344</v>
      </c>
      <c r="O988" s="139" t="s">
        <v>344</v>
      </c>
      <c r="P988" s="28">
        <v>38</v>
      </c>
      <c r="Q988" s="13" t="s">
        <v>54</v>
      </c>
      <c r="R988" s="13" t="s">
        <v>28</v>
      </c>
      <c r="S988" s="13"/>
      <c r="T988" s="13"/>
      <c r="U988" s="13" t="s">
        <v>1140</v>
      </c>
      <c r="V988" s="13" t="s">
        <v>1140</v>
      </c>
      <c r="W988" s="59">
        <f>+J988/$W$2</f>
        <v>9.3403253240693701E-5</v>
      </c>
    </row>
    <row r="989" spans="1:29">
      <c r="A989" s="13" t="s">
        <v>919</v>
      </c>
      <c r="B989" s="13" t="s">
        <v>538</v>
      </c>
      <c r="C989" s="139">
        <v>46260</v>
      </c>
      <c r="D989" s="139" t="s">
        <v>516</v>
      </c>
      <c r="E989" s="28">
        <v>0.92400386000000001</v>
      </c>
      <c r="F989" s="13"/>
      <c r="G989" s="18">
        <v>2398145.2000000002</v>
      </c>
      <c r="H989" s="18">
        <v>2215895.42</v>
      </c>
      <c r="I989" s="18">
        <v>2398145.2000000002</v>
      </c>
      <c r="J989" s="18">
        <v>2215895.42</v>
      </c>
      <c r="K989" s="15">
        <v>13270645</v>
      </c>
      <c r="L989" s="13" t="s">
        <v>102</v>
      </c>
      <c r="M989" s="13" t="s">
        <v>103</v>
      </c>
      <c r="N989" s="139" t="s">
        <v>374</v>
      </c>
      <c r="O989" s="139" t="s">
        <v>374</v>
      </c>
      <c r="P989" s="28">
        <v>38</v>
      </c>
      <c r="Q989" s="13" t="s">
        <v>54</v>
      </c>
      <c r="R989" s="13" t="s">
        <v>28</v>
      </c>
      <c r="S989" s="13"/>
      <c r="T989" s="13"/>
      <c r="U989" s="13" t="s">
        <v>1202</v>
      </c>
      <c r="V989" s="13" t="s">
        <v>1202</v>
      </c>
      <c r="W989" s="59">
        <f>+J989/$W$2</f>
        <v>4.9776564944050009E-5</v>
      </c>
    </row>
    <row r="990" spans="1:29">
      <c r="A990" s="13" t="s">
        <v>539</v>
      </c>
      <c r="B990" s="13" t="s">
        <v>538</v>
      </c>
      <c r="C990" s="139">
        <v>46260</v>
      </c>
      <c r="D990" s="139" t="s">
        <v>516</v>
      </c>
      <c r="E990" s="28">
        <v>0.93902763</v>
      </c>
      <c r="F990" s="13"/>
      <c r="G990" s="18">
        <v>10000000</v>
      </c>
      <c r="H990" s="18">
        <v>9390276.2899999991</v>
      </c>
      <c r="I990" s="18">
        <v>10000000</v>
      </c>
      <c r="J990" s="18">
        <v>9390276.2899999991</v>
      </c>
      <c r="K990" s="15">
        <v>502</v>
      </c>
      <c r="L990" s="13" t="s">
        <v>102</v>
      </c>
      <c r="M990" s="13" t="s">
        <v>103</v>
      </c>
      <c r="N990" s="139" t="s">
        <v>383</v>
      </c>
      <c r="O990" s="139" t="s">
        <v>383</v>
      </c>
      <c r="P990" s="28">
        <v>30</v>
      </c>
      <c r="Q990" s="13" t="s">
        <v>54</v>
      </c>
      <c r="R990" s="13" t="s">
        <v>28</v>
      </c>
      <c r="S990" s="13"/>
      <c r="T990" s="13"/>
      <c r="U990" s="13" t="s">
        <v>1536</v>
      </c>
      <c r="V990" s="13" t="s">
        <v>1536</v>
      </c>
      <c r="W990" s="59">
        <f>+J990/$W$2</f>
        <v>2.1093761617674083E-4</v>
      </c>
    </row>
    <row r="991" spans="1:29">
      <c r="A991" s="13" t="s">
        <v>539</v>
      </c>
      <c r="B991" s="13" t="s">
        <v>538</v>
      </c>
      <c r="C991" s="139">
        <v>46260</v>
      </c>
      <c r="D991" s="139" t="s">
        <v>516</v>
      </c>
      <c r="E991" s="28">
        <v>0.93902772000000001</v>
      </c>
      <c r="F991" s="13"/>
      <c r="G991" s="18">
        <v>10000000</v>
      </c>
      <c r="H991" s="18">
        <v>9390277.1699999999</v>
      </c>
      <c r="I991" s="18">
        <v>10000000</v>
      </c>
      <c r="J991" s="18">
        <v>9390277.1699999999</v>
      </c>
      <c r="K991" s="15">
        <v>473</v>
      </c>
      <c r="L991" s="13" t="s">
        <v>102</v>
      </c>
      <c r="M991" s="13" t="s">
        <v>103</v>
      </c>
      <c r="N991" s="139" t="s">
        <v>367</v>
      </c>
      <c r="O991" s="139" t="s">
        <v>367</v>
      </c>
      <c r="P991" s="28">
        <v>30</v>
      </c>
      <c r="Q991" s="13" t="s">
        <v>54</v>
      </c>
      <c r="R991" s="13" t="s">
        <v>28</v>
      </c>
      <c r="S991" s="13"/>
      <c r="T991" s="13"/>
      <c r="U991" s="13" t="s">
        <v>1483</v>
      </c>
      <c r="V991" s="13" t="s">
        <v>1483</v>
      </c>
      <c r="W991" s="59">
        <f>+J991/$W$2</f>
        <v>2.109376359445407E-4</v>
      </c>
    </row>
    <row r="992" spans="1:29">
      <c r="A992" s="13" t="s">
        <v>539</v>
      </c>
      <c r="B992" s="13" t="s">
        <v>538</v>
      </c>
      <c r="C992" s="139">
        <v>46260</v>
      </c>
      <c r="D992" s="139" t="s">
        <v>516</v>
      </c>
      <c r="E992" s="28">
        <v>0.93902763</v>
      </c>
      <c r="F992" s="13"/>
      <c r="G992" s="18">
        <v>10000000</v>
      </c>
      <c r="H992" s="18">
        <v>9390276.3499999996</v>
      </c>
      <c r="I992" s="18">
        <v>10000000</v>
      </c>
      <c r="J992" s="18">
        <v>9390276.3499999996</v>
      </c>
      <c r="K992" s="15">
        <v>568</v>
      </c>
      <c r="L992" s="13" t="s">
        <v>102</v>
      </c>
      <c r="M992" s="13" t="s">
        <v>103</v>
      </c>
      <c r="N992" s="139" t="s">
        <v>389</v>
      </c>
      <c r="O992" s="139" t="s">
        <v>389</v>
      </c>
      <c r="P992" s="28">
        <v>30</v>
      </c>
      <c r="Q992" s="13" t="s">
        <v>54</v>
      </c>
      <c r="R992" s="13" t="s">
        <v>28</v>
      </c>
      <c r="S992" s="13"/>
      <c r="T992" s="13"/>
      <c r="U992" s="13" t="s">
        <v>1847</v>
      </c>
      <c r="V992" s="13" t="s">
        <v>1847</v>
      </c>
      <c r="W992" s="59">
        <f>+J992/$W$2</f>
        <v>2.1093761752454538E-4</v>
      </c>
    </row>
    <row r="993" spans="1:29">
      <c r="A993" s="13" t="s">
        <v>247</v>
      </c>
      <c r="B993" s="13" t="s">
        <v>538</v>
      </c>
      <c r="C993" s="139">
        <v>46260</v>
      </c>
      <c r="D993" s="139" t="s">
        <v>516</v>
      </c>
      <c r="E993" s="28">
        <v>0.93333695000000005</v>
      </c>
      <c r="F993" s="13"/>
      <c r="G993" s="18">
        <v>2500000</v>
      </c>
      <c r="H993" s="18">
        <v>2333342.37</v>
      </c>
      <c r="I993" s="18">
        <v>2500000</v>
      </c>
      <c r="J993" s="18">
        <v>2333342.37</v>
      </c>
      <c r="K993" s="15">
        <v>1198</v>
      </c>
      <c r="L993" s="13" t="s">
        <v>102</v>
      </c>
      <c r="M993" s="13" t="s">
        <v>103</v>
      </c>
      <c r="N993" s="139" t="s">
        <v>163</v>
      </c>
      <c r="O993" s="139" t="s">
        <v>163</v>
      </c>
      <c r="P993" s="28">
        <v>33</v>
      </c>
      <c r="Q993" s="13" t="s">
        <v>54</v>
      </c>
      <c r="R993" s="13" t="s">
        <v>28</v>
      </c>
      <c r="S993" s="13"/>
      <c r="T993" s="13"/>
      <c r="U993" s="13" t="s">
        <v>1596</v>
      </c>
      <c r="V993" s="13" t="s">
        <v>1596</v>
      </c>
      <c r="W993" s="59">
        <f>+J993/$W$2</f>
        <v>5.2414823808340456E-5</v>
      </c>
    </row>
    <row r="994" spans="1:29">
      <c r="A994" s="13" t="s">
        <v>1960</v>
      </c>
      <c r="B994" s="13" t="s">
        <v>538</v>
      </c>
      <c r="C994" s="139">
        <v>46260</v>
      </c>
      <c r="D994" s="139" t="s">
        <v>516</v>
      </c>
      <c r="E994" s="28">
        <v>0.93333701000000002</v>
      </c>
      <c r="F994" s="13"/>
      <c r="G994" s="18">
        <v>2200000</v>
      </c>
      <c r="H994" s="18">
        <v>2053341.42</v>
      </c>
      <c r="I994" s="18">
        <v>2200000</v>
      </c>
      <c r="J994" s="18">
        <v>2053341.42</v>
      </c>
      <c r="K994" s="15">
        <v>6195</v>
      </c>
      <c r="L994" s="13" t="s">
        <v>102</v>
      </c>
      <c r="M994" s="13" t="s">
        <v>103</v>
      </c>
      <c r="N994" s="139" t="s">
        <v>369</v>
      </c>
      <c r="O994" s="139" t="s">
        <v>369</v>
      </c>
      <c r="P994" s="28">
        <v>33</v>
      </c>
      <c r="Q994" s="13" t="s">
        <v>54</v>
      </c>
      <c r="R994" s="13" t="s">
        <v>28</v>
      </c>
      <c r="S994" s="13"/>
      <c r="T994" s="13"/>
      <c r="U994" s="13" t="s">
        <v>1945</v>
      </c>
      <c r="V994" s="13" t="s">
        <v>1945</v>
      </c>
      <c r="W994" s="59">
        <f>+J994/$W$2</f>
        <v>4.6125047970421753E-5</v>
      </c>
      <c r="AC994" s="56"/>
    </row>
    <row r="995" spans="1:29">
      <c r="A995" s="13" t="s">
        <v>339</v>
      </c>
      <c r="B995" s="13" t="s">
        <v>538</v>
      </c>
      <c r="C995" s="139">
        <v>46260</v>
      </c>
      <c r="D995" s="139" t="s">
        <v>516</v>
      </c>
      <c r="E995" s="28">
        <v>0.94672413</v>
      </c>
      <c r="F995" s="13"/>
      <c r="G995" s="18">
        <v>100000000</v>
      </c>
      <c r="H995" s="18">
        <v>94672413.349999994</v>
      </c>
      <c r="I995" s="18">
        <v>100000000</v>
      </c>
      <c r="J995" s="18">
        <v>94672413.349999994</v>
      </c>
      <c r="K995" s="15">
        <v>2830</v>
      </c>
      <c r="L995" s="13" t="s">
        <v>102</v>
      </c>
      <c r="M995" s="13" t="s">
        <v>103</v>
      </c>
      <c r="N995" s="139" t="s">
        <v>394</v>
      </c>
      <c r="O995" s="139" t="s">
        <v>394</v>
      </c>
      <c r="P995" s="28">
        <v>26</v>
      </c>
      <c r="Q995" s="13" t="s">
        <v>54</v>
      </c>
      <c r="R995" s="13" t="s">
        <v>28</v>
      </c>
      <c r="S995" s="13"/>
      <c r="T995" s="13"/>
      <c r="U995" s="13" t="s">
        <v>1971</v>
      </c>
      <c r="V995" s="13" t="s">
        <v>1971</v>
      </c>
      <c r="W995" s="59">
        <f>+J995/$W$2</f>
        <v>2.126665134551441E-3</v>
      </c>
    </row>
    <row r="996" spans="1:29">
      <c r="A996" s="13" t="s">
        <v>993</v>
      </c>
      <c r="B996" s="13" t="s">
        <v>538</v>
      </c>
      <c r="C996" s="139">
        <v>46260</v>
      </c>
      <c r="D996" s="139" t="s">
        <v>516</v>
      </c>
      <c r="E996" s="28">
        <v>0.94286022000000003</v>
      </c>
      <c r="F996" s="13"/>
      <c r="G996" s="18">
        <v>16545572.09</v>
      </c>
      <c r="H996" s="18">
        <v>15600161.810000001</v>
      </c>
      <c r="I996" s="18">
        <v>16545572.09</v>
      </c>
      <c r="J996" s="18">
        <v>15600161.810000001</v>
      </c>
      <c r="K996" s="15">
        <v>7610</v>
      </c>
      <c r="L996" s="13" t="s">
        <v>102</v>
      </c>
      <c r="M996" s="13" t="s">
        <v>103</v>
      </c>
      <c r="N996" s="139" t="s">
        <v>361</v>
      </c>
      <c r="O996" s="139" t="s">
        <v>361</v>
      </c>
      <c r="P996" s="28">
        <v>28</v>
      </c>
      <c r="Q996" s="13" t="s">
        <v>54</v>
      </c>
      <c r="R996" s="13" t="s">
        <v>28</v>
      </c>
      <c r="S996" s="13"/>
      <c r="T996" s="13"/>
      <c r="U996" s="13" t="s">
        <v>2073</v>
      </c>
      <c r="V996" s="13" t="s">
        <v>2073</v>
      </c>
      <c r="W996" s="59">
        <f>+J996/$W$2</f>
        <v>3.5043281396066685E-4</v>
      </c>
    </row>
    <row r="997" spans="1:29">
      <c r="A997" s="13" t="s">
        <v>209</v>
      </c>
      <c r="B997" s="13" t="s">
        <v>538</v>
      </c>
      <c r="C997" s="139">
        <v>46260</v>
      </c>
      <c r="D997" s="139" t="s">
        <v>516</v>
      </c>
      <c r="E997" s="28">
        <v>0.95061994000000005</v>
      </c>
      <c r="F997" s="13"/>
      <c r="G997" s="18">
        <v>169949.7</v>
      </c>
      <c r="H997" s="18">
        <v>161557.57</v>
      </c>
      <c r="I997" s="18">
        <v>169949.7</v>
      </c>
      <c r="J997" s="18">
        <v>161557.57</v>
      </c>
      <c r="K997" s="15">
        <v>612232</v>
      </c>
      <c r="L997" s="13" t="s">
        <v>102</v>
      </c>
      <c r="M997" s="13" t="s">
        <v>103</v>
      </c>
      <c r="N997" s="139" t="s">
        <v>335</v>
      </c>
      <c r="O997" s="139" t="s">
        <v>335</v>
      </c>
      <c r="P997" s="28">
        <v>24</v>
      </c>
      <c r="Q997" s="13" t="s">
        <v>54</v>
      </c>
      <c r="R997" s="13" t="s">
        <v>28</v>
      </c>
      <c r="S997" s="13"/>
      <c r="T997" s="13"/>
      <c r="U997" s="13" t="s">
        <v>1761</v>
      </c>
      <c r="V997" s="13" t="s">
        <v>1761</v>
      </c>
      <c r="W997" s="59">
        <f>+J997/$W$2</f>
        <v>3.6291337590778113E-6</v>
      </c>
      <c r="AC997" s="56"/>
    </row>
    <row r="998" spans="1:29">
      <c r="A998" s="13" t="s">
        <v>209</v>
      </c>
      <c r="B998" s="13" t="s">
        <v>538</v>
      </c>
      <c r="C998" s="139">
        <v>46260</v>
      </c>
      <c r="D998" s="139" t="s">
        <v>516</v>
      </c>
      <c r="E998" s="28">
        <v>0.95061994000000005</v>
      </c>
      <c r="F998" s="13"/>
      <c r="G998" s="18">
        <v>169949.7</v>
      </c>
      <c r="H998" s="18">
        <v>161557.57</v>
      </c>
      <c r="I998" s="18">
        <v>169949.7</v>
      </c>
      <c r="J998" s="18">
        <v>161557.57</v>
      </c>
      <c r="K998" s="15">
        <v>612239</v>
      </c>
      <c r="L998" s="13" t="s">
        <v>102</v>
      </c>
      <c r="M998" s="13" t="s">
        <v>103</v>
      </c>
      <c r="N998" s="139" t="s">
        <v>335</v>
      </c>
      <c r="O998" s="139" t="s">
        <v>335</v>
      </c>
      <c r="P998" s="28">
        <v>24</v>
      </c>
      <c r="Q998" s="13" t="s">
        <v>54</v>
      </c>
      <c r="R998" s="13" t="s">
        <v>28</v>
      </c>
      <c r="S998" s="13"/>
      <c r="T998" s="13"/>
      <c r="U998" s="13" t="s">
        <v>1765</v>
      </c>
      <c r="V998" s="13" t="s">
        <v>1765</v>
      </c>
      <c r="W998" s="59">
        <f>+J998/$W$2</f>
        <v>3.6291337590778113E-6</v>
      </c>
    </row>
    <row r="999" spans="1:29">
      <c r="A999" s="13" t="s">
        <v>209</v>
      </c>
      <c r="B999" s="13" t="s">
        <v>538</v>
      </c>
      <c r="C999" s="139">
        <v>46260</v>
      </c>
      <c r="D999" s="139" t="s">
        <v>516</v>
      </c>
      <c r="E999" s="28">
        <v>0.95061998000000003</v>
      </c>
      <c r="F999" s="13"/>
      <c r="G999" s="18">
        <v>2382065.5699999998</v>
      </c>
      <c r="H999" s="18">
        <v>2264439.12</v>
      </c>
      <c r="I999" s="18">
        <v>2382065.5699999998</v>
      </c>
      <c r="J999" s="18">
        <v>2264439.12</v>
      </c>
      <c r="K999" s="15">
        <v>612234</v>
      </c>
      <c r="L999" s="13" t="s">
        <v>102</v>
      </c>
      <c r="M999" s="13" t="s">
        <v>103</v>
      </c>
      <c r="N999" s="139" t="s">
        <v>335</v>
      </c>
      <c r="O999" s="139" t="s">
        <v>335</v>
      </c>
      <c r="P999" s="28">
        <v>24</v>
      </c>
      <c r="Q999" s="13" t="s">
        <v>54</v>
      </c>
      <c r="R999" s="13" t="s">
        <v>28</v>
      </c>
      <c r="S999" s="13"/>
      <c r="T999" s="13"/>
      <c r="U999" s="13" t="s">
        <v>1777</v>
      </c>
      <c r="V999" s="13" t="s">
        <v>1777</v>
      </c>
      <c r="W999" s="59">
        <f>+J999/$W$2</f>
        <v>5.0867021927653723E-5</v>
      </c>
    </row>
    <row r="1000" spans="1:29">
      <c r="A1000" s="13" t="s">
        <v>993</v>
      </c>
      <c r="B1000" s="13" t="s">
        <v>538</v>
      </c>
      <c r="C1000" s="139">
        <v>46260</v>
      </c>
      <c r="D1000" s="139" t="s">
        <v>516</v>
      </c>
      <c r="E1000" s="28">
        <v>0.93902764999999999</v>
      </c>
      <c r="F1000" s="13"/>
      <c r="G1000" s="18">
        <v>1040000</v>
      </c>
      <c r="H1000" s="18">
        <v>976588.76</v>
      </c>
      <c r="I1000" s="18">
        <v>1040000</v>
      </c>
      <c r="J1000" s="18">
        <v>976588.76</v>
      </c>
      <c r="K1000" s="15">
        <v>10601549</v>
      </c>
      <c r="L1000" s="13" t="s">
        <v>102</v>
      </c>
      <c r="M1000" s="13" t="s">
        <v>103</v>
      </c>
      <c r="N1000" s="139" t="s">
        <v>359</v>
      </c>
      <c r="O1000" s="139" t="s">
        <v>359</v>
      </c>
      <c r="P1000" s="28">
        <v>30</v>
      </c>
      <c r="Q1000" s="13" t="s">
        <v>54</v>
      </c>
      <c r="R1000" s="13" t="s">
        <v>28</v>
      </c>
      <c r="S1000" s="13"/>
      <c r="T1000" s="13"/>
      <c r="U1000" s="13" t="s">
        <v>1296</v>
      </c>
      <c r="V1000" s="13" t="s">
        <v>1296</v>
      </c>
      <c r="W1000" s="59">
        <f>+J1000/$W$2</f>
        <v>2.1937512662835534E-5</v>
      </c>
    </row>
    <row r="1001" spans="1:29">
      <c r="A1001" s="13" t="s">
        <v>339</v>
      </c>
      <c r="B1001" s="13" t="s">
        <v>538</v>
      </c>
      <c r="C1001" s="139">
        <v>46260</v>
      </c>
      <c r="D1001" s="139" t="s">
        <v>516</v>
      </c>
      <c r="E1001" s="28">
        <v>0.94094005000000003</v>
      </c>
      <c r="F1001" s="13"/>
      <c r="G1001" s="18">
        <v>10000000</v>
      </c>
      <c r="H1001" s="18">
        <v>9409400.5099999998</v>
      </c>
      <c r="I1001" s="18">
        <v>10000000</v>
      </c>
      <c r="J1001" s="18">
        <v>9409400.5099999998</v>
      </c>
      <c r="K1001" s="15">
        <v>2154</v>
      </c>
      <c r="L1001" s="13" t="s">
        <v>102</v>
      </c>
      <c r="M1001" s="13" t="s">
        <v>103</v>
      </c>
      <c r="N1001" s="139" t="s">
        <v>395</v>
      </c>
      <c r="O1001" s="139" t="s">
        <v>395</v>
      </c>
      <c r="P1001" s="28">
        <v>29</v>
      </c>
      <c r="Q1001" s="13" t="s">
        <v>54</v>
      </c>
      <c r="R1001" s="13" t="s">
        <v>28</v>
      </c>
      <c r="S1001" s="13"/>
      <c r="T1001" s="13"/>
      <c r="U1001" s="13" t="s">
        <v>1248</v>
      </c>
      <c r="V1001" s="13" t="s">
        <v>1248</v>
      </c>
      <c r="W1001" s="59">
        <f>+J1001/$W$2</f>
        <v>2.1136721135088236E-4</v>
      </c>
    </row>
    <row r="1002" spans="1:29">
      <c r="A1002" s="13" t="s">
        <v>339</v>
      </c>
      <c r="B1002" s="13" t="s">
        <v>538</v>
      </c>
      <c r="C1002" s="139">
        <v>46260</v>
      </c>
      <c r="D1002" s="139" t="s">
        <v>516</v>
      </c>
      <c r="E1002" s="28">
        <v>0.94093998999999995</v>
      </c>
      <c r="F1002" s="13"/>
      <c r="G1002" s="18">
        <v>10000000</v>
      </c>
      <c r="H1002" s="18">
        <v>9409399.8499999996</v>
      </c>
      <c r="I1002" s="18">
        <v>10000000</v>
      </c>
      <c r="J1002" s="18">
        <v>9409399.8499999996</v>
      </c>
      <c r="K1002" s="15">
        <v>66412396</v>
      </c>
      <c r="L1002" s="13" t="s">
        <v>102</v>
      </c>
      <c r="M1002" s="13" t="s">
        <v>103</v>
      </c>
      <c r="N1002" s="139" t="s">
        <v>344</v>
      </c>
      <c r="O1002" s="139" t="s">
        <v>344</v>
      </c>
      <c r="P1002" s="28">
        <v>29</v>
      </c>
      <c r="Q1002" s="13" t="s">
        <v>54</v>
      </c>
      <c r="R1002" s="13" t="s">
        <v>28</v>
      </c>
      <c r="S1002" s="13"/>
      <c r="T1002" s="13"/>
      <c r="U1002" s="13" t="s">
        <v>1122</v>
      </c>
      <c r="V1002" s="13" t="s">
        <v>1122</v>
      </c>
      <c r="W1002" s="59">
        <f>+J1002/$W$2</f>
        <v>2.1136719652503248E-4</v>
      </c>
    </row>
    <row r="1003" spans="1:29">
      <c r="A1003" s="13" t="s">
        <v>198</v>
      </c>
      <c r="B1003" s="13" t="s">
        <v>538</v>
      </c>
      <c r="C1003" s="139">
        <v>46260</v>
      </c>
      <c r="D1003" s="139" t="s">
        <v>516</v>
      </c>
      <c r="E1003" s="28">
        <v>0.95850849999999999</v>
      </c>
      <c r="F1003" s="13"/>
      <c r="G1003" s="18">
        <v>2500000</v>
      </c>
      <c r="H1003" s="18">
        <v>2396271.25</v>
      </c>
      <c r="I1003" s="18">
        <v>2500000</v>
      </c>
      <c r="J1003" s="18">
        <v>2396271.25</v>
      </c>
      <c r="K1003" s="15">
        <v>6137</v>
      </c>
      <c r="L1003" s="13" t="s">
        <v>102</v>
      </c>
      <c r="M1003" s="13" t="s">
        <v>103</v>
      </c>
      <c r="N1003" s="139" t="s">
        <v>335</v>
      </c>
      <c r="O1003" s="139" t="s">
        <v>335</v>
      </c>
      <c r="P1003" s="28">
        <v>20</v>
      </c>
      <c r="Q1003" s="13" t="s">
        <v>54</v>
      </c>
      <c r="R1003" s="13" t="s">
        <v>28</v>
      </c>
      <c r="S1003" s="13"/>
      <c r="T1003" s="13"/>
      <c r="U1003" s="13" t="s">
        <v>1750</v>
      </c>
      <c r="V1003" s="13" t="s">
        <v>1750</v>
      </c>
      <c r="W1003" s="59">
        <f>+J1003/$W$2</f>
        <v>5.3828420972676091E-5</v>
      </c>
    </row>
    <row r="1004" spans="1:29">
      <c r="A1004" s="13" t="s">
        <v>1402</v>
      </c>
      <c r="B1004" s="13" t="s">
        <v>538</v>
      </c>
      <c r="C1004" s="139">
        <v>46260</v>
      </c>
      <c r="D1004" s="139" t="s">
        <v>516</v>
      </c>
      <c r="E1004" s="28">
        <v>0.94286022999999997</v>
      </c>
      <c r="F1004" s="13"/>
      <c r="G1004" s="18">
        <v>5000000</v>
      </c>
      <c r="H1004" s="18">
        <v>4714301.1399999997</v>
      </c>
      <c r="I1004" s="18">
        <v>5000000</v>
      </c>
      <c r="J1004" s="18">
        <v>4714301.1399999997</v>
      </c>
      <c r="K1004" s="15">
        <v>29175487</v>
      </c>
      <c r="L1004" s="13" t="s">
        <v>102</v>
      </c>
      <c r="M1004" s="13" t="s">
        <v>103</v>
      </c>
      <c r="N1004" s="139" t="s">
        <v>379</v>
      </c>
      <c r="O1004" s="139" t="s">
        <v>379</v>
      </c>
      <c r="P1004" s="28">
        <v>28</v>
      </c>
      <c r="Q1004" s="13" t="s">
        <v>54</v>
      </c>
      <c r="R1004" s="13" t="s">
        <v>28</v>
      </c>
      <c r="S1004" s="13"/>
      <c r="T1004" s="13"/>
      <c r="U1004" s="13" t="s">
        <v>1379</v>
      </c>
      <c r="V1004" s="13" t="s">
        <v>1379</v>
      </c>
      <c r="W1004" s="59">
        <f>+J1004/$W$2</f>
        <v>1.0589927428119282E-4</v>
      </c>
    </row>
    <row r="1005" spans="1:29">
      <c r="A1005" s="13" t="s">
        <v>819</v>
      </c>
      <c r="B1005" s="13" t="s">
        <v>538</v>
      </c>
      <c r="C1005" s="139">
        <v>46260</v>
      </c>
      <c r="D1005" s="139" t="s">
        <v>516</v>
      </c>
      <c r="E1005" s="28">
        <v>0.94286013000000002</v>
      </c>
      <c r="F1005" s="13"/>
      <c r="G1005" s="18">
        <v>10000000</v>
      </c>
      <c r="H1005" s="18">
        <v>9428601.2799999993</v>
      </c>
      <c r="I1005" s="18">
        <v>10000000</v>
      </c>
      <c r="J1005" s="18">
        <v>9428601.2799999993</v>
      </c>
      <c r="K1005" s="15">
        <v>360558</v>
      </c>
      <c r="L1005" s="13" t="s">
        <v>102</v>
      </c>
      <c r="M1005" s="13" t="s">
        <v>103</v>
      </c>
      <c r="N1005" s="139" t="s">
        <v>366</v>
      </c>
      <c r="O1005" s="139" t="s">
        <v>366</v>
      </c>
      <c r="P1005" s="28">
        <v>28</v>
      </c>
      <c r="Q1005" s="13" t="s">
        <v>54</v>
      </c>
      <c r="R1005" s="13" t="s">
        <v>28</v>
      </c>
      <c r="S1005" s="13"/>
      <c r="T1005" s="13"/>
      <c r="U1005" s="13" t="s">
        <v>1020</v>
      </c>
      <c r="V1005" s="13" t="s">
        <v>1020</v>
      </c>
      <c r="W1005" s="59">
        <f>+J1005/$W$2</f>
        <v>2.1179852609897674E-4</v>
      </c>
      <c r="AC1005" s="56"/>
    </row>
    <row r="1006" spans="1:29">
      <c r="A1006" s="13" t="s">
        <v>550</v>
      </c>
      <c r="B1006" s="13" t="s">
        <v>538</v>
      </c>
      <c r="C1006" s="139">
        <v>46261</v>
      </c>
      <c r="D1006" s="139" t="s">
        <v>516</v>
      </c>
      <c r="E1006" s="28">
        <v>0.93254985999999995</v>
      </c>
      <c r="F1006" s="13"/>
      <c r="G1006" s="18">
        <v>12500000</v>
      </c>
      <c r="H1006" s="18">
        <v>11656873.220000001</v>
      </c>
      <c r="I1006" s="18">
        <v>12500000</v>
      </c>
      <c r="J1006" s="18">
        <v>11656873.220000001</v>
      </c>
      <c r="K1006" s="15">
        <v>1355</v>
      </c>
      <c r="L1006" s="13" t="s">
        <v>102</v>
      </c>
      <c r="M1006" s="13" t="s">
        <v>103</v>
      </c>
      <c r="N1006" s="139" t="s">
        <v>472</v>
      </c>
      <c r="O1006" s="139" t="s">
        <v>472</v>
      </c>
      <c r="P1006" s="28">
        <v>33</v>
      </c>
      <c r="Q1006" s="13" t="s">
        <v>54</v>
      </c>
      <c r="R1006" s="13" t="s">
        <v>28</v>
      </c>
      <c r="S1006" s="13"/>
      <c r="T1006" s="13"/>
      <c r="U1006" s="13" t="s">
        <v>1628</v>
      </c>
      <c r="V1006" s="13" t="s">
        <v>1628</v>
      </c>
      <c r="W1006" s="59">
        <f>+J1006/$W$2</f>
        <v>2.6185310987279688E-4</v>
      </c>
    </row>
    <row r="1007" spans="1:29">
      <c r="A1007" s="13" t="s">
        <v>1960</v>
      </c>
      <c r="B1007" s="13" t="s">
        <v>538</v>
      </c>
      <c r="C1007" s="139">
        <v>46261</v>
      </c>
      <c r="D1007" s="139" t="s">
        <v>516</v>
      </c>
      <c r="E1007" s="28">
        <v>0.93255001000000004</v>
      </c>
      <c r="F1007" s="13"/>
      <c r="G1007" s="18">
        <v>2200000</v>
      </c>
      <c r="H1007" s="18">
        <v>2051610.03</v>
      </c>
      <c r="I1007" s="18">
        <v>2200000</v>
      </c>
      <c r="J1007" s="18">
        <v>2051610.03</v>
      </c>
      <c r="K1007" s="15">
        <v>6196</v>
      </c>
      <c r="L1007" s="13" t="s">
        <v>102</v>
      </c>
      <c r="M1007" s="13" t="s">
        <v>103</v>
      </c>
      <c r="N1007" s="139" t="s">
        <v>369</v>
      </c>
      <c r="O1007" s="139" t="s">
        <v>369</v>
      </c>
      <c r="P1007" s="28">
        <v>33</v>
      </c>
      <c r="Q1007" s="13" t="s">
        <v>54</v>
      </c>
      <c r="R1007" s="13" t="s">
        <v>28</v>
      </c>
      <c r="S1007" s="13"/>
      <c r="T1007" s="13"/>
      <c r="U1007" s="13" t="s">
        <v>1946</v>
      </c>
      <c r="V1007" s="13" t="s">
        <v>1946</v>
      </c>
      <c r="W1007" s="59">
        <f>+J1007/$W$2</f>
        <v>4.6086155048851259E-5</v>
      </c>
    </row>
    <row r="1008" spans="1:29">
      <c r="A1008" s="13" t="s">
        <v>993</v>
      </c>
      <c r="B1008" s="13" t="s">
        <v>538</v>
      </c>
      <c r="C1008" s="139">
        <v>46261</v>
      </c>
      <c r="D1008" s="139" t="s">
        <v>516</v>
      </c>
      <c r="E1008" s="28">
        <v>0.94023705999999996</v>
      </c>
      <c r="F1008" s="13"/>
      <c r="G1008" s="18">
        <v>40000000</v>
      </c>
      <c r="H1008" s="18">
        <v>37609482.359999999</v>
      </c>
      <c r="I1008" s="18">
        <v>40000000</v>
      </c>
      <c r="J1008" s="18">
        <v>37609482.359999999</v>
      </c>
      <c r="K1008" s="15">
        <v>80939846</v>
      </c>
      <c r="L1008" s="13" t="s">
        <v>102</v>
      </c>
      <c r="M1008" s="13" t="s">
        <v>103</v>
      </c>
      <c r="N1008" s="139" t="s">
        <v>359</v>
      </c>
      <c r="O1008" s="139" t="s">
        <v>359</v>
      </c>
      <c r="P1008" s="28">
        <v>29</v>
      </c>
      <c r="Q1008" s="13" t="s">
        <v>54</v>
      </c>
      <c r="R1008" s="13" t="s">
        <v>28</v>
      </c>
      <c r="S1008" s="13"/>
      <c r="T1008" s="13"/>
      <c r="U1008" s="13" t="s">
        <v>1316</v>
      </c>
      <c r="V1008" s="13" t="s">
        <v>1316</v>
      </c>
      <c r="W1008" s="59">
        <f>+J1008/$W$2</f>
        <v>8.4483718153298187E-4</v>
      </c>
      <c r="AC1008" s="56"/>
    </row>
    <row r="1009" spans="1:29">
      <c r="A1009" s="13" t="s">
        <v>339</v>
      </c>
      <c r="B1009" s="13" t="s">
        <v>538</v>
      </c>
      <c r="C1009" s="139">
        <v>46261</v>
      </c>
      <c r="D1009" s="139" t="s">
        <v>516</v>
      </c>
      <c r="E1009" s="28">
        <v>0.94023709</v>
      </c>
      <c r="F1009" s="13"/>
      <c r="G1009" s="18">
        <v>10000000</v>
      </c>
      <c r="H1009" s="18">
        <v>9402370.8800000008</v>
      </c>
      <c r="I1009" s="18">
        <v>10000000</v>
      </c>
      <c r="J1009" s="18">
        <v>9402370.8800000008</v>
      </c>
      <c r="K1009" s="15">
        <v>2155</v>
      </c>
      <c r="L1009" s="13" t="s">
        <v>102</v>
      </c>
      <c r="M1009" s="13" t="s">
        <v>103</v>
      </c>
      <c r="N1009" s="139" t="s">
        <v>395</v>
      </c>
      <c r="O1009" s="139" t="s">
        <v>395</v>
      </c>
      <c r="P1009" s="28">
        <v>29</v>
      </c>
      <c r="Q1009" s="13" t="s">
        <v>54</v>
      </c>
      <c r="R1009" s="13" t="s">
        <v>28</v>
      </c>
      <c r="S1009" s="13"/>
      <c r="T1009" s="13"/>
      <c r="U1009" s="13" t="s">
        <v>1246</v>
      </c>
      <c r="V1009" s="13" t="s">
        <v>1246</v>
      </c>
      <c r="W1009" s="59">
        <f>+J1009/$W$2</f>
        <v>2.1120930189763408E-4</v>
      </c>
    </row>
    <row r="1010" spans="1:29">
      <c r="A1010" s="13" t="s">
        <v>339</v>
      </c>
      <c r="B1010" s="13" t="s">
        <v>538</v>
      </c>
      <c r="C1010" s="139">
        <v>46261</v>
      </c>
      <c r="D1010" s="139" t="s">
        <v>516</v>
      </c>
      <c r="E1010" s="28">
        <v>0.94023701999999998</v>
      </c>
      <c r="F1010" s="13"/>
      <c r="G1010" s="18">
        <v>10000000</v>
      </c>
      <c r="H1010" s="18">
        <v>9402370.2400000002</v>
      </c>
      <c r="I1010" s="18">
        <v>10000000</v>
      </c>
      <c r="J1010" s="18">
        <v>9402370.2400000002</v>
      </c>
      <c r="K1010" s="15">
        <v>66412433</v>
      </c>
      <c r="L1010" s="13" t="s">
        <v>102</v>
      </c>
      <c r="M1010" s="13" t="s">
        <v>103</v>
      </c>
      <c r="N1010" s="139" t="s">
        <v>344</v>
      </c>
      <c r="O1010" s="139" t="s">
        <v>344</v>
      </c>
      <c r="P1010" s="28">
        <v>29</v>
      </c>
      <c r="Q1010" s="13" t="s">
        <v>54</v>
      </c>
      <c r="R1010" s="13" t="s">
        <v>28</v>
      </c>
      <c r="S1010" s="13"/>
      <c r="T1010" s="13"/>
      <c r="U1010" s="13" t="s">
        <v>1123</v>
      </c>
      <c r="V1010" s="13" t="s">
        <v>1123</v>
      </c>
      <c r="W1010" s="59">
        <f>+J1010/$W$2</f>
        <v>2.1120928752105237E-4</v>
      </c>
    </row>
    <row r="1011" spans="1:29">
      <c r="A1011" s="13" t="s">
        <v>1402</v>
      </c>
      <c r="B1011" s="13" t="s">
        <v>538</v>
      </c>
      <c r="C1011" s="139">
        <v>46261</v>
      </c>
      <c r="D1011" s="139" t="s">
        <v>516</v>
      </c>
      <c r="E1011" s="28">
        <v>0.94217870999999997</v>
      </c>
      <c r="F1011" s="13"/>
      <c r="G1011" s="18">
        <v>5000000</v>
      </c>
      <c r="H1011" s="18">
        <v>4710893.5599999996</v>
      </c>
      <c r="I1011" s="18">
        <v>5000000</v>
      </c>
      <c r="J1011" s="18">
        <v>4710893.5599999996</v>
      </c>
      <c r="K1011" s="15">
        <v>29175496</v>
      </c>
      <c r="L1011" s="13" t="s">
        <v>102</v>
      </c>
      <c r="M1011" s="13" t="s">
        <v>103</v>
      </c>
      <c r="N1011" s="139" t="s">
        <v>379</v>
      </c>
      <c r="O1011" s="139" t="s">
        <v>379</v>
      </c>
      <c r="P1011" s="28">
        <v>28</v>
      </c>
      <c r="Q1011" s="13" t="s">
        <v>54</v>
      </c>
      <c r="R1011" s="13" t="s">
        <v>28</v>
      </c>
      <c r="S1011" s="13"/>
      <c r="T1011" s="13"/>
      <c r="U1011" s="13" t="s">
        <v>1380</v>
      </c>
      <c r="V1011" s="13" t="s">
        <v>1380</v>
      </c>
      <c r="W1011" s="59">
        <f>+J1011/$W$2</f>
        <v>1.0582272841822423E-4</v>
      </c>
    </row>
    <row r="1012" spans="1:29">
      <c r="A1012" s="13" t="s">
        <v>923</v>
      </c>
      <c r="B1012" s="13" t="s">
        <v>538</v>
      </c>
      <c r="C1012" s="139">
        <v>46262</v>
      </c>
      <c r="D1012" s="139" t="s">
        <v>516</v>
      </c>
      <c r="E1012" s="28">
        <v>0.93369497000000001</v>
      </c>
      <c r="F1012" s="13"/>
      <c r="G1012" s="18">
        <v>15000000</v>
      </c>
      <c r="H1012" s="18">
        <v>14005424.529999999</v>
      </c>
      <c r="I1012" s="18">
        <v>15000000</v>
      </c>
      <c r="J1012" s="18">
        <v>14005424.529999999</v>
      </c>
      <c r="K1012" s="15">
        <v>178</v>
      </c>
      <c r="L1012" s="13" t="s">
        <v>102</v>
      </c>
      <c r="M1012" s="13" t="s">
        <v>103</v>
      </c>
      <c r="N1012" s="139" t="s">
        <v>378</v>
      </c>
      <c r="O1012" s="139" t="s">
        <v>378</v>
      </c>
      <c r="P1012" s="28">
        <v>32</v>
      </c>
      <c r="Q1012" s="13" t="s">
        <v>54</v>
      </c>
      <c r="R1012" s="13" t="s">
        <v>28</v>
      </c>
      <c r="S1012" s="13"/>
      <c r="T1012" s="13"/>
      <c r="U1012" s="13" t="s">
        <v>857</v>
      </c>
      <c r="V1012" s="13" t="s">
        <v>857</v>
      </c>
      <c r="W1012" s="59">
        <f>+J1012/$W$2</f>
        <v>3.1460957831960139E-4</v>
      </c>
    </row>
    <row r="1013" spans="1:29">
      <c r="A1013" s="13" t="s">
        <v>550</v>
      </c>
      <c r="B1013" s="13" t="s">
        <v>538</v>
      </c>
      <c r="C1013" s="139">
        <v>46262</v>
      </c>
      <c r="D1013" s="139" t="s">
        <v>516</v>
      </c>
      <c r="E1013" s="28">
        <v>0.92792691000000005</v>
      </c>
      <c r="F1013" s="13"/>
      <c r="G1013" s="18">
        <v>16600000</v>
      </c>
      <c r="H1013" s="18">
        <v>15403586.779999999</v>
      </c>
      <c r="I1013" s="18">
        <v>16600000</v>
      </c>
      <c r="J1013" s="18">
        <v>15403586.779999999</v>
      </c>
      <c r="K1013" s="15">
        <v>29088025</v>
      </c>
      <c r="L1013" s="13" t="s">
        <v>102</v>
      </c>
      <c r="M1013" s="13" t="s">
        <v>103</v>
      </c>
      <c r="N1013" s="139" t="s">
        <v>152</v>
      </c>
      <c r="O1013" s="139" t="s">
        <v>152</v>
      </c>
      <c r="P1013" s="28">
        <v>35</v>
      </c>
      <c r="Q1013" s="13" t="s">
        <v>54</v>
      </c>
      <c r="R1013" s="13" t="s">
        <v>28</v>
      </c>
      <c r="S1013" s="13"/>
      <c r="T1013" s="13"/>
      <c r="U1013" s="13" t="s">
        <v>781</v>
      </c>
      <c r="V1013" s="13" t="s">
        <v>781</v>
      </c>
      <c r="W1013" s="59">
        <f>+J1013/$W$2</f>
        <v>3.4601706867825926E-4</v>
      </c>
    </row>
    <row r="1014" spans="1:29">
      <c r="A1014" s="13" t="s">
        <v>539</v>
      </c>
      <c r="B1014" s="13" t="s">
        <v>538</v>
      </c>
      <c r="C1014" s="139">
        <v>46262</v>
      </c>
      <c r="D1014" s="139" t="s">
        <v>516</v>
      </c>
      <c r="E1014" s="28">
        <v>0.93758052000000003</v>
      </c>
      <c r="F1014" s="13"/>
      <c r="G1014" s="18">
        <v>10000000</v>
      </c>
      <c r="H1014" s="18">
        <v>9375805.2200000007</v>
      </c>
      <c r="I1014" s="18">
        <v>10000000</v>
      </c>
      <c r="J1014" s="18">
        <v>9375805.2200000007</v>
      </c>
      <c r="K1014" s="15">
        <v>610</v>
      </c>
      <c r="L1014" s="13" t="s">
        <v>102</v>
      </c>
      <c r="M1014" s="13" t="s">
        <v>103</v>
      </c>
      <c r="N1014" s="139" t="s">
        <v>361</v>
      </c>
      <c r="O1014" s="139" t="s">
        <v>361</v>
      </c>
      <c r="P1014" s="28">
        <v>30</v>
      </c>
      <c r="Q1014" s="13" t="s">
        <v>54</v>
      </c>
      <c r="R1014" s="13" t="s">
        <v>28</v>
      </c>
      <c r="S1014" s="13"/>
      <c r="T1014" s="13"/>
      <c r="U1014" s="13" t="s">
        <v>2078</v>
      </c>
      <c r="V1014" s="13" t="s">
        <v>2078</v>
      </c>
      <c r="W1014" s="59">
        <f>+J1014/$W$2</f>
        <v>2.1061254661381679E-4</v>
      </c>
    </row>
    <row r="1015" spans="1:29">
      <c r="A1015" s="13" t="s">
        <v>539</v>
      </c>
      <c r="B1015" s="13" t="s">
        <v>538</v>
      </c>
      <c r="C1015" s="139">
        <v>46262</v>
      </c>
      <c r="D1015" s="139" t="s">
        <v>516</v>
      </c>
      <c r="E1015" s="28">
        <v>0.93758030999999997</v>
      </c>
      <c r="F1015" s="13"/>
      <c r="G1015" s="18">
        <v>10000000</v>
      </c>
      <c r="H1015" s="18">
        <v>9375803.1300000008</v>
      </c>
      <c r="I1015" s="18">
        <v>10000000</v>
      </c>
      <c r="J1015" s="18">
        <v>9375803.1300000008</v>
      </c>
      <c r="K1015" s="15">
        <v>577</v>
      </c>
      <c r="L1015" s="13" t="s">
        <v>102</v>
      </c>
      <c r="M1015" s="13" t="s">
        <v>103</v>
      </c>
      <c r="N1015" s="139" t="s">
        <v>175</v>
      </c>
      <c r="O1015" s="139" t="s">
        <v>175</v>
      </c>
      <c r="P1015" s="28">
        <v>30</v>
      </c>
      <c r="Q1015" s="13" t="s">
        <v>54</v>
      </c>
      <c r="R1015" s="13" t="s">
        <v>28</v>
      </c>
      <c r="S1015" s="13"/>
      <c r="T1015" s="13"/>
      <c r="U1015" s="13" t="s">
        <v>1877</v>
      </c>
      <c r="V1015" s="13" t="s">
        <v>1877</v>
      </c>
      <c r="W1015" s="59">
        <f>+J1015/$W$2</f>
        <v>2.1061249966529213E-4</v>
      </c>
      <c r="AC1015" s="56"/>
    </row>
    <row r="1016" spans="1:29">
      <c r="A1016" s="13" t="s">
        <v>1960</v>
      </c>
      <c r="B1016" s="13" t="s">
        <v>538</v>
      </c>
      <c r="C1016" s="139">
        <v>46262</v>
      </c>
      <c r="D1016" s="139" t="s">
        <v>516</v>
      </c>
      <c r="E1016" s="28">
        <v>0.93176433999999997</v>
      </c>
      <c r="F1016" s="13"/>
      <c r="G1016" s="18">
        <v>2200000</v>
      </c>
      <c r="H1016" s="18">
        <v>2049881.55</v>
      </c>
      <c r="I1016" s="18">
        <v>2200000</v>
      </c>
      <c r="J1016" s="18">
        <v>2049881.55</v>
      </c>
      <c r="K1016" s="15">
        <v>6197</v>
      </c>
      <c r="L1016" s="13" t="s">
        <v>102</v>
      </c>
      <c r="M1016" s="13" t="s">
        <v>103</v>
      </c>
      <c r="N1016" s="139" t="s">
        <v>369</v>
      </c>
      <c r="O1016" s="139" t="s">
        <v>369</v>
      </c>
      <c r="P1016" s="28">
        <v>33</v>
      </c>
      <c r="Q1016" s="13" t="s">
        <v>54</v>
      </c>
      <c r="R1016" s="13" t="s">
        <v>28</v>
      </c>
      <c r="S1016" s="13"/>
      <c r="T1016" s="13"/>
      <c r="U1016" s="13" t="s">
        <v>1947</v>
      </c>
      <c r="V1016" s="13" t="s">
        <v>1947</v>
      </c>
      <c r="W1016" s="59">
        <f>+J1016/$W$2</f>
        <v>4.6047327495800723E-5</v>
      </c>
    </row>
    <row r="1017" spans="1:29">
      <c r="A1017" s="13" t="s">
        <v>993</v>
      </c>
      <c r="B1017" s="13" t="s">
        <v>538</v>
      </c>
      <c r="C1017" s="139">
        <v>46262</v>
      </c>
      <c r="D1017" s="139" t="s">
        <v>516</v>
      </c>
      <c r="E1017" s="28">
        <v>0.93953514000000005</v>
      </c>
      <c r="F1017" s="13"/>
      <c r="G1017" s="18">
        <v>40000000</v>
      </c>
      <c r="H1017" s="18">
        <v>37581405.789999999</v>
      </c>
      <c r="I1017" s="18">
        <v>40000000</v>
      </c>
      <c r="J1017" s="18">
        <v>37581405.789999999</v>
      </c>
      <c r="K1017" s="15">
        <v>80939845</v>
      </c>
      <c r="L1017" s="13" t="s">
        <v>102</v>
      </c>
      <c r="M1017" s="13" t="s">
        <v>103</v>
      </c>
      <c r="N1017" s="139" t="s">
        <v>359</v>
      </c>
      <c r="O1017" s="139" t="s">
        <v>359</v>
      </c>
      <c r="P1017" s="28">
        <v>29</v>
      </c>
      <c r="Q1017" s="13" t="s">
        <v>54</v>
      </c>
      <c r="R1017" s="13" t="s">
        <v>28</v>
      </c>
      <c r="S1017" s="13"/>
      <c r="T1017" s="13"/>
      <c r="U1017" s="13" t="s">
        <v>1315</v>
      </c>
      <c r="V1017" s="13" t="s">
        <v>1315</v>
      </c>
      <c r="W1017" s="59">
        <f>+J1017/$W$2</f>
        <v>8.4420648605999283E-4</v>
      </c>
    </row>
    <row r="1018" spans="1:29">
      <c r="A1018" s="13" t="s">
        <v>339</v>
      </c>
      <c r="B1018" s="13" t="s">
        <v>538</v>
      </c>
      <c r="C1018" s="139">
        <v>46262</v>
      </c>
      <c r="D1018" s="139" t="s">
        <v>516</v>
      </c>
      <c r="E1018" s="28">
        <v>0.93953516999999998</v>
      </c>
      <c r="F1018" s="13"/>
      <c r="G1018" s="18">
        <v>10000000</v>
      </c>
      <c r="H1018" s="18">
        <v>9395351.7400000002</v>
      </c>
      <c r="I1018" s="18">
        <v>10000000</v>
      </c>
      <c r="J1018" s="18">
        <v>9395351.7400000002</v>
      </c>
      <c r="K1018" s="15">
        <v>2156</v>
      </c>
      <c r="L1018" s="13" t="s">
        <v>102</v>
      </c>
      <c r="M1018" s="13" t="s">
        <v>103</v>
      </c>
      <c r="N1018" s="139" t="s">
        <v>395</v>
      </c>
      <c r="O1018" s="139" t="s">
        <v>395</v>
      </c>
      <c r="P1018" s="28">
        <v>29</v>
      </c>
      <c r="Q1018" s="13" t="s">
        <v>54</v>
      </c>
      <c r="R1018" s="13" t="s">
        <v>28</v>
      </c>
      <c r="S1018" s="13"/>
      <c r="T1018" s="13"/>
      <c r="U1018" s="13" t="s">
        <v>1249</v>
      </c>
      <c r="V1018" s="13" t="s">
        <v>1249</v>
      </c>
      <c r="W1018" s="59">
        <f>+J1018/$W$2</f>
        <v>2.1105162808554532E-4</v>
      </c>
    </row>
    <row r="1019" spans="1:29">
      <c r="A1019" s="13" t="s">
        <v>339</v>
      </c>
      <c r="B1019" s="13" t="s">
        <v>538</v>
      </c>
      <c r="C1019" s="139">
        <v>46262</v>
      </c>
      <c r="D1019" s="139" t="s">
        <v>516</v>
      </c>
      <c r="E1019" s="28">
        <v>0.93953527000000003</v>
      </c>
      <c r="F1019" s="13"/>
      <c r="G1019" s="18">
        <v>10000000</v>
      </c>
      <c r="H1019" s="18">
        <v>9395352.7400000002</v>
      </c>
      <c r="I1019" s="18">
        <v>10000000</v>
      </c>
      <c r="J1019" s="18">
        <v>9395352.7400000002</v>
      </c>
      <c r="K1019" s="15">
        <v>66412455</v>
      </c>
      <c r="L1019" s="13" t="s">
        <v>102</v>
      </c>
      <c r="M1019" s="13" t="s">
        <v>103</v>
      </c>
      <c r="N1019" s="139" t="s">
        <v>344</v>
      </c>
      <c r="O1019" s="139" t="s">
        <v>344</v>
      </c>
      <c r="P1019" s="28">
        <v>29</v>
      </c>
      <c r="Q1019" s="13" t="s">
        <v>54</v>
      </c>
      <c r="R1019" s="13" t="s">
        <v>28</v>
      </c>
      <c r="S1019" s="13"/>
      <c r="T1019" s="13"/>
      <c r="U1019" s="13" t="s">
        <v>1125</v>
      </c>
      <c r="V1019" s="13" t="s">
        <v>1125</v>
      </c>
      <c r="W1019" s="59">
        <f>+J1019/$W$2</f>
        <v>2.1105165054895425E-4</v>
      </c>
    </row>
    <row r="1020" spans="1:29">
      <c r="A1020" s="13" t="s">
        <v>819</v>
      </c>
      <c r="B1020" s="13" t="s">
        <v>538</v>
      </c>
      <c r="C1020" s="139">
        <v>46262</v>
      </c>
      <c r="D1020" s="139" t="s">
        <v>516</v>
      </c>
      <c r="E1020" s="28">
        <v>0.94149824999999998</v>
      </c>
      <c r="F1020" s="13"/>
      <c r="G1020" s="18">
        <v>10000000</v>
      </c>
      <c r="H1020" s="18">
        <v>9414982.4499999993</v>
      </c>
      <c r="I1020" s="18">
        <v>10000000</v>
      </c>
      <c r="J1020" s="18">
        <v>9414982.4499999993</v>
      </c>
      <c r="K1020" s="15">
        <v>360559</v>
      </c>
      <c r="L1020" s="13" t="s">
        <v>102</v>
      </c>
      <c r="M1020" s="13" t="s">
        <v>103</v>
      </c>
      <c r="N1020" s="139" t="s">
        <v>366</v>
      </c>
      <c r="O1020" s="139" t="s">
        <v>366</v>
      </c>
      <c r="P1020" s="28">
        <v>28</v>
      </c>
      <c r="Q1020" s="13" t="s">
        <v>54</v>
      </c>
      <c r="R1020" s="13" t="s">
        <v>28</v>
      </c>
      <c r="S1020" s="13"/>
      <c r="T1020" s="13"/>
      <c r="U1020" s="13" t="s">
        <v>1023</v>
      </c>
      <c r="V1020" s="13" t="s">
        <v>1023</v>
      </c>
      <c r="W1020" s="59">
        <f>+J1020/$W$2</f>
        <v>2.1149260075167085E-4</v>
      </c>
    </row>
    <row r="1021" spans="1:29">
      <c r="A1021" s="13" t="s">
        <v>915</v>
      </c>
      <c r="B1021" s="13" t="s">
        <v>538</v>
      </c>
      <c r="C1021" s="139">
        <v>46265</v>
      </c>
      <c r="D1021" s="139" t="s">
        <v>516</v>
      </c>
      <c r="E1021" s="28">
        <v>0.93541785</v>
      </c>
      <c r="F1021" s="13"/>
      <c r="G1021" s="18">
        <v>5000000</v>
      </c>
      <c r="H1021" s="18">
        <v>4677089.2699999996</v>
      </c>
      <c r="I1021" s="18">
        <v>5000000</v>
      </c>
      <c r="J1021" s="18">
        <v>4677089.2699999996</v>
      </c>
      <c r="K1021" s="15">
        <v>3495447</v>
      </c>
      <c r="L1021" s="13" t="s">
        <v>102</v>
      </c>
      <c r="M1021" s="13" t="s">
        <v>103</v>
      </c>
      <c r="N1021" s="139" t="s">
        <v>378</v>
      </c>
      <c r="O1021" s="139" t="s">
        <v>378</v>
      </c>
      <c r="P1021" s="28">
        <v>30</v>
      </c>
      <c r="Q1021" s="13" t="s">
        <v>54</v>
      </c>
      <c r="R1021" s="13" t="s">
        <v>28</v>
      </c>
      <c r="S1021" s="13"/>
      <c r="T1021" s="13"/>
      <c r="U1021" s="13" t="s">
        <v>885</v>
      </c>
      <c r="V1021" s="13" t="s">
        <v>885</v>
      </c>
      <c r="W1021" s="59">
        <f>+J1021/$W$2</f>
        <v>1.0506336882869428E-4</v>
      </c>
    </row>
    <row r="1022" spans="1:29">
      <c r="A1022" s="13" t="s">
        <v>915</v>
      </c>
      <c r="B1022" s="13" t="s">
        <v>538</v>
      </c>
      <c r="C1022" s="139">
        <v>46265</v>
      </c>
      <c r="D1022" s="139" t="s">
        <v>516</v>
      </c>
      <c r="E1022" s="28">
        <v>0.92941547999999996</v>
      </c>
      <c r="F1022" s="13"/>
      <c r="G1022" s="18">
        <v>5600000</v>
      </c>
      <c r="H1022" s="18">
        <v>5204726.7</v>
      </c>
      <c r="I1022" s="18">
        <v>5600000</v>
      </c>
      <c r="J1022" s="18">
        <v>5204726.7</v>
      </c>
      <c r="K1022" s="15">
        <v>3501252</v>
      </c>
      <c r="L1022" s="13" t="s">
        <v>102</v>
      </c>
      <c r="M1022" s="13" t="s">
        <v>103</v>
      </c>
      <c r="N1022" s="139" t="s">
        <v>374</v>
      </c>
      <c r="O1022" s="139" t="s">
        <v>374</v>
      </c>
      <c r="P1022" s="28">
        <v>33</v>
      </c>
      <c r="Q1022" s="13" t="s">
        <v>54</v>
      </c>
      <c r="R1022" s="13" t="s">
        <v>28</v>
      </c>
      <c r="S1022" s="13"/>
      <c r="T1022" s="13"/>
      <c r="U1022" s="13" t="s">
        <v>1195</v>
      </c>
      <c r="V1022" s="13" t="s">
        <v>1195</v>
      </c>
      <c r="W1022" s="59">
        <f>+J1022/$W$2</f>
        <v>1.1691590418043334E-4</v>
      </c>
    </row>
    <row r="1023" spans="1:29">
      <c r="A1023" s="13" t="s">
        <v>539</v>
      </c>
      <c r="B1023" s="13" t="s">
        <v>538</v>
      </c>
      <c r="C1023" s="139">
        <v>46265</v>
      </c>
      <c r="D1023" s="139" t="s">
        <v>516</v>
      </c>
      <c r="E1023" s="28">
        <v>0.93541777999999998</v>
      </c>
      <c r="F1023" s="13"/>
      <c r="G1023" s="18">
        <v>7500000</v>
      </c>
      <c r="H1023" s="18">
        <v>7015633.3700000001</v>
      </c>
      <c r="I1023" s="18">
        <v>7500000</v>
      </c>
      <c r="J1023" s="18">
        <v>7015633.3700000001</v>
      </c>
      <c r="K1023" s="15">
        <v>511</v>
      </c>
      <c r="L1023" s="13" t="s">
        <v>102</v>
      </c>
      <c r="M1023" s="13" t="s">
        <v>103</v>
      </c>
      <c r="N1023" s="139" t="s">
        <v>390</v>
      </c>
      <c r="O1023" s="139" t="s">
        <v>390</v>
      </c>
      <c r="P1023" s="28">
        <v>30</v>
      </c>
      <c r="Q1023" s="13" t="s">
        <v>54</v>
      </c>
      <c r="R1023" s="13" t="s">
        <v>28</v>
      </c>
      <c r="S1023" s="13"/>
      <c r="T1023" s="13"/>
      <c r="U1023" s="13" t="s">
        <v>1567</v>
      </c>
      <c r="V1023" s="13" t="s">
        <v>1567</v>
      </c>
      <c r="W1023" s="59">
        <f>+J1023/$W$2</f>
        <v>1.5759504122511768E-4</v>
      </c>
    </row>
    <row r="1024" spans="1:29">
      <c r="A1024" s="13" t="s">
        <v>365</v>
      </c>
      <c r="B1024" s="13" t="s">
        <v>538</v>
      </c>
      <c r="C1024" s="139">
        <v>46265</v>
      </c>
      <c r="D1024" s="139" t="s">
        <v>516</v>
      </c>
      <c r="E1024" s="28">
        <v>0.92545644999999999</v>
      </c>
      <c r="F1024" s="13"/>
      <c r="G1024" s="18">
        <v>10000000</v>
      </c>
      <c r="H1024" s="18">
        <v>9254564.5099999998</v>
      </c>
      <c r="I1024" s="18">
        <v>10000000</v>
      </c>
      <c r="J1024" s="18">
        <v>9254564.5099999998</v>
      </c>
      <c r="K1024" s="15">
        <v>255</v>
      </c>
      <c r="L1024" s="13" t="s">
        <v>102</v>
      </c>
      <c r="M1024" s="13" t="s">
        <v>103</v>
      </c>
      <c r="N1024" s="139" t="s">
        <v>359</v>
      </c>
      <c r="O1024" s="139" t="s">
        <v>359</v>
      </c>
      <c r="P1024" s="28">
        <v>35</v>
      </c>
      <c r="Q1024" s="13" t="s">
        <v>54</v>
      </c>
      <c r="R1024" s="13" t="s">
        <v>28</v>
      </c>
      <c r="S1024" s="13"/>
      <c r="T1024" s="13"/>
      <c r="U1024" s="13" t="s">
        <v>1351</v>
      </c>
      <c r="V1024" s="13" t="s">
        <v>1351</v>
      </c>
      <c r="W1024" s="59">
        <f>+J1024/$W$2</f>
        <v>2.078890669673009E-4</v>
      </c>
    </row>
    <row r="1025" spans="1:29">
      <c r="A1025" s="13" t="s">
        <v>1960</v>
      </c>
      <c r="B1025" s="13" t="s">
        <v>538</v>
      </c>
      <c r="C1025" s="139">
        <v>46265</v>
      </c>
      <c r="D1025" s="139" t="s">
        <v>516</v>
      </c>
      <c r="E1025" s="28">
        <v>0.92941552000000005</v>
      </c>
      <c r="F1025" s="13"/>
      <c r="G1025" s="18">
        <v>2200000</v>
      </c>
      <c r="H1025" s="18">
        <v>2044714.15</v>
      </c>
      <c r="I1025" s="18">
        <v>2200000</v>
      </c>
      <c r="J1025" s="18">
        <v>2044714.15</v>
      </c>
      <c r="K1025" s="15">
        <v>6198</v>
      </c>
      <c r="L1025" s="13" t="s">
        <v>102</v>
      </c>
      <c r="M1025" s="13" t="s">
        <v>103</v>
      </c>
      <c r="N1025" s="139" t="s">
        <v>369</v>
      </c>
      <c r="O1025" s="139" t="s">
        <v>369</v>
      </c>
      <c r="P1025" s="28">
        <v>33</v>
      </c>
      <c r="Q1025" s="13" t="s">
        <v>54</v>
      </c>
      <c r="R1025" s="13" t="s">
        <v>28</v>
      </c>
      <c r="S1025" s="13"/>
      <c r="T1025" s="13"/>
      <c r="U1025" s="13" t="s">
        <v>1948</v>
      </c>
      <c r="V1025" s="13" t="s">
        <v>1948</v>
      </c>
      <c r="W1025" s="59">
        <f>+J1025/$W$2</f>
        <v>4.593125007654603E-5</v>
      </c>
      <c r="AC1025" s="56"/>
    </row>
    <row r="1026" spans="1:29">
      <c r="A1026" s="13" t="s">
        <v>339</v>
      </c>
      <c r="B1026" s="13" t="s">
        <v>538</v>
      </c>
      <c r="C1026" s="139">
        <v>46265</v>
      </c>
      <c r="D1026" s="139" t="s">
        <v>516</v>
      </c>
      <c r="E1026" s="28">
        <v>0.94354274999999999</v>
      </c>
      <c r="F1026" s="13"/>
      <c r="G1026" s="18">
        <v>27000000</v>
      </c>
      <c r="H1026" s="18">
        <v>25475654.16</v>
      </c>
      <c r="I1026" s="18">
        <v>27000000</v>
      </c>
      <c r="J1026" s="18">
        <v>25475654.16</v>
      </c>
      <c r="K1026" s="15">
        <v>1416</v>
      </c>
      <c r="L1026" s="13" t="s">
        <v>102</v>
      </c>
      <c r="M1026" s="13" t="s">
        <v>103</v>
      </c>
      <c r="N1026" s="139" t="s">
        <v>394</v>
      </c>
      <c r="O1026" s="139" t="s">
        <v>394</v>
      </c>
      <c r="P1026" s="28">
        <v>26</v>
      </c>
      <c r="Q1026" s="13" t="s">
        <v>54</v>
      </c>
      <c r="R1026" s="13" t="s">
        <v>28</v>
      </c>
      <c r="S1026" s="13"/>
      <c r="T1026" s="13"/>
      <c r="U1026" s="13" t="s">
        <v>1978</v>
      </c>
      <c r="V1026" s="13" t="s">
        <v>1978</v>
      </c>
      <c r="W1026" s="59">
        <f>+J1026/$W$2</f>
        <v>5.7227003690787795E-4</v>
      </c>
    </row>
    <row r="1027" spans="1:29">
      <c r="A1027" s="13" t="s">
        <v>164</v>
      </c>
      <c r="B1027" s="13" t="s">
        <v>538</v>
      </c>
      <c r="C1027" s="139">
        <v>46265</v>
      </c>
      <c r="D1027" s="139" t="s">
        <v>516</v>
      </c>
      <c r="E1027" s="28">
        <v>0.93946262999999997</v>
      </c>
      <c r="F1027" s="13"/>
      <c r="G1027" s="18">
        <v>35000000</v>
      </c>
      <c r="H1027" s="18">
        <v>32881191.93</v>
      </c>
      <c r="I1027" s="18">
        <v>35000000</v>
      </c>
      <c r="J1027" s="18">
        <v>32881191.93</v>
      </c>
      <c r="K1027" s="15">
        <v>3329632</v>
      </c>
      <c r="L1027" s="13" t="s">
        <v>102</v>
      </c>
      <c r="M1027" s="13" t="s">
        <v>103</v>
      </c>
      <c r="N1027" s="139" t="s">
        <v>359</v>
      </c>
      <c r="O1027" s="139" t="s">
        <v>359</v>
      </c>
      <c r="P1027" s="28">
        <v>28</v>
      </c>
      <c r="Q1027" s="13" t="s">
        <v>54</v>
      </c>
      <c r="R1027" s="13" t="s">
        <v>28</v>
      </c>
      <c r="S1027" s="13"/>
      <c r="T1027" s="13"/>
      <c r="U1027" s="13" t="s">
        <v>1327</v>
      </c>
      <c r="V1027" s="13" t="s">
        <v>1327</v>
      </c>
      <c r="W1027" s="59">
        <f>+J1027/$W$2</f>
        <v>7.386236601100146E-4</v>
      </c>
    </row>
    <row r="1028" spans="1:29">
      <c r="A1028" s="13" t="s">
        <v>339</v>
      </c>
      <c r="B1028" s="13" t="s">
        <v>538</v>
      </c>
      <c r="C1028" s="139">
        <v>46265</v>
      </c>
      <c r="D1028" s="139" t="s">
        <v>516</v>
      </c>
      <c r="E1028" s="28">
        <v>0.93743586999999995</v>
      </c>
      <c r="F1028" s="13"/>
      <c r="G1028" s="18">
        <v>10000000</v>
      </c>
      <c r="H1028" s="18">
        <v>9374358.7300000004</v>
      </c>
      <c r="I1028" s="18">
        <v>10000000</v>
      </c>
      <c r="J1028" s="18">
        <v>9374358.7300000004</v>
      </c>
      <c r="K1028" s="15">
        <v>2157</v>
      </c>
      <c r="L1028" s="13" t="s">
        <v>102</v>
      </c>
      <c r="M1028" s="13" t="s">
        <v>103</v>
      </c>
      <c r="N1028" s="139" t="s">
        <v>395</v>
      </c>
      <c r="O1028" s="139" t="s">
        <v>395</v>
      </c>
      <c r="P1028" s="28">
        <v>29</v>
      </c>
      <c r="Q1028" s="13" t="s">
        <v>54</v>
      </c>
      <c r="R1028" s="13" t="s">
        <v>28</v>
      </c>
      <c r="S1028" s="13"/>
      <c r="T1028" s="13"/>
      <c r="U1028" s="13" t="s">
        <v>1244</v>
      </c>
      <c r="V1028" s="13" t="s">
        <v>1244</v>
      </c>
      <c r="W1028" s="59">
        <f>+J1028/$W$2</f>
        <v>2.1058005351744767E-4</v>
      </c>
    </row>
    <row r="1029" spans="1:29">
      <c r="A1029" s="13" t="s">
        <v>339</v>
      </c>
      <c r="B1029" s="13" t="s">
        <v>538</v>
      </c>
      <c r="C1029" s="139">
        <v>46265</v>
      </c>
      <c r="D1029" s="139" t="s">
        <v>516</v>
      </c>
      <c r="E1029" s="28">
        <v>0.93743580999999998</v>
      </c>
      <c r="F1029" s="13"/>
      <c r="G1029" s="18">
        <v>10000000</v>
      </c>
      <c r="H1029" s="18">
        <v>9374358.0999999996</v>
      </c>
      <c r="I1029" s="18">
        <v>10000000</v>
      </c>
      <c r="J1029" s="18">
        <v>9374358.0999999996</v>
      </c>
      <c r="K1029" s="15">
        <v>66412480</v>
      </c>
      <c r="L1029" s="13" t="s">
        <v>102</v>
      </c>
      <c r="M1029" s="13" t="s">
        <v>103</v>
      </c>
      <c r="N1029" s="139" t="s">
        <v>344</v>
      </c>
      <c r="O1029" s="139" t="s">
        <v>344</v>
      </c>
      <c r="P1029" s="28">
        <v>29</v>
      </c>
      <c r="Q1029" s="13" t="s">
        <v>54</v>
      </c>
      <c r="R1029" s="13" t="s">
        <v>28</v>
      </c>
      <c r="S1029" s="13"/>
      <c r="T1029" s="13"/>
      <c r="U1029" s="13" t="s">
        <v>1126</v>
      </c>
      <c r="V1029" s="13" t="s">
        <v>1126</v>
      </c>
      <c r="W1029" s="59">
        <f>+J1029/$W$2</f>
        <v>2.1058003936550002E-4</v>
      </c>
    </row>
    <row r="1030" spans="1:29">
      <c r="A1030" s="13" t="s">
        <v>1291</v>
      </c>
      <c r="B1030" s="13" t="s">
        <v>538</v>
      </c>
      <c r="C1030" s="139">
        <v>46265</v>
      </c>
      <c r="D1030" s="139" t="s">
        <v>516</v>
      </c>
      <c r="E1030" s="28">
        <v>0.92941552999999999</v>
      </c>
      <c r="F1030" s="13"/>
      <c r="G1030" s="18">
        <v>10000000</v>
      </c>
      <c r="H1030" s="18">
        <v>9294155.2699999996</v>
      </c>
      <c r="I1030" s="18">
        <v>10000000</v>
      </c>
      <c r="J1030" s="18">
        <v>9294155.2699999996</v>
      </c>
      <c r="K1030" s="15">
        <v>3222</v>
      </c>
      <c r="L1030" s="13" t="s">
        <v>102</v>
      </c>
      <c r="M1030" s="13" t="s">
        <v>103</v>
      </c>
      <c r="N1030" s="139" t="s">
        <v>369</v>
      </c>
      <c r="O1030" s="139" t="s">
        <v>369</v>
      </c>
      <c r="P1030" s="28">
        <v>33</v>
      </c>
      <c r="Q1030" s="13" t="s">
        <v>54</v>
      </c>
      <c r="R1030" s="13" t="s">
        <v>28</v>
      </c>
      <c r="S1030" s="13"/>
      <c r="T1030" s="13"/>
      <c r="U1030" s="13" t="s">
        <v>1928</v>
      </c>
      <c r="V1030" s="13" t="s">
        <v>1928</v>
      </c>
      <c r="W1030" s="59">
        <f>+J1030/$W$2</f>
        <v>2.087784103986458E-4</v>
      </c>
      <c r="AC1030" s="56"/>
    </row>
    <row r="1031" spans="1:29">
      <c r="A1031" s="13" t="s">
        <v>923</v>
      </c>
      <c r="B1031" s="13" t="s">
        <v>538</v>
      </c>
      <c r="C1031" s="139">
        <v>46266</v>
      </c>
      <c r="D1031" s="139" t="s">
        <v>516</v>
      </c>
      <c r="E1031" s="28">
        <v>0.92863509</v>
      </c>
      <c r="F1031" s="13"/>
      <c r="G1031" s="18">
        <v>21395750</v>
      </c>
      <c r="H1031" s="18">
        <v>19868844.140000001</v>
      </c>
      <c r="I1031" s="18">
        <v>21395750</v>
      </c>
      <c r="J1031" s="18">
        <v>19868844.140000001</v>
      </c>
      <c r="K1031" s="15">
        <v>3233102</v>
      </c>
      <c r="L1031" s="13" t="s">
        <v>102</v>
      </c>
      <c r="M1031" s="13" t="s">
        <v>103</v>
      </c>
      <c r="N1031" s="139" t="s">
        <v>428</v>
      </c>
      <c r="O1031" s="139" t="s">
        <v>428</v>
      </c>
      <c r="P1031" s="28">
        <v>33</v>
      </c>
      <c r="Q1031" s="13" t="s">
        <v>54</v>
      </c>
      <c r="R1031" s="13" t="s">
        <v>28</v>
      </c>
      <c r="S1031" s="13"/>
      <c r="T1031" s="13"/>
      <c r="U1031" s="13" t="s">
        <v>949</v>
      </c>
      <c r="V1031" s="13" t="s">
        <v>949</v>
      </c>
      <c r="W1031" s="59">
        <f>+J1031/$W$2</f>
        <v>4.4632197069025822E-4</v>
      </c>
    </row>
    <row r="1032" spans="1:29">
      <c r="A1032" s="13" t="s">
        <v>923</v>
      </c>
      <c r="B1032" s="13" t="s">
        <v>538</v>
      </c>
      <c r="C1032" s="139">
        <v>46266</v>
      </c>
      <c r="D1032" s="139" t="s">
        <v>516</v>
      </c>
      <c r="E1032" s="28">
        <v>0.92863509</v>
      </c>
      <c r="F1032" s="13"/>
      <c r="G1032" s="18">
        <v>21395750</v>
      </c>
      <c r="H1032" s="18">
        <v>19868844.140000001</v>
      </c>
      <c r="I1032" s="18">
        <v>21395750</v>
      </c>
      <c r="J1032" s="18">
        <v>19868844.140000001</v>
      </c>
      <c r="K1032" s="15">
        <v>3233103</v>
      </c>
      <c r="L1032" s="13" t="s">
        <v>102</v>
      </c>
      <c r="M1032" s="13" t="s">
        <v>103</v>
      </c>
      <c r="N1032" s="139" t="s">
        <v>428</v>
      </c>
      <c r="O1032" s="139" t="s">
        <v>428</v>
      </c>
      <c r="P1032" s="28">
        <v>33</v>
      </c>
      <c r="Q1032" s="13" t="s">
        <v>54</v>
      </c>
      <c r="R1032" s="13" t="s">
        <v>28</v>
      </c>
      <c r="S1032" s="13"/>
      <c r="T1032" s="13"/>
      <c r="U1032" s="13" t="s">
        <v>950</v>
      </c>
      <c r="V1032" s="13" t="s">
        <v>950</v>
      </c>
      <c r="W1032" s="59">
        <f>+J1032/$W$2</f>
        <v>4.4632197069025822E-4</v>
      </c>
      <c r="AC1032" s="56"/>
    </row>
    <row r="1033" spans="1:29">
      <c r="A1033" s="13" t="s">
        <v>1828</v>
      </c>
      <c r="B1033" s="13" t="s">
        <v>538</v>
      </c>
      <c r="C1033" s="139">
        <v>46266</v>
      </c>
      <c r="D1033" s="139" t="s">
        <v>516</v>
      </c>
      <c r="E1033" s="28">
        <v>0.92863527999999995</v>
      </c>
      <c r="F1033" s="13"/>
      <c r="G1033" s="18">
        <v>3000000</v>
      </c>
      <c r="H1033" s="18">
        <v>2785905.84</v>
      </c>
      <c r="I1033" s="18">
        <v>3000000</v>
      </c>
      <c r="J1033" s="18">
        <v>2785905.84</v>
      </c>
      <c r="K1033" s="15">
        <v>90015797</v>
      </c>
      <c r="L1033" s="13" t="s">
        <v>102</v>
      </c>
      <c r="M1033" s="13" t="s">
        <v>103</v>
      </c>
      <c r="N1033" s="139" t="s">
        <v>335</v>
      </c>
      <c r="O1033" s="139" t="s">
        <v>335</v>
      </c>
      <c r="P1033" s="28">
        <v>33</v>
      </c>
      <c r="Q1033" s="13" t="s">
        <v>54</v>
      </c>
      <c r="R1033" s="13" t="s">
        <v>28</v>
      </c>
      <c r="S1033" s="13"/>
      <c r="T1033" s="13"/>
      <c r="U1033" s="13" t="s">
        <v>1794</v>
      </c>
      <c r="V1033" s="13" t="s">
        <v>1794</v>
      </c>
      <c r="W1033" s="59">
        <f>+J1033/$W$2</f>
        <v>6.2580942097334254E-5</v>
      </c>
      <c r="AC1033" s="56"/>
    </row>
    <row r="1034" spans="1:29">
      <c r="A1034" s="13" t="s">
        <v>2044</v>
      </c>
      <c r="B1034" s="13" t="s">
        <v>538</v>
      </c>
      <c r="C1034" s="139">
        <v>46266</v>
      </c>
      <c r="D1034" s="139" t="s">
        <v>516</v>
      </c>
      <c r="E1034" s="28">
        <v>0.93064778999999997</v>
      </c>
      <c r="F1034" s="13"/>
      <c r="G1034" s="18">
        <v>1000000</v>
      </c>
      <c r="H1034" s="18">
        <v>930647.79</v>
      </c>
      <c r="I1034" s="18">
        <v>1000000</v>
      </c>
      <c r="J1034" s="18">
        <v>930647.79</v>
      </c>
      <c r="K1034" s="15">
        <v>67381500</v>
      </c>
      <c r="L1034" s="13" t="s">
        <v>102</v>
      </c>
      <c r="M1034" s="13" t="s">
        <v>103</v>
      </c>
      <c r="N1034" s="139" t="s">
        <v>394</v>
      </c>
      <c r="O1034" s="139" t="s">
        <v>394</v>
      </c>
      <c r="P1034" s="28">
        <v>32</v>
      </c>
      <c r="Q1034" s="13" t="s">
        <v>54</v>
      </c>
      <c r="R1034" s="13" t="s">
        <v>28</v>
      </c>
      <c r="S1034" s="13"/>
      <c r="T1034" s="13"/>
      <c r="U1034" s="13" t="s">
        <v>2057</v>
      </c>
      <c r="V1034" s="13" t="s">
        <v>2057</v>
      </c>
      <c r="W1034" s="59">
        <f>+J1034/$W$2</f>
        <v>2.090552186753092E-5</v>
      </c>
      <c r="AC1034" s="56"/>
    </row>
    <row r="1035" spans="1:29">
      <c r="A1035" s="13" t="s">
        <v>821</v>
      </c>
      <c r="B1035" s="13" t="s">
        <v>538</v>
      </c>
      <c r="C1035" s="139">
        <v>46266</v>
      </c>
      <c r="D1035" s="139" t="s">
        <v>516</v>
      </c>
      <c r="E1035" s="28">
        <v>0.91478700999999996</v>
      </c>
      <c r="F1035" s="13"/>
      <c r="G1035" s="18">
        <v>9972860.4499999993</v>
      </c>
      <c r="H1035" s="18">
        <v>9123043.1600000001</v>
      </c>
      <c r="I1035" s="18">
        <v>9972860.4499999993</v>
      </c>
      <c r="J1035" s="18">
        <v>9123043.1600000001</v>
      </c>
      <c r="K1035" s="15">
        <v>1179204</v>
      </c>
      <c r="L1035" s="13" t="s">
        <v>102</v>
      </c>
      <c r="M1035" s="13" t="s">
        <v>103</v>
      </c>
      <c r="N1035" s="139" t="s">
        <v>364</v>
      </c>
      <c r="O1035" s="139" t="s">
        <v>364</v>
      </c>
      <c r="P1035" s="28">
        <v>40</v>
      </c>
      <c r="Q1035" s="13" t="s">
        <v>54</v>
      </c>
      <c r="R1035" s="13" t="s">
        <v>28</v>
      </c>
      <c r="S1035" s="13"/>
      <c r="T1035" s="13"/>
      <c r="U1035" s="13" t="s">
        <v>806</v>
      </c>
      <c r="V1035" s="13" t="s">
        <v>806</v>
      </c>
      <c r="W1035" s="59">
        <f>+J1035/$W$2</f>
        <v>2.0493464910050277E-4</v>
      </c>
    </row>
    <row r="1036" spans="1:29">
      <c r="A1036" s="13" t="s">
        <v>917</v>
      </c>
      <c r="B1036" s="13" t="s">
        <v>538</v>
      </c>
      <c r="C1036" s="139">
        <v>46266</v>
      </c>
      <c r="D1036" s="139" t="s">
        <v>516</v>
      </c>
      <c r="E1036" s="28">
        <v>0.91870141000000005</v>
      </c>
      <c r="F1036" s="13"/>
      <c r="G1036" s="18">
        <v>4500000</v>
      </c>
      <c r="H1036" s="18">
        <v>4134156.33</v>
      </c>
      <c r="I1036" s="18">
        <v>4500000</v>
      </c>
      <c r="J1036" s="18">
        <v>4134156.33</v>
      </c>
      <c r="K1036" s="15">
        <v>556</v>
      </c>
      <c r="L1036" s="13" t="s">
        <v>102</v>
      </c>
      <c r="M1036" s="13" t="s">
        <v>103</v>
      </c>
      <c r="N1036" s="139" t="s">
        <v>344</v>
      </c>
      <c r="O1036" s="139" t="s">
        <v>344</v>
      </c>
      <c r="P1036" s="28">
        <v>38</v>
      </c>
      <c r="Q1036" s="13" t="s">
        <v>54</v>
      </c>
      <c r="R1036" s="13" t="s">
        <v>28</v>
      </c>
      <c r="S1036" s="13"/>
      <c r="T1036" s="13"/>
      <c r="U1036" s="13" t="s">
        <v>1133</v>
      </c>
      <c r="V1036" s="13" t="s">
        <v>1133</v>
      </c>
      <c r="W1036" s="59">
        <f>+J1036/$W$2</f>
        <v>9.2867244181180921E-5</v>
      </c>
    </row>
    <row r="1037" spans="1:29">
      <c r="A1037" s="13" t="s">
        <v>122</v>
      </c>
      <c r="B1037" s="13" t="s">
        <v>538</v>
      </c>
      <c r="C1037" s="139">
        <v>46266</v>
      </c>
      <c r="D1037" s="139" t="s">
        <v>516</v>
      </c>
      <c r="E1037" s="28">
        <v>0.84627876000000002</v>
      </c>
      <c r="F1037" s="13"/>
      <c r="G1037" s="18">
        <v>10000000</v>
      </c>
      <c r="H1037" s="18">
        <v>8462787.6400000006</v>
      </c>
      <c r="I1037" s="18">
        <v>10000000</v>
      </c>
      <c r="J1037" s="18">
        <v>8462787.6400000006</v>
      </c>
      <c r="K1037" s="15">
        <v>3937</v>
      </c>
      <c r="L1037" s="13" t="s">
        <v>102</v>
      </c>
      <c r="M1037" s="13" t="s">
        <v>103</v>
      </c>
      <c r="N1037" s="139" t="s">
        <v>135</v>
      </c>
      <c r="O1037" s="139" t="s">
        <v>135</v>
      </c>
      <c r="P1037" s="28">
        <v>78</v>
      </c>
      <c r="Q1037" s="13" t="s">
        <v>54</v>
      </c>
      <c r="R1037" s="13" t="s">
        <v>28</v>
      </c>
      <c r="S1037" s="13"/>
      <c r="T1037" s="13"/>
      <c r="U1037" s="13" t="s">
        <v>190</v>
      </c>
      <c r="V1037" s="13" t="s">
        <v>190</v>
      </c>
      <c r="W1037" s="59">
        <f>+J1037/$W$2</f>
        <v>1.9010305936286638E-4</v>
      </c>
    </row>
    <row r="1038" spans="1:29">
      <c r="A1038" s="13" t="s">
        <v>1960</v>
      </c>
      <c r="B1038" s="13" t="s">
        <v>538</v>
      </c>
      <c r="C1038" s="139">
        <v>46266</v>
      </c>
      <c r="D1038" s="139" t="s">
        <v>516</v>
      </c>
      <c r="E1038" s="28">
        <v>0.92863512000000004</v>
      </c>
      <c r="F1038" s="13"/>
      <c r="G1038" s="18">
        <v>2200000</v>
      </c>
      <c r="H1038" s="18">
        <v>2042997.27</v>
      </c>
      <c r="I1038" s="18">
        <v>2200000</v>
      </c>
      <c r="J1038" s="18">
        <v>2042997.27</v>
      </c>
      <c r="K1038" s="15">
        <v>6199</v>
      </c>
      <c r="L1038" s="13" t="s">
        <v>102</v>
      </c>
      <c r="M1038" s="13" t="s">
        <v>103</v>
      </c>
      <c r="N1038" s="139" t="s">
        <v>369</v>
      </c>
      <c r="O1038" s="139" t="s">
        <v>369</v>
      </c>
      <c r="P1038" s="28">
        <v>33</v>
      </c>
      <c r="Q1038" s="13" t="s">
        <v>54</v>
      </c>
      <c r="R1038" s="13" t="s">
        <v>28</v>
      </c>
      <c r="S1038" s="13"/>
      <c r="T1038" s="13"/>
      <c r="U1038" s="13" t="s">
        <v>1949</v>
      </c>
      <c r="V1038" s="13" t="s">
        <v>1949</v>
      </c>
      <c r="W1038" s="59">
        <f>+J1038/$W$2</f>
        <v>4.5892683099038977E-5</v>
      </c>
      <c r="AC1038"/>
    </row>
    <row r="1039" spans="1:29">
      <c r="A1039" s="13" t="s">
        <v>325</v>
      </c>
      <c r="B1039" s="13" t="s">
        <v>538</v>
      </c>
      <c r="C1039" s="139">
        <v>46266</v>
      </c>
      <c r="D1039" s="139" t="s">
        <v>516</v>
      </c>
      <c r="E1039" s="28">
        <v>0.92863510999999999</v>
      </c>
      <c r="F1039" s="13"/>
      <c r="G1039" s="18">
        <v>50000000</v>
      </c>
      <c r="H1039" s="18">
        <v>46431755.399999999</v>
      </c>
      <c r="I1039" s="18">
        <v>50000000</v>
      </c>
      <c r="J1039" s="18">
        <v>46431755.399999999</v>
      </c>
      <c r="K1039" s="15">
        <v>29030847</v>
      </c>
      <c r="L1039" s="13" t="s">
        <v>102</v>
      </c>
      <c r="M1039" s="13" t="s">
        <v>103</v>
      </c>
      <c r="N1039" s="139" t="s">
        <v>324</v>
      </c>
      <c r="O1039" s="139" t="s">
        <v>324</v>
      </c>
      <c r="P1039" s="28">
        <v>33</v>
      </c>
      <c r="Q1039" s="13" t="s">
        <v>54</v>
      </c>
      <c r="R1039" s="13" t="s">
        <v>28</v>
      </c>
      <c r="S1039" s="13"/>
      <c r="T1039" s="13"/>
      <c r="U1039" s="13" t="s">
        <v>701</v>
      </c>
      <c r="V1039" s="13" t="s">
        <v>701</v>
      </c>
      <c r="W1039" s="59">
        <f>+J1039/$W$2</f>
        <v>1.043015508436921E-3</v>
      </c>
    </row>
    <row r="1040" spans="1:29">
      <c r="A1040" s="13" t="s">
        <v>339</v>
      </c>
      <c r="B1040" s="13" t="s">
        <v>538</v>
      </c>
      <c r="C1040" s="139">
        <v>46266</v>
      </c>
      <c r="D1040" s="139" t="s">
        <v>516</v>
      </c>
      <c r="E1040" s="28">
        <v>0.94290894999999997</v>
      </c>
      <c r="F1040" s="13"/>
      <c r="G1040" s="18">
        <v>120000000</v>
      </c>
      <c r="H1040" s="18">
        <v>113149073.48</v>
      </c>
      <c r="I1040" s="18">
        <v>120000000</v>
      </c>
      <c r="J1040" s="18">
        <v>113149073.48</v>
      </c>
      <c r="K1040" s="15">
        <v>344</v>
      </c>
      <c r="L1040" s="13" t="s">
        <v>102</v>
      </c>
      <c r="M1040" s="13" t="s">
        <v>103</v>
      </c>
      <c r="N1040" s="139" t="s">
        <v>394</v>
      </c>
      <c r="O1040" s="139" t="s">
        <v>394</v>
      </c>
      <c r="P1040" s="28">
        <v>26</v>
      </c>
      <c r="Q1040" s="13" t="s">
        <v>54</v>
      </c>
      <c r="R1040" s="13" t="s">
        <v>28</v>
      </c>
      <c r="S1040" s="13"/>
      <c r="T1040" s="13"/>
      <c r="U1040" s="13" t="s">
        <v>1977</v>
      </c>
      <c r="V1040" s="13" t="s">
        <v>1977</v>
      </c>
      <c r="W1040" s="59">
        <f>+J1040/$W$2</f>
        <v>2.5417139065327852E-3</v>
      </c>
    </row>
    <row r="1041" spans="1:23">
      <c r="A1041" s="13" t="s">
        <v>313</v>
      </c>
      <c r="B1041" s="13" t="s">
        <v>538</v>
      </c>
      <c r="C1041" s="139">
        <v>46266</v>
      </c>
      <c r="D1041" s="139" t="s">
        <v>516</v>
      </c>
      <c r="E1041" s="28">
        <v>0.91870123000000004</v>
      </c>
      <c r="F1041" s="13"/>
      <c r="G1041" s="18">
        <v>5450000</v>
      </c>
      <c r="H1041" s="18">
        <v>5006921.72</v>
      </c>
      <c r="I1041" s="18">
        <v>5450000</v>
      </c>
      <c r="J1041" s="18">
        <v>5006921.72</v>
      </c>
      <c r="K1041" s="15">
        <v>28518</v>
      </c>
      <c r="L1041" s="13" t="s">
        <v>102</v>
      </c>
      <c r="M1041" s="13" t="s">
        <v>103</v>
      </c>
      <c r="N1041" s="139" t="s">
        <v>319</v>
      </c>
      <c r="O1041" s="139" t="s">
        <v>319</v>
      </c>
      <c r="P1041" s="28">
        <v>38</v>
      </c>
      <c r="Q1041" s="13" t="s">
        <v>54</v>
      </c>
      <c r="R1041" s="13" t="s">
        <v>28</v>
      </c>
      <c r="S1041" s="13"/>
      <c r="T1041" s="13"/>
      <c r="U1041" s="13" t="s">
        <v>715</v>
      </c>
      <c r="V1041" s="13" t="s">
        <v>715</v>
      </c>
      <c r="W1041" s="59">
        <f>+J1041/$W$2</f>
        <v>1.1247253002822424E-4</v>
      </c>
    </row>
    <row r="1042" spans="1:23">
      <c r="A1042" s="13" t="s">
        <v>339</v>
      </c>
      <c r="B1042" s="13" t="s">
        <v>538</v>
      </c>
      <c r="C1042" s="139">
        <v>46266</v>
      </c>
      <c r="D1042" s="139" t="s">
        <v>516</v>
      </c>
      <c r="E1042" s="28">
        <v>0.93673812999999995</v>
      </c>
      <c r="F1042" s="13"/>
      <c r="G1042" s="18">
        <v>10000000</v>
      </c>
      <c r="H1042" s="18">
        <v>9367381.3300000001</v>
      </c>
      <c r="I1042" s="18">
        <v>10000000</v>
      </c>
      <c r="J1042" s="18">
        <v>9367381.3300000001</v>
      </c>
      <c r="K1042" s="15">
        <v>2158</v>
      </c>
      <c r="L1042" s="13" t="s">
        <v>102</v>
      </c>
      <c r="M1042" s="13" t="s">
        <v>103</v>
      </c>
      <c r="N1042" s="139" t="s">
        <v>395</v>
      </c>
      <c r="O1042" s="139" t="s">
        <v>395</v>
      </c>
      <c r="P1042" s="28">
        <v>29</v>
      </c>
      <c r="Q1042" s="13" t="s">
        <v>54</v>
      </c>
      <c r="R1042" s="13" t="s">
        <v>28</v>
      </c>
      <c r="S1042" s="13"/>
      <c r="T1042" s="13"/>
      <c r="U1042" s="13" t="s">
        <v>1243</v>
      </c>
      <c r="V1042" s="13" t="s">
        <v>1243</v>
      </c>
      <c r="W1042" s="59">
        <f>+J1042/$W$2</f>
        <v>2.1042331732804725E-4</v>
      </c>
    </row>
    <row r="1043" spans="1:23">
      <c r="A1043" s="13" t="s">
        <v>339</v>
      </c>
      <c r="B1043" s="13" t="s">
        <v>538</v>
      </c>
      <c r="C1043" s="139">
        <v>46266</v>
      </c>
      <c r="D1043" s="139" t="s">
        <v>516</v>
      </c>
      <c r="E1043" s="28">
        <v>0.93673824000000006</v>
      </c>
      <c r="F1043" s="13"/>
      <c r="G1043" s="18">
        <v>10000000</v>
      </c>
      <c r="H1043" s="18">
        <v>9367382.3499999996</v>
      </c>
      <c r="I1043" s="18">
        <v>10000000</v>
      </c>
      <c r="J1043" s="18">
        <v>9367382.3499999996</v>
      </c>
      <c r="K1043" s="15">
        <v>66412510</v>
      </c>
      <c r="L1043" s="13" t="s">
        <v>102</v>
      </c>
      <c r="M1043" s="13" t="s">
        <v>103</v>
      </c>
      <c r="N1043" s="139" t="s">
        <v>344</v>
      </c>
      <c r="O1043" s="139" t="s">
        <v>344</v>
      </c>
      <c r="P1043" s="28">
        <v>29</v>
      </c>
      <c r="Q1043" s="13" t="s">
        <v>54</v>
      </c>
      <c r="R1043" s="13" t="s">
        <v>28</v>
      </c>
      <c r="S1043" s="13"/>
      <c r="T1043" s="13"/>
      <c r="U1043" s="13" t="s">
        <v>1127</v>
      </c>
      <c r="V1043" s="13" t="s">
        <v>1127</v>
      </c>
      <c r="W1043" s="59">
        <f>+J1043/$W$2</f>
        <v>2.1042334024072435E-4</v>
      </c>
    </row>
    <row r="1044" spans="1:23">
      <c r="A1044" s="13" t="s">
        <v>198</v>
      </c>
      <c r="B1044" s="13" t="s">
        <v>538</v>
      </c>
      <c r="C1044" s="139">
        <v>46266</v>
      </c>
      <c r="D1044" s="139" t="s">
        <v>516</v>
      </c>
      <c r="E1044" s="28">
        <v>0.95549753999999998</v>
      </c>
      <c r="F1044" s="13"/>
      <c r="G1044" s="18">
        <v>2500000</v>
      </c>
      <c r="H1044" s="18">
        <v>2388743.85</v>
      </c>
      <c r="I1044" s="18">
        <v>2500000</v>
      </c>
      <c r="J1044" s="18">
        <v>2388743.85</v>
      </c>
      <c r="K1044" s="15">
        <v>6138</v>
      </c>
      <c r="L1044" s="13" t="s">
        <v>102</v>
      </c>
      <c r="M1044" s="13" t="s">
        <v>103</v>
      </c>
      <c r="N1044" s="139" t="s">
        <v>335</v>
      </c>
      <c r="O1044" s="139" t="s">
        <v>335</v>
      </c>
      <c r="P1044" s="28">
        <v>20</v>
      </c>
      <c r="Q1044" s="13" t="s">
        <v>54</v>
      </c>
      <c r="R1044" s="13" t="s">
        <v>28</v>
      </c>
      <c r="S1044" s="13"/>
      <c r="T1044" s="13"/>
      <c r="U1044" s="13" t="s">
        <v>1751</v>
      </c>
      <c r="V1044" s="13" t="s">
        <v>1751</v>
      </c>
      <c r="W1044" s="59">
        <f>+J1044/$W$2</f>
        <v>5.3659329908369526E-5</v>
      </c>
    </row>
    <row r="1045" spans="1:23">
      <c r="A1045" s="13" t="s">
        <v>818</v>
      </c>
      <c r="B1045" s="13" t="s">
        <v>538</v>
      </c>
      <c r="C1045" s="139">
        <v>46266</v>
      </c>
      <c r="D1045" s="139" t="s">
        <v>516</v>
      </c>
      <c r="E1045" s="28">
        <v>0.93469917999999996</v>
      </c>
      <c r="F1045" s="13"/>
      <c r="G1045" s="18">
        <v>25000000</v>
      </c>
      <c r="H1045" s="18">
        <v>23367479.48</v>
      </c>
      <c r="I1045" s="18">
        <v>25000000</v>
      </c>
      <c r="J1045" s="18">
        <v>23367479.48</v>
      </c>
      <c r="K1045" s="15">
        <v>718978</v>
      </c>
      <c r="L1045" s="13" t="s">
        <v>102</v>
      </c>
      <c r="M1045" s="13" t="s">
        <v>103</v>
      </c>
      <c r="N1045" s="139" t="s">
        <v>378</v>
      </c>
      <c r="O1045" s="139" t="s">
        <v>378</v>
      </c>
      <c r="P1045" s="28">
        <v>30</v>
      </c>
      <c r="Q1045" s="13" t="s">
        <v>54</v>
      </c>
      <c r="R1045" s="13" t="s">
        <v>28</v>
      </c>
      <c r="S1045" s="13"/>
      <c r="T1045" s="13"/>
      <c r="U1045" s="13" t="s">
        <v>833</v>
      </c>
      <c r="V1045" s="13" t="s">
        <v>833</v>
      </c>
      <c r="W1045" s="59">
        <f>+J1045/$W$2</f>
        <v>5.2491324699564378E-4</v>
      </c>
    </row>
    <row r="1046" spans="1:23">
      <c r="A1046" s="13" t="s">
        <v>819</v>
      </c>
      <c r="B1046" s="13" t="s">
        <v>538</v>
      </c>
      <c r="C1046" s="139">
        <v>46266</v>
      </c>
      <c r="D1046" s="139" t="s">
        <v>516</v>
      </c>
      <c r="E1046" s="28">
        <v>0.93673817000000004</v>
      </c>
      <c r="F1046" s="13"/>
      <c r="G1046" s="18">
        <v>2500000</v>
      </c>
      <c r="H1046" s="18">
        <v>2341845.42</v>
      </c>
      <c r="I1046" s="18">
        <v>2500000</v>
      </c>
      <c r="J1046" s="18">
        <v>2341845.42</v>
      </c>
      <c r="K1046" s="15">
        <v>367</v>
      </c>
      <c r="L1046" s="13" t="s">
        <v>102</v>
      </c>
      <c r="M1046" s="13" t="s">
        <v>103</v>
      </c>
      <c r="N1046" s="139" t="s">
        <v>378</v>
      </c>
      <c r="O1046" s="139" t="s">
        <v>378</v>
      </c>
      <c r="P1046" s="28">
        <v>29</v>
      </c>
      <c r="Q1046" s="13" t="s">
        <v>54</v>
      </c>
      <c r="R1046" s="13" t="s">
        <v>28</v>
      </c>
      <c r="S1046" s="13"/>
      <c r="T1046" s="13"/>
      <c r="U1046" s="13" t="s">
        <v>831</v>
      </c>
      <c r="V1046" s="13" t="s">
        <v>831</v>
      </c>
      <c r="W1046" s="59">
        <f>+J1046/$W$2</f>
        <v>5.2605831297560094E-5</v>
      </c>
    </row>
    <row r="1047" spans="1:23">
      <c r="A1047" s="13" t="s">
        <v>819</v>
      </c>
      <c r="B1047" s="13" t="s">
        <v>538</v>
      </c>
      <c r="C1047" s="139">
        <v>46266</v>
      </c>
      <c r="D1047" s="139" t="s">
        <v>516</v>
      </c>
      <c r="E1047" s="28">
        <v>0.93878609999999996</v>
      </c>
      <c r="F1047" s="13"/>
      <c r="G1047" s="18">
        <v>10000000</v>
      </c>
      <c r="H1047" s="18">
        <v>9387860.9700000007</v>
      </c>
      <c r="I1047" s="18">
        <v>10000000</v>
      </c>
      <c r="J1047" s="18">
        <v>9387860.9700000007</v>
      </c>
      <c r="K1047" s="15">
        <v>360560</v>
      </c>
      <c r="L1047" s="13" t="s">
        <v>102</v>
      </c>
      <c r="M1047" s="13" t="s">
        <v>103</v>
      </c>
      <c r="N1047" s="139" t="s">
        <v>366</v>
      </c>
      <c r="O1047" s="139" t="s">
        <v>366</v>
      </c>
      <c r="P1047" s="28">
        <v>28</v>
      </c>
      <c r="Q1047" s="13" t="s">
        <v>54</v>
      </c>
      <c r="R1047" s="13" t="s">
        <v>28</v>
      </c>
      <c r="S1047" s="13"/>
      <c r="T1047" s="13"/>
      <c r="U1047" s="13" t="s">
        <v>1026</v>
      </c>
      <c r="V1047" s="13" t="s">
        <v>1026</v>
      </c>
      <c r="W1047" s="59">
        <f>+J1047/$W$2</f>
        <v>2.1088335985590753E-4</v>
      </c>
    </row>
    <row r="1048" spans="1:23">
      <c r="A1048" s="13" t="s">
        <v>640</v>
      </c>
      <c r="B1048" s="13" t="s">
        <v>538</v>
      </c>
      <c r="C1048" s="139">
        <v>46267</v>
      </c>
      <c r="D1048" s="139" t="s">
        <v>516</v>
      </c>
      <c r="E1048" s="28">
        <v>0.92785603999999999</v>
      </c>
      <c r="F1048" s="13"/>
      <c r="G1048" s="18">
        <v>50000000</v>
      </c>
      <c r="H1048" s="18">
        <v>46392801.770000003</v>
      </c>
      <c r="I1048" s="18">
        <v>50000000</v>
      </c>
      <c r="J1048" s="18">
        <v>46392801.770000003</v>
      </c>
      <c r="K1048" s="15">
        <v>2834</v>
      </c>
      <c r="L1048" s="13" t="s">
        <v>102</v>
      </c>
      <c r="M1048" s="13" t="s">
        <v>103</v>
      </c>
      <c r="N1048" s="139" t="s">
        <v>369</v>
      </c>
      <c r="O1048" s="139" t="s">
        <v>369</v>
      </c>
      <c r="P1048" s="28">
        <v>33</v>
      </c>
      <c r="Q1048" s="13" t="s">
        <v>54</v>
      </c>
      <c r="R1048" s="13" t="s">
        <v>28</v>
      </c>
      <c r="S1048" s="13"/>
      <c r="T1048" s="13"/>
      <c r="U1048" s="13" t="s">
        <v>1941</v>
      </c>
      <c r="V1048" s="13" t="s">
        <v>1941</v>
      </c>
      <c r="W1048" s="59">
        <f>+J1048/$W$2</f>
        <v>1.0421404771173016E-3</v>
      </c>
    </row>
    <row r="1049" spans="1:23">
      <c r="A1049" s="13" t="s">
        <v>923</v>
      </c>
      <c r="B1049" s="13" t="s">
        <v>538</v>
      </c>
      <c r="C1049" s="139">
        <v>46267</v>
      </c>
      <c r="D1049" s="139" t="s">
        <v>516</v>
      </c>
      <c r="E1049" s="28">
        <v>0.92988895999999999</v>
      </c>
      <c r="F1049" s="13"/>
      <c r="G1049" s="18">
        <v>15000000</v>
      </c>
      <c r="H1049" s="18">
        <v>13948334.33</v>
      </c>
      <c r="I1049" s="18">
        <v>15000000</v>
      </c>
      <c r="J1049" s="18">
        <v>13948334.33</v>
      </c>
      <c r="K1049" s="15">
        <v>179</v>
      </c>
      <c r="L1049" s="13" t="s">
        <v>102</v>
      </c>
      <c r="M1049" s="13" t="s">
        <v>103</v>
      </c>
      <c r="N1049" s="139" t="s">
        <v>378</v>
      </c>
      <c r="O1049" s="139" t="s">
        <v>378</v>
      </c>
      <c r="P1049" s="28">
        <v>32</v>
      </c>
      <c r="Q1049" s="13" t="s">
        <v>54</v>
      </c>
      <c r="R1049" s="13" t="s">
        <v>28</v>
      </c>
      <c r="S1049" s="13"/>
      <c r="T1049" s="13"/>
      <c r="U1049" s="13" t="s">
        <v>855</v>
      </c>
      <c r="V1049" s="13" t="s">
        <v>855</v>
      </c>
      <c r="W1049" s="59">
        <f>+J1049/$W$2</f>
        <v>3.1332713781166048E-4</v>
      </c>
    </row>
    <row r="1050" spans="1:23">
      <c r="A1050" s="13" t="s">
        <v>923</v>
      </c>
      <c r="B1050" s="13" t="s">
        <v>538</v>
      </c>
      <c r="C1050" s="139">
        <v>46267</v>
      </c>
      <c r="D1050" s="139" t="s">
        <v>516</v>
      </c>
      <c r="E1050" s="28">
        <v>0.93398157999999998</v>
      </c>
      <c r="F1050" s="13"/>
      <c r="G1050" s="18">
        <v>6000000</v>
      </c>
      <c r="H1050" s="18">
        <v>5603889.4699999997</v>
      </c>
      <c r="I1050" s="18">
        <v>6000000</v>
      </c>
      <c r="J1050" s="18">
        <v>5603889.4699999997</v>
      </c>
      <c r="K1050" s="15">
        <v>10926495</v>
      </c>
      <c r="L1050" s="13" t="s">
        <v>102</v>
      </c>
      <c r="M1050" s="13" t="s">
        <v>103</v>
      </c>
      <c r="N1050" s="139" t="s">
        <v>428</v>
      </c>
      <c r="O1050" s="139" t="s">
        <v>428</v>
      </c>
      <c r="P1050" s="28">
        <v>30</v>
      </c>
      <c r="Q1050" s="13" t="s">
        <v>54</v>
      </c>
      <c r="R1050" s="13" t="s">
        <v>28</v>
      </c>
      <c r="S1050" s="13"/>
      <c r="T1050" s="13"/>
      <c r="U1050" s="13" t="s">
        <v>946</v>
      </c>
      <c r="V1050" s="13" t="s">
        <v>946</v>
      </c>
      <c r="W1050" s="59">
        <f>+J1050/$W$2</f>
        <v>1.258824607086976E-4</v>
      </c>
    </row>
    <row r="1051" spans="1:23">
      <c r="A1051" s="13" t="s">
        <v>1688</v>
      </c>
      <c r="B1051" s="13" t="s">
        <v>538</v>
      </c>
      <c r="C1051" s="139">
        <v>46267</v>
      </c>
      <c r="D1051" s="139" t="s">
        <v>516</v>
      </c>
      <c r="E1051" s="28">
        <v>0.92785605999999998</v>
      </c>
      <c r="F1051" s="13"/>
      <c r="G1051" s="18">
        <v>3812810.4</v>
      </c>
      <c r="H1051" s="18">
        <v>3537739.22</v>
      </c>
      <c r="I1051" s="18">
        <v>3812810.4</v>
      </c>
      <c r="J1051" s="18">
        <v>3537739.22</v>
      </c>
      <c r="K1051" s="15">
        <v>286</v>
      </c>
      <c r="L1051" s="13" t="s">
        <v>102</v>
      </c>
      <c r="M1051" s="13" t="s">
        <v>103</v>
      </c>
      <c r="N1051" s="139" t="s">
        <v>514</v>
      </c>
      <c r="O1051" s="139" t="s">
        <v>514</v>
      </c>
      <c r="P1051" s="28">
        <v>33</v>
      </c>
      <c r="Q1051" s="13" t="s">
        <v>54</v>
      </c>
      <c r="R1051" s="13" t="s">
        <v>28</v>
      </c>
      <c r="S1051" s="13"/>
      <c r="T1051" s="13"/>
      <c r="U1051" s="13" t="s">
        <v>1692</v>
      </c>
      <c r="V1051" s="13" t="s">
        <v>1692</v>
      </c>
      <c r="W1051" s="59">
        <f>+J1051/$W$2</f>
        <v>7.9469682752195418E-5</v>
      </c>
    </row>
    <row r="1052" spans="1:23">
      <c r="A1052" s="13" t="s">
        <v>2038</v>
      </c>
      <c r="B1052" s="13" t="s">
        <v>538</v>
      </c>
      <c r="C1052" s="139">
        <v>46267</v>
      </c>
      <c r="D1052" s="139" t="s">
        <v>516</v>
      </c>
      <c r="E1052" s="28">
        <v>0.92988901000000002</v>
      </c>
      <c r="F1052" s="13"/>
      <c r="G1052" s="18">
        <v>13000000</v>
      </c>
      <c r="H1052" s="18">
        <v>12088557.16</v>
      </c>
      <c r="I1052" s="18">
        <v>13000000</v>
      </c>
      <c r="J1052" s="18">
        <v>12088557.16</v>
      </c>
      <c r="K1052" s="15">
        <v>546</v>
      </c>
      <c r="L1052" s="13" t="s">
        <v>102</v>
      </c>
      <c r="M1052" s="13" t="s">
        <v>103</v>
      </c>
      <c r="N1052" s="139" t="s">
        <v>394</v>
      </c>
      <c r="O1052" s="139" t="s">
        <v>394</v>
      </c>
      <c r="P1052" s="28">
        <v>32</v>
      </c>
      <c r="Q1052" s="13" t="s">
        <v>54</v>
      </c>
      <c r="R1052" s="13" t="s">
        <v>28</v>
      </c>
      <c r="S1052" s="13"/>
      <c r="T1052" s="13"/>
      <c r="U1052" s="13" t="s">
        <v>2043</v>
      </c>
      <c r="V1052" s="13" t="s">
        <v>2043</v>
      </c>
      <c r="W1052" s="59">
        <f>+J1052/$W$2</f>
        <v>2.715502027413373E-4</v>
      </c>
    </row>
    <row r="1053" spans="1:23">
      <c r="A1053" s="13" t="s">
        <v>2044</v>
      </c>
      <c r="B1053" s="13" t="s">
        <v>538</v>
      </c>
      <c r="C1053" s="139">
        <v>46267</v>
      </c>
      <c r="D1053" s="139" t="s">
        <v>516</v>
      </c>
      <c r="E1053" s="28">
        <v>0.92988901000000002</v>
      </c>
      <c r="F1053" s="13"/>
      <c r="G1053" s="18">
        <v>1000000</v>
      </c>
      <c r="H1053" s="18">
        <v>929889.01</v>
      </c>
      <c r="I1053" s="18">
        <v>1000000</v>
      </c>
      <c r="J1053" s="18">
        <v>929889.01</v>
      </c>
      <c r="K1053" s="15">
        <v>67277956</v>
      </c>
      <c r="L1053" s="13" t="s">
        <v>102</v>
      </c>
      <c r="M1053" s="13" t="s">
        <v>103</v>
      </c>
      <c r="N1053" s="139" t="s">
        <v>394</v>
      </c>
      <c r="O1053" s="139" t="s">
        <v>394</v>
      </c>
      <c r="P1053" s="28">
        <v>32</v>
      </c>
      <c r="Q1053" s="13" t="s">
        <v>54</v>
      </c>
      <c r="R1053" s="13" t="s">
        <v>28</v>
      </c>
      <c r="S1053" s="13"/>
      <c r="T1053" s="13"/>
      <c r="U1053" s="13" t="s">
        <v>2051</v>
      </c>
      <c r="V1053" s="13" t="s">
        <v>2051</v>
      </c>
      <c r="W1053" s="59">
        <f>+J1053/$W$2</f>
        <v>2.0888477082110387E-5</v>
      </c>
    </row>
    <row r="1054" spans="1:23">
      <c r="A1054" s="13" t="s">
        <v>821</v>
      </c>
      <c r="B1054" s="13" t="s">
        <v>538</v>
      </c>
      <c r="C1054" s="139">
        <v>46267</v>
      </c>
      <c r="D1054" s="139" t="s">
        <v>516</v>
      </c>
      <c r="E1054" s="28">
        <v>0.91387099999999999</v>
      </c>
      <c r="F1054" s="13"/>
      <c r="G1054" s="18">
        <v>9972570.8200000003</v>
      </c>
      <c r="H1054" s="18">
        <v>9113643.2200000007</v>
      </c>
      <c r="I1054" s="18">
        <v>9972570.8200000003</v>
      </c>
      <c r="J1054" s="18">
        <v>9113643.2200000007</v>
      </c>
      <c r="K1054" s="15">
        <v>1179207</v>
      </c>
      <c r="L1054" s="13" t="s">
        <v>102</v>
      </c>
      <c r="M1054" s="13" t="s">
        <v>103</v>
      </c>
      <c r="N1054" s="139" t="s">
        <v>364</v>
      </c>
      <c r="O1054" s="139" t="s">
        <v>364</v>
      </c>
      <c r="P1054" s="28">
        <v>40</v>
      </c>
      <c r="Q1054" s="13" t="s">
        <v>54</v>
      </c>
      <c r="R1054" s="13" t="s">
        <v>28</v>
      </c>
      <c r="S1054" s="13"/>
      <c r="T1054" s="13"/>
      <c r="U1054" s="13" t="s">
        <v>803</v>
      </c>
      <c r="V1054" s="13" t="s">
        <v>803</v>
      </c>
      <c r="W1054" s="59">
        <f>+J1054/$W$2</f>
        <v>2.0472349440445664E-4</v>
      </c>
    </row>
    <row r="1055" spans="1:23">
      <c r="A1055" s="13" t="s">
        <v>821</v>
      </c>
      <c r="B1055" s="13" t="s">
        <v>538</v>
      </c>
      <c r="C1055" s="139">
        <v>46267</v>
      </c>
      <c r="D1055" s="139" t="s">
        <v>516</v>
      </c>
      <c r="E1055" s="28">
        <v>0.91387099999999999</v>
      </c>
      <c r="F1055" s="13"/>
      <c r="G1055" s="18">
        <v>9972350.7799999993</v>
      </c>
      <c r="H1055" s="18">
        <v>9113442.1300000008</v>
      </c>
      <c r="I1055" s="18">
        <v>9972350.7799999993</v>
      </c>
      <c r="J1055" s="18">
        <v>9113442.1300000008</v>
      </c>
      <c r="K1055" s="15">
        <v>1179206</v>
      </c>
      <c r="L1055" s="13" t="s">
        <v>102</v>
      </c>
      <c r="M1055" s="13" t="s">
        <v>103</v>
      </c>
      <c r="N1055" s="139" t="s">
        <v>364</v>
      </c>
      <c r="O1055" s="139" t="s">
        <v>364</v>
      </c>
      <c r="P1055" s="28">
        <v>40</v>
      </c>
      <c r="Q1055" s="13" t="s">
        <v>54</v>
      </c>
      <c r="R1055" s="13" t="s">
        <v>28</v>
      </c>
      <c r="S1055" s="13"/>
      <c r="T1055" s="13"/>
      <c r="U1055" s="13" t="s">
        <v>804</v>
      </c>
      <c r="V1055" s="13" t="s">
        <v>804</v>
      </c>
      <c r="W1055" s="59">
        <f>+J1055/$W$2</f>
        <v>2.0471897723755685E-4</v>
      </c>
    </row>
    <row r="1056" spans="1:23">
      <c r="A1056" s="13" t="s">
        <v>821</v>
      </c>
      <c r="B1056" s="13" t="s">
        <v>538</v>
      </c>
      <c r="C1056" s="139">
        <v>46267</v>
      </c>
      <c r="D1056" s="139" t="s">
        <v>516</v>
      </c>
      <c r="E1056" s="28">
        <v>0.91387099999999999</v>
      </c>
      <c r="F1056" s="13"/>
      <c r="G1056" s="18">
        <v>9973200</v>
      </c>
      <c r="H1056" s="18">
        <v>9114218.2100000009</v>
      </c>
      <c r="I1056" s="18">
        <v>9973200</v>
      </c>
      <c r="J1056" s="18">
        <v>9114218.2100000009</v>
      </c>
      <c r="K1056" s="15">
        <v>1179205</v>
      </c>
      <c r="L1056" s="13" t="s">
        <v>102</v>
      </c>
      <c r="M1056" s="13" t="s">
        <v>103</v>
      </c>
      <c r="N1056" s="139" t="s">
        <v>364</v>
      </c>
      <c r="O1056" s="139" t="s">
        <v>364</v>
      </c>
      <c r="P1056" s="28">
        <v>40</v>
      </c>
      <c r="Q1056" s="13" t="s">
        <v>54</v>
      </c>
      <c r="R1056" s="13" t="s">
        <v>28</v>
      </c>
      <c r="S1056" s="13"/>
      <c r="T1056" s="13"/>
      <c r="U1056" s="13" t="s">
        <v>805</v>
      </c>
      <c r="V1056" s="13" t="s">
        <v>805</v>
      </c>
      <c r="W1056" s="59">
        <f>+J1056/$W$2</f>
        <v>2.0473641063995172E-4</v>
      </c>
    </row>
    <row r="1057" spans="1:29">
      <c r="A1057" s="13" t="s">
        <v>914</v>
      </c>
      <c r="B1057" s="13" t="s">
        <v>538</v>
      </c>
      <c r="C1057" s="139">
        <v>46267</v>
      </c>
      <c r="D1057" s="139" t="s">
        <v>516</v>
      </c>
      <c r="E1057" s="28">
        <v>0.93398161000000002</v>
      </c>
      <c r="F1057" s="13"/>
      <c r="G1057" s="18">
        <v>10000000</v>
      </c>
      <c r="H1057" s="18">
        <v>9339816.0700000003</v>
      </c>
      <c r="I1057" s="18">
        <v>10000000</v>
      </c>
      <c r="J1057" s="18">
        <v>9339816.0700000003</v>
      </c>
      <c r="K1057" s="15">
        <v>3463103</v>
      </c>
      <c r="L1057" s="13" t="s">
        <v>102</v>
      </c>
      <c r="M1057" s="13" t="s">
        <v>103</v>
      </c>
      <c r="N1057" s="139" t="s">
        <v>378</v>
      </c>
      <c r="O1057" s="139" t="s">
        <v>378</v>
      </c>
      <c r="P1057" s="28">
        <v>30</v>
      </c>
      <c r="Q1057" s="13" t="s">
        <v>54</v>
      </c>
      <c r="R1057" s="13" t="s">
        <v>28</v>
      </c>
      <c r="S1057" s="13"/>
      <c r="T1057" s="13"/>
      <c r="U1057" s="13" t="s">
        <v>880</v>
      </c>
      <c r="V1057" s="13" t="s">
        <v>880</v>
      </c>
      <c r="W1057" s="59">
        <f>+J1057/$W$2</f>
        <v>2.0980410762067324E-4</v>
      </c>
    </row>
    <row r="1058" spans="1:29">
      <c r="A1058" s="13" t="s">
        <v>995</v>
      </c>
      <c r="B1058" s="13" t="s">
        <v>538</v>
      </c>
      <c r="C1058" s="139">
        <v>46267</v>
      </c>
      <c r="D1058" s="139" t="s">
        <v>516</v>
      </c>
      <c r="E1058" s="28">
        <v>0.92381676000000001</v>
      </c>
      <c r="F1058" s="13"/>
      <c r="G1058" s="18">
        <v>19999999</v>
      </c>
      <c r="H1058" s="18">
        <v>18476334.219999999</v>
      </c>
      <c r="I1058" s="18">
        <v>19999999</v>
      </c>
      <c r="J1058" s="18">
        <v>18476334.219999999</v>
      </c>
      <c r="K1058" s="15">
        <v>43</v>
      </c>
      <c r="L1058" s="13" t="s">
        <v>102</v>
      </c>
      <c r="M1058" s="13" t="s">
        <v>103</v>
      </c>
      <c r="N1058" s="139" t="s">
        <v>428</v>
      </c>
      <c r="O1058" s="139" t="s">
        <v>428</v>
      </c>
      <c r="P1058" s="28">
        <v>35</v>
      </c>
      <c r="Q1058" s="13" t="s">
        <v>54</v>
      </c>
      <c r="R1058" s="13" t="s">
        <v>28</v>
      </c>
      <c r="S1058" s="13"/>
      <c r="T1058" s="13"/>
      <c r="U1058" s="13" t="s">
        <v>986</v>
      </c>
      <c r="V1058" s="13" t="s">
        <v>986</v>
      </c>
      <c r="W1058" s="59">
        <f>+J1058/$W$2</f>
        <v>4.1504145093174274E-4</v>
      </c>
    </row>
    <row r="1059" spans="1:29">
      <c r="A1059" s="13" t="s">
        <v>1403</v>
      </c>
      <c r="B1059" s="13" t="s">
        <v>538</v>
      </c>
      <c r="C1059" s="139">
        <v>46267</v>
      </c>
      <c r="D1059" s="139" t="s">
        <v>516</v>
      </c>
      <c r="E1059" s="28">
        <v>0.93398172999999995</v>
      </c>
      <c r="F1059" s="13"/>
      <c r="G1059" s="18">
        <v>50000000</v>
      </c>
      <c r="H1059" s="18">
        <v>46699086.729999997</v>
      </c>
      <c r="I1059" s="18">
        <v>50000000</v>
      </c>
      <c r="J1059" s="18">
        <v>46699086.729999997</v>
      </c>
      <c r="K1059" s="15">
        <v>5491</v>
      </c>
      <c r="L1059" s="13" t="s">
        <v>102</v>
      </c>
      <c r="M1059" s="13" t="s">
        <v>103</v>
      </c>
      <c r="N1059" s="139" t="s">
        <v>379</v>
      </c>
      <c r="O1059" s="139" t="s">
        <v>379</v>
      </c>
      <c r="P1059" s="28">
        <v>30</v>
      </c>
      <c r="Q1059" s="13" t="s">
        <v>54</v>
      </c>
      <c r="R1059" s="13" t="s">
        <v>28</v>
      </c>
      <c r="S1059" s="13"/>
      <c r="T1059" s="13"/>
      <c r="U1059" s="13" t="s">
        <v>1400</v>
      </c>
      <c r="V1059" s="13" t="s">
        <v>1400</v>
      </c>
      <c r="W1059" s="59">
        <f>+J1059/$W$2</f>
        <v>1.049020681419915E-3</v>
      </c>
    </row>
    <row r="1060" spans="1:29">
      <c r="A1060" s="13" t="s">
        <v>1403</v>
      </c>
      <c r="B1060" s="13" t="s">
        <v>538</v>
      </c>
      <c r="C1060" s="139">
        <v>46267</v>
      </c>
      <c r="D1060" s="139" t="s">
        <v>516</v>
      </c>
      <c r="E1060" s="28">
        <v>0.93398172999999995</v>
      </c>
      <c r="F1060" s="13"/>
      <c r="G1060" s="18">
        <v>50000000</v>
      </c>
      <c r="H1060" s="18">
        <v>46699086.729999997</v>
      </c>
      <c r="I1060" s="18">
        <v>50000000</v>
      </c>
      <c r="J1060" s="18">
        <v>46699086.729999997</v>
      </c>
      <c r="K1060" s="15">
        <v>5490</v>
      </c>
      <c r="L1060" s="13" t="s">
        <v>102</v>
      </c>
      <c r="M1060" s="13" t="s">
        <v>103</v>
      </c>
      <c r="N1060" s="139" t="s">
        <v>379</v>
      </c>
      <c r="O1060" s="139" t="s">
        <v>379</v>
      </c>
      <c r="P1060" s="28">
        <v>30</v>
      </c>
      <c r="Q1060" s="13" t="s">
        <v>54</v>
      </c>
      <c r="R1060" s="13" t="s">
        <v>28</v>
      </c>
      <c r="S1060" s="13"/>
      <c r="T1060" s="13"/>
      <c r="U1060" s="13" t="s">
        <v>1401</v>
      </c>
      <c r="V1060" s="13" t="s">
        <v>1401</v>
      </c>
      <c r="W1060" s="59">
        <f>+J1060/$W$2</f>
        <v>1.049020681419915E-3</v>
      </c>
      <c r="AC1060" s="56"/>
    </row>
    <row r="1061" spans="1:29">
      <c r="A1061" s="13" t="s">
        <v>539</v>
      </c>
      <c r="B1061" s="13" t="s">
        <v>538</v>
      </c>
      <c r="C1061" s="139">
        <v>46267</v>
      </c>
      <c r="D1061" s="139" t="s">
        <v>516</v>
      </c>
      <c r="E1061" s="28">
        <v>0.93398170000000003</v>
      </c>
      <c r="F1061" s="13"/>
      <c r="G1061" s="18">
        <v>10000000</v>
      </c>
      <c r="H1061" s="18">
        <v>9339816.9600000009</v>
      </c>
      <c r="I1061" s="18">
        <v>10000000</v>
      </c>
      <c r="J1061" s="18">
        <v>9339816.9600000009</v>
      </c>
      <c r="K1061" s="15">
        <v>503</v>
      </c>
      <c r="L1061" s="13" t="s">
        <v>102</v>
      </c>
      <c r="M1061" s="13" t="s">
        <v>103</v>
      </c>
      <c r="N1061" s="139" t="s">
        <v>383</v>
      </c>
      <c r="O1061" s="139" t="s">
        <v>383</v>
      </c>
      <c r="P1061" s="28">
        <v>30</v>
      </c>
      <c r="Q1061" s="13" t="s">
        <v>54</v>
      </c>
      <c r="R1061" s="13" t="s">
        <v>28</v>
      </c>
      <c r="S1061" s="13"/>
      <c r="T1061" s="13"/>
      <c r="U1061" s="13" t="s">
        <v>1534</v>
      </c>
      <c r="V1061" s="13" t="s">
        <v>1534</v>
      </c>
      <c r="W1061" s="59">
        <f>+J1061/$W$2</f>
        <v>2.0980412761310719E-4</v>
      </c>
      <c r="AC1061" s="56"/>
    </row>
    <row r="1062" spans="1:29">
      <c r="A1062" s="13" t="s">
        <v>539</v>
      </c>
      <c r="B1062" s="13" t="s">
        <v>538</v>
      </c>
      <c r="C1062" s="139">
        <v>46267</v>
      </c>
      <c r="D1062" s="139" t="s">
        <v>516</v>
      </c>
      <c r="E1062" s="28">
        <v>0.93398163999999995</v>
      </c>
      <c r="F1062" s="13"/>
      <c r="G1062" s="18">
        <v>10000000</v>
      </c>
      <c r="H1062" s="18">
        <v>9339816.4000000004</v>
      </c>
      <c r="I1062" s="18">
        <v>10000000</v>
      </c>
      <c r="J1062" s="18">
        <v>9339816.4000000004</v>
      </c>
      <c r="K1062" s="15">
        <v>493</v>
      </c>
      <c r="L1062" s="13" t="s">
        <v>102</v>
      </c>
      <c r="M1062" s="13" t="s">
        <v>103</v>
      </c>
      <c r="N1062" s="139" t="s">
        <v>384</v>
      </c>
      <c r="O1062" s="139" t="s">
        <v>384</v>
      </c>
      <c r="P1062" s="28">
        <v>30</v>
      </c>
      <c r="Q1062" s="13" t="s">
        <v>54</v>
      </c>
      <c r="R1062" s="13" t="s">
        <v>28</v>
      </c>
      <c r="S1062" s="13"/>
      <c r="T1062" s="13"/>
      <c r="U1062" s="13" t="s">
        <v>1496</v>
      </c>
      <c r="V1062" s="13" t="s">
        <v>1496</v>
      </c>
      <c r="W1062" s="59">
        <f>+J1062/$W$2</f>
        <v>2.0980411503359819E-4</v>
      </c>
    </row>
    <row r="1063" spans="1:29">
      <c r="A1063" s="13" t="s">
        <v>539</v>
      </c>
      <c r="B1063" s="13" t="s">
        <v>538</v>
      </c>
      <c r="C1063" s="139">
        <v>46267</v>
      </c>
      <c r="D1063" s="139" t="s">
        <v>516</v>
      </c>
      <c r="E1063" s="28">
        <v>0.93398177000000004</v>
      </c>
      <c r="F1063" s="13"/>
      <c r="G1063" s="18">
        <v>10000000</v>
      </c>
      <c r="H1063" s="18">
        <v>9339817.7200000007</v>
      </c>
      <c r="I1063" s="18">
        <v>10000000</v>
      </c>
      <c r="J1063" s="18">
        <v>9339817.7200000007</v>
      </c>
      <c r="K1063" s="15">
        <v>578</v>
      </c>
      <c r="L1063" s="13" t="s">
        <v>102</v>
      </c>
      <c r="M1063" s="13" t="s">
        <v>103</v>
      </c>
      <c r="N1063" s="139" t="s">
        <v>175</v>
      </c>
      <c r="O1063" s="139" t="s">
        <v>175</v>
      </c>
      <c r="P1063" s="28">
        <v>30</v>
      </c>
      <c r="Q1063" s="13" t="s">
        <v>54</v>
      </c>
      <c r="R1063" s="13" t="s">
        <v>28</v>
      </c>
      <c r="S1063" s="13"/>
      <c r="T1063" s="13"/>
      <c r="U1063" s="13" t="s">
        <v>1879</v>
      </c>
      <c r="V1063" s="13" t="s">
        <v>1879</v>
      </c>
      <c r="W1063" s="59">
        <f>+J1063/$W$2</f>
        <v>2.0980414468529796E-4</v>
      </c>
    </row>
    <row r="1064" spans="1:29">
      <c r="A1064" s="13" t="s">
        <v>597</v>
      </c>
      <c r="B1064" s="13" t="s">
        <v>538</v>
      </c>
      <c r="C1064" s="139">
        <v>46267</v>
      </c>
      <c r="D1064" s="139" t="s">
        <v>516</v>
      </c>
      <c r="E1064" s="28">
        <v>0.91387085999999995</v>
      </c>
      <c r="F1064" s="13"/>
      <c r="G1064" s="18">
        <v>2000000</v>
      </c>
      <c r="H1064" s="18">
        <v>1827741.71</v>
      </c>
      <c r="I1064" s="18">
        <v>2000000</v>
      </c>
      <c r="J1064" s="18">
        <v>1827741.71</v>
      </c>
      <c r="K1064" s="15">
        <v>39</v>
      </c>
      <c r="L1064" s="13" t="s">
        <v>102</v>
      </c>
      <c r="M1064" s="13" t="s">
        <v>103</v>
      </c>
      <c r="N1064" s="139" t="s">
        <v>368</v>
      </c>
      <c r="O1064" s="139" t="s">
        <v>368</v>
      </c>
      <c r="P1064" s="28">
        <v>40</v>
      </c>
      <c r="Q1064" s="13" t="s">
        <v>54</v>
      </c>
      <c r="R1064" s="13" t="s">
        <v>28</v>
      </c>
      <c r="S1064" s="13"/>
      <c r="T1064" s="13"/>
      <c r="U1064" s="13" t="s">
        <v>593</v>
      </c>
      <c r="V1064" s="13" t="s">
        <v>593</v>
      </c>
      <c r="W1064" s="59">
        <f>+J1064/$W$2</f>
        <v>4.1057309432393706E-5</v>
      </c>
    </row>
    <row r="1065" spans="1:29">
      <c r="A1065" s="13" t="s">
        <v>365</v>
      </c>
      <c r="B1065" s="13" t="s">
        <v>538</v>
      </c>
      <c r="C1065" s="139">
        <v>46267</v>
      </c>
      <c r="D1065" s="139" t="s">
        <v>516</v>
      </c>
      <c r="E1065" s="28">
        <v>0.92381692000000004</v>
      </c>
      <c r="F1065" s="13"/>
      <c r="G1065" s="18">
        <v>10000000</v>
      </c>
      <c r="H1065" s="18">
        <v>9238169.1799999997</v>
      </c>
      <c r="I1065" s="18">
        <v>10000000</v>
      </c>
      <c r="J1065" s="18">
        <v>9238169.1799999997</v>
      </c>
      <c r="K1065" s="15">
        <v>162</v>
      </c>
      <c r="L1065" s="13" t="s">
        <v>102</v>
      </c>
      <c r="M1065" s="13" t="s">
        <v>103</v>
      </c>
      <c r="N1065" s="139" t="s">
        <v>431</v>
      </c>
      <c r="O1065" s="139" t="s">
        <v>431</v>
      </c>
      <c r="P1065" s="28">
        <v>35</v>
      </c>
      <c r="Q1065" s="13" t="s">
        <v>54</v>
      </c>
      <c r="R1065" s="13" t="s">
        <v>28</v>
      </c>
      <c r="S1065" s="13"/>
      <c r="T1065" s="13"/>
      <c r="U1065" s="13" t="s">
        <v>1177</v>
      </c>
      <c r="V1065" s="13" t="s">
        <v>1177</v>
      </c>
      <c r="W1065" s="59">
        <f>+J1065/$W$2</f>
        <v>2.0752077196512785E-4</v>
      </c>
    </row>
    <row r="1066" spans="1:29">
      <c r="A1066" s="13" t="s">
        <v>247</v>
      </c>
      <c r="B1066" s="13" t="s">
        <v>538</v>
      </c>
      <c r="C1066" s="139">
        <v>46267</v>
      </c>
      <c r="D1066" s="139" t="s">
        <v>516</v>
      </c>
      <c r="E1066" s="28">
        <v>0.92785624</v>
      </c>
      <c r="F1066" s="13"/>
      <c r="G1066" s="18">
        <v>2500000</v>
      </c>
      <c r="H1066" s="18">
        <v>2319640.59</v>
      </c>
      <c r="I1066" s="18">
        <v>2500000</v>
      </c>
      <c r="J1066" s="18">
        <v>2319640.59</v>
      </c>
      <c r="K1066" s="15">
        <v>1199</v>
      </c>
      <c r="L1066" s="13" t="s">
        <v>102</v>
      </c>
      <c r="M1066" s="13" t="s">
        <v>103</v>
      </c>
      <c r="N1066" s="139" t="s">
        <v>163</v>
      </c>
      <c r="O1066" s="139" t="s">
        <v>163</v>
      </c>
      <c r="P1066" s="28">
        <v>33</v>
      </c>
      <c r="Q1066" s="13" t="s">
        <v>54</v>
      </c>
      <c r="R1066" s="13" t="s">
        <v>28</v>
      </c>
      <c r="S1066" s="13"/>
      <c r="T1066" s="13"/>
      <c r="U1066" s="13" t="s">
        <v>1598</v>
      </c>
      <c r="V1066" s="13" t="s">
        <v>1598</v>
      </c>
      <c r="W1066" s="59">
        <f>+J1066/$W$2</f>
        <v>5.2107035121264642E-5</v>
      </c>
      <c r="AC1066" s="56"/>
    </row>
    <row r="1067" spans="1:29">
      <c r="A1067" s="13" t="s">
        <v>1960</v>
      </c>
      <c r="B1067" s="13" t="s">
        <v>538</v>
      </c>
      <c r="C1067" s="139">
        <v>46267</v>
      </c>
      <c r="D1067" s="139" t="s">
        <v>516</v>
      </c>
      <c r="E1067" s="28">
        <v>0.92785603999999999</v>
      </c>
      <c r="F1067" s="13"/>
      <c r="G1067" s="18">
        <v>2200000</v>
      </c>
      <c r="H1067" s="18">
        <v>2041283.28</v>
      </c>
      <c r="I1067" s="18">
        <v>2200000</v>
      </c>
      <c r="J1067" s="18">
        <v>2041283.28</v>
      </c>
      <c r="K1067" s="15">
        <v>6200</v>
      </c>
      <c r="L1067" s="13" t="s">
        <v>102</v>
      </c>
      <c r="M1067" s="13" t="s">
        <v>103</v>
      </c>
      <c r="N1067" s="139" t="s">
        <v>369</v>
      </c>
      <c r="O1067" s="139" t="s">
        <v>369</v>
      </c>
      <c r="P1067" s="28">
        <v>33</v>
      </c>
      <c r="Q1067" s="13" t="s">
        <v>54</v>
      </c>
      <c r="R1067" s="13" t="s">
        <v>28</v>
      </c>
      <c r="S1067" s="13"/>
      <c r="T1067" s="13"/>
      <c r="U1067" s="13" t="s">
        <v>1950</v>
      </c>
      <c r="V1067" s="13" t="s">
        <v>1950</v>
      </c>
      <c r="W1067" s="59">
        <f>+J1067/$W$2</f>
        <v>4.5854181040783695E-5</v>
      </c>
      <c r="AC1067" s="56"/>
    </row>
    <row r="1068" spans="1:29">
      <c r="A1068" s="13" t="s">
        <v>818</v>
      </c>
      <c r="B1068" s="13" t="s">
        <v>538</v>
      </c>
      <c r="C1068" s="139">
        <v>46267</v>
      </c>
      <c r="D1068" s="139" t="s">
        <v>516</v>
      </c>
      <c r="E1068" s="28">
        <v>0.93398161000000002</v>
      </c>
      <c r="F1068" s="13"/>
      <c r="G1068" s="18">
        <v>25000000</v>
      </c>
      <c r="H1068" s="18">
        <v>23349540.18</v>
      </c>
      <c r="I1068" s="18">
        <v>25000000</v>
      </c>
      <c r="J1068" s="18">
        <v>23349540.18</v>
      </c>
      <c r="K1068" s="15">
        <v>718979</v>
      </c>
      <c r="L1068" s="13" t="s">
        <v>102</v>
      </c>
      <c r="M1068" s="13" t="s">
        <v>103</v>
      </c>
      <c r="N1068" s="139" t="s">
        <v>378</v>
      </c>
      <c r="O1068" s="139" t="s">
        <v>378</v>
      </c>
      <c r="P1068" s="28">
        <v>30</v>
      </c>
      <c r="Q1068" s="13" t="s">
        <v>54</v>
      </c>
      <c r="R1068" s="13" t="s">
        <v>28</v>
      </c>
      <c r="S1068" s="13"/>
      <c r="T1068" s="13"/>
      <c r="U1068" s="13" t="s">
        <v>836</v>
      </c>
      <c r="V1068" s="13" t="s">
        <v>836</v>
      </c>
      <c r="W1068" s="59">
        <f>+J1068/$W$2</f>
        <v>5.2451026916400007E-4</v>
      </c>
    </row>
    <row r="1069" spans="1:29">
      <c r="A1069" s="13" t="s">
        <v>819</v>
      </c>
      <c r="B1069" s="13" t="s">
        <v>538</v>
      </c>
      <c r="C1069" s="139">
        <v>46267</v>
      </c>
      <c r="D1069" s="139" t="s">
        <v>516</v>
      </c>
      <c r="E1069" s="28">
        <v>0.93811045999999998</v>
      </c>
      <c r="F1069" s="13"/>
      <c r="G1069" s="18">
        <v>10000000</v>
      </c>
      <c r="H1069" s="18">
        <v>9381104.5999999996</v>
      </c>
      <c r="I1069" s="18">
        <v>10000000</v>
      </c>
      <c r="J1069" s="18">
        <v>9381104.5999999996</v>
      </c>
      <c r="K1069" s="15">
        <v>360561</v>
      </c>
      <c r="L1069" s="13" t="s">
        <v>102</v>
      </c>
      <c r="M1069" s="13" t="s">
        <v>103</v>
      </c>
      <c r="N1069" s="139" t="s">
        <v>366</v>
      </c>
      <c r="O1069" s="139" t="s">
        <v>366</v>
      </c>
      <c r="P1069" s="28">
        <v>28</v>
      </c>
      <c r="Q1069" s="13" t="s">
        <v>54</v>
      </c>
      <c r="R1069" s="13" t="s">
        <v>28</v>
      </c>
      <c r="S1069" s="13"/>
      <c r="T1069" s="13"/>
      <c r="U1069" s="13" t="s">
        <v>1025</v>
      </c>
      <c r="V1069" s="13" t="s">
        <v>1025</v>
      </c>
      <c r="W1069" s="59">
        <f>+J1069/$W$2</f>
        <v>2.1073158875378075E-4</v>
      </c>
    </row>
    <row r="1070" spans="1:29">
      <c r="A1070" s="13" t="s">
        <v>550</v>
      </c>
      <c r="B1070" s="13" t="s">
        <v>538</v>
      </c>
      <c r="C1070" s="139">
        <v>46268</v>
      </c>
      <c r="D1070" s="139" t="s">
        <v>516</v>
      </c>
      <c r="E1070" s="28">
        <v>0.92707835999999999</v>
      </c>
      <c r="F1070" s="13"/>
      <c r="G1070" s="18">
        <v>12500000</v>
      </c>
      <c r="H1070" s="18">
        <v>11588479.52</v>
      </c>
      <c r="I1070" s="18">
        <v>12500000</v>
      </c>
      <c r="J1070" s="18">
        <v>11588479.52</v>
      </c>
      <c r="K1070" s="15">
        <v>1357</v>
      </c>
      <c r="L1070" s="13" t="s">
        <v>102</v>
      </c>
      <c r="M1070" s="13" t="s">
        <v>103</v>
      </c>
      <c r="N1070" s="139" t="s">
        <v>472</v>
      </c>
      <c r="O1070" s="139" t="s">
        <v>472</v>
      </c>
      <c r="P1070" s="28">
        <v>33</v>
      </c>
      <c r="Q1070" s="13" t="s">
        <v>54</v>
      </c>
      <c r="R1070" s="13" t="s">
        <v>28</v>
      </c>
      <c r="S1070" s="13"/>
      <c r="T1070" s="13"/>
      <c r="U1070" s="13" t="s">
        <v>1625</v>
      </c>
      <c r="V1070" s="13" t="s">
        <v>1625</v>
      </c>
      <c r="W1070" s="59">
        <f>+J1070/$W$2</f>
        <v>2.6031675422212542E-4</v>
      </c>
    </row>
    <row r="1071" spans="1:29">
      <c r="A1071" s="13" t="s">
        <v>1493</v>
      </c>
      <c r="B1071" s="13" t="s">
        <v>538</v>
      </c>
      <c r="C1071" s="139">
        <v>46268</v>
      </c>
      <c r="D1071" s="139" t="s">
        <v>516</v>
      </c>
      <c r="E1071" s="28">
        <v>0.91295667000000003</v>
      </c>
      <c r="F1071" s="13"/>
      <c r="G1071" s="18">
        <v>12166667</v>
      </c>
      <c r="H1071" s="18">
        <v>11107639.82</v>
      </c>
      <c r="I1071" s="18">
        <v>12166667</v>
      </c>
      <c r="J1071" s="18">
        <v>11107639.82</v>
      </c>
      <c r="K1071" s="15">
        <v>90020550</v>
      </c>
      <c r="L1071" s="13" t="s">
        <v>102</v>
      </c>
      <c r="M1071" s="13" t="s">
        <v>103</v>
      </c>
      <c r="N1071" s="139" t="s">
        <v>367</v>
      </c>
      <c r="O1071" s="139" t="s">
        <v>367</v>
      </c>
      <c r="P1071" s="28">
        <v>40</v>
      </c>
      <c r="Q1071" s="13" t="s">
        <v>54</v>
      </c>
      <c r="R1071" s="13" t="s">
        <v>28</v>
      </c>
      <c r="S1071" s="13"/>
      <c r="T1071" s="13"/>
      <c r="U1071" s="13" t="s">
        <v>1479</v>
      </c>
      <c r="V1071" s="13" t="s">
        <v>1479</v>
      </c>
      <c r="W1071" s="59">
        <f>+J1071/$W$2</f>
        <v>2.4951545541591755E-4</v>
      </c>
    </row>
    <row r="1072" spans="1:29">
      <c r="A1072" s="13" t="s">
        <v>1697</v>
      </c>
      <c r="B1072" s="13" t="s">
        <v>538</v>
      </c>
      <c r="C1072" s="139">
        <v>46268</v>
      </c>
      <c r="D1072" s="139" t="s">
        <v>516</v>
      </c>
      <c r="E1072" s="28">
        <v>0.92097319</v>
      </c>
      <c r="F1072" s="13"/>
      <c r="G1072" s="18">
        <v>2067824.35</v>
      </c>
      <c r="H1072" s="18">
        <v>1904410.78</v>
      </c>
      <c r="I1072" s="18">
        <v>2067824.35</v>
      </c>
      <c r="J1072" s="18">
        <v>1904410.78</v>
      </c>
      <c r="K1072" s="15">
        <v>2201</v>
      </c>
      <c r="L1072" s="13" t="s">
        <v>102</v>
      </c>
      <c r="M1072" s="13" t="s">
        <v>103</v>
      </c>
      <c r="N1072" s="139" t="s">
        <v>514</v>
      </c>
      <c r="O1072" s="139" t="s">
        <v>514</v>
      </c>
      <c r="P1072" s="28">
        <v>36</v>
      </c>
      <c r="Q1072" s="13" t="s">
        <v>54</v>
      </c>
      <c r="R1072" s="13" t="s">
        <v>28</v>
      </c>
      <c r="S1072" s="13"/>
      <c r="T1072" s="13"/>
      <c r="U1072" s="13" t="s">
        <v>1698</v>
      </c>
      <c r="V1072" s="13" t="s">
        <v>1698</v>
      </c>
      <c r="W1072" s="59">
        <f>+J1072/$W$2</f>
        <v>4.2779558103341778E-5</v>
      </c>
      <c r="AC1072" s="56"/>
    </row>
    <row r="1073" spans="1:29">
      <c r="A1073" s="13" t="s">
        <v>821</v>
      </c>
      <c r="B1073" s="13" t="s">
        <v>538</v>
      </c>
      <c r="C1073" s="139">
        <v>46268</v>
      </c>
      <c r="D1073" s="139" t="s">
        <v>516</v>
      </c>
      <c r="E1073" s="28">
        <v>0.91295660999999995</v>
      </c>
      <c r="F1073" s="13"/>
      <c r="G1073" s="18">
        <v>9972890.5500000007</v>
      </c>
      <c r="H1073" s="18">
        <v>9104816.3599999994</v>
      </c>
      <c r="I1073" s="18">
        <v>9972890.5500000007</v>
      </c>
      <c r="J1073" s="18">
        <v>9104816.3599999994</v>
      </c>
      <c r="K1073" s="15">
        <v>1179208</v>
      </c>
      <c r="L1073" s="13" t="s">
        <v>102</v>
      </c>
      <c r="M1073" s="13" t="s">
        <v>103</v>
      </c>
      <c r="N1073" s="139" t="s">
        <v>364</v>
      </c>
      <c r="O1073" s="139" t="s">
        <v>364</v>
      </c>
      <c r="P1073" s="28">
        <v>40</v>
      </c>
      <c r="Q1073" s="13" t="s">
        <v>54</v>
      </c>
      <c r="R1073" s="13" t="s">
        <v>28</v>
      </c>
      <c r="S1073" s="13"/>
      <c r="T1073" s="13"/>
      <c r="U1073" s="13" t="s">
        <v>796</v>
      </c>
      <c r="V1073" s="13" t="s">
        <v>796</v>
      </c>
      <c r="W1073" s="59">
        <f>+J1073/$W$2</f>
        <v>2.0452521303879448E-4</v>
      </c>
    </row>
    <row r="1074" spans="1:29">
      <c r="A1074" s="13" t="s">
        <v>132</v>
      </c>
      <c r="B1074" s="13" t="s">
        <v>130</v>
      </c>
      <c r="C1074" s="139">
        <v>46268</v>
      </c>
      <c r="D1074" s="139" t="s">
        <v>516</v>
      </c>
      <c r="E1074" s="28">
        <v>0.97671945999999998</v>
      </c>
      <c r="F1074" s="13" t="s">
        <v>2102</v>
      </c>
      <c r="G1074" s="18">
        <v>40000</v>
      </c>
      <c r="H1074" s="18">
        <v>39068.78</v>
      </c>
      <c r="I1074" s="18">
        <v>57815908.649999999</v>
      </c>
      <c r="J1074" s="18">
        <v>56469925.390000001</v>
      </c>
      <c r="K1074" s="15">
        <v>151967</v>
      </c>
      <c r="L1074" s="13" t="s">
        <v>102</v>
      </c>
      <c r="M1074" s="13" t="s">
        <v>103</v>
      </c>
      <c r="N1074" s="139" t="s">
        <v>389</v>
      </c>
      <c r="O1074" s="139" t="s">
        <v>389</v>
      </c>
      <c r="P1074" s="28">
        <v>10</v>
      </c>
      <c r="Q1074" s="13" t="s">
        <v>54</v>
      </c>
      <c r="R1074" s="13" t="s">
        <v>28</v>
      </c>
      <c r="S1074" s="13"/>
      <c r="T1074" s="13"/>
      <c r="U1074" s="13" t="s">
        <v>1852</v>
      </c>
      <c r="V1074" s="13" t="s">
        <v>1852</v>
      </c>
      <c r="W1074" s="59">
        <f>+J1074/$W$2</f>
        <v>1.2685070257336393E-3</v>
      </c>
    </row>
    <row r="1075" spans="1:29">
      <c r="A1075" s="13" t="s">
        <v>1181</v>
      </c>
      <c r="B1075" s="13" t="s">
        <v>130</v>
      </c>
      <c r="C1075" s="139">
        <v>46268</v>
      </c>
      <c r="D1075" s="139" t="s">
        <v>516</v>
      </c>
      <c r="E1075" s="28">
        <v>0.98358889999999999</v>
      </c>
      <c r="F1075" s="13" t="s">
        <v>2102</v>
      </c>
      <c r="G1075" s="18">
        <v>100000</v>
      </c>
      <c r="H1075" s="18">
        <v>98358.89</v>
      </c>
      <c r="I1075" s="18">
        <v>144539771.63999999</v>
      </c>
      <c r="J1075" s="18">
        <v>142167714.99000001</v>
      </c>
      <c r="K1075" s="15">
        <v>147170</v>
      </c>
      <c r="L1075" s="13" t="s">
        <v>102</v>
      </c>
      <c r="M1075" s="13" t="s">
        <v>103</v>
      </c>
      <c r="N1075" s="139" t="s">
        <v>431</v>
      </c>
      <c r="O1075" s="139" t="s">
        <v>431</v>
      </c>
      <c r="P1075" s="28">
        <v>7</v>
      </c>
      <c r="Q1075" s="13" t="s">
        <v>54</v>
      </c>
      <c r="R1075" s="13" t="s">
        <v>28</v>
      </c>
      <c r="S1075" s="13"/>
      <c r="T1075" s="13"/>
      <c r="U1075" s="13" t="s">
        <v>1180</v>
      </c>
      <c r="V1075" s="13" t="s">
        <v>1180</v>
      </c>
      <c r="W1075" s="59">
        <f>+J1075/$W$2</f>
        <v>3.1935715170831156E-3</v>
      </c>
    </row>
    <row r="1076" spans="1:29">
      <c r="A1076" s="13" t="s">
        <v>1181</v>
      </c>
      <c r="B1076" s="13" t="s">
        <v>130</v>
      </c>
      <c r="C1076" s="139">
        <v>46268</v>
      </c>
      <c r="D1076" s="139" t="s">
        <v>516</v>
      </c>
      <c r="E1076" s="28">
        <v>0.97899884999999998</v>
      </c>
      <c r="F1076" s="13" t="s">
        <v>2102</v>
      </c>
      <c r="G1076" s="18">
        <v>25000</v>
      </c>
      <c r="H1076" s="18">
        <v>24474.97</v>
      </c>
      <c r="I1076" s="18">
        <v>36134942.909999996</v>
      </c>
      <c r="J1076" s="18">
        <v>35376065.75</v>
      </c>
      <c r="K1076" s="15">
        <v>150612</v>
      </c>
      <c r="L1076" s="13" t="s">
        <v>102</v>
      </c>
      <c r="M1076" s="13" t="s">
        <v>103</v>
      </c>
      <c r="N1076" s="139" t="s">
        <v>163</v>
      </c>
      <c r="O1076" s="139" t="s">
        <v>163</v>
      </c>
      <c r="P1076" s="28">
        <v>9</v>
      </c>
      <c r="Q1076" s="13" t="s">
        <v>54</v>
      </c>
      <c r="R1076" s="13" t="s">
        <v>28</v>
      </c>
      <c r="S1076" s="13"/>
      <c r="T1076" s="13"/>
      <c r="U1076" s="13" t="s">
        <v>1601</v>
      </c>
      <c r="V1076" s="13" t="s">
        <v>1601</v>
      </c>
      <c r="W1076" s="59">
        <f>+J1076/$W$2</f>
        <v>7.9466703093319187E-4</v>
      </c>
    </row>
    <row r="1077" spans="1:29">
      <c r="A1077" s="13" t="s">
        <v>1960</v>
      </c>
      <c r="B1077" s="13" t="s">
        <v>538</v>
      </c>
      <c r="C1077" s="139">
        <v>46268</v>
      </c>
      <c r="D1077" s="139" t="s">
        <v>516</v>
      </c>
      <c r="E1077" s="28">
        <v>0.92707852000000002</v>
      </c>
      <c r="F1077" s="13"/>
      <c r="G1077" s="18">
        <v>2200000</v>
      </c>
      <c r="H1077" s="18">
        <v>2039572.74</v>
      </c>
      <c r="I1077" s="18">
        <v>2200000</v>
      </c>
      <c r="J1077" s="18">
        <v>2039572.74</v>
      </c>
      <c r="K1077" s="15">
        <v>6201</v>
      </c>
      <c r="L1077" s="13" t="s">
        <v>102</v>
      </c>
      <c r="M1077" s="13" t="s">
        <v>103</v>
      </c>
      <c r="N1077" s="139" t="s">
        <v>369</v>
      </c>
      <c r="O1077" s="139" t="s">
        <v>369</v>
      </c>
      <c r="P1077" s="28">
        <v>33</v>
      </c>
      <c r="Q1077" s="13" t="s">
        <v>54</v>
      </c>
      <c r="R1077" s="13" t="s">
        <v>28</v>
      </c>
      <c r="S1077" s="13"/>
      <c r="T1077" s="13"/>
      <c r="U1077" s="13" t="s">
        <v>1944</v>
      </c>
      <c r="V1077" s="13" t="s">
        <v>1944</v>
      </c>
      <c r="W1077" s="59">
        <f>+J1077/$W$2</f>
        <v>4.5815756481289185E-5</v>
      </c>
    </row>
    <row r="1078" spans="1:29">
      <c r="A1078" s="13" t="s">
        <v>590</v>
      </c>
      <c r="B1078" s="13" t="s">
        <v>538</v>
      </c>
      <c r="C1078" s="139">
        <v>46268</v>
      </c>
      <c r="D1078" s="139" t="s">
        <v>516</v>
      </c>
      <c r="E1078" s="28">
        <v>0.92707852999999996</v>
      </c>
      <c r="F1078" s="13"/>
      <c r="G1078" s="18">
        <v>16005575.67</v>
      </c>
      <c r="H1078" s="18">
        <v>14838425.49</v>
      </c>
      <c r="I1078" s="18">
        <v>16005575.67</v>
      </c>
      <c r="J1078" s="18">
        <v>14838425.49</v>
      </c>
      <c r="K1078" s="15">
        <v>30712</v>
      </c>
      <c r="L1078" s="13" t="s">
        <v>102</v>
      </c>
      <c r="M1078" s="13" t="s">
        <v>103</v>
      </c>
      <c r="N1078" s="139" t="s">
        <v>514</v>
      </c>
      <c r="O1078" s="139" t="s">
        <v>514</v>
      </c>
      <c r="P1078" s="28">
        <v>33</v>
      </c>
      <c r="Q1078" s="13" t="s">
        <v>54</v>
      </c>
      <c r="R1078" s="13" t="s">
        <v>28</v>
      </c>
      <c r="S1078" s="13"/>
      <c r="T1078" s="13"/>
      <c r="U1078" s="13" t="s">
        <v>1682</v>
      </c>
      <c r="V1078" s="13" t="s">
        <v>1682</v>
      </c>
      <c r="W1078" s="59">
        <f>+J1078/$W$2</f>
        <v>3.3332161951507263E-4</v>
      </c>
    </row>
    <row r="1079" spans="1:29">
      <c r="A1079" s="13" t="s">
        <v>590</v>
      </c>
      <c r="B1079" s="13" t="s">
        <v>538</v>
      </c>
      <c r="C1079" s="139">
        <v>46268</v>
      </c>
      <c r="D1079" s="139" t="s">
        <v>516</v>
      </c>
      <c r="E1079" s="28">
        <v>0.92707852999999996</v>
      </c>
      <c r="F1079" s="13"/>
      <c r="G1079" s="18">
        <v>12080215.710000001</v>
      </c>
      <c r="H1079" s="18">
        <v>11199308.57</v>
      </c>
      <c r="I1079" s="18">
        <v>12080215.710000001</v>
      </c>
      <c r="J1079" s="18">
        <v>11199308.57</v>
      </c>
      <c r="K1079" s="15">
        <v>30702</v>
      </c>
      <c r="L1079" s="13" t="s">
        <v>102</v>
      </c>
      <c r="M1079" s="13" t="s">
        <v>103</v>
      </c>
      <c r="N1079" s="139" t="s">
        <v>514</v>
      </c>
      <c r="O1079" s="139" t="s">
        <v>514</v>
      </c>
      <c r="P1079" s="28">
        <v>33</v>
      </c>
      <c r="Q1079" s="13" t="s">
        <v>54</v>
      </c>
      <c r="R1079" s="13" t="s">
        <v>28</v>
      </c>
      <c r="S1079" s="13"/>
      <c r="T1079" s="13"/>
      <c r="U1079" s="13" t="s">
        <v>1683</v>
      </c>
      <c r="V1079" s="13" t="s">
        <v>1683</v>
      </c>
      <c r="W1079" s="59">
        <f>+J1079/$W$2</f>
        <v>2.5157464803237907E-4</v>
      </c>
    </row>
    <row r="1080" spans="1:29">
      <c r="A1080" s="13" t="s">
        <v>590</v>
      </c>
      <c r="B1080" s="13" t="s">
        <v>538</v>
      </c>
      <c r="C1080" s="139">
        <v>46268</v>
      </c>
      <c r="D1080" s="139" t="s">
        <v>516</v>
      </c>
      <c r="E1080" s="28">
        <v>0.92707852999999996</v>
      </c>
      <c r="F1080" s="13"/>
      <c r="G1080" s="18">
        <v>15230335.939999999</v>
      </c>
      <c r="H1080" s="18">
        <v>14119717.390000001</v>
      </c>
      <c r="I1080" s="18">
        <v>15230335.939999999</v>
      </c>
      <c r="J1080" s="18">
        <v>14119717.390000001</v>
      </c>
      <c r="K1080" s="15">
        <v>30690</v>
      </c>
      <c r="L1080" s="13" t="s">
        <v>102</v>
      </c>
      <c r="M1080" s="13" t="s">
        <v>103</v>
      </c>
      <c r="N1080" s="139" t="s">
        <v>514</v>
      </c>
      <c r="O1080" s="139" t="s">
        <v>514</v>
      </c>
      <c r="P1080" s="28">
        <v>33</v>
      </c>
      <c r="Q1080" s="13" t="s">
        <v>54</v>
      </c>
      <c r="R1080" s="13" t="s">
        <v>28</v>
      </c>
      <c r="S1080" s="13"/>
      <c r="T1080" s="13"/>
      <c r="U1080" s="13" t="s">
        <v>1679</v>
      </c>
      <c r="V1080" s="13" t="s">
        <v>1679</v>
      </c>
      <c r="W1080" s="59">
        <f>+J1080/$W$2</f>
        <v>3.1717698557045046E-4</v>
      </c>
    </row>
    <row r="1081" spans="1:29">
      <c r="A1081" s="13" t="s">
        <v>550</v>
      </c>
      <c r="B1081" s="13" t="s">
        <v>538</v>
      </c>
      <c r="C1081" s="139">
        <v>46269</v>
      </c>
      <c r="D1081" s="139" t="s">
        <v>516</v>
      </c>
      <c r="E1081" s="28">
        <v>0.92218306999999999</v>
      </c>
      <c r="F1081" s="13"/>
      <c r="G1081" s="18">
        <v>16600000</v>
      </c>
      <c r="H1081" s="18">
        <v>15308238.970000001</v>
      </c>
      <c r="I1081" s="18">
        <v>16600000</v>
      </c>
      <c r="J1081" s="18">
        <v>15308238.970000001</v>
      </c>
      <c r="K1081" s="15">
        <v>29088027</v>
      </c>
      <c r="L1081" s="13" t="s">
        <v>102</v>
      </c>
      <c r="M1081" s="13" t="s">
        <v>103</v>
      </c>
      <c r="N1081" s="139" t="s">
        <v>152</v>
      </c>
      <c r="O1081" s="139" t="s">
        <v>152</v>
      </c>
      <c r="P1081" s="28">
        <v>35</v>
      </c>
      <c r="Q1081" s="13" t="s">
        <v>54</v>
      </c>
      <c r="R1081" s="13" t="s">
        <v>28</v>
      </c>
      <c r="S1081" s="13"/>
      <c r="T1081" s="13"/>
      <c r="U1081" s="13" t="s">
        <v>776</v>
      </c>
      <c r="V1081" s="13" t="s">
        <v>776</v>
      </c>
      <c r="W1081" s="59">
        <f>+J1081/$W$2</f>
        <v>3.4387523183257549E-4</v>
      </c>
      <c r="AC1081" s="56"/>
    </row>
    <row r="1082" spans="1:29">
      <c r="A1082" s="13" t="s">
        <v>1493</v>
      </c>
      <c r="B1082" s="13" t="s">
        <v>538</v>
      </c>
      <c r="C1082" s="139">
        <v>46269</v>
      </c>
      <c r="D1082" s="139" t="s">
        <v>516</v>
      </c>
      <c r="E1082" s="28">
        <v>0.91204410000000002</v>
      </c>
      <c r="F1082" s="13"/>
      <c r="G1082" s="18">
        <v>15166667</v>
      </c>
      <c r="H1082" s="18">
        <v>13832669.220000001</v>
      </c>
      <c r="I1082" s="18">
        <v>15166667</v>
      </c>
      <c r="J1082" s="18">
        <v>13832669.220000001</v>
      </c>
      <c r="K1082" s="15">
        <v>90020551</v>
      </c>
      <c r="L1082" s="13" t="s">
        <v>102</v>
      </c>
      <c r="M1082" s="13" t="s">
        <v>103</v>
      </c>
      <c r="N1082" s="139" t="s">
        <v>367</v>
      </c>
      <c r="O1082" s="139" t="s">
        <v>367</v>
      </c>
      <c r="P1082" s="28">
        <v>40</v>
      </c>
      <c r="Q1082" s="13" t="s">
        <v>54</v>
      </c>
      <c r="R1082" s="13" t="s">
        <v>28</v>
      </c>
      <c r="S1082" s="13"/>
      <c r="T1082" s="13"/>
      <c r="U1082" s="13" t="s">
        <v>1480</v>
      </c>
      <c r="V1082" s="13" t="s">
        <v>1480</v>
      </c>
      <c r="W1082" s="59">
        <f>+J1082/$W$2</f>
        <v>3.1072890514792056E-4</v>
      </c>
    </row>
    <row r="1083" spans="1:29">
      <c r="A1083" s="13" t="s">
        <v>1697</v>
      </c>
      <c r="B1083" s="13" t="s">
        <v>538</v>
      </c>
      <c r="C1083" s="139">
        <v>46269</v>
      </c>
      <c r="D1083" s="139" t="s">
        <v>516</v>
      </c>
      <c r="E1083" s="28">
        <v>0.92013730000000005</v>
      </c>
      <c r="F1083" s="13"/>
      <c r="G1083" s="18">
        <v>2067824.35</v>
      </c>
      <c r="H1083" s="18">
        <v>1902682.32</v>
      </c>
      <c r="I1083" s="18">
        <v>2067824.35</v>
      </c>
      <c r="J1083" s="18">
        <v>1902682.32</v>
      </c>
      <c r="K1083" s="15">
        <v>2202</v>
      </c>
      <c r="L1083" s="13" t="s">
        <v>102</v>
      </c>
      <c r="M1083" s="13" t="s">
        <v>103</v>
      </c>
      <c r="N1083" s="139" t="s">
        <v>514</v>
      </c>
      <c r="O1083" s="139" t="s">
        <v>514</v>
      </c>
      <c r="P1083" s="28">
        <v>36</v>
      </c>
      <c r="Q1083" s="13" t="s">
        <v>54</v>
      </c>
      <c r="R1083" s="13" t="s">
        <v>28</v>
      </c>
      <c r="S1083" s="13"/>
      <c r="T1083" s="13"/>
      <c r="U1083" s="13" t="s">
        <v>1699</v>
      </c>
      <c r="V1083" s="13" t="s">
        <v>1699</v>
      </c>
      <c r="W1083" s="59">
        <f>+J1083/$W$2</f>
        <v>4.2740730999559421E-5</v>
      </c>
    </row>
    <row r="1084" spans="1:29">
      <c r="A1084" s="13" t="s">
        <v>993</v>
      </c>
      <c r="B1084" s="13" t="s">
        <v>538</v>
      </c>
      <c r="C1084" s="139">
        <v>46269</v>
      </c>
      <c r="D1084" s="139" t="s">
        <v>516</v>
      </c>
      <c r="E1084" s="28">
        <v>0.93254985999999995</v>
      </c>
      <c r="F1084" s="13"/>
      <c r="G1084" s="18">
        <v>5000000</v>
      </c>
      <c r="H1084" s="18">
        <v>4662749.29</v>
      </c>
      <c r="I1084" s="18">
        <v>5000000</v>
      </c>
      <c r="J1084" s="18">
        <v>4662749.29</v>
      </c>
      <c r="K1084" s="15">
        <v>58</v>
      </c>
      <c r="L1084" s="13" t="s">
        <v>102</v>
      </c>
      <c r="M1084" s="13" t="s">
        <v>103</v>
      </c>
      <c r="N1084" s="139" t="s">
        <v>359</v>
      </c>
      <c r="O1084" s="139" t="s">
        <v>359</v>
      </c>
      <c r="P1084" s="28">
        <v>30</v>
      </c>
      <c r="Q1084" s="13" t="s">
        <v>54</v>
      </c>
      <c r="R1084" s="13" t="s">
        <v>28</v>
      </c>
      <c r="S1084" s="13"/>
      <c r="T1084" s="13"/>
      <c r="U1084" s="13" t="s">
        <v>1314</v>
      </c>
      <c r="V1084" s="13" t="s">
        <v>1314</v>
      </c>
      <c r="W1084" s="59">
        <f>+J1084/$W$2</f>
        <v>1.0474124399404555E-4</v>
      </c>
    </row>
    <row r="1085" spans="1:29">
      <c r="A1085" s="13" t="s">
        <v>339</v>
      </c>
      <c r="B1085" s="13" t="s">
        <v>538</v>
      </c>
      <c r="C1085" s="139">
        <v>46269</v>
      </c>
      <c r="D1085" s="139" t="s">
        <v>516</v>
      </c>
      <c r="E1085" s="28">
        <v>0.93465127000000003</v>
      </c>
      <c r="F1085" s="13"/>
      <c r="G1085" s="18">
        <v>10000000</v>
      </c>
      <c r="H1085" s="18">
        <v>9346512.6999999993</v>
      </c>
      <c r="I1085" s="18">
        <v>10000000</v>
      </c>
      <c r="J1085" s="18">
        <v>9346512.6999999993</v>
      </c>
      <c r="K1085" s="15">
        <v>66613066</v>
      </c>
      <c r="L1085" s="13" t="s">
        <v>102</v>
      </c>
      <c r="M1085" s="13" t="s">
        <v>103</v>
      </c>
      <c r="N1085" s="139" t="s">
        <v>359</v>
      </c>
      <c r="O1085" s="139" t="s">
        <v>359</v>
      </c>
      <c r="P1085" s="28">
        <v>29</v>
      </c>
      <c r="Q1085" s="13" t="s">
        <v>54</v>
      </c>
      <c r="R1085" s="13" t="s">
        <v>28</v>
      </c>
      <c r="S1085" s="13"/>
      <c r="T1085" s="13"/>
      <c r="U1085" s="13" t="s">
        <v>1346</v>
      </c>
      <c r="V1085" s="13" t="s">
        <v>1346</v>
      </c>
      <c r="W1085" s="59">
        <f>+J1085/$W$2</f>
        <v>2.0995453675875107E-4</v>
      </c>
      <c r="AC1085"/>
    </row>
    <row r="1086" spans="1:29">
      <c r="A1086" s="13" t="s">
        <v>590</v>
      </c>
      <c r="B1086" s="13" t="s">
        <v>538</v>
      </c>
      <c r="C1086" s="139">
        <v>46269</v>
      </c>
      <c r="D1086" s="139" t="s">
        <v>516</v>
      </c>
      <c r="E1086" s="28">
        <v>0.92630204999999999</v>
      </c>
      <c r="F1086" s="13"/>
      <c r="G1086" s="18">
        <v>16005575.68</v>
      </c>
      <c r="H1086" s="18">
        <v>14825997.550000001</v>
      </c>
      <c r="I1086" s="18">
        <v>16005575.68</v>
      </c>
      <c r="J1086" s="18">
        <v>14825997.550000001</v>
      </c>
      <c r="K1086" s="15">
        <v>30713</v>
      </c>
      <c r="L1086" s="13" t="s">
        <v>102</v>
      </c>
      <c r="M1086" s="13" t="s">
        <v>103</v>
      </c>
      <c r="N1086" s="139" t="s">
        <v>514</v>
      </c>
      <c r="O1086" s="139" t="s">
        <v>514</v>
      </c>
      <c r="P1086" s="28">
        <v>33</v>
      </c>
      <c r="Q1086" s="13" t="s">
        <v>54</v>
      </c>
      <c r="R1086" s="13" t="s">
        <v>28</v>
      </c>
      <c r="S1086" s="13"/>
      <c r="T1086" s="13"/>
      <c r="U1086" s="13" t="s">
        <v>1687</v>
      </c>
      <c r="V1086" s="13" t="s">
        <v>1687</v>
      </c>
      <c r="W1086" s="59">
        <f>+J1086/$W$2</f>
        <v>3.3304244561681588E-4</v>
      </c>
    </row>
    <row r="1087" spans="1:29">
      <c r="A1087" s="13" t="s">
        <v>1697</v>
      </c>
      <c r="B1087" s="13" t="s">
        <v>538</v>
      </c>
      <c r="C1087" s="139">
        <v>46272</v>
      </c>
      <c r="D1087" s="139" t="s">
        <v>516</v>
      </c>
      <c r="E1087" s="28">
        <v>0.91763899000000004</v>
      </c>
      <c r="F1087" s="13"/>
      <c r="G1087" s="18">
        <v>2067824.35</v>
      </c>
      <c r="H1087" s="18">
        <v>1897516.25</v>
      </c>
      <c r="I1087" s="18">
        <v>2067824.35</v>
      </c>
      <c r="J1087" s="18">
        <v>1897516.25</v>
      </c>
      <c r="K1087" s="15">
        <v>2203</v>
      </c>
      <c r="L1087" s="13" t="s">
        <v>102</v>
      </c>
      <c r="M1087" s="13" t="s">
        <v>103</v>
      </c>
      <c r="N1087" s="139" t="s">
        <v>514</v>
      </c>
      <c r="O1087" s="139" t="s">
        <v>514</v>
      </c>
      <c r="P1087" s="28">
        <v>36</v>
      </c>
      <c r="Q1087" s="13" t="s">
        <v>54</v>
      </c>
      <c r="R1087" s="13" t="s">
        <v>28</v>
      </c>
      <c r="S1087" s="13"/>
      <c r="T1087" s="13"/>
      <c r="U1087" s="13" t="s">
        <v>1700</v>
      </c>
      <c r="V1087" s="13" t="s">
        <v>1700</v>
      </c>
      <c r="W1087" s="59">
        <f>+J1087/$W$2</f>
        <v>4.2624683456638591E-5</v>
      </c>
    </row>
    <row r="1088" spans="1:29">
      <c r="A1088" s="13" t="s">
        <v>917</v>
      </c>
      <c r="B1088" s="13" t="s">
        <v>538</v>
      </c>
      <c r="C1088" s="139">
        <v>46272</v>
      </c>
      <c r="D1088" s="139" t="s">
        <v>516</v>
      </c>
      <c r="E1088" s="28">
        <v>0.91345929000000003</v>
      </c>
      <c r="F1088" s="13"/>
      <c r="G1088" s="18">
        <v>4957711.8099999996</v>
      </c>
      <c r="H1088" s="18">
        <v>4528667.9000000004</v>
      </c>
      <c r="I1088" s="18">
        <v>4957711.8099999996</v>
      </c>
      <c r="J1088" s="18">
        <v>4528667.9000000004</v>
      </c>
      <c r="K1088" s="15">
        <v>598</v>
      </c>
      <c r="L1088" s="13" t="s">
        <v>102</v>
      </c>
      <c r="M1088" s="13" t="s">
        <v>103</v>
      </c>
      <c r="N1088" s="139" t="s">
        <v>374</v>
      </c>
      <c r="O1088" s="139" t="s">
        <v>374</v>
      </c>
      <c r="P1088" s="28">
        <v>38</v>
      </c>
      <c r="Q1088" s="13" t="s">
        <v>54</v>
      </c>
      <c r="R1088" s="13" t="s">
        <v>28</v>
      </c>
      <c r="S1088" s="13"/>
      <c r="T1088" s="13"/>
      <c r="U1088" s="13" t="s">
        <v>1205</v>
      </c>
      <c r="V1088" s="13" t="s">
        <v>1205</v>
      </c>
      <c r="W1088" s="59">
        <f>+J1088/$W$2</f>
        <v>1.0172931890187515E-4</v>
      </c>
    </row>
    <row r="1089" spans="1:23">
      <c r="A1089" s="13" t="s">
        <v>641</v>
      </c>
      <c r="B1089" s="13" t="s">
        <v>538</v>
      </c>
      <c r="C1089" s="139">
        <v>46272</v>
      </c>
      <c r="D1089" s="139" t="s">
        <v>516</v>
      </c>
      <c r="E1089" s="28">
        <v>0.91974299000000004</v>
      </c>
      <c r="F1089" s="13"/>
      <c r="G1089" s="18">
        <v>30000000</v>
      </c>
      <c r="H1089" s="18">
        <v>27592289.719999999</v>
      </c>
      <c r="I1089" s="18">
        <v>30000000</v>
      </c>
      <c r="J1089" s="18">
        <v>27592289.719999999</v>
      </c>
      <c r="K1089" s="15">
        <v>451</v>
      </c>
      <c r="L1089" s="13" t="s">
        <v>102</v>
      </c>
      <c r="M1089" s="13" t="s">
        <v>103</v>
      </c>
      <c r="N1089" s="139" t="s">
        <v>429</v>
      </c>
      <c r="O1089" s="139" t="s">
        <v>429</v>
      </c>
      <c r="P1089" s="28">
        <v>35</v>
      </c>
      <c r="Q1089" s="13" t="s">
        <v>54</v>
      </c>
      <c r="R1089" s="13" t="s">
        <v>28</v>
      </c>
      <c r="S1089" s="13"/>
      <c r="T1089" s="13"/>
      <c r="U1089" s="13" t="s">
        <v>1726</v>
      </c>
      <c r="V1089" s="13" t="s">
        <v>1726</v>
      </c>
      <c r="W1089" s="59">
        <f>+J1089/$W$2</f>
        <v>6.1981688702737758E-4</v>
      </c>
    </row>
    <row r="1090" spans="1:23">
      <c r="A1090" s="13" t="s">
        <v>478</v>
      </c>
      <c r="B1090" s="13" t="s">
        <v>538</v>
      </c>
      <c r="C1090" s="139">
        <v>46272</v>
      </c>
      <c r="D1090" s="139" t="s">
        <v>516</v>
      </c>
      <c r="E1090" s="28">
        <v>0.91763899000000004</v>
      </c>
      <c r="F1090" s="13"/>
      <c r="G1090" s="18">
        <v>2333401.2200000002</v>
      </c>
      <c r="H1090" s="18">
        <v>2141219.94</v>
      </c>
      <c r="I1090" s="18">
        <v>2333401.2200000002</v>
      </c>
      <c r="J1090" s="18">
        <v>2141219.94</v>
      </c>
      <c r="K1090" s="15">
        <v>2665</v>
      </c>
      <c r="L1090" s="13" t="s">
        <v>102</v>
      </c>
      <c r="M1090" s="13" t="s">
        <v>103</v>
      </c>
      <c r="N1090" s="139" t="s">
        <v>514</v>
      </c>
      <c r="O1090" s="139" t="s">
        <v>514</v>
      </c>
      <c r="P1090" s="28">
        <v>36</v>
      </c>
      <c r="Q1090" s="13" t="s">
        <v>54</v>
      </c>
      <c r="R1090" s="13" t="s">
        <v>28</v>
      </c>
      <c r="S1090" s="13"/>
      <c r="T1090" s="13"/>
      <c r="U1090" s="13" t="s">
        <v>1717</v>
      </c>
      <c r="V1090" s="13" t="s">
        <v>1717</v>
      </c>
      <c r="W1090" s="59">
        <f>+J1090/$W$2</f>
        <v>4.809909910049133E-5</v>
      </c>
    </row>
    <row r="1091" spans="1:23">
      <c r="A1091" s="13" t="s">
        <v>590</v>
      </c>
      <c r="B1091" s="13" t="s">
        <v>538</v>
      </c>
      <c r="C1091" s="139">
        <v>46272</v>
      </c>
      <c r="D1091" s="139" t="s">
        <v>516</v>
      </c>
      <c r="E1091" s="28">
        <v>0.92398064999999996</v>
      </c>
      <c r="F1091" s="13"/>
      <c r="G1091" s="18">
        <v>16005575.68</v>
      </c>
      <c r="H1091" s="18">
        <v>14788842.23</v>
      </c>
      <c r="I1091" s="18">
        <v>16005575.68</v>
      </c>
      <c r="J1091" s="18">
        <v>14788842.23</v>
      </c>
      <c r="K1091" s="15">
        <v>30714</v>
      </c>
      <c r="L1091" s="13" t="s">
        <v>102</v>
      </c>
      <c r="M1091" s="13" t="s">
        <v>103</v>
      </c>
      <c r="N1091" s="139" t="s">
        <v>514</v>
      </c>
      <c r="O1091" s="139" t="s">
        <v>514</v>
      </c>
      <c r="P1091" s="28">
        <v>33</v>
      </c>
      <c r="Q1091" s="13" t="s">
        <v>54</v>
      </c>
      <c r="R1091" s="13" t="s">
        <v>28</v>
      </c>
      <c r="S1091" s="13"/>
      <c r="T1091" s="13"/>
      <c r="U1091" s="13" t="s">
        <v>1686</v>
      </c>
      <c r="V1091" s="13" t="s">
        <v>1686</v>
      </c>
      <c r="W1091" s="59">
        <f>+J1091/$W$2</f>
        <v>3.3220781047009175E-4</v>
      </c>
    </row>
    <row r="1092" spans="1:23">
      <c r="A1092" s="13" t="s">
        <v>1493</v>
      </c>
      <c r="B1092" s="13" t="s">
        <v>538</v>
      </c>
      <c r="C1092" s="139">
        <v>46273</v>
      </c>
      <c r="D1092" s="139" t="s">
        <v>516</v>
      </c>
      <c r="E1092" s="28">
        <v>0.90841225000000003</v>
      </c>
      <c r="F1092" s="13"/>
      <c r="G1092" s="18">
        <v>12166667</v>
      </c>
      <c r="H1092" s="18">
        <v>11052349.310000001</v>
      </c>
      <c r="I1092" s="18">
        <v>12166667</v>
      </c>
      <c r="J1092" s="18">
        <v>11052349.310000001</v>
      </c>
      <c r="K1092" s="15">
        <v>90020552</v>
      </c>
      <c r="L1092" s="13" t="s">
        <v>102</v>
      </c>
      <c r="M1092" s="13" t="s">
        <v>103</v>
      </c>
      <c r="N1092" s="139" t="s">
        <v>367</v>
      </c>
      <c r="O1092" s="139" t="s">
        <v>367</v>
      </c>
      <c r="P1092" s="28">
        <v>40</v>
      </c>
      <c r="Q1092" s="13" t="s">
        <v>54</v>
      </c>
      <c r="R1092" s="13" t="s">
        <v>28</v>
      </c>
      <c r="S1092" s="13"/>
      <c r="T1092" s="13"/>
      <c r="U1092" s="13" t="s">
        <v>1477</v>
      </c>
      <c r="V1092" s="13" t="s">
        <v>1477</v>
      </c>
      <c r="W1092" s="59">
        <f>+J1092/$W$2</f>
        <v>2.482734420803764E-4</v>
      </c>
    </row>
    <row r="1093" spans="1:23">
      <c r="A1093" s="13" t="s">
        <v>1697</v>
      </c>
      <c r="B1093" s="13" t="s">
        <v>538</v>
      </c>
      <c r="C1093" s="139">
        <v>46273</v>
      </c>
      <c r="D1093" s="139" t="s">
        <v>516</v>
      </c>
      <c r="E1093" s="28">
        <v>0.91680914000000002</v>
      </c>
      <c r="F1093" s="13"/>
      <c r="G1093" s="18">
        <v>2067824.35</v>
      </c>
      <c r="H1093" s="18">
        <v>1895800.26</v>
      </c>
      <c r="I1093" s="18">
        <v>2067824.35</v>
      </c>
      <c r="J1093" s="18">
        <v>1895800.26</v>
      </c>
      <c r="K1093" s="15">
        <v>2204</v>
      </c>
      <c r="L1093" s="13" t="s">
        <v>102</v>
      </c>
      <c r="M1093" s="13" t="s">
        <v>103</v>
      </c>
      <c r="N1093" s="139" t="s">
        <v>514</v>
      </c>
      <c r="O1093" s="139" t="s">
        <v>514</v>
      </c>
      <c r="P1093" s="28">
        <v>36</v>
      </c>
      <c r="Q1093" s="13" t="s">
        <v>54</v>
      </c>
      <c r="R1093" s="13" t="s">
        <v>28</v>
      </c>
      <c r="S1093" s="13"/>
      <c r="T1093" s="13"/>
      <c r="U1093" s="13" t="s">
        <v>1701</v>
      </c>
      <c r="V1093" s="13" t="s">
        <v>1701</v>
      </c>
      <c r="W1093" s="59">
        <f>+J1093/$W$2</f>
        <v>4.2586136471565475E-5</v>
      </c>
    </row>
    <row r="1094" spans="1:23">
      <c r="A1094" s="13" t="s">
        <v>920</v>
      </c>
      <c r="B1094" s="13" t="s">
        <v>538</v>
      </c>
      <c r="C1094" s="139">
        <v>46273</v>
      </c>
      <c r="D1094" s="139" t="s">
        <v>516</v>
      </c>
      <c r="E1094" s="28">
        <v>0.91259144999999997</v>
      </c>
      <c r="F1094" s="13"/>
      <c r="G1094" s="18">
        <v>7162509.1500000004</v>
      </c>
      <c r="H1094" s="18">
        <v>6536444.6299999999</v>
      </c>
      <c r="I1094" s="18">
        <v>7162509.1500000004</v>
      </c>
      <c r="J1094" s="18">
        <v>6536444.6299999999</v>
      </c>
      <c r="K1094" s="15">
        <v>65964541</v>
      </c>
      <c r="L1094" s="13" t="s">
        <v>102</v>
      </c>
      <c r="M1094" s="13" t="s">
        <v>103</v>
      </c>
      <c r="N1094" s="139" t="s">
        <v>344</v>
      </c>
      <c r="O1094" s="139" t="s">
        <v>344</v>
      </c>
      <c r="P1094" s="28">
        <v>38</v>
      </c>
      <c r="Q1094" s="13" t="s">
        <v>54</v>
      </c>
      <c r="R1094" s="13" t="s">
        <v>28</v>
      </c>
      <c r="S1094" s="13"/>
      <c r="T1094" s="13"/>
      <c r="U1094" s="13" t="s">
        <v>1142</v>
      </c>
      <c r="V1094" s="13" t="s">
        <v>1142</v>
      </c>
      <c r="W1094" s="59">
        <f>+J1094/$W$2</f>
        <v>1.468308286085008E-4</v>
      </c>
    </row>
    <row r="1095" spans="1:23">
      <c r="A1095" s="13" t="s">
        <v>478</v>
      </c>
      <c r="B1095" s="13" t="s">
        <v>538</v>
      </c>
      <c r="C1095" s="139">
        <v>46273</v>
      </c>
      <c r="D1095" s="139" t="s">
        <v>516</v>
      </c>
      <c r="E1095" s="28">
        <v>0.91680914000000002</v>
      </c>
      <c r="F1095" s="13"/>
      <c r="G1095" s="18">
        <v>2333401.2200000002</v>
      </c>
      <c r="H1095" s="18">
        <v>2139283.56</v>
      </c>
      <c r="I1095" s="18">
        <v>2333401.2200000002</v>
      </c>
      <c r="J1095" s="18">
        <v>2139283.56</v>
      </c>
      <c r="K1095" s="15">
        <v>2664</v>
      </c>
      <c r="L1095" s="13" t="s">
        <v>102</v>
      </c>
      <c r="M1095" s="13" t="s">
        <v>103</v>
      </c>
      <c r="N1095" s="139" t="s">
        <v>514</v>
      </c>
      <c r="O1095" s="139" t="s">
        <v>514</v>
      </c>
      <c r="P1095" s="28">
        <v>36</v>
      </c>
      <c r="Q1095" s="13" t="s">
        <v>54</v>
      </c>
      <c r="R1095" s="13" t="s">
        <v>28</v>
      </c>
      <c r="S1095" s="13"/>
      <c r="T1095" s="13"/>
      <c r="U1095" s="13" t="s">
        <v>1713</v>
      </c>
      <c r="V1095" s="13" t="s">
        <v>1713</v>
      </c>
      <c r="W1095" s="59">
        <f>+J1095/$W$2</f>
        <v>4.8055601404726271E-5</v>
      </c>
    </row>
    <row r="1096" spans="1:23">
      <c r="A1096" s="13" t="s">
        <v>339</v>
      </c>
      <c r="B1096" s="13" t="s">
        <v>538</v>
      </c>
      <c r="C1096" s="139">
        <v>46273</v>
      </c>
      <c r="D1096" s="139" t="s">
        <v>516</v>
      </c>
      <c r="E1096" s="28">
        <v>0.92969953000000005</v>
      </c>
      <c r="F1096" s="13"/>
      <c r="G1096" s="18">
        <v>60000000</v>
      </c>
      <c r="H1096" s="18">
        <v>55781971.869999997</v>
      </c>
      <c r="I1096" s="18">
        <v>60000000</v>
      </c>
      <c r="J1096" s="18">
        <v>55781971.869999997</v>
      </c>
      <c r="K1096" s="15">
        <v>61</v>
      </c>
      <c r="L1096" s="13" t="s">
        <v>102</v>
      </c>
      <c r="M1096" s="13" t="s">
        <v>103</v>
      </c>
      <c r="N1096" s="139" t="s">
        <v>343</v>
      </c>
      <c r="O1096" s="139" t="s">
        <v>343</v>
      </c>
      <c r="P1096" s="28">
        <v>30</v>
      </c>
      <c r="Q1096" s="13" t="s">
        <v>54</v>
      </c>
      <c r="R1096" s="13" t="s">
        <v>28</v>
      </c>
      <c r="S1096" s="13"/>
      <c r="T1096" s="13"/>
      <c r="U1096" s="13" t="s">
        <v>1425</v>
      </c>
      <c r="V1096" s="13" t="s">
        <v>1425</v>
      </c>
      <c r="W1096" s="59">
        <f>+J1096/$W$2</f>
        <v>1.2530532444957286E-3</v>
      </c>
    </row>
    <row r="1097" spans="1:23">
      <c r="A1097" s="13" t="s">
        <v>993</v>
      </c>
      <c r="B1097" s="13" t="s">
        <v>538</v>
      </c>
      <c r="C1097" s="139">
        <v>46273</v>
      </c>
      <c r="D1097" s="139" t="s">
        <v>516</v>
      </c>
      <c r="E1097" s="28">
        <v>0.93188318999999997</v>
      </c>
      <c r="F1097" s="13"/>
      <c r="G1097" s="18">
        <v>11923076.92</v>
      </c>
      <c r="H1097" s="18">
        <v>11110914.949999999</v>
      </c>
      <c r="I1097" s="18">
        <v>11923076.92</v>
      </c>
      <c r="J1097" s="18">
        <v>11110914.949999999</v>
      </c>
      <c r="K1097" s="15">
        <v>90021986</v>
      </c>
      <c r="L1097" s="13" t="s">
        <v>102</v>
      </c>
      <c r="M1097" s="13" t="s">
        <v>103</v>
      </c>
      <c r="N1097" s="139" t="s">
        <v>359</v>
      </c>
      <c r="O1097" s="139" t="s">
        <v>359</v>
      </c>
      <c r="P1097" s="28">
        <v>29</v>
      </c>
      <c r="Q1097" s="13" t="s">
        <v>54</v>
      </c>
      <c r="R1097" s="13" t="s">
        <v>28</v>
      </c>
      <c r="S1097" s="13"/>
      <c r="T1097" s="13"/>
      <c r="U1097" s="13" t="s">
        <v>1318</v>
      </c>
      <c r="V1097" s="13" t="s">
        <v>1318</v>
      </c>
      <c r="W1097" s="59">
        <f>+J1097/$W$2</f>
        <v>2.4958902600037464E-4</v>
      </c>
    </row>
    <row r="1098" spans="1:23">
      <c r="A1098" s="13" t="s">
        <v>339</v>
      </c>
      <c r="B1098" s="13" t="s">
        <v>538</v>
      </c>
      <c r="C1098" s="139">
        <v>46273</v>
      </c>
      <c r="D1098" s="139" t="s">
        <v>516</v>
      </c>
      <c r="E1098" s="28">
        <v>0.93188318999999997</v>
      </c>
      <c r="F1098" s="13"/>
      <c r="G1098" s="18">
        <v>10000000</v>
      </c>
      <c r="H1098" s="18">
        <v>9318831.9000000004</v>
      </c>
      <c r="I1098" s="18">
        <v>10000000</v>
      </c>
      <c r="J1098" s="18">
        <v>9318831.9000000004</v>
      </c>
      <c r="K1098" s="15">
        <v>66613291</v>
      </c>
      <c r="L1098" s="13" t="s">
        <v>102</v>
      </c>
      <c r="M1098" s="13" t="s">
        <v>103</v>
      </c>
      <c r="N1098" s="139" t="s">
        <v>359</v>
      </c>
      <c r="O1098" s="139" t="s">
        <v>359</v>
      </c>
      <c r="P1098" s="28">
        <v>29</v>
      </c>
      <c r="Q1098" s="13" t="s">
        <v>54</v>
      </c>
      <c r="R1098" s="13" t="s">
        <v>28</v>
      </c>
      <c r="S1098" s="13"/>
      <c r="T1098" s="13"/>
      <c r="U1098" s="13" t="s">
        <v>1347</v>
      </c>
      <c r="V1098" s="13" t="s">
        <v>1347</v>
      </c>
      <c r="W1098" s="59">
        <f>+J1098/$W$2</f>
        <v>2.0933273162911044E-4</v>
      </c>
    </row>
    <row r="1099" spans="1:23">
      <c r="A1099" s="13" t="s">
        <v>265</v>
      </c>
      <c r="B1099" s="13" t="s">
        <v>538</v>
      </c>
      <c r="C1099" s="139">
        <v>46273</v>
      </c>
      <c r="D1099" s="139" t="s">
        <v>516</v>
      </c>
      <c r="E1099" s="28">
        <v>0.92320928999999996</v>
      </c>
      <c r="F1099" s="13"/>
      <c r="G1099" s="18">
        <v>25000000</v>
      </c>
      <c r="H1099" s="18">
        <v>23080232.129999999</v>
      </c>
      <c r="I1099" s="18">
        <v>25000000</v>
      </c>
      <c r="J1099" s="18">
        <v>23080232.129999999</v>
      </c>
      <c r="K1099" s="15">
        <v>475880</v>
      </c>
      <c r="L1099" s="13" t="s">
        <v>102</v>
      </c>
      <c r="M1099" s="13" t="s">
        <v>103</v>
      </c>
      <c r="N1099" s="139" t="s">
        <v>391</v>
      </c>
      <c r="O1099" s="139" t="s">
        <v>391</v>
      </c>
      <c r="P1099" s="28">
        <v>33</v>
      </c>
      <c r="Q1099" s="13" t="s">
        <v>54</v>
      </c>
      <c r="R1099" s="13" t="s">
        <v>28</v>
      </c>
      <c r="S1099" s="13"/>
      <c r="T1099" s="13"/>
      <c r="U1099" s="13" t="s">
        <v>1670</v>
      </c>
      <c r="V1099" s="13" t="s">
        <v>1670</v>
      </c>
      <c r="W1099" s="59">
        <f>+J1099/$W$2</f>
        <v>5.1846069231132512E-4</v>
      </c>
    </row>
    <row r="1100" spans="1:23">
      <c r="A1100" s="13" t="s">
        <v>590</v>
      </c>
      <c r="B1100" s="13" t="s">
        <v>538</v>
      </c>
      <c r="C1100" s="139">
        <v>46273</v>
      </c>
      <c r="D1100" s="139" t="s">
        <v>516</v>
      </c>
      <c r="E1100" s="28">
        <v>0.92320935000000004</v>
      </c>
      <c r="F1100" s="13"/>
      <c r="G1100" s="18">
        <v>16005575.68</v>
      </c>
      <c r="H1100" s="18">
        <v>14776497.18</v>
      </c>
      <c r="I1100" s="18">
        <v>16005575.68</v>
      </c>
      <c r="J1100" s="18">
        <v>14776497.18</v>
      </c>
      <c r="K1100" s="15">
        <v>30715</v>
      </c>
      <c r="L1100" s="13" t="s">
        <v>102</v>
      </c>
      <c r="M1100" s="13" t="s">
        <v>103</v>
      </c>
      <c r="N1100" s="139" t="s">
        <v>514</v>
      </c>
      <c r="O1100" s="139" t="s">
        <v>514</v>
      </c>
      <c r="P1100" s="28">
        <v>33</v>
      </c>
      <c r="Q1100" s="13" t="s">
        <v>54</v>
      </c>
      <c r="R1100" s="13" t="s">
        <v>28</v>
      </c>
      <c r="S1100" s="13"/>
      <c r="T1100" s="13"/>
      <c r="U1100" s="13" t="s">
        <v>1685</v>
      </c>
      <c r="V1100" s="13" t="s">
        <v>1685</v>
      </c>
      <c r="W1100" s="59">
        <f>+J1100/$W$2</f>
        <v>3.3193049856380035E-4</v>
      </c>
    </row>
    <row r="1101" spans="1:23">
      <c r="A1101" s="13" t="s">
        <v>818</v>
      </c>
      <c r="B1101" s="13" t="s">
        <v>538</v>
      </c>
      <c r="C1101" s="139">
        <v>46273</v>
      </c>
      <c r="D1101" s="139" t="s">
        <v>516</v>
      </c>
      <c r="E1101" s="28">
        <v>0.92969953000000005</v>
      </c>
      <c r="F1101" s="13"/>
      <c r="G1101" s="18">
        <v>24000000</v>
      </c>
      <c r="H1101" s="18">
        <v>22312788.75</v>
      </c>
      <c r="I1101" s="18">
        <v>24000000</v>
      </c>
      <c r="J1101" s="18">
        <v>22312788.75</v>
      </c>
      <c r="K1101" s="15">
        <v>718980</v>
      </c>
      <c r="L1101" s="13" t="s">
        <v>102</v>
      </c>
      <c r="M1101" s="13" t="s">
        <v>103</v>
      </c>
      <c r="N1101" s="139" t="s">
        <v>378</v>
      </c>
      <c r="O1101" s="139" t="s">
        <v>378</v>
      </c>
      <c r="P1101" s="28">
        <v>30</v>
      </c>
      <c r="Q1101" s="13" t="s">
        <v>54</v>
      </c>
      <c r="R1101" s="13" t="s">
        <v>28</v>
      </c>
      <c r="S1101" s="13"/>
      <c r="T1101" s="13"/>
      <c r="U1101" s="13" t="s">
        <v>834</v>
      </c>
      <c r="V1101" s="13" t="s">
        <v>834</v>
      </c>
      <c r="W1101" s="59">
        <f>+J1101/$W$2</f>
        <v>5.0122129784321834E-4</v>
      </c>
    </row>
    <row r="1102" spans="1:23">
      <c r="A1102" s="13" t="s">
        <v>819</v>
      </c>
      <c r="B1102" s="13" t="s">
        <v>538</v>
      </c>
      <c r="C1102" s="139">
        <v>46273</v>
      </c>
      <c r="D1102" s="139" t="s">
        <v>516</v>
      </c>
      <c r="E1102" s="28">
        <v>0.93407728999999995</v>
      </c>
      <c r="F1102" s="13"/>
      <c r="G1102" s="18">
        <v>10000000</v>
      </c>
      <c r="H1102" s="18">
        <v>9340772.8599999994</v>
      </c>
      <c r="I1102" s="18">
        <v>10000000</v>
      </c>
      <c r="J1102" s="18">
        <v>9340772.8599999994</v>
      </c>
      <c r="K1102" s="15">
        <v>360562</v>
      </c>
      <c r="L1102" s="13" t="s">
        <v>102</v>
      </c>
      <c r="M1102" s="13" t="s">
        <v>103</v>
      </c>
      <c r="N1102" s="139" t="s">
        <v>366</v>
      </c>
      <c r="O1102" s="139" t="s">
        <v>366</v>
      </c>
      <c r="P1102" s="28">
        <v>28</v>
      </c>
      <c r="Q1102" s="13" t="s">
        <v>54</v>
      </c>
      <c r="R1102" s="13" t="s">
        <v>28</v>
      </c>
      <c r="S1102" s="13"/>
      <c r="T1102" s="13"/>
      <c r="U1102" s="13" t="s">
        <v>1004</v>
      </c>
      <c r="V1102" s="13" t="s">
        <v>1004</v>
      </c>
      <c r="W1102" s="59">
        <f>+J1102/$W$2</f>
        <v>2.0982560038569406E-4</v>
      </c>
    </row>
    <row r="1103" spans="1:23">
      <c r="A1103" s="13" t="s">
        <v>1493</v>
      </c>
      <c r="B1103" s="13" t="s">
        <v>538</v>
      </c>
      <c r="C1103" s="139">
        <v>46274</v>
      </c>
      <c r="D1103" s="139" t="s">
        <v>516</v>
      </c>
      <c r="E1103" s="28">
        <v>0.90750872999999999</v>
      </c>
      <c r="F1103" s="13"/>
      <c r="G1103" s="18">
        <v>15166667</v>
      </c>
      <c r="H1103" s="18">
        <v>13763882.76</v>
      </c>
      <c r="I1103" s="18">
        <v>15166667</v>
      </c>
      <c r="J1103" s="18">
        <v>13763882.76</v>
      </c>
      <c r="K1103" s="15">
        <v>90020553</v>
      </c>
      <c r="L1103" s="13" t="s">
        <v>102</v>
      </c>
      <c r="M1103" s="13" t="s">
        <v>103</v>
      </c>
      <c r="N1103" s="139" t="s">
        <v>367</v>
      </c>
      <c r="O1103" s="139" t="s">
        <v>377</v>
      </c>
      <c r="P1103" s="28">
        <v>40</v>
      </c>
      <c r="Q1103" s="13" t="s">
        <v>54</v>
      </c>
      <c r="R1103" s="13" t="s">
        <v>28</v>
      </c>
      <c r="S1103" s="13"/>
      <c r="T1103" s="13"/>
      <c r="U1103" s="13" t="s">
        <v>1478</v>
      </c>
      <c r="V1103" s="13" t="s">
        <v>1478</v>
      </c>
      <c r="W1103" s="59">
        <f>+J1103/$W$2</f>
        <v>3.0918372676876164E-4</v>
      </c>
    </row>
    <row r="1104" spans="1:23">
      <c r="A1104" s="13" t="s">
        <v>921</v>
      </c>
      <c r="B1104" s="13" t="s">
        <v>538</v>
      </c>
      <c r="C1104" s="139">
        <v>46274</v>
      </c>
      <c r="D1104" s="139" t="s">
        <v>516</v>
      </c>
      <c r="E1104" s="28">
        <v>0.91172516999999997</v>
      </c>
      <c r="F1104" s="13"/>
      <c r="G1104" s="18">
        <v>7133529.1399999997</v>
      </c>
      <c r="H1104" s="18">
        <v>6503818.0599999996</v>
      </c>
      <c r="I1104" s="18">
        <v>7133529.1399999997</v>
      </c>
      <c r="J1104" s="18">
        <v>6503818.0599999996</v>
      </c>
      <c r="K1104" s="15">
        <v>90000168</v>
      </c>
      <c r="L1104" s="13" t="s">
        <v>102</v>
      </c>
      <c r="M1104" s="13" t="s">
        <v>103</v>
      </c>
      <c r="N1104" s="139" t="s">
        <v>344</v>
      </c>
      <c r="O1104" s="139" t="s">
        <v>344</v>
      </c>
      <c r="P1104" s="28">
        <v>38</v>
      </c>
      <c r="Q1104" s="13" t="s">
        <v>54</v>
      </c>
      <c r="R1104" s="13" t="s">
        <v>28</v>
      </c>
      <c r="S1104" s="13"/>
      <c r="T1104" s="13"/>
      <c r="U1104" s="13" t="s">
        <v>1147</v>
      </c>
      <c r="V1104" s="13" t="s">
        <v>1147</v>
      </c>
      <c r="W1104" s="59">
        <f>+J1104/$W$2</f>
        <v>1.4609792462492446E-4</v>
      </c>
    </row>
    <row r="1105" spans="1:23">
      <c r="A1105" s="13" t="s">
        <v>478</v>
      </c>
      <c r="B1105" s="13" t="s">
        <v>538</v>
      </c>
      <c r="C1105" s="139">
        <v>46274</v>
      </c>
      <c r="D1105" s="139" t="s">
        <v>516</v>
      </c>
      <c r="E1105" s="28">
        <v>0.91598078999999999</v>
      </c>
      <c r="F1105" s="13"/>
      <c r="G1105" s="18">
        <v>2333401.2200000002</v>
      </c>
      <c r="H1105" s="18">
        <v>2137350.69</v>
      </c>
      <c r="I1105" s="18">
        <v>2333401.2200000002</v>
      </c>
      <c r="J1105" s="18">
        <v>2137350.69</v>
      </c>
      <c r="K1105" s="15">
        <v>2663</v>
      </c>
      <c r="L1105" s="13" t="s">
        <v>102</v>
      </c>
      <c r="M1105" s="13" t="s">
        <v>103</v>
      </c>
      <c r="N1105" s="139" t="s">
        <v>514</v>
      </c>
      <c r="O1105" s="139" t="s">
        <v>514</v>
      </c>
      <c r="P1105" s="28">
        <v>36</v>
      </c>
      <c r="Q1105" s="13" t="s">
        <v>54</v>
      </c>
      <c r="R1105" s="13" t="s">
        <v>28</v>
      </c>
      <c r="S1105" s="13"/>
      <c r="T1105" s="13"/>
      <c r="U1105" s="13" t="s">
        <v>1714</v>
      </c>
      <c r="V1105" s="13" t="s">
        <v>1714</v>
      </c>
      <c r="W1105" s="59">
        <f>+J1105/$W$2</f>
        <v>4.8012182555526509E-5</v>
      </c>
    </row>
    <row r="1106" spans="1:23">
      <c r="A1106" s="13" t="s">
        <v>339</v>
      </c>
      <c r="B1106" s="13" t="s">
        <v>538</v>
      </c>
      <c r="C1106" s="139">
        <v>46274</v>
      </c>
      <c r="D1106" s="139" t="s">
        <v>516</v>
      </c>
      <c r="E1106" s="28">
        <v>0.93119386000000004</v>
      </c>
      <c r="F1106" s="13"/>
      <c r="G1106" s="18">
        <v>10000000</v>
      </c>
      <c r="H1106" s="18">
        <v>9311938.6199999992</v>
      </c>
      <c r="I1106" s="18">
        <v>10000000</v>
      </c>
      <c r="J1106" s="18">
        <v>9311938.6199999992</v>
      </c>
      <c r="K1106" s="15">
        <v>66613416</v>
      </c>
      <c r="L1106" s="13" t="s">
        <v>102</v>
      </c>
      <c r="M1106" s="13" t="s">
        <v>103</v>
      </c>
      <c r="N1106" s="139" t="s">
        <v>359</v>
      </c>
      <c r="O1106" s="139" t="s">
        <v>359</v>
      </c>
      <c r="P1106" s="28">
        <v>29</v>
      </c>
      <c r="Q1106" s="13" t="s">
        <v>54</v>
      </c>
      <c r="R1106" s="13" t="s">
        <v>28</v>
      </c>
      <c r="S1106" s="13"/>
      <c r="T1106" s="13"/>
      <c r="U1106" s="13" t="s">
        <v>1348</v>
      </c>
      <c r="V1106" s="13" t="s">
        <v>1348</v>
      </c>
      <c r="W1106" s="59">
        <f>+J1106/$W$2</f>
        <v>2.0917788506166838E-4</v>
      </c>
    </row>
    <row r="1107" spans="1:23">
      <c r="A1107" s="13" t="s">
        <v>265</v>
      </c>
      <c r="B1107" s="13" t="s">
        <v>538</v>
      </c>
      <c r="C1107" s="139">
        <v>46274</v>
      </c>
      <c r="D1107" s="139" t="s">
        <v>516</v>
      </c>
      <c r="E1107" s="28">
        <v>0.92461243000000004</v>
      </c>
      <c r="F1107" s="13"/>
      <c r="G1107" s="18">
        <v>25000000</v>
      </c>
      <c r="H1107" s="18">
        <v>23115310.73</v>
      </c>
      <c r="I1107" s="18">
        <v>25000000</v>
      </c>
      <c r="J1107" s="18">
        <v>23115310.73</v>
      </c>
      <c r="K1107" s="15">
        <v>475878</v>
      </c>
      <c r="L1107" s="13" t="s">
        <v>102</v>
      </c>
      <c r="M1107" s="13" t="s">
        <v>103</v>
      </c>
      <c r="N1107" s="139" t="s">
        <v>381</v>
      </c>
      <c r="O1107" s="139" t="s">
        <v>381</v>
      </c>
      <c r="P1107" s="28">
        <v>32</v>
      </c>
      <c r="Q1107" s="13" t="s">
        <v>54</v>
      </c>
      <c r="R1107" s="13" t="s">
        <v>28</v>
      </c>
      <c r="S1107" s="13"/>
      <c r="T1107" s="13"/>
      <c r="U1107" s="13" t="s">
        <v>1448</v>
      </c>
      <c r="V1107" s="13" t="s">
        <v>1448</v>
      </c>
      <c r="W1107" s="59">
        <f>+J1107/$W$2</f>
        <v>5.1924867724747635E-4</v>
      </c>
    </row>
    <row r="1108" spans="1:23">
      <c r="A1108" s="13" t="s">
        <v>590</v>
      </c>
      <c r="B1108" s="13" t="s">
        <v>538</v>
      </c>
      <c r="C1108" s="139">
        <v>46274</v>
      </c>
      <c r="D1108" s="139" t="s">
        <v>516</v>
      </c>
      <c r="E1108" s="28">
        <v>0.92243934000000005</v>
      </c>
      <c r="F1108" s="13"/>
      <c r="G1108" s="18">
        <v>16005575.68</v>
      </c>
      <c r="H1108" s="18">
        <v>14764172.699999999</v>
      </c>
      <c r="I1108" s="18">
        <v>16005575.68</v>
      </c>
      <c r="J1108" s="18">
        <v>14764172.699999999</v>
      </c>
      <c r="K1108" s="15">
        <v>30716</v>
      </c>
      <c r="L1108" s="13" t="s">
        <v>102</v>
      </c>
      <c r="M1108" s="13" t="s">
        <v>103</v>
      </c>
      <c r="N1108" s="139" t="s">
        <v>514</v>
      </c>
      <c r="O1108" s="139" t="s">
        <v>514</v>
      </c>
      <c r="P1108" s="28">
        <v>33</v>
      </c>
      <c r="Q1108" s="13" t="s">
        <v>54</v>
      </c>
      <c r="R1108" s="13" t="s">
        <v>28</v>
      </c>
      <c r="S1108" s="13"/>
      <c r="T1108" s="13"/>
      <c r="U1108" s="13" t="s">
        <v>1684</v>
      </c>
      <c r="V1108" s="13" t="s">
        <v>1684</v>
      </c>
      <c r="W1108" s="59">
        <f>+J1108/$W$2</f>
        <v>3.3165364872983044E-4</v>
      </c>
    </row>
    <row r="1109" spans="1:23">
      <c r="A1109" s="13" t="s">
        <v>261</v>
      </c>
      <c r="B1109" s="13" t="s">
        <v>538</v>
      </c>
      <c r="C1109" s="139">
        <v>46275</v>
      </c>
      <c r="D1109" s="139" t="s">
        <v>516</v>
      </c>
      <c r="E1109" s="28">
        <v>0.92386356000000003</v>
      </c>
      <c r="F1109" s="13"/>
      <c r="G1109" s="18">
        <v>50000000</v>
      </c>
      <c r="H1109" s="18">
        <v>46193178.049999997</v>
      </c>
      <c r="I1109" s="18">
        <v>50000000</v>
      </c>
      <c r="J1109" s="18">
        <v>46193178.049999997</v>
      </c>
      <c r="K1109" s="15">
        <v>4774</v>
      </c>
      <c r="L1109" s="13" t="s">
        <v>102</v>
      </c>
      <c r="M1109" s="13" t="s">
        <v>103</v>
      </c>
      <c r="N1109" s="139" t="s">
        <v>394</v>
      </c>
      <c r="O1109" s="139" t="s">
        <v>394</v>
      </c>
      <c r="P1109" s="28">
        <v>32</v>
      </c>
      <c r="Q1109" s="13" t="s">
        <v>54</v>
      </c>
      <c r="R1109" s="13" t="s">
        <v>28</v>
      </c>
      <c r="S1109" s="13"/>
      <c r="T1109" s="13"/>
      <c r="U1109" s="13" t="s">
        <v>2021</v>
      </c>
      <c r="V1109" s="13" t="s">
        <v>2021</v>
      </c>
      <c r="W1109" s="59">
        <f>+J1109/$W$2</f>
        <v>1.0376562478647527E-3</v>
      </c>
    </row>
    <row r="1110" spans="1:23">
      <c r="A1110" s="13" t="s">
        <v>923</v>
      </c>
      <c r="B1110" s="13" t="s">
        <v>538</v>
      </c>
      <c r="C1110" s="139">
        <v>46275</v>
      </c>
      <c r="D1110" s="139" t="s">
        <v>516</v>
      </c>
      <c r="E1110" s="28">
        <v>0.92828089000000003</v>
      </c>
      <c r="F1110" s="13"/>
      <c r="G1110" s="18">
        <v>10000000</v>
      </c>
      <c r="H1110" s="18">
        <v>9282808.8599999994</v>
      </c>
      <c r="I1110" s="18">
        <v>10000000</v>
      </c>
      <c r="J1110" s="18">
        <v>9282808.8599999994</v>
      </c>
      <c r="K1110" s="15">
        <v>3435967</v>
      </c>
      <c r="L1110" s="13" t="s">
        <v>102</v>
      </c>
      <c r="M1110" s="13" t="s">
        <v>103</v>
      </c>
      <c r="N1110" s="139" t="s">
        <v>377</v>
      </c>
      <c r="O1110" s="139" t="s">
        <v>377</v>
      </c>
      <c r="P1110" s="28">
        <v>30</v>
      </c>
      <c r="Q1110" s="13" t="s">
        <v>54</v>
      </c>
      <c r="R1110" s="13" t="s">
        <v>28</v>
      </c>
      <c r="S1110" s="13"/>
      <c r="T1110" s="13"/>
      <c r="U1110" s="13" t="s">
        <v>1464</v>
      </c>
      <c r="V1110" s="13" t="s">
        <v>1464</v>
      </c>
      <c r="W1110" s="59">
        <f>+J1110/$W$2</f>
        <v>2.0852353135103856E-4</v>
      </c>
    </row>
    <row r="1111" spans="1:23">
      <c r="A1111" s="13" t="s">
        <v>550</v>
      </c>
      <c r="B1111" s="13" t="s">
        <v>538</v>
      </c>
      <c r="C1111" s="139">
        <v>46275</v>
      </c>
      <c r="D1111" s="139" t="s">
        <v>516</v>
      </c>
      <c r="E1111" s="28">
        <v>0.92167069999999995</v>
      </c>
      <c r="F1111" s="13"/>
      <c r="G1111" s="18">
        <v>12500000</v>
      </c>
      <c r="H1111" s="18">
        <v>11520883.710000001</v>
      </c>
      <c r="I1111" s="18">
        <v>12500000</v>
      </c>
      <c r="J1111" s="18">
        <v>11520883.710000001</v>
      </c>
      <c r="K1111" s="15">
        <v>1358</v>
      </c>
      <c r="L1111" s="13" t="s">
        <v>102</v>
      </c>
      <c r="M1111" s="13" t="s">
        <v>103</v>
      </c>
      <c r="N1111" s="139" t="s">
        <v>472</v>
      </c>
      <c r="O1111" s="139" t="s">
        <v>472</v>
      </c>
      <c r="P1111" s="28">
        <v>33</v>
      </c>
      <c r="Q1111" s="13" t="s">
        <v>54</v>
      </c>
      <c r="R1111" s="13" t="s">
        <v>28</v>
      </c>
      <c r="S1111" s="13"/>
      <c r="T1111" s="13"/>
      <c r="U1111" s="13" t="s">
        <v>1626</v>
      </c>
      <c r="V1111" s="13" t="s">
        <v>1626</v>
      </c>
      <c r="W1111" s="59">
        <f>+J1111/$W$2</f>
        <v>2.5879832190079749E-4</v>
      </c>
    </row>
    <row r="1112" spans="1:23">
      <c r="A1112" s="13" t="s">
        <v>365</v>
      </c>
      <c r="B1112" s="13" t="s">
        <v>538</v>
      </c>
      <c r="C1112" s="139">
        <v>46275</v>
      </c>
      <c r="D1112" s="139" t="s">
        <v>516</v>
      </c>
      <c r="E1112" s="28">
        <v>0.92167071</v>
      </c>
      <c r="F1112" s="13"/>
      <c r="G1112" s="18">
        <v>10000000</v>
      </c>
      <c r="H1112" s="18">
        <v>9216707.0999999996</v>
      </c>
      <c r="I1112" s="18">
        <v>10000000</v>
      </c>
      <c r="J1112" s="18">
        <v>9216707.0999999996</v>
      </c>
      <c r="K1112" s="15">
        <v>326</v>
      </c>
      <c r="L1112" s="13" t="s">
        <v>102</v>
      </c>
      <c r="M1112" s="13" t="s">
        <v>103</v>
      </c>
      <c r="N1112" s="139" t="s">
        <v>383</v>
      </c>
      <c r="O1112" s="139" t="s">
        <v>383</v>
      </c>
      <c r="P1112" s="28">
        <v>33</v>
      </c>
      <c r="Q1112" s="13" t="s">
        <v>54</v>
      </c>
      <c r="R1112" s="13" t="s">
        <v>28</v>
      </c>
      <c r="S1112" s="13"/>
      <c r="T1112" s="13"/>
      <c r="U1112" s="13" t="s">
        <v>1538</v>
      </c>
      <c r="V1112" s="13" t="s">
        <v>1538</v>
      </c>
      <c r="W1112" s="59">
        <f>+J1112/$W$2</f>
        <v>2.0703866048580794E-4</v>
      </c>
    </row>
    <row r="1113" spans="1:23">
      <c r="A1113" s="13" t="s">
        <v>478</v>
      </c>
      <c r="B1113" s="13" t="s">
        <v>538</v>
      </c>
      <c r="C1113" s="139">
        <v>46275</v>
      </c>
      <c r="D1113" s="139" t="s">
        <v>516</v>
      </c>
      <c r="E1113" s="28">
        <v>0.91515420000000003</v>
      </c>
      <c r="F1113" s="13"/>
      <c r="G1113" s="18">
        <v>2333401.2200000002</v>
      </c>
      <c r="H1113" s="18">
        <v>2135421.9300000002</v>
      </c>
      <c r="I1113" s="18">
        <v>2333401.2200000002</v>
      </c>
      <c r="J1113" s="18">
        <v>2135421.9300000002</v>
      </c>
      <c r="K1113" s="15">
        <v>2662</v>
      </c>
      <c r="L1113" s="13" t="s">
        <v>102</v>
      </c>
      <c r="M1113" s="13" t="s">
        <v>103</v>
      </c>
      <c r="N1113" s="139" t="s">
        <v>514</v>
      </c>
      <c r="O1113" s="139" t="s">
        <v>514</v>
      </c>
      <c r="P1113" s="28">
        <v>36</v>
      </c>
      <c r="Q1113" s="13" t="s">
        <v>54</v>
      </c>
      <c r="R1113" s="13" t="s">
        <v>28</v>
      </c>
      <c r="S1113" s="13"/>
      <c r="T1113" s="13"/>
      <c r="U1113" s="13" t="s">
        <v>1715</v>
      </c>
      <c r="V1113" s="13" t="s">
        <v>1715</v>
      </c>
      <c r="W1113" s="59">
        <f>+J1113/$W$2</f>
        <v>4.7968856030937425E-5</v>
      </c>
    </row>
    <row r="1114" spans="1:23">
      <c r="A1114" s="13" t="s">
        <v>992</v>
      </c>
      <c r="B1114" s="13" t="s">
        <v>538</v>
      </c>
      <c r="C1114" s="139">
        <v>46275</v>
      </c>
      <c r="D1114" s="139" t="s">
        <v>516</v>
      </c>
      <c r="E1114" s="28">
        <v>0.91731607000000004</v>
      </c>
      <c r="F1114" s="13"/>
      <c r="G1114" s="18">
        <v>4250000</v>
      </c>
      <c r="H1114" s="18">
        <v>3898593.2799999998</v>
      </c>
      <c r="I1114" s="18">
        <v>4250000</v>
      </c>
      <c r="J1114" s="18">
        <v>3898593.2799999998</v>
      </c>
      <c r="K1114" s="15">
        <v>6839</v>
      </c>
      <c r="L1114" s="13" t="s">
        <v>102</v>
      </c>
      <c r="M1114" s="13" t="s">
        <v>103</v>
      </c>
      <c r="N1114" s="139" t="s">
        <v>428</v>
      </c>
      <c r="O1114" s="139" t="s">
        <v>428</v>
      </c>
      <c r="P1114" s="28">
        <v>35</v>
      </c>
      <c r="Q1114" s="13" t="s">
        <v>54</v>
      </c>
      <c r="R1114" s="13" t="s">
        <v>28</v>
      </c>
      <c r="S1114" s="13"/>
      <c r="T1114" s="13"/>
      <c r="U1114" s="13" t="s">
        <v>981</v>
      </c>
      <c r="V1114" s="13" t="s">
        <v>981</v>
      </c>
      <c r="W1114" s="59">
        <f>+J1114/$W$2</f>
        <v>8.7575695062521008E-5</v>
      </c>
    </row>
    <row r="1115" spans="1:23">
      <c r="A1115" s="13" t="s">
        <v>339</v>
      </c>
      <c r="B1115" s="13" t="s">
        <v>538</v>
      </c>
      <c r="C1115" s="139">
        <v>46275</v>
      </c>
      <c r="D1115" s="139" t="s">
        <v>516</v>
      </c>
      <c r="E1115" s="28">
        <v>0.93050527999999999</v>
      </c>
      <c r="F1115" s="13"/>
      <c r="G1115" s="18">
        <v>5500000</v>
      </c>
      <c r="H1115" s="18">
        <v>5117779.04</v>
      </c>
      <c r="I1115" s="18">
        <v>5500000</v>
      </c>
      <c r="J1115" s="18">
        <v>5117779.04</v>
      </c>
      <c r="K1115" s="15">
        <v>66554093</v>
      </c>
      <c r="L1115" s="13" t="s">
        <v>102</v>
      </c>
      <c r="M1115" s="13" t="s">
        <v>103</v>
      </c>
      <c r="N1115" s="139" t="s">
        <v>161</v>
      </c>
      <c r="O1115" s="139" t="s">
        <v>161</v>
      </c>
      <c r="P1115" s="28">
        <v>29</v>
      </c>
      <c r="Q1115" s="13" t="s">
        <v>54</v>
      </c>
      <c r="R1115" s="13" t="s">
        <v>28</v>
      </c>
      <c r="S1115" s="13"/>
      <c r="T1115" s="13"/>
      <c r="U1115" s="13" t="s">
        <v>1257</v>
      </c>
      <c r="V1115" s="13" t="s">
        <v>1257</v>
      </c>
      <c r="W1115" s="59">
        <f>+J1115/$W$2</f>
        <v>1.149627633391913E-4</v>
      </c>
    </row>
    <row r="1116" spans="1:23">
      <c r="A1116" s="13" t="s">
        <v>590</v>
      </c>
      <c r="B1116" s="13" t="s">
        <v>538</v>
      </c>
      <c r="C1116" s="139">
        <v>46275</v>
      </c>
      <c r="D1116" s="139" t="s">
        <v>516</v>
      </c>
      <c r="E1116" s="28">
        <v>0.92167085999999998</v>
      </c>
      <c r="F1116" s="13"/>
      <c r="G1116" s="18">
        <v>16005575.68</v>
      </c>
      <c r="H1116" s="18">
        <v>14751872.720000001</v>
      </c>
      <c r="I1116" s="18">
        <v>16005575.68</v>
      </c>
      <c r="J1116" s="18">
        <v>14751872.720000001</v>
      </c>
      <c r="K1116" s="15">
        <v>30717</v>
      </c>
      <c r="L1116" s="13" t="s">
        <v>102</v>
      </c>
      <c r="M1116" s="13" t="s">
        <v>103</v>
      </c>
      <c r="N1116" s="139" t="s">
        <v>514</v>
      </c>
      <c r="O1116" s="139" t="s">
        <v>514</v>
      </c>
      <c r="P1116" s="28">
        <v>33</v>
      </c>
      <c r="Q1116" s="13" t="s">
        <v>54</v>
      </c>
      <c r="R1116" s="13" t="s">
        <v>28</v>
      </c>
      <c r="S1116" s="13"/>
      <c r="T1116" s="13"/>
      <c r="U1116" s="13" t="s">
        <v>1678</v>
      </c>
      <c r="V1116" s="13" t="s">
        <v>1678</v>
      </c>
      <c r="W1116" s="59">
        <f>+J1116/$W$2</f>
        <v>3.3137734924937914E-4</v>
      </c>
    </row>
    <row r="1117" spans="1:23">
      <c r="A1117" s="13" t="s">
        <v>2044</v>
      </c>
      <c r="B1117" s="13" t="s">
        <v>538</v>
      </c>
      <c r="C1117" s="139">
        <v>46276</v>
      </c>
      <c r="D1117" s="139" t="s">
        <v>516</v>
      </c>
      <c r="E1117" s="28">
        <v>0.92311606999999996</v>
      </c>
      <c r="F1117" s="13"/>
      <c r="G1117" s="18">
        <v>1000000</v>
      </c>
      <c r="H1117" s="18">
        <v>923116.07</v>
      </c>
      <c r="I1117" s="18">
        <v>1000000</v>
      </c>
      <c r="J1117" s="18">
        <v>923116.07</v>
      </c>
      <c r="K1117" s="15">
        <v>67381670</v>
      </c>
      <c r="L1117" s="13" t="s">
        <v>102</v>
      </c>
      <c r="M1117" s="13" t="s">
        <v>103</v>
      </c>
      <c r="N1117" s="139" t="s">
        <v>394</v>
      </c>
      <c r="O1117" s="139" t="s">
        <v>394</v>
      </c>
      <c r="P1117" s="28">
        <v>32</v>
      </c>
      <c r="Q1117" s="13" t="s">
        <v>54</v>
      </c>
      <c r="R1117" s="13" t="s">
        <v>28</v>
      </c>
      <c r="S1117" s="13"/>
      <c r="T1117" s="13"/>
      <c r="U1117" s="13" t="s">
        <v>2054</v>
      </c>
      <c r="V1117" s="13" t="s">
        <v>2054</v>
      </c>
      <c r="W1117" s="59">
        <f>+J1117/$W$2</f>
        <v>2.0736333761297818E-5</v>
      </c>
    </row>
    <row r="1118" spans="1:23">
      <c r="A1118" s="13" t="s">
        <v>917</v>
      </c>
      <c r="B1118" s="13" t="s">
        <v>538</v>
      </c>
      <c r="C1118" s="139">
        <v>46276</v>
      </c>
      <c r="D1118" s="139" t="s">
        <v>516</v>
      </c>
      <c r="E1118" s="28">
        <v>0.90999764000000005</v>
      </c>
      <c r="F1118" s="13"/>
      <c r="G1118" s="18">
        <v>4957711.8099999996</v>
      </c>
      <c r="H1118" s="18">
        <v>4511506.07</v>
      </c>
      <c r="I1118" s="18">
        <v>4957711.8099999996</v>
      </c>
      <c r="J1118" s="18">
        <v>4511506.07</v>
      </c>
      <c r="K1118" s="15">
        <v>600</v>
      </c>
      <c r="L1118" s="13" t="s">
        <v>102</v>
      </c>
      <c r="M1118" s="13" t="s">
        <v>103</v>
      </c>
      <c r="N1118" s="139" t="s">
        <v>374</v>
      </c>
      <c r="O1118" s="139" t="s">
        <v>374</v>
      </c>
      <c r="P1118" s="28">
        <v>38</v>
      </c>
      <c r="Q1118" s="13" t="s">
        <v>54</v>
      </c>
      <c r="R1118" s="13" t="s">
        <v>28</v>
      </c>
      <c r="S1118" s="13"/>
      <c r="T1118" s="13"/>
      <c r="U1118" s="13" t="s">
        <v>1208</v>
      </c>
      <c r="V1118" s="13" t="s">
        <v>1208</v>
      </c>
      <c r="W1118" s="59">
        <f>+J1118/$W$2</f>
        <v>1.0134380569676471E-4</v>
      </c>
    </row>
    <row r="1119" spans="1:23">
      <c r="A1119" s="13" t="s">
        <v>539</v>
      </c>
      <c r="B1119" s="13" t="s">
        <v>538</v>
      </c>
      <c r="C1119" s="139">
        <v>46276</v>
      </c>
      <c r="D1119" s="139" t="s">
        <v>516</v>
      </c>
      <c r="E1119" s="28">
        <v>0.92757308999999999</v>
      </c>
      <c r="F1119" s="13"/>
      <c r="G1119" s="18">
        <v>10000000</v>
      </c>
      <c r="H1119" s="18">
        <v>9275730.8699999992</v>
      </c>
      <c r="I1119" s="18">
        <v>10000000</v>
      </c>
      <c r="J1119" s="18">
        <v>9275730.8699999992</v>
      </c>
      <c r="K1119" s="15">
        <v>504</v>
      </c>
      <c r="L1119" s="13" t="s">
        <v>102</v>
      </c>
      <c r="M1119" s="13" t="s">
        <v>103</v>
      </c>
      <c r="N1119" s="139" t="s">
        <v>383</v>
      </c>
      <c r="O1119" s="139" t="s">
        <v>383</v>
      </c>
      <c r="P1119" s="28">
        <v>30</v>
      </c>
      <c r="Q1119" s="13" t="s">
        <v>54</v>
      </c>
      <c r="R1119" s="13" t="s">
        <v>28</v>
      </c>
      <c r="S1119" s="13"/>
      <c r="T1119" s="13"/>
      <c r="U1119" s="13" t="s">
        <v>1532</v>
      </c>
      <c r="V1119" s="13" t="s">
        <v>1532</v>
      </c>
      <c r="W1119" s="59">
        <f>+J1119/$W$2</f>
        <v>2.0836453556733486E-4</v>
      </c>
    </row>
    <row r="1120" spans="1:23">
      <c r="A1120" s="13" t="s">
        <v>478</v>
      </c>
      <c r="B1120" s="13" t="s">
        <v>538</v>
      </c>
      <c r="C1120" s="139">
        <v>46276</v>
      </c>
      <c r="D1120" s="139" t="s">
        <v>516</v>
      </c>
      <c r="E1120" s="28">
        <v>0.91432884000000003</v>
      </c>
      <c r="F1120" s="13"/>
      <c r="G1120" s="18">
        <v>2333401.2200000002</v>
      </c>
      <c r="H1120" s="18">
        <v>2133496.0299999998</v>
      </c>
      <c r="I1120" s="18">
        <v>2333401.2200000002</v>
      </c>
      <c r="J1120" s="18">
        <v>2133496.0299999998</v>
      </c>
      <c r="K1120" s="15">
        <v>2661</v>
      </c>
      <c r="L1120" s="13" t="s">
        <v>102</v>
      </c>
      <c r="M1120" s="13" t="s">
        <v>103</v>
      </c>
      <c r="N1120" s="139" t="s">
        <v>514</v>
      </c>
      <c r="O1120" s="139" t="s">
        <v>514</v>
      </c>
      <c r="P1120" s="28">
        <v>36</v>
      </c>
      <c r="Q1120" s="13" t="s">
        <v>54</v>
      </c>
      <c r="R1120" s="13" t="s">
        <v>28</v>
      </c>
      <c r="S1120" s="13"/>
      <c r="T1120" s="13"/>
      <c r="U1120" s="13" t="s">
        <v>1716</v>
      </c>
      <c r="V1120" s="13" t="s">
        <v>1716</v>
      </c>
      <c r="W1120" s="59">
        <f>+J1120/$W$2</f>
        <v>4.7925593751697839E-5</v>
      </c>
    </row>
    <row r="1121" spans="1:29">
      <c r="A1121" s="13" t="s">
        <v>590</v>
      </c>
      <c r="B1121" s="13" t="s">
        <v>538</v>
      </c>
      <c r="C1121" s="139">
        <v>46276</v>
      </c>
      <c r="D1121" s="139" t="s">
        <v>516</v>
      </c>
      <c r="E1121" s="28">
        <v>0.92311606000000002</v>
      </c>
      <c r="F1121" s="13"/>
      <c r="G1121" s="18">
        <v>15355310.449999999</v>
      </c>
      <c r="H1121" s="18">
        <v>14174733.689999999</v>
      </c>
      <c r="I1121" s="18">
        <v>15355310.449999999</v>
      </c>
      <c r="J1121" s="18">
        <v>14174733.689999999</v>
      </c>
      <c r="K1121" s="15">
        <v>30742</v>
      </c>
      <c r="L1121" s="13" t="s">
        <v>102</v>
      </c>
      <c r="M1121" s="13" t="s">
        <v>103</v>
      </c>
      <c r="N1121" s="139" t="s">
        <v>394</v>
      </c>
      <c r="O1121" s="139" t="s">
        <v>394</v>
      </c>
      <c r="P1121" s="28">
        <v>32</v>
      </c>
      <c r="Q1121" s="13" t="s">
        <v>54</v>
      </c>
      <c r="R1121" s="13" t="s">
        <v>28</v>
      </c>
      <c r="S1121" s="13"/>
      <c r="T1121" s="13"/>
      <c r="U1121" s="13" t="s">
        <v>1985</v>
      </c>
      <c r="V1121" s="13" t="s">
        <v>1985</v>
      </c>
      <c r="W1121" s="59">
        <f>+J1121/$W$2</f>
        <v>3.1841283921463161E-4</v>
      </c>
    </row>
    <row r="1122" spans="1:29">
      <c r="A1122" s="13" t="s">
        <v>209</v>
      </c>
      <c r="B1122" s="13" t="s">
        <v>538</v>
      </c>
      <c r="C1122" s="139">
        <v>46276</v>
      </c>
      <c r="D1122" s="139" t="s">
        <v>516</v>
      </c>
      <c r="E1122" s="28">
        <v>0.93661801</v>
      </c>
      <c r="F1122" s="13"/>
      <c r="G1122" s="18">
        <v>100046704.59999999</v>
      </c>
      <c r="H1122" s="18">
        <v>93705545.540000007</v>
      </c>
      <c r="I1122" s="18">
        <v>100046704.59999999</v>
      </c>
      <c r="J1122" s="18">
        <v>93705545.540000007</v>
      </c>
      <c r="K1122" s="15">
        <v>568280</v>
      </c>
      <c r="L1122" s="13" t="s">
        <v>102</v>
      </c>
      <c r="M1122" s="13" t="s">
        <v>103</v>
      </c>
      <c r="N1122" s="139" t="s">
        <v>374</v>
      </c>
      <c r="O1122" s="139" t="s">
        <v>374</v>
      </c>
      <c r="P1122" s="28">
        <v>26</v>
      </c>
      <c r="Q1122" s="13" t="s">
        <v>54</v>
      </c>
      <c r="R1122" s="13" t="s">
        <v>28</v>
      </c>
      <c r="S1122" s="13"/>
      <c r="T1122" s="13"/>
      <c r="U1122" s="13" t="s">
        <v>1211</v>
      </c>
      <c r="V1122" s="13" t="s">
        <v>1211</v>
      </c>
      <c r="W1122" s="59">
        <f>+J1122/$W$2</f>
        <v>2.1049459875635492E-3</v>
      </c>
    </row>
    <row r="1123" spans="1:29">
      <c r="A1123" s="13" t="s">
        <v>590</v>
      </c>
      <c r="B1123" s="13" t="s">
        <v>538</v>
      </c>
      <c r="C1123" s="139">
        <v>46276</v>
      </c>
      <c r="D1123" s="139" t="s">
        <v>516</v>
      </c>
      <c r="E1123" s="28">
        <v>0.92090340999999998</v>
      </c>
      <c r="F1123" s="13"/>
      <c r="G1123" s="18">
        <v>16005575.68</v>
      </c>
      <c r="H1123" s="18">
        <v>14739589.25</v>
      </c>
      <c r="I1123" s="18">
        <v>16005575.68</v>
      </c>
      <c r="J1123" s="18">
        <v>14739589.25</v>
      </c>
      <c r="K1123" s="15">
        <v>30718</v>
      </c>
      <c r="L1123" s="13" t="s">
        <v>102</v>
      </c>
      <c r="M1123" s="13" t="s">
        <v>103</v>
      </c>
      <c r="N1123" s="139" t="s">
        <v>514</v>
      </c>
      <c r="O1123" s="139" t="s">
        <v>514</v>
      </c>
      <c r="P1123" s="28">
        <v>33</v>
      </c>
      <c r="Q1123" s="13" t="s">
        <v>54</v>
      </c>
      <c r="R1123" s="13" t="s">
        <v>28</v>
      </c>
      <c r="S1123" s="13"/>
      <c r="T1123" s="13"/>
      <c r="U1123" s="13" t="s">
        <v>1677</v>
      </c>
      <c r="V1123" s="13" t="s">
        <v>1677</v>
      </c>
      <c r="W1123" s="59">
        <f>+J1123/$W$2</f>
        <v>3.3110142063980905E-4</v>
      </c>
      <c r="AB1123" s="52"/>
      <c r="AC1123" s="56"/>
    </row>
    <row r="1124" spans="1:29">
      <c r="A1124" s="13" t="s">
        <v>1695</v>
      </c>
      <c r="B1124" s="13" t="s">
        <v>538</v>
      </c>
      <c r="C1124" s="139">
        <v>46279</v>
      </c>
      <c r="D1124" s="139" t="s">
        <v>516</v>
      </c>
      <c r="E1124" s="28">
        <v>0.91860896000000003</v>
      </c>
      <c r="F1124" s="13"/>
      <c r="G1124" s="18">
        <v>1524900</v>
      </c>
      <c r="H1124" s="18">
        <v>1400786.8</v>
      </c>
      <c r="I1124" s="18">
        <v>1524900</v>
      </c>
      <c r="J1124" s="18">
        <v>1400786.8</v>
      </c>
      <c r="K1124" s="15">
        <v>179</v>
      </c>
      <c r="L1124" s="13" t="s">
        <v>102</v>
      </c>
      <c r="M1124" s="13" t="s">
        <v>103</v>
      </c>
      <c r="N1124" s="139" t="s">
        <v>514</v>
      </c>
      <c r="O1124" s="139" t="s">
        <v>514</v>
      </c>
      <c r="P1124" s="28">
        <v>33</v>
      </c>
      <c r="Q1124" s="13" t="s">
        <v>54</v>
      </c>
      <c r="R1124" s="13" t="s">
        <v>28</v>
      </c>
      <c r="S1124" s="13"/>
      <c r="T1124" s="13"/>
      <c r="U1124" s="13" t="s">
        <v>1696</v>
      </c>
      <c r="V1124" s="13" t="s">
        <v>1696</v>
      </c>
      <c r="W1124" s="59">
        <f>+J1124/$W$2</f>
        <v>3.1466446698539588E-5</v>
      </c>
    </row>
    <row r="1125" spans="1:29">
      <c r="A1125" s="13" t="s">
        <v>478</v>
      </c>
      <c r="B1125" s="13" t="s">
        <v>538</v>
      </c>
      <c r="C1125" s="139">
        <v>46279</v>
      </c>
      <c r="D1125" s="139" t="s">
        <v>516</v>
      </c>
      <c r="E1125" s="28">
        <v>0.91186193000000004</v>
      </c>
      <c r="F1125" s="13"/>
      <c r="G1125" s="18">
        <v>2333401.2200000002</v>
      </c>
      <c r="H1125" s="18">
        <v>2127739.75</v>
      </c>
      <c r="I1125" s="18">
        <v>2333401.2200000002</v>
      </c>
      <c r="J1125" s="18">
        <v>2127739.75</v>
      </c>
      <c r="K1125" s="15">
        <v>2660</v>
      </c>
      <c r="L1125" s="13" t="s">
        <v>102</v>
      </c>
      <c r="M1125" s="13" t="s">
        <v>103</v>
      </c>
      <c r="N1125" s="139" t="s">
        <v>514</v>
      </c>
      <c r="O1125" s="139" t="s">
        <v>514</v>
      </c>
      <c r="P1125" s="28">
        <v>36</v>
      </c>
      <c r="Q1125" s="13" t="s">
        <v>54</v>
      </c>
      <c r="R1125" s="13" t="s">
        <v>28</v>
      </c>
      <c r="S1125" s="13"/>
      <c r="T1125" s="13"/>
      <c r="U1125" s="13" t="s">
        <v>1712</v>
      </c>
      <c r="V1125" s="13" t="s">
        <v>1712</v>
      </c>
      <c r="W1125" s="59">
        <f>+J1125/$W$2</f>
        <v>4.7796288080198173E-5</v>
      </c>
    </row>
    <row r="1126" spans="1:29">
      <c r="A1126" s="13" t="s">
        <v>590</v>
      </c>
      <c r="B1126" s="13" t="s">
        <v>538</v>
      </c>
      <c r="C1126" s="139">
        <v>46279</v>
      </c>
      <c r="D1126" s="139" t="s">
        <v>516</v>
      </c>
      <c r="E1126" s="28">
        <v>0.92088002000000002</v>
      </c>
      <c r="F1126" s="13"/>
      <c r="G1126" s="18">
        <v>15355310.449999999</v>
      </c>
      <c r="H1126" s="18">
        <v>14140398.619999999</v>
      </c>
      <c r="I1126" s="18">
        <v>15355310.449999999</v>
      </c>
      <c r="J1126" s="18">
        <v>14140398.619999999</v>
      </c>
      <c r="K1126" s="15">
        <v>30743</v>
      </c>
      <c r="L1126" s="13" t="s">
        <v>102</v>
      </c>
      <c r="M1126" s="13" t="s">
        <v>103</v>
      </c>
      <c r="N1126" s="139" t="s">
        <v>394</v>
      </c>
      <c r="O1126" s="139" t="s">
        <v>394</v>
      </c>
      <c r="P1126" s="28">
        <v>32</v>
      </c>
      <c r="Q1126" s="13" t="s">
        <v>54</v>
      </c>
      <c r="R1126" s="13" t="s">
        <v>28</v>
      </c>
      <c r="S1126" s="13"/>
      <c r="T1126" s="13"/>
      <c r="U1126" s="13" t="s">
        <v>1983</v>
      </c>
      <c r="V1126" s="13" t="s">
        <v>1983</v>
      </c>
      <c r="W1126" s="59">
        <f>+J1126/$W$2</f>
        <v>3.1764155649691492E-4</v>
      </c>
    </row>
    <row r="1127" spans="1:29">
      <c r="A1127" s="13" t="s">
        <v>590</v>
      </c>
      <c r="B1127" s="13" t="s">
        <v>538</v>
      </c>
      <c r="C1127" s="139">
        <v>46279</v>
      </c>
      <c r="D1127" s="139" t="s">
        <v>516</v>
      </c>
      <c r="E1127" s="28">
        <v>0.91860896000000003</v>
      </c>
      <c r="F1127" s="13"/>
      <c r="G1127" s="18">
        <v>16005575.68</v>
      </c>
      <c r="H1127" s="18">
        <v>14702865.25</v>
      </c>
      <c r="I1127" s="18">
        <v>16005575.68</v>
      </c>
      <c r="J1127" s="18">
        <v>14702865.25</v>
      </c>
      <c r="K1127" s="15">
        <v>30719</v>
      </c>
      <c r="L1127" s="13" t="s">
        <v>102</v>
      </c>
      <c r="M1127" s="13" t="s">
        <v>103</v>
      </c>
      <c r="N1127" s="139" t="s">
        <v>514</v>
      </c>
      <c r="O1127" s="139" t="s">
        <v>514</v>
      </c>
      <c r="P1127" s="28">
        <v>33</v>
      </c>
      <c r="Q1127" s="13" t="s">
        <v>54</v>
      </c>
      <c r="R1127" s="13" t="s">
        <v>28</v>
      </c>
      <c r="S1127" s="13"/>
      <c r="T1127" s="13"/>
      <c r="U1127" s="13" t="s">
        <v>1676</v>
      </c>
      <c r="V1127" s="13" t="s">
        <v>1676</v>
      </c>
      <c r="W1127" s="59">
        <f>+J1127/$W$2</f>
        <v>3.3027647441062044E-4</v>
      </c>
    </row>
    <row r="1128" spans="1:29">
      <c r="A1128" s="13" t="s">
        <v>819</v>
      </c>
      <c r="B1128" s="13" t="s">
        <v>538</v>
      </c>
      <c r="C1128" s="139">
        <v>46279</v>
      </c>
      <c r="D1128" s="139" t="s">
        <v>516</v>
      </c>
      <c r="E1128" s="28">
        <v>0.93007848000000004</v>
      </c>
      <c r="F1128" s="13"/>
      <c r="G1128" s="18">
        <v>10000000</v>
      </c>
      <c r="H1128" s="18">
        <v>9300784.8300000001</v>
      </c>
      <c r="I1128" s="18">
        <v>10000000</v>
      </c>
      <c r="J1128" s="18">
        <v>9300784.8300000001</v>
      </c>
      <c r="K1128" s="15">
        <v>360563</v>
      </c>
      <c r="L1128" s="13" t="s">
        <v>102</v>
      </c>
      <c r="M1128" s="13" t="s">
        <v>103</v>
      </c>
      <c r="N1128" s="139" t="s">
        <v>366</v>
      </c>
      <c r="O1128" s="139" t="s">
        <v>366</v>
      </c>
      <c r="P1128" s="28">
        <v>28</v>
      </c>
      <c r="Q1128" s="13" t="s">
        <v>54</v>
      </c>
      <c r="R1128" s="13" t="s">
        <v>28</v>
      </c>
      <c r="S1128" s="13"/>
      <c r="T1128" s="13"/>
      <c r="U1128" s="13" t="s">
        <v>1007</v>
      </c>
      <c r="V1128" s="13" t="s">
        <v>1007</v>
      </c>
      <c r="W1128" s="59">
        <f>+J1128/$W$2</f>
        <v>2.089273329158874E-4</v>
      </c>
    </row>
    <row r="1129" spans="1:29">
      <c r="A1129" s="13" t="s">
        <v>2044</v>
      </c>
      <c r="B1129" s="13" t="s">
        <v>538</v>
      </c>
      <c r="C1129" s="139">
        <v>46280</v>
      </c>
      <c r="D1129" s="139" t="s">
        <v>516</v>
      </c>
      <c r="E1129" s="28">
        <v>0.92013734000000003</v>
      </c>
      <c r="F1129" s="13"/>
      <c r="G1129" s="18">
        <v>1000000</v>
      </c>
      <c r="H1129" s="18">
        <v>920137.34</v>
      </c>
      <c r="I1129" s="18">
        <v>1000000</v>
      </c>
      <c r="J1129" s="18">
        <v>920137.34</v>
      </c>
      <c r="K1129" s="15">
        <v>67381897</v>
      </c>
      <c r="L1129" s="13" t="s">
        <v>102</v>
      </c>
      <c r="M1129" s="13" t="s">
        <v>103</v>
      </c>
      <c r="N1129" s="139" t="s">
        <v>394</v>
      </c>
      <c r="O1129" s="139" t="s">
        <v>394</v>
      </c>
      <c r="P1129" s="28">
        <v>32</v>
      </c>
      <c r="Q1129" s="13" t="s">
        <v>54</v>
      </c>
      <c r="R1129" s="13" t="s">
        <v>28</v>
      </c>
      <c r="S1129" s="13"/>
      <c r="T1129" s="13"/>
      <c r="U1129" s="13" t="s">
        <v>2046</v>
      </c>
      <c r="V1129" s="13" t="s">
        <v>2046</v>
      </c>
      <c r="W1129" s="59">
        <f>+J1129/$W$2</f>
        <v>2.0669421331244695E-5</v>
      </c>
    </row>
    <row r="1130" spans="1:29">
      <c r="A1130" s="13" t="s">
        <v>821</v>
      </c>
      <c r="B1130" s="13" t="s">
        <v>538</v>
      </c>
      <c r="C1130" s="139">
        <v>46280</v>
      </c>
      <c r="D1130" s="139" t="s">
        <v>516</v>
      </c>
      <c r="E1130" s="28">
        <v>0.90212563000000001</v>
      </c>
      <c r="F1130" s="13"/>
      <c r="G1130" s="18">
        <v>9975100.8000000007</v>
      </c>
      <c r="H1130" s="18">
        <v>8998794.1099999994</v>
      </c>
      <c r="I1130" s="18">
        <v>9975100.8000000007</v>
      </c>
      <c r="J1130" s="18">
        <v>8998794.1099999994</v>
      </c>
      <c r="K1130" s="15">
        <v>1179209</v>
      </c>
      <c r="L1130" s="13" t="s">
        <v>102</v>
      </c>
      <c r="M1130" s="13" t="s">
        <v>103</v>
      </c>
      <c r="N1130" s="139" t="s">
        <v>364</v>
      </c>
      <c r="O1130" s="139" t="s">
        <v>364</v>
      </c>
      <c r="P1130" s="28">
        <v>40</v>
      </c>
      <c r="Q1130" s="13" t="s">
        <v>54</v>
      </c>
      <c r="R1130" s="13" t="s">
        <v>28</v>
      </c>
      <c r="S1130" s="13"/>
      <c r="T1130" s="13"/>
      <c r="U1130" s="13" t="s">
        <v>800</v>
      </c>
      <c r="V1130" s="13" t="s">
        <v>800</v>
      </c>
      <c r="W1130" s="59">
        <f>+J1130/$W$2</f>
        <v>2.0214359188239564E-4</v>
      </c>
    </row>
    <row r="1131" spans="1:29">
      <c r="A1131" s="13" t="s">
        <v>590</v>
      </c>
      <c r="B1131" s="13" t="s">
        <v>538</v>
      </c>
      <c r="C1131" s="139">
        <v>46280</v>
      </c>
      <c r="D1131" s="139" t="s">
        <v>516</v>
      </c>
      <c r="E1131" s="28">
        <v>0.92013734000000003</v>
      </c>
      <c r="F1131" s="13"/>
      <c r="G1131" s="18">
        <v>15355310.449999999</v>
      </c>
      <c r="H1131" s="18">
        <v>14128994.52</v>
      </c>
      <c r="I1131" s="18">
        <v>15355310.449999999</v>
      </c>
      <c r="J1131" s="18">
        <v>14128994.52</v>
      </c>
      <c r="K1131" s="15">
        <v>30744</v>
      </c>
      <c r="L1131" s="13" t="s">
        <v>102</v>
      </c>
      <c r="M1131" s="13" t="s">
        <v>103</v>
      </c>
      <c r="N1131" s="139" t="s">
        <v>394</v>
      </c>
      <c r="O1131" s="139" t="s">
        <v>394</v>
      </c>
      <c r="P1131" s="28">
        <v>32</v>
      </c>
      <c r="Q1131" s="13" t="s">
        <v>54</v>
      </c>
      <c r="R1131" s="13" t="s">
        <v>28</v>
      </c>
      <c r="S1131" s="13"/>
      <c r="T1131" s="13"/>
      <c r="U1131" s="13" t="s">
        <v>1984</v>
      </c>
      <c r="V1131" s="13" t="s">
        <v>1984</v>
      </c>
      <c r="W1131" s="59">
        <f>+J1131/$W$2</f>
        <v>3.1738538153524713E-4</v>
      </c>
    </row>
    <row r="1132" spans="1:29">
      <c r="A1132" s="13" t="s">
        <v>1492</v>
      </c>
      <c r="B1132" s="13" t="s">
        <v>538</v>
      </c>
      <c r="C1132" s="139">
        <v>46280</v>
      </c>
      <c r="D1132" s="139" t="s">
        <v>516</v>
      </c>
      <c r="E1132" s="28">
        <v>0.93176431000000004</v>
      </c>
      <c r="F1132" s="13"/>
      <c r="G1132" s="18">
        <v>150000000</v>
      </c>
      <c r="H1132" s="18">
        <v>139764646.88</v>
      </c>
      <c r="I1132" s="18">
        <v>150000000</v>
      </c>
      <c r="J1132" s="18">
        <v>139764646.88</v>
      </c>
      <c r="K1132" s="15">
        <v>67980</v>
      </c>
      <c r="L1132" s="13" t="s">
        <v>102</v>
      </c>
      <c r="M1132" s="13" t="s">
        <v>103</v>
      </c>
      <c r="N1132" s="139" t="s">
        <v>367</v>
      </c>
      <c r="O1132" s="139" t="s">
        <v>367</v>
      </c>
      <c r="P1132" s="28">
        <v>27</v>
      </c>
      <c r="Q1132" s="13" t="s">
        <v>54</v>
      </c>
      <c r="R1132" s="13" t="s">
        <v>28</v>
      </c>
      <c r="S1132" s="13"/>
      <c r="T1132" s="13"/>
      <c r="U1132" s="13" t="s">
        <v>1474</v>
      </c>
      <c r="V1132" s="13" t="s">
        <v>1474</v>
      </c>
      <c r="W1132" s="59">
        <f>+J1132/$W$2</f>
        <v>3.139590415464885E-3</v>
      </c>
      <c r="AC1132" s="56"/>
    </row>
    <row r="1133" spans="1:29">
      <c r="A1133" s="13" t="s">
        <v>590</v>
      </c>
      <c r="B1133" s="13" t="s">
        <v>538</v>
      </c>
      <c r="C1133" s="139">
        <v>46280</v>
      </c>
      <c r="D1133" s="139" t="s">
        <v>516</v>
      </c>
      <c r="E1133" s="28">
        <v>0.91784659999999996</v>
      </c>
      <c r="F1133" s="13"/>
      <c r="G1133" s="18">
        <v>16005575.68</v>
      </c>
      <c r="H1133" s="18">
        <v>14690663.25</v>
      </c>
      <c r="I1133" s="18">
        <v>16005575.68</v>
      </c>
      <c r="J1133" s="18">
        <v>14690663.25</v>
      </c>
      <c r="K1133" s="15">
        <v>30720</v>
      </c>
      <c r="L1133" s="13" t="s">
        <v>102</v>
      </c>
      <c r="M1133" s="13" t="s">
        <v>103</v>
      </c>
      <c r="N1133" s="139" t="s">
        <v>514</v>
      </c>
      <c r="O1133" s="139" t="s">
        <v>514</v>
      </c>
      <c r="P1133" s="28">
        <v>33</v>
      </c>
      <c r="Q1133" s="13" t="s">
        <v>54</v>
      </c>
      <c r="R1133" s="13" t="s">
        <v>28</v>
      </c>
      <c r="S1133" s="13"/>
      <c r="T1133" s="13"/>
      <c r="U1133" s="13" t="s">
        <v>1675</v>
      </c>
      <c r="V1133" s="13" t="s">
        <v>1675</v>
      </c>
      <c r="W1133" s="59">
        <f>+J1133/$W$2</f>
        <v>3.3000237589497512E-4</v>
      </c>
    </row>
    <row r="1134" spans="1:29">
      <c r="A1134" s="13" t="s">
        <v>198</v>
      </c>
      <c r="B1134" s="13" t="s">
        <v>538</v>
      </c>
      <c r="C1134" s="139">
        <v>46280</v>
      </c>
      <c r="D1134" s="139" t="s">
        <v>516</v>
      </c>
      <c r="E1134" s="28">
        <v>0.92707837999999998</v>
      </c>
      <c r="F1134" s="13"/>
      <c r="G1134" s="18">
        <v>42000000</v>
      </c>
      <c r="H1134" s="18">
        <v>38937292</v>
      </c>
      <c r="I1134" s="18">
        <v>42000000</v>
      </c>
      <c r="J1134" s="18">
        <v>38937292</v>
      </c>
      <c r="K1134" s="15">
        <v>7579</v>
      </c>
      <c r="L1134" s="13" t="s">
        <v>102</v>
      </c>
      <c r="M1134" s="13" t="s">
        <v>103</v>
      </c>
      <c r="N1134" s="139" t="s">
        <v>428</v>
      </c>
      <c r="O1134" s="139" t="s">
        <v>428</v>
      </c>
      <c r="P1134" s="28">
        <v>29</v>
      </c>
      <c r="Q1134" s="13" t="s">
        <v>54</v>
      </c>
      <c r="R1134" s="13" t="s">
        <v>28</v>
      </c>
      <c r="S1134" s="13"/>
      <c r="T1134" s="13"/>
      <c r="U1134" s="13" t="s">
        <v>938</v>
      </c>
      <c r="V1134" s="13" t="s">
        <v>938</v>
      </c>
      <c r="W1134" s="59">
        <f>+J1134/$W$2</f>
        <v>8.7466431244460029E-4</v>
      </c>
    </row>
    <row r="1135" spans="1:29">
      <c r="A1135" s="13" t="s">
        <v>923</v>
      </c>
      <c r="B1135" s="13" t="s">
        <v>538</v>
      </c>
      <c r="C1135" s="139">
        <v>46281</v>
      </c>
      <c r="D1135" s="139" t="s">
        <v>516</v>
      </c>
      <c r="E1135" s="28">
        <v>0.92875322999999999</v>
      </c>
      <c r="F1135" s="13"/>
      <c r="G1135" s="18">
        <v>10000000</v>
      </c>
      <c r="H1135" s="18">
        <v>9287532.3300000001</v>
      </c>
      <c r="I1135" s="18">
        <v>10000000</v>
      </c>
      <c r="J1135" s="18">
        <v>9287532.3300000001</v>
      </c>
      <c r="K1135" s="15">
        <v>3487822</v>
      </c>
      <c r="L1135" s="13" t="s">
        <v>102</v>
      </c>
      <c r="M1135" s="13" t="s">
        <v>103</v>
      </c>
      <c r="N1135" s="139" t="s">
        <v>343</v>
      </c>
      <c r="O1135" s="139" t="s">
        <v>343</v>
      </c>
      <c r="P1135" s="28">
        <v>28</v>
      </c>
      <c r="Q1135" s="13" t="s">
        <v>54</v>
      </c>
      <c r="R1135" s="13" t="s">
        <v>28</v>
      </c>
      <c r="S1135" s="13"/>
      <c r="T1135" s="13"/>
      <c r="U1135" s="13" t="s">
        <v>1413</v>
      </c>
      <c r="V1135" s="13" t="s">
        <v>1413</v>
      </c>
      <c r="W1135" s="59">
        <f>+J1135/$W$2</f>
        <v>2.0862963658917129E-4</v>
      </c>
      <c r="AC1135" s="56"/>
    </row>
    <row r="1136" spans="1:29">
      <c r="A1136" s="13" t="s">
        <v>923</v>
      </c>
      <c r="B1136" s="13" t="s">
        <v>538</v>
      </c>
      <c r="C1136" s="139">
        <v>46281</v>
      </c>
      <c r="D1136" s="139" t="s">
        <v>516</v>
      </c>
      <c r="E1136" s="28">
        <v>0.93350401000000005</v>
      </c>
      <c r="F1136" s="13"/>
      <c r="G1136" s="18">
        <v>9000000</v>
      </c>
      <c r="H1136" s="18">
        <v>8401536.1199999992</v>
      </c>
      <c r="I1136" s="18">
        <v>9000000</v>
      </c>
      <c r="J1136" s="18">
        <v>8401536.1199999992</v>
      </c>
      <c r="K1136" s="15">
        <v>3385281</v>
      </c>
      <c r="L1136" s="13" t="s">
        <v>102</v>
      </c>
      <c r="M1136" s="13" t="s">
        <v>103</v>
      </c>
      <c r="N1136" s="139" t="s">
        <v>335</v>
      </c>
      <c r="O1136" s="139" t="s">
        <v>335</v>
      </c>
      <c r="P1136" s="28">
        <v>26</v>
      </c>
      <c r="Q1136" s="13" t="s">
        <v>54</v>
      </c>
      <c r="R1136" s="13" t="s">
        <v>28</v>
      </c>
      <c r="S1136" s="13"/>
      <c r="T1136" s="13"/>
      <c r="U1136" s="13" t="s">
        <v>1731</v>
      </c>
      <c r="V1136" s="13" t="s">
        <v>1731</v>
      </c>
      <c r="W1136" s="59">
        <f>+J1136/$W$2</f>
        <v>1.8872714142211723E-4</v>
      </c>
    </row>
    <row r="1137" spans="1:29">
      <c r="A1137" s="13" t="s">
        <v>1554</v>
      </c>
      <c r="B1137" s="13" t="s">
        <v>538</v>
      </c>
      <c r="C1137" s="139">
        <v>46281</v>
      </c>
      <c r="D1137" s="139" t="s">
        <v>516</v>
      </c>
      <c r="E1137" s="28">
        <v>0.90346534999999994</v>
      </c>
      <c r="F1137" s="13"/>
      <c r="G1137" s="18">
        <v>12825509.390000001</v>
      </c>
      <c r="H1137" s="18">
        <v>11587403.369999999</v>
      </c>
      <c r="I1137" s="18">
        <v>12825509.390000001</v>
      </c>
      <c r="J1137" s="18">
        <v>11587403.369999999</v>
      </c>
      <c r="K1137" s="15">
        <v>53243196</v>
      </c>
      <c r="L1137" s="13" t="s">
        <v>102</v>
      </c>
      <c r="M1137" s="13" t="s">
        <v>103</v>
      </c>
      <c r="N1137" s="139" t="s">
        <v>471</v>
      </c>
      <c r="O1137" s="139" t="s">
        <v>471</v>
      </c>
      <c r="P1137" s="28">
        <v>39</v>
      </c>
      <c r="Q1137" s="13" t="s">
        <v>54</v>
      </c>
      <c r="R1137" s="13" t="s">
        <v>28</v>
      </c>
      <c r="S1137" s="13"/>
      <c r="T1137" s="13"/>
      <c r="U1137" s="13" t="s">
        <v>1544</v>
      </c>
      <c r="V1137" s="13" t="s">
        <v>1544</v>
      </c>
      <c r="W1137" s="59">
        <f>+J1137/$W$2</f>
        <v>2.6029258022461588E-4</v>
      </c>
    </row>
    <row r="1138" spans="1:29">
      <c r="A1138" s="13" t="s">
        <v>1693</v>
      </c>
      <c r="B1138" s="13" t="s">
        <v>538</v>
      </c>
      <c r="C1138" s="139">
        <v>46281</v>
      </c>
      <c r="D1138" s="139" t="s">
        <v>516</v>
      </c>
      <c r="E1138" s="28">
        <v>0.91708551000000005</v>
      </c>
      <c r="F1138" s="13"/>
      <c r="G1138" s="18">
        <v>3424300</v>
      </c>
      <c r="H1138" s="18">
        <v>3140375.9</v>
      </c>
      <c r="I1138" s="18">
        <v>3424300</v>
      </c>
      <c r="J1138" s="18">
        <v>3140375.9</v>
      </c>
      <c r="K1138" s="15">
        <v>1391</v>
      </c>
      <c r="L1138" s="13" t="s">
        <v>102</v>
      </c>
      <c r="M1138" s="13" t="s">
        <v>103</v>
      </c>
      <c r="N1138" s="139" t="s">
        <v>514</v>
      </c>
      <c r="O1138" s="139" t="s">
        <v>514</v>
      </c>
      <c r="P1138" s="28">
        <v>33</v>
      </c>
      <c r="Q1138" s="13" t="s">
        <v>54</v>
      </c>
      <c r="R1138" s="13" t="s">
        <v>28</v>
      </c>
      <c r="S1138" s="13"/>
      <c r="T1138" s="13"/>
      <c r="U1138" s="13" t="s">
        <v>1694</v>
      </c>
      <c r="V1138" s="13" t="s">
        <v>1694</v>
      </c>
      <c r="W1138" s="59">
        <f>+J1138/$W$2</f>
        <v>7.0543548005112756E-5</v>
      </c>
    </row>
    <row r="1139" spans="1:29">
      <c r="A1139" s="13" t="s">
        <v>2038</v>
      </c>
      <c r="B1139" s="13" t="s">
        <v>538</v>
      </c>
      <c r="C1139" s="139">
        <v>46281</v>
      </c>
      <c r="D1139" s="139" t="s">
        <v>516</v>
      </c>
      <c r="E1139" s="28">
        <v>0.91939559999999998</v>
      </c>
      <c r="F1139" s="13"/>
      <c r="G1139" s="18">
        <v>13000000</v>
      </c>
      <c r="H1139" s="18">
        <v>11952142.77</v>
      </c>
      <c r="I1139" s="18">
        <v>13000000</v>
      </c>
      <c r="J1139" s="18">
        <v>11952142.77</v>
      </c>
      <c r="K1139" s="15">
        <v>547</v>
      </c>
      <c r="L1139" s="13" t="s">
        <v>102</v>
      </c>
      <c r="M1139" s="13" t="s">
        <v>103</v>
      </c>
      <c r="N1139" s="139" t="s">
        <v>394</v>
      </c>
      <c r="O1139" s="139" t="s">
        <v>394</v>
      </c>
      <c r="P1139" s="28">
        <v>32</v>
      </c>
      <c r="Q1139" s="13" t="s">
        <v>54</v>
      </c>
      <c r="R1139" s="13" t="s">
        <v>28</v>
      </c>
      <c r="S1139" s="13"/>
      <c r="T1139" s="13"/>
      <c r="U1139" s="13" t="s">
        <v>2040</v>
      </c>
      <c r="V1139" s="13" t="s">
        <v>2040</v>
      </c>
      <c r="W1139" s="59">
        <f>+J1139/$W$2</f>
        <v>2.6848587051615585E-4</v>
      </c>
    </row>
    <row r="1140" spans="1:29">
      <c r="A1140" s="13" t="s">
        <v>821</v>
      </c>
      <c r="B1140" s="13" t="s">
        <v>538</v>
      </c>
      <c r="C1140" s="139">
        <v>46281</v>
      </c>
      <c r="D1140" s="139" t="s">
        <v>516</v>
      </c>
      <c r="E1140" s="28">
        <v>0.90123458999999995</v>
      </c>
      <c r="F1140" s="13"/>
      <c r="G1140" s="18">
        <v>9974100</v>
      </c>
      <c r="H1140" s="18">
        <v>8989003.8800000008</v>
      </c>
      <c r="I1140" s="18">
        <v>9974100</v>
      </c>
      <c r="J1140" s="18">
        <v>8989003.8800000008</v>
      </c>
      <c r="K1140" s="15">
        <v>1179211</v>
      </c>
      <c r="L1140" s="13" t="s">
        <v>102</v>
      </c>
      <c r="M1140" s="13" t="s">
        <v>103</v>
      </c>
      <c r="N1140" s="139" t="s">
        <v>364</v>
      </c>
      <c r="O1140" s="139" t="s">
        <v>364</v>
      </c>
      <c r="P1140" s="28">
        <v>40</v>
      </c>
      <c r="Q1140" s="13" t="s">
        <v>54</v>
      </c>
      <c r="R1140" s="13" t="s">
        <v>28</v>
      </c>
      <c r="S1140" s="13"/>
      <c r="T1140" s="13"/>
      <c r="U1140" s="13" t="s">
        <v>794</v>
      </c>
      <c r="V1140" s="13" t="s">
        <v>794</v>
      </c>
      <c r="W1140" s="59">
        <f>+J1140/$W$2</f>
        <v>2.0192366994248201E-4</v>
      </c>
    </row>
    <row r="1141" spans="1:29">
      <c r="A1141" s="13" t="s">
        <v>821</v>
      </c>
      <c r="B1141" s="13" t="s">
        <v>538</v>
      </c>
      <c r="C1141" s="139">
        <v>46281</v>
      </c>
      <c r="D1141" s="139" t="s">
        <v>516</v>
      </c>
      <c r="E1141" s="28">
        <v>0.90123458999999995</v>
      </c>
      <c r="F1141" s="13"/>
      <c r="G1141" s="18">
        <v>9973400</v>
      </c>
      <c r="H1141" s="18">
        <v>8988373.0199999996</v>
      </c>
      <c r="I1141" s="18">
        <v>9973400</v>
      </c>
      <c r="J1141" s="18">
        <v>8988373.0199999996</v>
      </c>
      <c r="K1141" s="15">
        <v>1179210</v>
      </c>
      <c r="L1141" s="13" t="s">
        <v>102</v>
      </c>
      <c r="M1141" s="13" t="s">
        <v>103</v>
      </c>
      <c r="N1141" s="139" t="s">
        <v>364</v>
      </c>
      <c r="O1141" s="139" t="s">
        <v>364</v>
      </c>
      <c r="P1141" s="28">
        <v>40</v>
      </c>
      <c r="Q1141" s="13" t="s">
        <v>54</v>
      </c>
      <c r="R1141" s="13" t="s">
        <v>28</v>
      </c>
      <c r="S1141" s="13"/>
      <c r="T1141" s="13"/>
      <c r="U1141" s="13" t="s">
        <v>802</v>
      </c>
      <c r="V1141" s="13" t="s">
        <v>802</v>
      </c>
      <c r="W1141" s="59">
        <f>+J1141/$W$2</f>
        <v>2.0190949867633052E-4</v>
      </c>
    </row>
    <row r="1142" spans="1:29">
      <c r="A1142" s="13" t="s">
        <v>821</v>
      </c>
      <c r="B1142" s="13" t="s">
        <v>538</v>
      </c>
      <c r="C1142" s="139">
        <v>46281</v>
      </c>
      <c r="D1142" s="139" t="s">
        <v>516</v>
      </c>
      <c r="E1142" s="28">
        <v>0.90123458999999995</v>
      </c>
      <c r="F1142" s="13"/>
      <c r="G1142" s="18">
        <v>9973360.4700000007</v>
      </c>
      <c r="H1142" s="18">
        <v>8988337.3900000006</v>
      </c>
      <c r="I1142" s="18">
        <v>9973360.4700000007</v>
      </c>
      <c r="J1142" s="18">
        <v>8988337.3900000006</v>
      </c>
      <c r="K1142" s="15">
        <v>1179212</v>
      </c>
      <c r="L1142" s="13" t="s">
        <v>102</v>
      </c>
      <c r="M1142" s="13" t="s">
        <v>103</v>
      </c>
      <c r="N1142" s="139" t="s">
        <v>364</v>
      </c>
      <c r="O1142" s="139" t="s">
        <v>364</v>
      </c>
      <c r="P1142" s="28">
        <v>40</v>
      </c>
      <c r="Q1142" s="13" t="s">
        <v>54</v>
      </c>
      <c r="R1142" s="13" t="s">
        <v>28</v>
      </c>
      <c r="S1142" s="13"/>
      <c r="T1142" s="13"/>
      <c r="U1142" s="13" t="s">
        <v>807</v>
      </c>
      <c r="V1142" s="13" t="s">
        <v>807</v>
      </c>
      <c r="W1142" s="59">
        <f>+J1142/$W$2</f>
        <v>2.0190869830507071E-4</v>
      </c>
    </row>
    <row r="1143" spans="1:29">
      <c r="A1143" s="13" t="s">
        <v>539</v>
      </c>
      <c r="B1143" s="13" t="s">
        <v>538</v>
      </c>
      <c r="C1143" s="139">
        <v>46281</v>
      </c>
      <c r="D1143" s="139" t="s">
        <v>516</v>
      </c>
      <c r="E1143" s="28">
        <v>0.92405081</v>
      </c>
      <c r="F1143" s="13"/>
      <c r="G1143" s="18">
        <v>7500000</v>
      </c>
      <c r="H1143" s="18">
        <v>6930381.0999999996</v>
      </c>
      <c r="I1143" s="18">
        <v>7500000</v>
      </c>
      <c r="J1143" s="18">
        <v>6930381.0999999996</v>
      </c>
      <c r="K1143" s="15">
        <v>512</v>
      </c>
      <c r="L1143" s="13" t="s">
        <v>102</v>
      </c>
      <c r="M1143" s="13" t="s">
        <v>103</v>
      </c>
      <c r="N1143" s="139" t="s">
        <v>390</v>
      </c>
      <c r="O1143" s="139" t="s">
        <v>390</v>
      </c>
      <c r="P1143" s="28">
        <v>30</v>
      </c>
      <c r="Q1143" s="13" t="s">
        <v>54</v>
      </c>
      <c r="R1143" s="13" t="s">
        <v>28</v>
      </c>
      <c r="S1143" s="13"/>
      <c r="T1143" s="13"/>
      <c r="U1143" s="13" t="s">
        <v>1563</v>
      </c>
      <c r="V1143" s="13" t="s">
        <v>1563</v>
      </c>
      <c r="W1143" s="59">
        <f>+J1143/$W$2</f>
        <v>1.5567998462272497E-4</v>
      </c>
    </row>
    <row r="1144" spans="1:29">
      <c r="A1144" s="13" t="s">
        <v>539</v>
      </c>
      <c r="B1144" s="13" t="s">
        <v>538</v>
      </c>
      <c r="C1144" s="139">
        <v>46281</v>
      </c>
      <c r="D1144" s="139" t="s">
        <v>516</v>
      </c>
      <c r="E1144" s="28">
        <v>0.92405086000000003</v>
      </c>
      <c r="F1144" s="13"/>
      <c r="G1144" s="18">
        <v>10000000</v>
      </c>
      <c r="H1144" s="18">
        <v>9240508.6500000004</v>
      </c>
      <c r="I1144" s="18">
        <v>10000000</v>
      </c>
      <c r="J1144" s="18">
        <v>9240508.6500000004</v>
      </c>
      <c r="K1144" s="15">
        <v>579</v>
      </c>
      <c r="L1144" s="13" t="s">
        <v>102</v>
      </c>
      <c r="M1144" s="13" t="s">
        <v>103</v>
      </c>
      <c r="N1144" s="139" t="s">
        <v>175</v>
      </c>
      <c r="O1144" s="139" t="s">
        <v>175</v>
      </c>
      <c r="P1144" s="28">
        <v>30</v>
      </c>
      <c r="Q1144" s="13" t="s">
        <v>54</v>
      </c>
      <c r="R1144" s="13" t="s">
        <v>28</v>
      </c>
      <c r="S1144" s="13"/>
      <c r="T1144" s="13"/>
      <c r="U1144" s="13" t="s">
        <v>1875</v>
      </c>
      <c r="V1144" s="13" t="s">
        <v>1875</v>
      </c>
      <c r="W1144" s="59">
        <f>+J1144/$W$2</f>
        <v>2.0757332443639459E-4</v>
      </c>
    </row>
    <row r="1145" spans="1:29">
      <c r="A1145" s="13" t="s">
        <v>444</v>
      </c>
      <c r="B1145" s="13" t="s">
        <v>538</v>
      </c>
      <c r="C1145" s="139">
        <v>46281</v>
      </c>
      <c r="D1145" s="139" t="s">
        <v>516</v>
      </c>
      <c r="E1145" s="28">
        <v>0.91708564999999997</v>
      </c>
      <c r="F1145" s="13"/>
      <c r="G1145" s="18">
        <v>40000000</v>
      </c>
      <c r="H1145" s="18">
        <v>36683425.840000004</v>
      </c>
      <c r="I1145" s="18">
        <v>40000000</v>
      </c>
      <c r="J1145" s="18">
        <v>36683425.840000004</v>
      </c>
      <c r="K1145" s="15">
        <v>13662782</v>
      </c>
      <c r="L1145" s="13" t="s">
        <v>102</v>
      </c>
      <c r="M1145" s="13" t="s">
        <v>103</v>
      </c>
      <c r="N1145" s="139" t="s">
        <v>335</v>
      </c>
      <c r="O1145" s="139" t="s">
        <v>335</v>
      </c>
      <c r="P1145" s="28">
        <v>33</v>
      </c>
      <c r="Q1145" s="13" t="s">
        <v>54</v>
      </c>
      <c r="R1145" s="13" t="s">
        <v>28</v>
      </c>
      <c r="S1145" s="13"/>
      <c r="T1145" s="13"/>
      <c r="U1145" s="13" t="s">
        <v>1810</v>
      </c>
      <c r="V1145" s="13" t="s">
        <v>1810</v>
      </c>
      <c r="W1145" s="59">
        <f>+J1145/$W$2</f>
        <v>8.2403479524092451E-4</v>
      </c>
    </row>
    <row r="1146" spans="1:29">
      <c r="A1146" s="13" t="s">
        <v>444</v>
      </c>
      <c r="B1146" s="13" t="s">
        <v>538</v>
      </c>
      <c r="C1146" s="139">
        <v>46281</v>
      </c>
      <c r="D1146" s="139" t="s">
        <v>516</v>
      </c>
      <c r="E1146" s="28">
        <v>0.91939559999999998</v>
      </c>
      <c r="F1146" s="13"/>
      <c r="G1146" s="18">
        <v>10000000</v>
      </c>
      <c r="H1146" s="18">
        <v>9193955.9800000004</v>
      </c>
      <c r="I1146" s="18">
        <v>10000000</v>
      </c>
      <c r="J1146" s="18">
        <v>9193955.9800000004</v>
      </c>
      <c r="K1146" s="15">
        <v>13795877</v>
      </c>
      <c r="L1146" s="13" t="s">
        <v>102</v>
      </c>
      <c r="M1146" s="13" t="s">
        <v>103</v>
      </c>
      <c r="N1146" s="139" t="s">
        <v>394</v>
      </c>
      <c r="O1146" s="139" t="s">
        <v>394</v>
      </c>
      <c r="P1146" s="28">
        <v>32</v>
      </c>
      <c r="Q1146" s="13" t="s">
        <v>54</v>
      </c>
      <c r="R1146" s="13" t="s">
        <v>28</v>
      </c>
      <c r="S1146" s="13"/>
      <c r="T1146" s="13"/>
      <c r="U1146" s="13" t="s">
        <v>1988</v>
      </c>
      <c r="V1146" s="13" t="s">
        <v>1988</v>
      </c>
      <c r="W1146" s="59">
        <f>+J1146/$W$2</f>
        <v>2.0652759277385344E-4</v>
      </c>
    </row>
    <row r="1147" spans="1:29">
      <c r="A1147" s="13" t="s">
        <v>392</v>
      </c>
      <c r="B1147" s="13" t="s">
        <v>538</v>
      </c>
      <c r="C1147" s="139">
        <v>46281</v>
      </c>
      <c r="D1147" s="139" t="s">
        <v>516</v>
      </c>
      <c r="E1147" s="28">
        <v>0.91478705999999999</v>
      </c>
      <c r="F1147" s="13"/>
      <c r="G1147" s="18">
        <v>22500000</v>
      </c>
      <c r="H1147" s="18">
        <v>20582708.879999999</v>
      </c>
      <c r="I1147" s="18">
        <v>22500000</v>
      </c>
      <c r="J1147" s="18">
        <v>20582708.879999999</v>
      </c>
      <c r="K1147" s="15">
        <v>90000088</v>
      </c>
      <c r="L1147" s="13" t="s">
        <v>102</v>
      </c>
      <c r="M1147" s="13" t="s">
        <v>103</v>
      </c>
      <c r="N1147" s="139" t="s">
        <v>382</v>
      </c>
      <c r="O1147" s="139" t="s">
        <v>382</v>
      </c>
      <c r="P1147" s="28">
        <v>34</v>
      </c>
      <c r="Q1147" s="13" t="s">
        <v>54</v>
      </c>
      <c r="R1147" s="13" t="s">
        <v>28</v>
      </c>
      <c r="S1147" s="13"/>
      <c r="T1147" s="13"/>
      <c r="U1147" s="13" t="s">
        <v>1616</v>
      </c>
      <c r="V1147" s="13" t="s">
        <v>1616</v>
      </c>
      <c r="W1147" s="59">
        <f>+J1147/$W$2</f>
        <v>4.6235780625865223E-4</v>
      </c>
    </row>
    <row r="1148" spans="1:29">
      <c r="A1148" s="13" t="s">
        <v>590</v>
      </c>
      <c r="B1148" s="13" t="s">
        <v>538</v>
      </c>
      <c r="C1148" s="139">
        <v>46281</v>
      </c>
      <c r="D1148" s="139" t="s">
        <v>516</v>
      </c>
      <c r="E1148" s="28">
        <v>0.91708551000000005</v>
      </c>
      <c r="F1148" s="13"/>
      <c r="G1148" s="18">
        <v>16005575.68</v>
      </c>
      <c r="H1148" s="18">
        <v>14678481.460000001</v>
      </c>
      <c r="I1148" s="18">
        <v>16005575.68</v>
      </c>
      <c r="J1148" s="18">
        <v>14678481.460000001</v>
      </c>
      <c r="K1148" s="15">
        <v>30721</v>
      </c>
      <c r="L1148" s="13" t="s">
        <v>102</v>
      </c>
      <c r="M1148" s="13" t="s">
        <v>103</v>
      </c>
      <c r="N1148" s="139" t="s">
        <v>514</v>
      </c>
      <c r="O1148" s="139" t="s">
        <v>514</v>
      </c>
      <c r="P1148" s="28">
        <v>33</v>
      </c>
      <c r="Q1148" s="13" t="s">
        <v>54</v>
      </c>
      <c r="R1148" s="13" t="s">
        <v>28</v>
      </c>
      <c r="S1148" s="13"/>
      <c r="T1148" s="13"/>
      <c r="U1148" s="13" t="s">
        <v>1674</v>
      </c>
      <c r="V1148" s="13" t="s">
        <v>1674</v>
      </c>
      <c r="W1148" s="59">
        <f>+J1148/$W$2</f>
        <v>3.2972873136482406E-4</v>
      </c>
      <c r="AC1148" s="56"/>
    </row>
    <row r="1149" spans="1:29">
      <c r="A1149" s="13" t="s">
        <v>590</v>
      </c>
      <c r="B1149" s="13" t="s">
        <v>538</v>
      </c>
      <c r="C1149" s="139">
        <v>46281</v>
      </c>
      <c r="D1149" s="139" t="s">
        <v>516</v>
      </c>
      <c r="E1149" s="28">
        <v>0.91939559999999998</v>
      </c>
      <c r="F1149" s="13"/>
      <c r="G1149" s="18">
        <v>15355310.449999999</v>
      </c>
      <c r="H1149" s="18">
        <v>14117604.83</v>
      </c>
      <c r="I1149" s="18">
        <v>15355310.449999999</v>
      </c>
      <c r="J1149" s="18">
        <v>14117604.83</v>
      </c>
      <c r="K1149" s="15">
        <v>30745</v>
      </c>
      <c r="L1149" s="13" t="s">
        <v>102</v>
      </c>
      <c r="M1149" s="13" t="s">
        <v>103</v>
      </c>
      <c r="N1149" s="139" t="s">
        <v>394</v>
      </c>
      <c r="O1149" s="139" t="s">
        <v>394</v>
      </c>
      <c r="P1149" s="28">
        <v>32</v>
      </c>
      <c r="Q1149" s="13" t="s">
        <v>54</v>
      </c>
      <c r="R1149" s="13" t="s">
        <v>28</v>
      </c>
      <c r="S1149" s="13"/>
      <c r="T1149" s="13"/>
      <c r="U1149" s="13" t="s">
        <v>1998</v>
      </c>
      <c r="V1149" s="13" t="s">
        <v>1998</v>
      </c>
      <c r="W1149" s="59">
        <f>+J1149/$W$2</f>
        <v>3.1712953027130184E-4</v>
      </c>
    </row>
    <row r="1150" spans="1:29">
      <c r="A1150" s="13" t="s">
        <v>819</v>
      </c>
      <c r="B1150" s="13" t="s">
        <v>538</v>
      </c>
      <c r="C1150" s="139">
        <v>46281</v>
      </c>
      <c r="D1150" s="139" t="s">
        <v>516</v>
      </c>
      <c r="E1150" s="28">
        <v>0.92875324999999997</v>
      </c>
      <c r="F1150" s="13"/>
      <c r="G1150" s="18">
        <v>10000000</v>
      </c>
      <c r="H1150" s="18">
        <v>9287532.5399999991</v>
      </c>
      <c r="I1150" s="18">
        <v>10000000</v>
      </c>
      <c r="J1150" s="18">
        <v>9287532.5399999991</v>
      </c>
      <c r="K1150" s="15">
        <v>360564</v>
      </c>
      <c r="L1150" s="13" t="s">
        <v>102</v>
      </c>
      <c r="M1150" s="13" t="s">
        <v>103</v>
      </c>
      <c r="N1150" s="139" t="s">
        <v>366</v>
      </c>
      <c r="O1150" s="139" t="s">
        <v>366</v>
      </c>
      <c r="P1150" s="28">
        <v>28</v>
      </c>
      <c r="Q1150" s="13" t="s">
        <v>54</v>
      </c>
      <c r="R1150" s="13" t="s">
        <v>28</v>
      </c>
      <c r="S1150" s="13"/>
      <c r="T1150" s="13"/>
      <c r="U1150" s="13" t="s">
        <v>1009</v>
      </c>
      <c r="V1150" s="13" t="s">
        <v>1009</v>
      </c>
      <c r="W1150" s="59">
        <f>+J1150/$W$2</f>
        <v>2.0862964130648713E-4</v>
      </c>
    </row>
    <row r="1151" spans="1:29">
      <c r="A1151" s="13" t="s">
        <v>261</v>
      </c>
      <c r="B1151" s="13" t="s">
        <v>538</v>
      </c>
      <c r="C1151" s="139">
        <v>46282</v>
      </c>
      <c r="D1151" s="139" t="s">
        <v>516</v>
      </c>
      <c r="E1151" s="28">
        <v>0.91865505000000003</v>
      </c>
      <c r="F1151" s="13"/>
      <c r="G1151" s="18">
        <v>50000000</v>
      </c>
      <c r="H1151" s="18">
        <v>45932752.460000001</v>
      </c>
      <c r="I1151" s="18">
        <v>50000000</v>
      </c>
      <c r="J1151" s="18">
        <v>45932752.460000001</v>
      </c>
      <c r="K1151" s="15">
        <v>4775</v>
      </c>
      <c r="L1151" s="13" t="s">
        <v>102</v>
      </c>
      <c r="M1151" s="13" t="s">
        <v>103</v>
      </c>
      <c r="N1151" s="139" t="s">
        <v>394</v>
      </c>
      <c r="O1151" s="139" t="s">
        <v>394</v>
      </c>
      <c r="P1151" s="28">
        <v>32</v>
      </c>
      <c r="Q1151" s="13" t="s">
        <v>54</v>
      </c>
      <c r="R1151" s="13" t="s">
        <v>28</v>
      </c>
      <c r="S1151" s="13"/>
      <c r="T1151" s="13"/>
      <c r="U1151" s="13" t="s">
        <v>2022</v>
      </c>
      <c r="V1151" s="13" t="s">
        <v>2022</v>
      </c>
      <c r="W1151" s="59">
        <f>+J1151/$W$2</f>
        <v>1.0318062013432759E-3</v>
      </c>
    </row>
    <row r="1152" spans="1:29">
      <c r="A1152" s="13" t="s">
        <v>550</v>
      </c>
      <c r="B1152" s="13" t="s">
        <v>538</v>
      </c>
      <c r="C1152" s="139">
        <v>46282</v>
      </c>
      <c r="D1152" s="139" t="s">
        <v>516</v>
      </c>
      <c r="E1152" s="28">
        <v>0.91632575000000005</v>
      </c>
      <c r="F1152" s="13"/>
      <c r="G1152" s="18">
        <v>12500000</v>
      </c>
      <c r="H1152" s="18">
        <v>11454071.91</v>
      </c>
      <c r="I1152" s="18">
        <v>12500000</v>
      </c>
      <c r="J1152" s="18">
        <v>11454071.91</v>
      </c>
      <c r="K1152" s="15">
        <v>1359</v>
      </c>
      <c r="L1152" s="13" t="s">
        <v>102</v>
      </c>
      <c r="M1152" s="13" t="s">
        <v>103</v>
      </c>
      <c r="N1152" s="139" t="s">
        <v>472</v>
      </c>
      <c r="O1152" s="139" t="s">
        <v>472</v>
      </c>
      <c r="P1152" s="28">
        <v>33</v>
      </c>
      <c r="Q1152" s="13" t="s">
        <v>54</v>
      </c>
      <c r="R1152" s="13" t="s">
        <v>28</v>
      </c>
      <c r="S1152" s="13"/>
      <c r="T1152" s="13"/>
      <c r="U1152" s="13" t="s">
        <v>1627</v>
      </c>
      <c r="V1152" s="13" t="s">
        <v>1627</v>
      </c>
      <c r="W1152" s="59">
        <f>+J1152/$W$2</f>
        <v>2.5729750111669705E-4</v>
      </c>
    </row>
    <row r="1153" spans="1:29">
      <c r="A1153" s="13" t="s">
        <v>401</v>
      </c>
      <c r="B1153" s="13" t="s">
        <v>538</v>
      </c>
      <c r="C1153" s="139">
        <v>46282</v>
      </c>
      <c r="D1153" s="139" t="s">
        <v>516</v>
      </c>
      <c r="E1153" s="28">
        <v>0.92334947999999994</v>
      </c>
      <c r="F1153" s="13"/>
      <c r="G1153" s="18">
        <v>100000000</v>
      </c>
      <c r="H1153" s="18">
        <v>92334947.760000005</v>
      </c>
      <c r="I1153" s="18">
        <v>100000000</v>
      </c>
      <c r="J1153" s="18">
        <v>92334947.760000005</v>
      </c>
      <c r="K1153" s="15">
        <v>6601</v>
      </c>
      <c r="L1153" s="13" t="s">
        <v>102</v>
      </c>
      <c r="M1153" s="13" t="s">
        <v>103</v>
      </c>
      <c r="N1153" s="139" t="s">
        <v>390</v>
      </c>
      <c r="O1153" s="139" t="s">
        <v>390</v>
      </c>
      <c r="P1153" s="28">
        <v>30</v>
      </c>
      <c r="Q1153" s="13" t="s">
        <v>54</v>
      </c>
      <c r="R1153" s="13" t="s">
        <v>28</v>
      </c>
      <c r="S1153" s="13"/>
      <c r="T1153" s="13"/>
      <c r="U1153" s="13" t="s">
        <v>1561</v>
      </c>
      <c r="V1153" s="13" t="s">
        <v>1561</v>
      </c>
      <c r="W1153" s="59">
        <f>+J1153/$W$2</f>
        <v>2.0741576891661726E-3</v>
      </c>
    </row>
    <row r="1154" spans="1:29">
      <c r="A1154" s="13" t="s">
        <v>1554</v>
      </c>
      <c r="B1154" s="13" t="s">
        <v>538</v>
      </c>
      <c r="C1154" s="139">
        <v>46282</v>
      </c>
      <c r="D1154" s="139" t="s">
        <v>516</v>
      </c>
      <c r="E1154" s="28">
        <v>0.90259422</v>
      </c>
      <c r="F1154" s="13"/>
      <c r="G1154" s="18">
        <v>12825509.390000001</v>
      </c>
      <c r="H1154" s="18">
        <v>11576230.699999999</v>
      </c>
      <c r="I1154" s="18">
        <v>12825509.390000001</v>
      </c>
      <c r="J1154" s="18">
        <v>11576230.699999999</v>
      </c>
      <c r="K1154" s="15">
        <v>53243197</v>
      </c>
      <c r="L1154" s="13" t="s">
        <v>102</v>
      </c>
      <c r="M1154" s="13" t="s">
        <v>103</v>
      </c>
      <c r="N1154" s="139" t="s">
        <v>471</v>
      </c>
      <c r="O1154" s="139" t="s">
        <v>471</v>
      </c>
      <c r="P1154" s="28">
        <v>39</v>
      </c>
      <c r="Q1154" s="13" t="s">
        <v>54</v>
      </c>
      <c r="R1154" s="13" t="s">
        <v>28</v>
      </c>
      <c r="S1154" s="13"/>
      <c r="T1154" s="13"/>
      <c r="U1154" s="13" t="s">
        <v>1545</v>
      </c>
      <c r="V1154" s="13" t="s">
        <v>1545</v>
      </c>
      <c r="W1154" s="59">
        <f>+J1154/$W$2</f>
        <v>2.6004160396967443E-4</v>
      </c>
      <c r="AC1154" s="56"/>
    </row>
    <row r="1155" spans="1:29">
      <c r="A1155" s="13" t="s">
        <v>2044</v>
      </c>
      <c r="B1155" s="13" t="s">
        <v>538</v>
      </c>
      <c r="C1155" s="139">
        <v>46282</v>
      </c>
      <c r="D1155" s="139" t="s">
        <v>516</v>
      </c>
      <c r="E1155" s="28">
        <v>0.91865505000000003</v>
      </c>
      <c r="F1155" s="13"/>
      <c r="G1155" s="18">
        <v>1000000</v>
      </c>
      <c r="H1155" s="18">
        <v>918655.05</v>
      </c>
      <c r="I1155" s="18">
        <v>1000000</v>
      </c>
      <c r="J1155" s="18">
        <v>918655.05</v>
      </c>
      <c r="K1155" s="15">
        <v>67381734</v>
      </c>
      <c r="L1155" s="13" t="s">
        <v>102</v>
      </c>
      <c r="M1155" s="13" t="s">
        <v>103</v>
      </c>
      <c r="N1155" s="139" t="s">
        <v>394</v>
      </c>
      <c r="O1155" s="139" t="s">
        <v>394</v>
      </c>
      <c r="P1155" s="28">
        <v>32</v>
      </c>
      <c r="Q1155" s="13" t="s">
        <v>54</v>
      </c>
      <c r="R1155" s="13" t="s">
        <v>28</v>
      </c>
      <c r="S1155" s="13"/>
      <c r="T1155" s="13"/>
      <c r="U1155" s="13" t="s">
        <v>2055</v>
      </c>
      <c r="V1155" s="13" t="s">
        <v>2055</v>
      </c>
      <c r="W1155" s="59">
        <f>+J1155/$W$2</f>
        <v>2.0636124044836245E-5</v>
      </c>
    </row>
    <row r="1156" spans="1:29">
      <c r="A1156" s="13" t="s">
        <v>821</v>
      </c>
      <c r="B1156" s="13" t="s">
        <v>538</v>
      </c>
      <c r="C1156" s="139">
        <v>46282</v>
      </c>
      <c r="D1156" s="139" t="s">
        <v>516</v>
      </c>
      <c r="E1156" s="28">
        <v>0.90034550999999996</v>
      </c>
      <c r="F1156" s="13"/>
      <c r="G1156" s="18">
        <v>9972899.9900000002</v>
      </c>
      <c r="H1156" s="18">
        <v>8979055.7100000009</v>
      </c>
      <c r="I1156" s="18">
        <v>9972899.9900000002</v>
      </c>
      <c r="J1156" s="18">
        <v>8979055.7100000009</v>
      </c>
      <c r="K1156" s="15">
        <v>1179213</v>
      </c>
      <c r="L1156" s="13" t="s">
        <v>102</v>
      </c>
      <c r="M1156" s="13" t="s">
        <v>103</v>
      </c>
      <c r="N1156" s="139" t="s">
        <v>364</v>
      </c>
      <c r="O1156" s="139" t="s">
        <v>364</v>
      </c>
      <c r="P1156" s="28">
        <v>40</v>
      </c>
      <c r="Q1156" s="13" t="s">
        <v>54</v>
      </c>
      <c r="R1156" s="13" t="s">
        <v>28</v>
      </c>
      <c r="S1156" s="13"/>
      <c r="T1156" s="13"/>
      <c r="U1156" s="13" t="s">
        <v>798</v>
      </c>
      <c r="V1156" s="13" t="s">
        <v>798</v>
      </c>
      <c r="W1156" s="59">
        <f>+J1156/$W$2</f>
        <v>2.0170020013176348E-4</v>
      </c>
      <c r="AC1156" s="56"/>
    </row>
    <row r="1157" spans="1:29">
      <c r="A1157" s="13" t="s">
        <v>597</v>
      </c>
      <c r="B1157" s="13" t="s">
        <v>538</v>
      </c>
      <c r="C1157" s="139">
        <v>46282</v>
      </c>
      <c r="D1157" s="139" t="s">
        <v>516</v>
      </c>
      <c r="E1157" s="28">
        <v>0.91170240000000002</v>
      </c>
      <c r="F1157" s="13"/>
      <c r="G1157" s="18">
        <v>1500000</v>
      </c>
      <c r="H1157" s="18">
        <v>1367553.6</v>
      </c>
      <c r="I1157" s="18">
        <v>1500000</v>
      </c>
      <c r="J1157" s="18">
        <v>1367553.6</v>
      </c>
      <c r="K1157" s="15">
        <v>3</v>
      </c>
      <c r="L1157" s="13" t="s">
        <v>102</v>
      </c>
      <c r="M1157" s="13" t="s">
        <v>103</v>
      </c>
      <c r="N1157" s="139" t="s">
        <v>431</v>
      </c>
      <c r="O1157" s="139" t="s">
        <v>431</v>
      </c>
      <c r="P1157" s="28">
        <v>35</v>
      </c>
      <c r="Q1157" s="13" t="s">
        <v>54</v>
      </c>
      <c r="R1157" s="13" t="s">
        <v>28</v>
      </c>
      <c r="S1157" s="13"/>
      <c r="T1157" s="13"/>
      <c r="U1157" s="13" t="s">
        <v>1172</v>
      </c>
      <c r="V1157" s="13" t="s">
        <v>1172</v>
      </c>
      <c r="W1157" s="59">
        <f>+J1157/$W$2</f>
        <v>3.071991573720992E-5</v>
      </c>
    </row>
    <row r="1158" spans="1:29">
      <c r="A1158" s="13" t="s">
        <v>313</v>
      </c>
      <c r="B1158" s="13" t="s">
        <v>538</v>
      </c>
      <c r="C1158" s="139">
        <v>46282</v>
      </c>
      <c r="D1158" s="139" t="s">
        <v>516</v>
      </c>
      <c r="E1158" s="28">
        <v>0.92099633999999997</v>
      </c>
      <c r="F1158" s="13"/>
      <c r="G1158" s="18">
        <v>16500000</v>
      </c>
      <c r="H1158" s="18">
        <v>15196439.65</v>
      </c>
      <c r="I1158" s="18">
        <v>16500000</v>
      </c>
      <c r="J1158" s="18">
        <v>15196439.65</v>
      </c>
      <c r="K1158" s="15">
        <v>28674</v>
      </c>
      <c r="L1158" s="13" t="s">
        <v>102</v>
      </c>
      <c r="M1158" s="13" t="s">
        <v>103</v>
      </c>
      <c r="N1158" s="139" t="s">
        <v>395</v>
      </c>
      <c r="O1158" s="139" t="s">
        <v>395</v>
      </c>
      <c r="P1158" s="28">
        <v>31</v>
      </c>
      <c r="Q1158" s="13" t="s">
        <v>54</v>
      </c>
      <c r="R1158" s="13" t="s">
        <v>28</v>
      </c>
      <c r="S1158" s="13"/>
      <c r="T1158" s="13"/>
      <c r="U1158" s="13" t="s">
        <v>1238</v>
      </c>
      <c r="V1158" s="13" t="s">
        <v>1238</v>
      </c>
      <c r="W1158" s="59">
        <f>+J1158/$W$2</f>
        <v>3.4136383799040549E-4</v>
      </c>
    </row>
    <row r="1159" spans="1:29">
      <c r="A1159" s="13" t="s">
        <v>365</v>
      </c>
      <c r="B1159" s="13" t="s">
        <v>538</v>
      </c>
      <c r="C1159" s="139">
        <v>46282</v>
      </c>
      <c r="D1159" s="139" t="s">
        <v>516</v>
      </c>
      <c r="E1159" s="28">
        <v>0.91632577000000004</v>
      </c>
      <c r="F1159" s="13"/>
      <c r="G1159" s="18">
        <v>10000000</v>
      </c>
      <c r="H1159" s="18">
        <v>9163257.6699999999</v>
      </c>
      <c r="I1159" s="18">
        <v>10000000</v>
      </c>
      <c r="J1159" s="18">
        <v>9163257.6699999999</v>
      </c>
      <c r="K1159" s="15">
        <v>327</v>
      </c>
      <c r="L1159" s="13" t="s">
        <v>102</v>
      </c>
      <c r="M1159" s="13" t="s">
        <v>103</v>
      </c>
      <c r="N1159" s="139" t="s">
        <v>383</v>
      </c>
      <c r="O1159" s="139" t="s">
        <v>383</v>
      </c>
      <c r="P1159" s="28">
        <v>33</v>
      </c>
      <c r="Q1159" s="13" t="s">
        <v>54</v>
      </c>
      <c r="R1159" s="13" t="s">
        <v>28</v>
      </c>
      <c r="S1159" s="13"/>
      <c r="T1159" s="13"/>
      <c r="U1159" s="13" t="s">
        <v>1539</v>
      </c>
      <c r="V1159" s="13" t="s">
        <v>1539</v>
      </c>
      <c r="W1159" s="59">
        <f>+J1159/$W$2</f>
        <v>2.0583800408316172E-4</v>
      </c>
      <c r="AC1159" s="56"/>
    </row>
    <row r="1160" spans="1:29">
      <c r="A1160" s="13" t="s">
        <v>706</v>
      </c>
      <c r="B1160" s="13" t="s">
        <v>538</v>
      </c>
      <c r="C1160" s="139">
        <v>46282</v>
      </c>
      <c r="D1160" s="139" t="s">
        <v>516</v>
      </c>
      <c r="E1160" s="28">
        <v>0.918655</v>
      </c>
      <c r="F1160" s="13"/>
      <c r="G1160" s="18">
        <v>3243208.42</v>
      </c>
      <c r="H1160" s="18">
        <v>2979389.63</v>
      </c>
      <c r="I1160" s="18">
        <v>3243208.42</v>
      </c>
      <c r="J1160" s="18">
        <v>2979389.63</v>
      </c>
      <c r="K1160" s="15">
        <v>143911</v>
      </c>
      <c r="L1160" s="13" t="s">
        <v>102</v>
      </c>
      <c r="M1160" s="13" t="s">
        <v>103</v>
      </c>
      <c r="N1160" s="139" t="s">
        <v>378</v>
      </c>
      <c r="O1160" s="139" t="s">
        <v>378</v>
      </c>
      <c r="P1160" s="28">
        <v>32</v>
      </c>
      <c r="Q1160" s="13" t="s">
        <v>54</v>
      </c>
      <c r="R1160" s="13" t="s">
        <v>28</v>
      </c>
      <c r="S1160" s="13"/>
      <c r="T1160" s="13"/>
      <c r="U1160" s="13" t="s">
        <v>828</v>
      </c>
      <c r="V1160" s="13" t="s">
        <v>828</v>
      </c>
      <c r="W1160" s="59">
        <f>+J1160/$W$2</f>
        <v>6.6927247591551107E-5</v>
      </c>
      <c r="AC1160" s="56"/>
    </row>
    <row r="1161" spans="1:29">
      <c r="A1161" s="13" t="s">
        <v>444</v>
      </c>
      <c r="B1161" s="13" t="s">
        <v>538</v>
      </c>
      <c r="C1161" s="139">
        <v>46282</v>
      </c>
      <c r="D1161" s="139" t="s">
        <v>516</v>
      </c>
      <c r="E1161" s="28">
        <v>0.91632581000000002</v>
      </c>
      <c r="F1161" s="13"/>
      <c r="G1161" s="18">
        <v>40000000</v>
      </c>
      <c r="H1161" s="18">
        <v>36653032.329999998</v>
      </c>
      <c r="I1161" s="18">
        <v>40000000</v>
      </c>
      <c r="J1161" s="18">
        <v>36653032.329999998</v>
      </c>
      <c r="K1161" s="15">
        <v>13662783</v>
      </c>
      <c r="L1161" s="13" t="s">
        <v>102</v>
      </c>
      <c r="M1161" s="13" t="s">
        <v>103</v>
      </c>
      <c r="N1161" s="139" t="s">
        <v>335</v>
      </c>
      <c r="O1161" s="139" t="s">
        <v>335</v>
      </c>
      <c r="P1161" s="28">
        <v>33</v>
      </c>
      <c r="Q1161" s="13" t="s">
        <v>54</v>
      </c>
      <c r="R1161" s="13" t="s">
        <v>28</v>
      </c>
      <c r="S1161" s="13"/>
      <c r="T1161" s="13"/>
      <c r="U1161" s="13" t="s">
        <v>1811</v>
      </c>
      <c r="V1161" s="13" t="s">
        <v>1811</v>
      </c>
      <c r="W1161" s="59">
        <f>+J1161/$W$2</f>
        <v>8.2335205339727159E-4</v>
      </c>
    </row>
    <row r="1162" spans="1:29">
      <c r="A1162" s="13" t="s">
        <v>444</v>
      </c>
      <c r="B1162" s="13" t="s">
        <v>538</v>
      </c>
      <c r="C1162" s="139">
        <v>46282</v>
      </c>
      <c r="D1162" s="139" t="s">
        <v>516</v>
      </c>
      <c r="E1162" s="28">
        <v>0.91865505000000003</v>
      </c>
      <c r="F1162" s="13"/>
      <c r="G1162" s="18">
        <v>10000000</v>
      </c>
      <c r="H1162" s="18">
        <v>9186550.4900000002</v>
      </c>
      <c r="I1162" s="18">
        <v>10000000</v>
      </c>
      <c r="J1162" s="18">
        <v>9186550.4900000002</v>
      </c>
      <c r="K1162" s="15">
        <v>13795878</v>
      </c>
      <c r="L1162" s="13" t="s">
        <v>102</v>
      </c>
      <c r="M1162" s="13" t="s">
        <v>103</v>
      </c>
      <c r="N1162" s="139" t="s">
        <v>394</v>
      </c>
      <c r="O1162" s="139" t="s">
        <v>394</v>
      </c>
      <c r="P1162" s="28">
        <v>32</v>
      </c>
      <c r="Q1162" s="13" t="s">
        <v>54</v>
      </c>
      <c r="R1162" s="13" t="s">
        <v>28</v>
      </c>
      <c r="S1162" s="13"/>
      <c r="T1162" s="13"/>
      <c r="U1162" s="13" t="s">
        <v>1989</v>
      </c>
      <c r="V1162" s="13" t="s">
        <v>1989</v>
      </c>
      <c r="W1162" s="59">
        <f>+J1162/$W$2</f>
        <v>2.0636124022372835E-4</v>
      </c>
    </row>
    <row r="1163" spans="1:29">
      <c r="A1163" s="13" t="s">
        <v>265</v>
      </c>
      <c r="B1163" s="13" t="s">
        <v>538</v>
      </c>
      <c r="C1163" s="139">
        <v>46282</v>
      </c>
      <c r="D1163" s="139" t="s">
        <v>516</v>
      </c>
      <c r="E1163" s="28">
        <v>0.91865514999999998</v>
      </c>
      <c r="F1163" s="13"/>
      <c r="G1163" s="18">
        <v>25000000</v>
      </c>
      <c r="H1163" s="18">
        <v>22966378.800000001</v>
      </c>
      <c r="I1163" s="18">
        <v>25000000</v>
      </c>
      <c r="J1163" s="18">
        <v>22966378.800000001</v>
      </c>
      <c r="K1163" s="15">
        <v>1215681</v>
      </c>
      <c r="L1163" s="13" t="s">
        <v>102</v>
      </c>
      <c r="M1163" s="13" t="s">
        <v>103</v>
      </c>
      <c r="N1163" s="139" t="s">
        <v>471</v>
      </c>
      <c r="O1163" s="139" t="s">
        <v>471</v>
      </c>
      <c r="P1163" s="28">
        <v>32</v>
      </c>
      <c r="Q1163" s="13" t="s">
        <v>54</v>
      </c>
      <c r="R1163" s="13" t="s">
        <v>28</v>
      </c>
      <c r="S1163" s="13"/>
      <c r="T1163" s="13"/>
      <c r="U1163" s="13" t="s">
        <v>1549</v>
      </c>
      <c r="V1163" s="13" t="s">
        <v>1549</v>
      </c>
      <c r="W1163" s="59">
        <f>+J1163/$W$2</f>
        <v>5.1590315840259883E-4</v>
      </c>
    </row>
    <row r="1164" spans="1:29">
      <c r="A1164" s="13" t="s">
        <v>590</v>
      </c>
      <c r="B1164" s="13" t="s">
        <v>538</v>
      </c>
      <c r="C1164" s="139">
        <v>46282</v>
      </c>
      <c r="D1164" s="139" t="s">
        <v>516</v>
      </c>
      <c r="E1164" s="28">
        <v>0.91632566999999998</v>
      </c>
      <c r="F1164" s="13"/>
      <c r="G1164" s="18">
        <v>16005575.68</v>
      </c>
      <c r="H1164" s="18">
        <v>14666319.84</v>
      </c>
      <c r="I1164" s="18">
        <v>16005575.68</v>
      </c>
      <c r="J1164" s="18">
        <v>14666319.84</v>
      </c>
      <c r="K1164" s="15">
        <v>30722</v>
      </c>
      <c r="L1164" s="13" t="s">
        <v>102</v>
      </c>
      <c r="M1164" s="13" t="s">
        <v>103</v>
      </c>
      <c r="N1164" s="139" t="s">
        <v>514</v>
      </c>
      <c r="O1164" s="139" t="s">
        <v>514</v>
      </c>
      <c r="P1164" s="28">
        <v>33</v>
      </c>
      <c r="Q1164" s="13" t="s">
        <v>54</v>
      </c>
      <c r="R1164" s="13" t="s">
        <v>28</v>
      </c>
      <c r="S1164" s="13"/>
      <c r="T1164" s="13"/>
      <c r="U1164" s="13" t="s">
        <v>1673</v>
      </c>
      <c r="V1164" s="13" t="s">
        <v>1673</v>
      </c>
      <c r="W1164" s="59">
        <f>+J1164/$W$2</f>
        <v>3.2945553992163093E-4</v>
      </c>
    </row>
    <row r="1165" spans="1:29">
      <c r="A1165" s="13" t="s">
        <v>590</v>
      </c>
      <c r="B1165" s="13" t="s">
        <v>538</v>
      </c>
      <c r="C1165" s="139">
        <v>46282</v>
      </c>
      <c r="D1165" s="139" t="s">
        <v>516</v>
      </c>
      <c r="E1165" s="28">
        <v>0.91865505000000003</v>
      </c>
      <c r="F1165" s="13"/>
      <c r="G1165" s="18">
        <v>15355310.449999999</v>
      </c>
      <c r="H1165" s="18">
        <v>14106233.48</v>
      </c>
      <c r="I1165" s="18">
        <v>15355310.449999999</v>
      </c>
      <c r="J1165" s="18">
        <v>14106233.48</v>
      </c>
      <c r="K1165" s="15">
        <v>30746</v>
      </c>
      <c r="L1165" s="13" t="s">
        <v>102</v>
      </c>
      <c r="M1165" s="13" t="s">
        <v>103</v>
      </c>
      <c r="N1165" s="139" t="s">
        <v>394</v>
      </c>
      <c r="O1165" s="139" t="s">
        <v>394</v>
      </c>
      <c r="P1165" s="28">
        <v>32</v>
      </c>
      <c r="Q1165" s="13" t="s">
        <v>54</v>
      </c>
      <c r="R1165" s="13" t="s">
        <v>28</v>
      </c>
      <c r="S1165" s="13"/>
      <c r="T1165" s="13"/>
      <c r="U1165" s="13" t="s">
        <v>1999</v>
      </c>
      <c r="V1165" s="13" t="s">
        <v>1999</v>
      </c>
      <c r="W1165" s="59">
        <f>+J1165/$W$2</f>
        <v>3.1687409098627616E-4</v>
      </c>
    </row>
    <row r="1166" spans="1:29">
      <c r="A1166" s="13" t="s">
        <v>539</v>
      </c>
      <c r="B1166" s="13" t="s">
        <v>538</v>
      </c>
      <c r="C1166" s="139">
        <v>46283</v>
      </c>
      <c r="D1166" s="139" t="s">
        <v>516</v>
      </c>
      <c r="E1166" s="28">
        <v>0.92264917000000002</v>
      </c>
      <c r="F1166" s="13"/>
      <c r="G1166" s="18">
        <v>10000000</v>
      </c>
      <c r="H1166" s="18">
        <v>9226491.7400000002</v>
      </c>
      <c r="I1166" s="18">
        <v>10000000</v>
      </c>
      <c r="J1166" s="18">
        <v>9226491.7400000002</v>
      </c>
      <c r="K1166" s="15">
        <v>569</v>
      </c>
      <c r="L1166" s="13" t="s">
        <v>102</v>
      </c>
      <c r="M1166" s="13" t="s">
        <v>103</v>
      </c>
      <c r="N1166" s="139" t="s">
        <v>389</v>
      </c>
      <c r="O1166" s="139" t="s">
        <v>389</v>
      </c>
      <c r="P1166" s="28">
        <v>30</v>
      </c>
      <c r="Q1166" s="13" t="s">
        <v>54</v>
      </c>
      <c r="R1166" s="13" t="s">
        <v>28</v>
      </c>
      <c r="S1166" s="13"/>
      <c r="T1166" s="13"/>
      <c r="U1166" s="13" t="s">
        <v>1845</v>
      </c>
      <c r="V1166" s="13" t="s">
        <v>1845</v>
      </c>
      <c r="W1166" s="59">
        <f>+J1166/$W$2</f>
        <v>2.0725845685526574E-4</v>
      </c>
    </row>
    <row r="1167" spans="1:29">
      <c r="A1167" s="13" t="s">
        <v>247</v>
      </c>
      <c r="B1167" s="13" t="s">
        <v>538</v>
      </c>
      <c r="C1167" s="139">
        <v>46283</v>
      </c>
      <c r="D1167" s="139" t="s">
        <v>516</v>
      </c>
      <c r="E1167" s="28">
        <v>0.91556727999999998</v>
      </c>
      <c r="F1167" s="13"/>
      <c r="G1167" s="18">
        <v>2500000</v>
      </c>
      <c r="H1167" s="18">
        <v>2288918.2000000002</v>
      </c>
      <c r="I1167" s="18">
        <v>2500000</v>
      </c>
      <c r="J1167" s="18">
        <v>2288918.2000000002</v>
      </c>
      <c r="K1167" s="15">
        <v>1200</v>
      </c>
      <c r="L1167" s="13" t="s">
        <v>102</v>
      </c>
      <c r="M1167" s="13" t="s">
        <v>103</v>
      </c>
      <c r="N1167" s="139" t="s">
        <v>163</v>
      </c>
      <c r="O1167" s="139" t="s">
        <v>163</v>
      </c>
      <c r="P1167" s="28">
        <v>33</v>
      </c>
      <c r="Q1167" s="13" t="s">
        <v>54</v>
      </c>
      <c r="R1167" s="13" t="s">
        <v>28</v>
      </c>
      <c r="S1167" s="13"/>
      <c r="T1167" s="13"/>
      <c r="U1167" s="13" t="s">
        <v>1593</v>
      </c>
      <c r="V1167" s="13" t="s">
        <v>1593</v>
      </c>
      <c r="W1167" s="59">
        <f>+J1167/$W$2</f>
        <v>5.1416905511686131E-5</v>
      </c>
    </row>
    <row r="1168" spans="1:29">
      <c r="A1168" s="13" t="s">
        <v>444</v>
      </c>
      <c r="B1168" s="13" t="s">
        <v>538</v>
      </c>
      <c r="C1168" s="139">
        <v>46283</v>
      </c>
      <c r="D1168" s="139" t="s">
        <v>516</v>
      </c>
      <c r="E1168" s="28">
        <v>0.91791595000000004</v>
      </c>
      <c r="F1168" s="13"/>
      <c r="G1168" s="18">
        <v>10000000</v>
      </c>
      <c r="H1168" s="18">
        <v>9179159.5199999996</v>
      </c>
      <c r="I1168" s="18">
        <v>10000000</v>
      </c>
      <c r="J1168" s="18">
        <v>9179159.5199999996</v>
      </c>
      <c r="K1168" s="15">
        <v>13795879</v>
      </c>
      <c r="L1168" s="13" t="s">
        <v>102</v>
      </c>
      <c r="M1168" s="13" t="s">
        <v>103</v>
      </c>
      <c r="N1168" s="139" t="s">
        <v>394</v>
      </c>
      <c r="O1168" s="139" t="s">
        <v>394</v>
      </c>
      <c r="P1168" s="28">
        <v>32</v>
      </c>
      <c r="Q1168" s="13" t="s">
        <v>54</v>
      </c>
      <c r="R1168" s="13" t="s">
        <v>28</v>
      </c>
      <c r="S1168" s="13"/>
      <c r="T1168" s="13"/>
      <c r="U1168" s="13" t="s">
        <v>1990</v>
      </c>
      <c r="V1168" s="13" t="s">
        <v>1990</v>
      </c>
      <c r="W1168" s="59">
        <f>+J1168/$W$2</f>
        <v>2.0619521384230077E-4</v>
      </c>
    </row>
    <row r="1169" spans="1:29">
      <c r="A1169" s="13" t="s">
        <v>209</v>
      </c>
      <c r="B1169" s="13" t="s">
        <v>538</v>
      </c>
      <c r="C1169" s="139">
        <v>46283</v>
      </c>
      <c r="D1169" s="139" t="s">
        <v>516</v>
      </c>
      <c r="E1169" s="28">
        <v>0.93226410999999998</v>
      </c>
      <c r="F1169" s="13"/>
      <c r="G1169" s="18">
        <v>215007207.40000001</v>
      </c>
      <c r="H1169" s="18">
        <v>200443503.03999999</v>
      </c>
      <c r="I1169" s="18">
        <v>215007207.40000001</v>
      </c>
      <c r="J1169" s="18">
        <v>200443503.03999999</v>
      </c>
      <c r="K1169" s="15">
        <v>568286</v>
      </c>
      <c r="L1169" s="13" t="s">
        <v>102</v>
      </c>
      <c r="M1169" s="13" t="s">
        <v>103</v>
      </c>
      <c r="N1169" s="139" t="s">
        <v>374</v>
      </c>
      <c r="O1169" s="139" t="s">
        <v>374</v>
      </c>
      <c r="P1169" s="28">
        <v>26</v>
      </c>
      <c r="Q1169" s="13" t="s">
        <v>54</v>
      </c>
      <c r="R1169" s="13" t="s">
        <v>28</v>
      </c>
      <c r="S1169" s="13"/>
      <c r="T1169" s="13"/>
      <c r="U1169" s="13" t="s">
        <v>1212</v>
      </c>
      <c r="V1169" s="13" t="s">
        <v>1212</v>
      </c>
      <c r="W1169" s="59">
        <f>+J1169/$W$2</f>
        <v>4.502644374202211E-3</v>
      </c>
    </row>
    <row r="1170" spans="1:29">
      <c r="A1170" s="13" t="s">
        <v>209</v>
      </c>
      <c r="B1170" s="13" t="s">
        <v>538</v>
      </c>
      <c r="C1170" s="139">
        <v>46283</v>
      </c>
      <c r="D1170" s="139" t="s">
        <v>516</v>
      </c>
      <c r="E1170" s="28">
        <v>0.93226410999999998</v>
      </c>
      <c r="F1170" s="13"/>
      <c r="G1170" s="18">
        <v>29857329.09</v>
      </c>
      <c r="H1170" s="18">
        <v>27834916.359999999</v>
      </c>
      <c r="I1170" s="18">
        <v>29857329.09</v>
      </c>
      <c r="J1170" s="18">
        <v>27834916.359999999</v>
      </c>
      <c r="K1170" s="15">
        <v>568285</v>
      </c>
      <c r="L1170" s="13" t="s">
        <v>102</v>
      </c>
      <c r="M1170" s="13" t="s">
        <v>103</v>
      </c>
      <c r="N1170" s="139" t="s">
        <v>374</v>
      </c>
      <c r="O1170" s="139" t="s">
        <v>374</v>
      </c>
      <c r="P1170" s="28">
        <v>26</v>
      </c>
      <c r="Q1170" s="13" t="s">
        <v>54</v>
      </c>
      <c r="R1170" s="13" t="s">
        <v>28</v>
      </c>
      <c r="S1170" s="13"/>
      <c r="T1170" s="13"/>
      <c r="U1170" s="13" t="s">
        <v>1213</v>
      </c>
      <c r="V1170" s="13" t="s">
        <v>1213</v>
      </c>
      <c r="W1170" s="59">
        <f>+J1170/$W$2</f>
        <v>6.2526710845665272E-4</v>
      </c>
    </row>
    <row r="1171" spans="1:29">
      <c r="A1171" s="13" t="s">
        <v>209</v>
      </c>
      <c r="B1171" s="13" t="s">
        <v>538</v>
      </c>
      <c r="C1171" s="139">
        <v>46283</v>
      </c>
      <c r="D1171" s="139" t="s">
        <v>516</v>
      </c>
      <c r="E1171" s="28">
        <v>0.93226410999999998</v>
      </c>
      <c r="F1171" s="13"/>
      <c r="G1171" s="18">
        <v>92806889.260000005</v>
      </c>
      <c r="H1171" s="18">
        <v>86520532.099999994</v>
      </c>
      <c r="I1171" s="18">
        <v>92806889.260000005</v>
      </c>
      <c r="J1171" s="18">
        <v>86520532.099999994</v>
      </c>
      <c r="K1171" s="15">
        <v>568306</v>
      </c>
      <c r="L1171" s="13" t="s">
        <v>102</v>
      </c>
      <c r="M1171" s="13" t="s">
        <v>103</v>
      </c>
      <c r="N1171" s="139" t="s">
        <v>374</v>
      </c>
      <c r="O1171" s="139" t="s">
        <v>374</v>
      </c>
      <c r="P1171" s="28">
        <v>26</v>
      </c>
      <c r="Q1171" s="13" t="s">
        <v>54</v>
      </c>
      <c r="R1171" s="13" t="s">
        <v>28</v>
      </c>
      <c r="S1171" s="13"/>
      <c r="T1171" s="13"/>
      <c r="U1171" s="13" t="s">
        <v>1214</v>
      </c>
      <c r="V1171" s="13" t="s">
        <v>1214</v>
      </c>
      <c r="W1171" s="59">
        <f>+J1171/$W$2</f>
        <v>1.9435460925630746E-3</v>
      </c>
    </row>
    <row r="1172" spans="1:29">
      <c r="A1172" s="13" t="s">
        <v>209</v>
      </c>
      <c r="B1172" s="13" t="s">
        <v>538</v>
      </c>
      <c r="C1172" s="139">
        <v>46283</v>
      </c>
      <c r="D1172" s="139" t="s">
        <v>516</v>
      </c>
      <c r="E1172" s="28">
        <v>0.93226410999999998</v>
      </c>
      <c r="F1172" s="13"/>
      <c r="G1172" s="18">
        <v>20411147.440000001</v>
      </c>
      <c r="H1172" s="18">
        <v>19028580.219999999</v>
      </c>
      <c r="I1172" s="18">
        <v>20411147.440000001</v>
      </c>
      <c r="J1172" s="18">
        <v>19028580.219999999</v>
      </c>
      <c r="K1172" s="15">
        <v>568296</v>
      </c>
      <c r="L1172" s="13" t="s">
        <v>102</v>
      </c>
      <c r="M1172" s="13" t="s">
        <v>103</v>
      </c>
      <c r="N1172" s="139" t="s">
        <v>374</v>
      </c>
      <c r="O1172" s="139" t="s">
        <v>374</v>
      </c>
      <c r="P1172" s="28">
        <v>26</v>
      </c>
      <c r="Q1172" s="13" t="s">
        <v>54</v>
      </c>
      <c r="R1172" s="13" t="s">
        <v>28</v>
      </c>
      <c r="S1172" s="13"/>
      <c r="T1172" s="13"/>
      <c r="U1172" s="13" t="s">
        <v>1215</v>
      </c>
      <c r="V1172" s="13" t="s">
        <v>1215</v>
      </c>
      <c r="W1172" s="59">
        <f>+J1172/$W$2</f>
        <v>4.2744677865433529E-4</v>
      </c>
    </row>
    <row r="1173" spans="1:29">
      <c r="A1173" s="13" t="s">
        <v>209</v>
      </c>
      <c r="B1173" s="13" t="s">
        <v>538</v>
      </c>
      <c r="C1173" s="139">
        <v>46283</v>
      </c>
      <c r="D1173" s="139" t="s">
        <v>516</v>
      </c>
      <c r="E1173" s="28">
        <v>0.93226410999999998</v>
      </c>
      <c r="F1173" s="13"/>
      <c r="G1173" s="18">
        <v>68728608.280000001</v>
      </c>
      <c r="H1173" s="18">
        <v>64073214.890000001</v>
      </c>
      <c r="I1173" s="18">
        <v>68728608.280000001</v>
      </c>
      <c r="J1173" s="18">
        <v>64073214.890000001</v>
      </c>
      <c r="K1173" s="15">
        <v>568281</v>
      </c>
      <c r="L1173" s="13" t="s">
        <v>102</v>
      </c>
      <c r="M1173" s="13" t="s">
        <v>103</v>
      </c>
      <c r="N1173" s="139" t="s">
        <v>374</v>
      </c>
      <c r="O1173" s="139" t="s">
        <v>374</v>
      </c>
      <c r="P1173" s="28">
        <v>26</v>
      </c>
      <c r="Q1173" s="13" t="s">
        <v>54</v>
      </c>
      <c r="R1173" s="13" t="s">
        <v>28</v>
      </c>
      <c r="S1173" s="13"/>
      <c r="T1173" s="13"/>
      <c r="U1173" s="13" t="s">
        <v>1220</v>
      </c>
      <c r="V1173" s="13" t="s">
        <v>1220</v>
      </c>
      <c r="W1173" s="59">
        <f>+J1173/$W$2</f>
        <v>1.43930282691146E-3</v>
      </c>
    </row>
    <row r="1174" spans="1:29">
      <c r="A1174" s="13" t="s">
        <v>209</v>
      </c>
      <c r="B1174" s="13" t="s">
        <v>538</v>
      </c>
      <c r="C1174" s="139">
        <v>46283</v>
      </c>
      <c r="D1174" s="139" t="s">
        <v>516</v>
      </c>
      <c r="E1174" s="28">
        <v>0.93226410999999998</v>
      </c>
      <c r="F1174" s="13"/>
      <c r="G1174" s="18">
        <v>6875275.0899999999</v>
      </c>
      <c r="H1174" s="18">
        <v>6409572.2199999997</v>
      </c>
      <c r="I1174" s="18">
        <v>6875275.0899999999</v>
      </c>
      <c r="J1174" s="18">
        <v>6409572.2199999997</v>
      </c>
      <c r="K1174" s="15">
        <v>568310</v>
      </c>
      <c r="L1174" s="13" t="s">
        <v>102</v>
      </c>
      <c r="M1174" s="13" t="s">
        <v>103</v>
      </c>
      <c r="N1174" s="139" t="s">
        <v>374</v>
      </c>
      <c r="O1174" s="139" t="s">
        <v>374</v>
      </c>
      <c r="P1174" s="28">
        <v>26</v>
      </c>
      <c r="Q1174" s="13" t="s">
        <v>54</v>
      </c>
      <c r="R1174" s="13" t="s">
        <v>28</v>
      </c>
      <c r="S1174" s="13"/>
      <c r="T1174" s="13"/>
      <c r="U1174" s="13" t="s">
        <v>1221</v>
      </c>
      <c r="V1174" s="13" t="s">
        <v>1221</v>
      </c>
      <c r="W1174" s="59">
        <f>+J1174/$W$2</f>
        <v>1.4398084178196855E-4</v>
      </c>
    </row>
    <row r="1175" spans="1:29">
      <c r="A1175" s="13" t="s">
        <v>209</v>
      </c>
      <c r="B1175" s="13" t="s">
        <v>538</v>
      </c>
      <c r="C1175" s="139">
        <v>46283</v>
      </c>
      <c r="D1175" s="139" t="s">
        <v>516</v>
      </c>
      <c r="E1175" s="28">
        <v>0.93226410999999998</v>
      </c>
      <c r="F1175" s="13"/>
      <c r="G1175" s="18">
        <v>6937722.3200000003</v>
      </c>
      <c r="H1175" s="18">
        <v>6467789.5300000003</v>
      </c>
      <c r="I1175" s="18">
        <v>6937722.3200000003</v>
      </c>
      <c r="J1175" s="18">
        <v>6467789.5300000003</v>
      </c>
      <c r="K1175" s="15">
        <v>568313</v>
      </c>
      <c r="L1175" s="13" t="s">
        <v>102</v>
      </c>
      <c r="M1175" s="13" t="s">
        <v>103</v>
      </c>
      <c r="N1175" s="139" t="s">
        <v>374</v>
      </c>
      <c r="O1175" s="139" t="s">
        <v>374</v>
      </c>
      <c r="P1175" s="28">
        <v>26</v>
      </c>
      <c r="Q1175" s="13" t="s">
        <v>54</v>
      </c>
      <c r="R1175" s="13" t="s">
        <v>28</v>
      </c>
      <c r="S1175" s="13"/>
      <c r="T1175" s="13"/>
      <c r="U1175" s="13" t="s">
        <v>1222</v>
      </c>
      <c r="V1175" s="13" t="s">
        <v>1222</v>
      </c>
      <c r="W1175" s="59">
        <f>+J1175/$W$2</f>
        <v>1.4528860102273766E-4</v>
      </c>
    </row>
    <row r="1176" spans="1:29">
      <c r="A1176" s="13" t="s">
        <v>209</v>
      </c>
      <c r="B1176" s="13" t="s">
        <v>538</v>
      </c>
      <c r="C1176" s="139">
        <v>46283</v>
      </c>
      <c r="D1176" s="139" t="s">
        <v>516</v>
      </c>
      <c r="E1176" s="28">
        <v>0.93226412000000003</v>
      </c>
      <c r="F1176" s="13"/>
      <c r="G1176" s="18">
        <v>3090146.07</v>
      </c>
      <c r="H1176" s="18">
        <v>2880832.3</v>
      </c>
      <c r="I1176" s="18">
        <v>3090146.07</v>
      </c>
      <c r="J1176" s="18">
        <v>2880832.3</v>
      </c>
      <c r="K1176" s="15">
        <v>568383</v>
      </c>
      <c r="L1176" s="13" t="s">
        <v>102</v>
      </c>
      <c r="M1176" s="13" t="s">
        <v>103</v>
      </c>
      <c r="N1176" s="139" t="s">
        <v>374</v>
      </c>
      <c r="O1176" s="139" t="s">
        <v>374</v>
      </c>
      <c r="P1176" s="28">
        <v>26</v>
      </c>
      <c r="Q1176" s="13" t="s">
        <v>54</v>
      </c>
      <c r="R1176" s="13" t="s">
        <v>28</v>
      </c>
      <c r="S1176" s="13"/>
      <c r="T1176" s="13"/>
      <c r="U1176" s="13" t="s">
        <v>1223</v>
      </c>
      <c r="V1176" s="13" t="s">
        <v>1223</v>
      </c>
      <c r="W1176" s="59">
        <f>+J1176/$W$2</f>
        <v>6.4713313985669484E-5</v>
      </c>
    </row>
    <row r="1177" spans="1:29">
      <c r="A1177" s="13" t="s">
        <v>209</v>
      </c>
      <c r="B1177" s="13" t="s">
        <v>538</v>
      </c>
      <c r="C1177" s="139">
        <v>46283</v>
      </c>
      <c r="D1177" s="139" t="s">
        <v>516</v>
      </c>
      <c r="E1177" s="28">
        <v>0.93226410999999998</v>
      </c>
      <c r="F1177" s="13"/>
      <c r="G1177" s="18">
        <v>7075968.3200000003</v>
      </c>
      <c r="H1177" s="18">
        <v>6596671.3099999996</v>
      </c>
      <c r="I1177" s="18">
        <v>7075968.3200000003</v>
      </c>
      <c r="J1177" s="18">
        <v>6596671.3099999996</v>
      </c>
      <c r="K1177" s="15">
        <v>568319</v>
      </c>
      <c r="L1177" s="13" t="s">
        <v>102</v>
      </c>
      <c r="M1177" s="13" t="s">
        <v>103</v>
      </c>
      <c r="N1177" s="139" t="s">
        <v>374</v>
      </c>
      <c r="O1177" s="139" t="s">
        <v>374</v>
      </c>
      <c r="P1177" s="28">
        <v>26</v>
      </c>
      <c r="Q1177" s="13" t="s">
        <v>54</v>
      </c>
      <c r="R1177" s="13" t="s">
        <v>28</v>
      </c>
      <c r="S1177" s="13"/>
      <c r="T1177" s="13"/>
      <c r="U1177" s="13" t="s">
        <v>1231</v>
      </c>
      <c r="V1177" s="13" t="s">
        <v>1231</v>
      </c>
      <c r="W1177" s="59">
        <f>+J1177/$W$2</f>
        <v>1.4818372514925203E-4</v>
      </c>
    </row>
    <row r="1178" spans="1:29">
      <c r="A1178" s="13" t="s">
        <v>209</v>
      </c>
      <c r="B1178" s="13" t="s">
        <v>538</v>
      </c>
      <c r="C1178" s="139">
        <v>46283</v>
      </c>
      <c r="D1178" s="139" t="s">
        <v>516</v>
      </c>
      <c r="E1178" s="28">
        <v>0.93226410999999998</v>
      </c>
      <c r="F1178" s="13"/>
      <c r="G1178" s="18">
        <v>11809132.970000001</v>
      </c>
      <c r="H1178" s="18">
        <v>11009230.85</v>
      </c>
      <c r="I1178" s="18">
        <v>11809132.970000001</v>
      </c>
      <c r="J1178" s="18">
        <v>11009230.85</v>
      </c>
      <c r="K1178" s="15">
        <v>568322</v>
      </c>
      <c r="L1178" s="13" t="s">
        <v>102</v>
      </c>
      <c r="M1178" s="13" t="s">
        <v>103</v>
      </c>
      <c r="N1178" s="139" t="s">
        <v>374</v>
      </c>
      <c r="O1178" s="139" t="s">
        <v>374</v>
      </c>
      <c r="P1178" s="28">
        <v>26</v>
      </c>
      <c r="Q1178" s="13" t="s">
        <v>54</v>
      </c>
      <c r="R1178" s="13" t="s">
        <v>28</v>
      </c>
      <c r="S1178" s="13"/>
      <c r="T1178" s="13"/>
      <c r="U1178" s="13" t="s">
        <v>1232</v>
      </c>
      <c r="V1178" s="13" t="s">
        <v>1232</v>
      </c>
      <c r="W1178" s="59">
        <f>+J1178/$W$2</f>
        <v>2.4730485448138333E-4</v>
      </c>
    </row>
    <row r="1179" spans="1:29">
      <c r="A1179" s="13" t="s">
        <v>209</v>
      </c>
      <c r="B1179" s="13" t="s">
        <v>538</v>
      </c>
      <c r="C1179" s="139">
        <v>46283</v>
      </c>
      <c r="D1179" s="139" t="s">
        <v>516</v>
      </c>
      <c r="E1179" s="28">
        <v>0.93226410999999998</v>
      </c>
      <c r="F1179" s="13"/>
      <c r="G1179" s="18">
        <v>31694713.280000001</v>
      </c>
      <c r="H1179" s="18">
        <v>29547843.699999999</v>
      </c>
      <c r="I1179" s="18">
        <v>31694713.280000001</v>
      </c>
      <c r="J1179" s="18">
        <v>29547843.699999999</v>
      </c>
      <c r="K1179" s="15">
        <v>568350</v>
      </c>
      <c r="L1179" s="13" t="s">
        <v>102</v>
      </c>
      <c r="M1179" s="13" t="s">
        <v>103</v>
      </c>
      <c r="N1179" s="139" t="s">
        <v>374</v>
      </c>
      <c r="O1179" s="139" t="s">
        <v>374</v>
      </c>
      <c r="P1179" s="28">
        <v>26</v>
      </c>
      <c r="Q1179" s="13" t="s">
        <v>54</v>
      </c>
      <c r="R1179" s="13" t="s">
        <v>28</v>
      </c>
      <c r="S1179" s="13"/>
      <c r="T1179" s="13"/>
      <c r="U1179" s="13" t="s">
        <v>1233</v>
      </c>
      <c r="V1179" s="13" t="s">
        <v>1233</v>
      </c>
      <c r="W1179" s="59">
        <f>+J1179/$W$2</f>
        <v>6.6374529574581139E-4</v>
      </c>
    </row>
    <row r="1180" spans="1:29">
      <c r="A1180" s="13" t="s">
        <v>209</v>
      </c>
      <c r="B1180" s="13" t="s">
        <v>538</v>
      </c>
      <c r="C1180" s="139">
        <v>46283</v>
      </c>
      <c r="D1180" s="139" t="s">
        <v>516</v>
      </c>
      <c r="E1180" s="28">
        <v>0.93226410999999998</v>
      </c>
      <c r="F1180" s="13"/>
      <c r="G1180" s="18">
        <v>20011620.16</v>
      </c>
      <c r="H1180" s="18">
        <v>18656115.280000001</v>
      </c>
      <c r="I1180" s="18">
        <v>20011620.16</v>
      </c>
      <c r="J1180" s="18">
        <v>18656115.280000001</v>
      </c>
      <c r="K1180" s="15">
        <v>568324</v>
      </c>
      <c r="L1180" s="13" t="s">
        <v>102</v>
      </c>
      <c r="M1180" s="13" t="s">
        <v>103</v>
      </c>
      <c r="N1180" s="139" t="s">
        <v>374</v>
      </c>
      <c r="O1180" s="139" t="s">
        <v>374</v>
      </c>
      <c r="P1180" s="28">
        <v>26</v>
      </c>
      <c r="Q1180" s="13" t="s">
        <v>54</v>
      </c>
      <c r="R1180" s="13" t="s">
        <v>28</v>
      </c>
      <c r="S1180" s="13"/>
      <c r="T1180" s="13"/>
      <c r="U1180" s="13" t="s">
        <v>1234</v>
      </c>
      <c r="V1180" s="13" t="s">
        <v>1234</v>
      </c>
      <c r="W1180" s="59">
        <f>+J1180/$W$2</f>
        <v>4.1907994639864537E-4</v>
      </c>
      <c r="AC1180"/>
    </row>
    <row r="1181" spans="1:29">
      <c r="A1181" s="13" t="s">
        <v>209</v>
      </c>
      <c r="B1181" s="13" t="s">
        <v>538</v>
      </c>
      <c r="C1181" s="139">
        <v>46283</v>
      </c>
      <c r="D1181" s="139" t="s">
        <v>516</v>
      </c>
      <c r="E1181" s="28">
        <v>0.93226410999999998</v>
      </c>
      <c r="F1181" s="13"/>
      <c r="G1181" s="18">
        <v>34118781</v>
      </c>
      <c r="H1181" s="18">
        <v>31807715.030000001</v>
      </c>
      <c r="I1181" s="18">
        <v>34118781</v>
      </c>
      <c r="J1181" s="18">
        <v>31807715.030000001</v>
      </c>
      <c r="K1181" s="15">
        <v>568355</v>
      </c>
      <c r="L1181" s="13" t="s">
        <v>102</v>
      </c>
      <c r="M1181" s="13" t="s">
        <v>103</v>
      </c>
      <c r="N1181" s="139" t="s">
        <v>374</v>
      </c>
      <c r="O1181" s="139" t="s">
        <v>374</v>
      </c>
      <c r="P1181" s="28">
        <v>26</v>
      </c>
      <c r="Q1181" s="13" t="s">
        <v>54</v>
      </c>
      <c r="R1181" s="13" t="s">
        <v>28</v>
      </c>
      <c r="S1181" s="13"/>
      <c r="T1181" s="13"/>
      <c r="U1181" s="13" t="s">
        <v>1235</v>
      </c>
      <c r="V1181" s="13" t="s">
        <v>1235</v>
      </c>
      <c r="W1181" s="59">
        <f>+J1181/$W$2</f>
        <v>7.1450970953883307E-4</v>
      </c>
    </row>
    <row r="1182" spans="1:29">
      <c r="A1182" s="13" t="s">
        <v>590</v>
      </c>
      <c r="B1182" s="13" t="s">
        <v>538</v>
      </c>
      <c r="C1182" s="139">
        <v>46283</v>
      </c>
      <c r="D1182" s="139" t="s">
        <v>516</v>
      </c>
      <c r="E1182" s="28">
        <v>0.91791595000000004</v>
      </c>
      <c r="F1182" s="13"/>
      <c r="G1182" s="18">
        <v>15355310.449999999</v>
      </c>
      <c r="H1182" s="18">
        <v>14094884.41</v>
      </c>
      <c r="I1182" s="18">
        <v>15355310.449999999</v>
      </c>
      <c r="J1182" s="18">
        <v>14094884.41</v>
      </c>
      <c r="K1182" s="15">
        <v>30747</v>
      </c>
      <c r="L1182" s="13" t="s">
        <v>102</v>
      </c>
      <c r="M1182" s="13" t="s">
        <v>103</v>
      </c>
      <c r="N1182" s="139" t="s">
        <v>394</v>
      </c>
      <c r="O1182" s="139" t="s">
        <v>394</v>
      </c>
      <c r="P1182" s="28">
        <v>32</v>
      </c>
      <c r="Q1182" s="13" t="s">
        <v>54</v>
      </c>
      <c r="R1182" s="13" t="s">
        <v>28</v>
      </c>
      <c r="S1182" s="13"/>
      <c r="T1182" s="13"/>
      <c r="U1182" s="13" t="s">
        <v>2000</v>
      </c>
      <c r="V1182" s="13" t="s">
        <v>2000</v>
      </c>
      <c r="W1182" s="59">
        <f>+J1182/$W$2</f>
        <v>3.1661915218600119E-4</v>
      </c>
    </row>
    <row r="1183" spans="1:29">
      <c r="A1183" s="13" t="s">
        <v>819</v>
      </c>
      <c r="B1183" s="13" t="s">
        <v>538</v>
      </c>
      <c r="C1183" s="139">
        <v>46283</v>
      </c>
      <c r="D1183" s="139" t="s">
        <v>516</v>
      </c>
      <c r="E1183" s="28">
        <v>0.92743180000000003</v>
      </c>
      <c r="F1183" s="13"/>
      <c r="G1183" s="18">
        <v>10000000</v>
      </c>
      <c r="H1183" s="18">
        <v>9274317.9600000009</v>
      </c>
      <c r="I1183" s="18">
        <v>10000000</v>
      </c>
      <c r="J1183" s="18">
        <v>9274317.9600000009</v>
      </c>
      <c r="K1183" s="15">
        <v>360565</v>
      </c>
      <c r="L1183" s="13" t="s">
        <v>102</v>
      </c>
      <c r="M1183" s="13" t="s">
        <v>103</v>
      </c>
      <c r="N1183" s="139" t="s">
        <v>366</v>
      </c>
      <c r="O1183" s="139" t="s">
        <v>366</v>
      </c>
      <c r="P1183" s="28">
        <v>28</v>
      </c>
      <c r="Q1183" s="13" t="s">
        <v>54</v>
      </c>
      <c r="R1183" s="13" t="s">
        <v>28</v>
      </c>
      <c r="S1183" s="13"/>
      <c r="T1183" s="13"/>
      <c r="U1183" s="13" t="s">
        <v>1012</v>
      </c>
      <c r="V1183" s="13" t="s">
        <v>1012</v>
      </c>
      <c r="W1183" s="59">
        <f>+J1183/$W$2</f>
        <v>2.0833279679223734E-4</v>
      </c>
    </row>
    <row r="1184" spans="1:29">
      <c r="A1184" s="13" t="s">
        <v>993</v>
      </c>
      <c r="B1184" s="13" t="s">
        <v>538</v>
      </c>
      <c r="C1184" s="139">
        <v>46283</v>
      </c>
      <c r="D1184" s="139" t="s">
        <v>516</v>
      </c>
      <c r="E1184" s="28">
        <v>0.92027636999999995</v>
      </c>
      <c r="F1184" s="13"/>
      <c r="G1184" s="18">
        <v>3000000</v>
      </c>
      <c r="H1184" s="18">
        <v>2760829.1</v>
      </c>
      <c r="I1184" s="18">
        <v>3000000</v>
      </c>
      <c r="J1184" s="18">
        <v>2760829.1</v>
      </c>
      <c r="K1184" s="15">
        <v>90003467</v>
      </c>
      <c r="L1184" s="13" t="s">
        <v>102</v>
      </c>
      <c r="M1184" s="13" t="s">
        <v>103</v>
      </c>
      <c r="N1184" s="139" t="s">
        <v>344</v>
      </c>
      <c r="O1184" s="139" t="s">
        <v>344</v>
      </c>
      <c r="P1184" s="28">
        <v>31</v>
      </c>
      <c r="Q1184" s="13" t="s">
        <v>54</v>
      </c>
      <c r="R1184" s="13" t="s">
        <v>28</v>
      </c>
      <c r="S1184" s="13"/>
      <c r="T1184" s="13"/>
      <c r="U1184" s="13" t="s">
        <v>1109</v>
      </c>
      <c r="V1184" s="13" t="s">
        <v>1109</v>
      </c>
      <c r="W1184" s="59">
        <f>+J1184/$W$2</f>
        <v>6.2017633032326563E-5</v>
      </c>
    </row>
    <row r="1185" spans="1:29">
      <c r="A1185" s="13" t="s">
        <v>917</v>
      </c>
      <c r="B1185" s="13" t="s">
        <v>538</v>
      </c>
      <c r="C1185" s="139">
        <v>46286</v>
      </c>
      <c r="D1185" s="139" t="s">
        <v>516</v>
      </c>
      <c r="E1185" s="28">
        <v>0.90145735000000005</v>
      </c>
      <c r="F1185" s="13"/>
      <c r="G1185" s="18">
        <v>4463318.82</v>
      </c>
      <c r="H1185" s="18">
        <v>4023491.57</v>
      </c>
      <c r="I1185" s="18">
        <v>4463318.82</v>
      </c>
      <c r="J1185" s="18">
        <v>4023491.57</v>
      </c>
      <c r="K1185" s="15">
        <v>347</v>
      </c>
      <c r="L1185" s="13" t="s">
        <v>102</v>
      </c>
      <c r="M1185" s="13" t="s">
        <v>103</v>
      </c>
      <c r="N1185" s="139" t="s">
        <v>378</v>
      </c>
      <c r="O1185" s="139" t="s">
        <v>378</v>
      </c>
      <c r="P1185" s="28">
        <v>38</v>
      </c>
      <c r="Q1185" s="13" t="s">
        <v>54</v>
      </c>
      <c r="R1185" s="13" t="s">
        <v>28</v>
      </c>
      <c r="S1185" s="13"/>
      <c r="T1185" s="13"/>
      <c r="U1185" s="13" t="s">
        <v>870</v>
      </c>
      <c r="V1185" s="13" t="s">
        <v>870</v>
      </c>
      <c r="W1185" s="59">
        <f>+J1185/$W$2</f>
        <v>9.0381336424235544E-5</v>
      </c>
    </row>
    <row r="1186" spans="1:29">
      <c r="A1186" s="13" t="s">
        <v>917</v>
      </c>
      <c r="B1186" s="13" t="s">
        <v>538</v>
      </c>
      <c r="C1186" s="139">
        <v>46286</v>
      </c>
      <c r="D1186" s="139" t="s">
        <v>516</v>
      </c>
      <c r="E1186" s="28">
        <v>0.90145723</v>
      </c>
      <c r="F1186" s="13"/>
      <c r="G1186" s="18">
        <v>4500000</v>
      </c>
      <c r="H1186" s="18">
        <v>4056557.52</v>
      </c>
      <c r="I1186" s="18">
        <v>4500000</v>
      </c>
      <c r="J1186" s="18">
        <v>4056557.52</v>
      </c>
      <c r="K1186" s="15">
        <v>559</v>
      </c>
      <c r="L1186" s="13" t="s">
        <v>102</v>
      </c>
      <c r="M1186" s="13" t="s">
        <v>103</v>
      </c>
      <c r="N1186" s="139" t="s">
        <v>344</v>
      </c>
      <c r="O1186" s="139" t="s">
        <v>344</v>
      </c>
      <c r="P1186" s="28">
        <v>38</v>
      </c>
      <c r="Q1186" s="13" t="s">
        <v>54</v>
      </c>
      <c r="R1186" s="13" t="s">
        <v>28</v>
      </c>
      <c r="S1186" s="13"/>
      <c r="T1186" s="13"/>
      <c r="U1186" s="13" t="s">
        <v>1139</v>
      </c>
      <c r="V1186" s="13" t="s">
        <v>1139</v>
      </c>
      <c r="W1186" s="59">
        <f>+J1186/$W$2</f>
        <v>9.1124110380423298E-5</v>
      </c>
    </row>
    <row r="1187" spans="1:29">
      <c r="A1187" s="13" t="s">
        <v>339</v>
      </c>
      <c r="B1187" s="13" t="s">
        <v>538</v>
      </c>
      <c r="C1187" s="139">
        <v>46286</v>
      </c>
      <c r="D1187" s="139" t="s">
        <v>516</v>
      </c>
      <c r="E1187" s="28">
        <v>0.92792680999999999</v>
      </c>
      <c r="F1187" s="13"/>
      <c r="G1187" s="18">
        <v>10000000</v>
      </c>
      <c r="H1187" s="18">
        <v>9279268.1300000008</v>
      </c>
      <c r="I1187" s="18">
        <v>10000000</v>
      </c>
      <c r="J1187" s="18">
        <v>9279268.1300000008</v>
      </c>
      <c r="K1187" s="15">
        <v>67205341</v>
      </c>
      <c r="L1187" s="13" t="s">
        <v>102</v>
      </c>
      <c r="M1187" s="13" t="s">
        <v>103</v>
      </c>
      <c r="N1187" s="139" t="s">
        <v>394</v>
      </c>
      <c r="O1187" s="139" t="s">
        <v>394</v>
      </c>
      <c r="P1187" s="28">
        <v>27</v>
      </c>
      <c r="Q1187" s="13" t="s">
        <v>54</v>
      </c>
      <c r="R1187" s="13" t="s">
        <v>28</v>
      </c>
      <c r="S1187" s="13"/>
      <c r="T1187" s="13"/>
      <c r="U1187" s="13" t="s">
        <v>1961</v>
      </c>
      <c r="V1187" s="13" t="s">
        <v>1961</v>
      </c>
      <c r="W1187" s="59">
        <f>+J1187/$W$2</f>
        <v>2.0844399448517227E-4</v>
      </c>
    </row>
    <row r="1188" spans="1:29">
      <c r="A1188" s="13" t="s">
        <v>339</v>
      </c>
      <c r="B1188" s="13" t="s">
        <v>538</v>
      </c>
      <c r="C1188" s="139">
        <v>46286</v>
      </c>
      <c r="D1188" s="139" t="s">
        <v>516</v>
      </c>
      <c r="E1188" s="28">
        <v>0.92792680999999999</v>
      </c>
      <c r="F1188" s="13"/>
      <c r="G1188" s="18">
        <v>10000000</v>
      </c>
      <c r="H1188" s="18">
        <v>9279268.1300000008</v>
      </c>
      <c r="I1188" s="18">
        <v>10000000</v>
      </c>
      <c r="J1188" s="18">
        <v>9279268.1300000008</v>
      </c>
      <c r="K1188" s="15">
        <v>67280466</v>
      </c>
      <c r="L1188" s="13" t="s">
        <v>102</v>
      </c>
      <c r="M1188" s="13" t="s">
        <v>103</v>
      </c>
      <c r="N1188" s="139" t="s">
        <v>394</v>
      </c>
      <c r="O1188" s="139" t="s">
        <v>394</v>
      </c>
      <c r="P1188" s="28">
        <v>27</v>
      </c>
      <c r="Q1188" s="13" t="s">
        <v>54</v>
      </c>
      <c r="R1188" s="13" t="s">
        <v>28</v>
      </c>
      <c r="S1188" s="13"/>
      <c r="T1188" s="13"/>
      <c r="U1188" s="13" t="s">
        <v>1966</v>
      </c>
      <c r="V1188" s="13" t="s">
        <v>1966</v>
      </c>
      <c r="W1188" s="59">
        <f>+J1188/$W$2</f>
        <v>2.0844399448517227E-4</v>
      </c>
      <c r="AC1188" s="56"/>
    </row>
    <row r="1189" spans="1:29">
      <c r="A1189" s="13" t="s">
        <v>339</v>
      </c>
      <c r="B1189" s="13" t="s">
        <v>538</v>
      </c>
      <c r="C1189" s="139">
        <v>46286</v>
      </c>
      <c r="D1189" s="139" t="s">
        <v>516</v>
      </c>
      <c r="E1189" s="28">
        <v>0.92792680999999999</v>
      </c>
      <c r="F1189" s="13"/>
      <c r="G1189" s="18">
        <v>5000000</v>
      </c>
      <c r="H1189" s="18">
        <v>4639634.0599999996</v>
      </c>
      <c r="I1189" s="18">
        <v>5000000</v>
      </c>
      <c r="J1189" s="18">
        <v>4639634.0599999996</v>
      </c>
      <c r="K1189" s="15">
        <v>67193052</v>
      </c>
      <c r="L1189" s="13" t="s">
        <v>102</v>
      </c>
      <c r="M1189" s="13" t="s">
        <v>103</v>
      </c>
      <c r="N1189" s="139" t="s">
        <v>394</v>
      </c>
      <c r="O1189" s="139" t="s">
        <v>394</v>
      </c>
      <c r="P1189" s="28">
        <v>27</v>
      </c>
      <c r="Q1189" s="13" t="s">
        <v>54</v>
      </c>
      <c r="R1189" s="13" t="s">
        <v>28</v>
      </c>
      <c r="S1189" s="13"/>
      <c r="T1189" s="13"/>
      <c r="U1189" s="13" t="s">
        <v>1975</v>
      </c>
      <c r="V1189" s="13" t="s">
        <v>1975</v>
      </c>
      <c r="W1189" s="59">
        <f>+J1189/$W$2</f>
        <v>1.0422199713026908E-4</v>
      </c>
    </row>
    <row r="1190" spans="1:29">
      <c r="A1190" s="13" t="s">
        <v>444</v>
      </c>
      <c r="B1190" s="13" t="s">
        <v>538</v>
      </c>
      <c r="C1190" s="139">
        <v>46286</v>
      </c>
      <c r="D1190" s="139" t="s">
        <v>516</v>
      </c>
      <c r="E1190" s="28">
        <v>0.91570499999999999</v>
      </c>
      <c r="F1190" s="13"/>
      <c r="G1190" s="18">
        <v>10000000</v>
      </c>
      <c r="H1190" s="18">
        <v>9157050.0399999991</v>
      </c>
      <c r="I1190" s="18">
        <v>10000000</v>
      </c>
      <c r="J1190" s="18">
        <v>9157050.0399999991</v>
      </c>
      <c r="K1190" s="15">
        <v>13795884</v>
      </c>
      <c r="L1190" s="13" t="s">
        <v>102</v>
      </c>
      <c r="M1190" s="13" t="s">
        <v>103</v>
      </c>
      <c r="N1190" s="139" t="s">
        <v>394</v>
      </c>
      <c r="O1190" s="139" t="s">
        <v>394</v>
      </c>
      <c r="P1190" s="28">
        <v>32</v>
      </c>
      <c r="Q1190" s="13" t="s">
        <v>54</v>
      </c>
      <c r="R1190" s="13" t="s">
        <v>28</v>
      </c>
      <c r="S1190" s="13"/>
      <c r="T1190" s="13"/>
      <c r="U1190" s="13" t="s">
        <v>1991</v>
      </c>
      <c r="V1190" s="13" t="s">
        <v>1991</v>
      </c>
      <c r="W1190" s="59">
        <f>+J1190/$W$2</f>
        <v>2.0569855955204587E-4</v>
      </c>
    </row>
    <row r="1191" spans="1:29">
      <c r="A1191" s="13" t="s">
        <v>444</v>
      </c>
      <c r="B1191" s="13" t="s">
        <v>538</v>
      </c>
      <c r="C1191" s="139">
        <v>46286</v>
      </c>
      <c r="D1191" s="139" t="s">
        <v>516</v>
      </c>
      <c r="E1191" s="28">
        <v>0.91570499999999999</v>
      </c>
      <c r="F1191" s="13"/>
      <c r="G1191" s="18">
        <v>10000000</v>
      </c>
      <c r="H1191" s="18">
        <v>9157050.0399999991</v>
      </c>
      <c r="I1191" s="18">
        <v>10000000</v>
      </c>
      <c r="J1191" s="18">
        <v>9157050.0399999991</v>
      </c>
      <c r="K1191" s="15">
        <v>13795880</v>
      </c>
      <c r="L1191" s="13" t="s">
        <v>102</v>
      </c>
      <c r="M1191" s="13" t="s">
        <v>103</v>
      </c>
      <c r="N1191" s="139" t="s">
        <v>394</v>
      </c>
      <c r="O1191" s="139" t="s">
        <v>394</v>
      </c>
      <c r="P1191" s="28">
        <v>32</v>
      </c>
      <c r="Q1191" s="13" t="s">
        <v>54</v>
      </c>
      <c r="R1191" s="13" t="s">
        <v>28</v>
      </c>
      <c r="S1191" s="13"/>
      <c r="T1191" s="13"/>
      <c r="U1191" s="13" t="s">
        <v>1992</v>
      </c>
      <c r="V1191" s="13" t="s">
        <v>1992</v>
      </c>
      <c r="W1191" s="59">
        <f>+J1191/$W$2</f>
        <v>2.0569855955204587E-4</v>
      </c>
    </row>
    <row r="1192" spans="1:29">
      <c r="A1192" s="13" t="s">
        <v>444</v>
      </c>
      <c r="B1192" s="13" t="s">
        <v>538</v>
      </c>
      <c r="C1192" s="139">
        <v>46286</v>
      </c>
      <c r="D1192" s="139" t="s">
        <v>516</v>
      </c>
      <c r="E1192" s="28">
        <v>0.91570499999999999</v>
      </c>
      <c r="F1192" s="13"/>
      <c r="G1192" s="18">
        <v>40000000</v>
      </c>
      <c r="H1192" s="18">
        <v>36628200.140000001</v>
      </c>
      <c r="I1192" s="18">
        <v>40000000</v>
      </c>
      <c r="J1192" s="18">
        <v>36628200.140000001</v>
      </c>
      <c r="K1192" s="15">
        <v>13662785</v>
      </c>
      <c r="L1192" s="13" t="s">
        <v>102</v>
      </c>
      <c r="M1192" s="13" t="s">
        <v>103</v>
      </c>
      <c r="N1192" s="139" t="s">
        <v>394</v>
      </c>
      <c r="O1192" s="139" t="s">
        <v>394</v>
      </c>
      <c r="P1192" s="28">
        <v>32</v>
      </c>
      <c r="Q1192" s="13" t="s">
        <v>54</v>
      </c>
      <c r="R1192" s="13" t="s">
        <v>28</v>
      </c>
      <c r="S1192" s="13"/>
      <c r="T1192" s="13"/>
      <c r="U1192" s="13" t="s">
        <v>1993</v>
      </c>
      <c r="V1192" s="13" t="s">
        <v>1993</v>
      </c>
      <c r="W1192" s="59">
        <f>+J1192/$W$2</f>
        <v>8.2279423775891538E-4</v>
      </c>
    </row>
    <row r="1193" spans="1:29">
      <c r="A1193" s="13" t="s">
        <v>590</v>
      </c>
      <c r="B1193" s="13" t="s">
        <v>538</v>
      </c>
      <c r="C1193" s="139">
        <v>46286</v>
      </c>
      <c r="D1193" s="139" t="s">
        <v>516</v>
      </c>
      <c r="E1193" s="28">
        <v>0.91570499999999999</v>
      </c>
      <c r="F1193" s="13"/>
      <c r="G1193" s="18">
        <v>15355310.449999999</v>
      </c>
      <c r="H1193" s="18">
        <v>14060934.609999999</v>
      </c>
      <c r="I1193" s="18">
        <v>15355310.449999999</v>
      </c>
      <c r="J1193" s="18">
        <v>14060934.609999999</v>
      </c>
      <c r="K1193" s="15">
        <v>30748</v>
      </c>
      <c r="L1193" s="13" t="s">
        <v>102</v>
      </c>
      <c r="M1193" s="13" t="s">
        <v>103</v>
      </c>
      <c r="N1193" s="139" t="s">
        <v>394</v>
      </c>
      <c r="O1193" s="139" t="s">
        <v>394</v>
      </c>
      <c r="P1193" s="28">
        <v>32</v>
      </c>
      <c r="Q1193" s="13" t="s">
        <v>54</v>
      </c>
      <c r="R1193" s="13" t="s">
        <v>28</v>
      </c>
      <c r="S1193" s="13"/>
      <c r="T1193" s="13"/>
      <c r="U1193" s="13" t="s">
        <v>1979</v>
      </c>
      <c r="V1193" s="13" t="s">
        <v>1979</v>
      </c>
      <c r="W1193" s="59">
        <f>+J1193/$W$2</f>
        <v>3.1585652394583924E-4</v>
      </c>
    </row>
    <row r="1194" spans="1:29">
      <c r="A1194" s="13" t="s">
        <v>2086</v>
      </c>
      <c r="B1194" s="13" t="s">
        <v>538</v>
      </c>
      <c r="C1194" s="139">
        <v>46287</v>
      </c>
      <c r="D1194" s="139" t="s">
        <v>516</v>
      </c>
      <c r="E1194" s="28">
        <v>0.91497046000000004</v>
      </c>
      <c r="F1194" s="13"/>
      <c r="G1194" s="18">
        <v>10000000</v>
      </c>
      <c r="H1194" s="18">
        <v>9149704.5700000003</v>
      </c>
      <c r="I1194" s="18">
        <v>10000000</v>
      </c>
      <c r="J1194" s="18">
        <v>9149704.5700000003</v>
      </c>
      <c r="K1194" s="15">
        <v>67448929</v>
      </c>
      <c r="L1194" s="13" t="s">
        <v>102</v>
      </c>
      <c r="M1194" s="13" t="s">
        <v>103</v>
      </c>
      <c r="N1194" s="139" t="s">
        <v>361</v>
      </c>
      <c r="O1194" s="139" t="s">
        <v>361</v>
      </c>
      <c r="P1194" s="28">
        <v>32</v>
      </c>
      <c r="Q1194" s="13" t="s">
        <v>54</v>
      </c>
      <c r="R1194" s="13" t="s">
        <v>28</v>
      </c>
      <c r="S1194" s="13"/>
      <c r="T1194" s="13"/>
      <c r="U1194" s="13" t="s">
        <v>2084</v>
      </c>
      <c r="V1194" s="13" t="s">
        <v>2084</v>
      </c>
      <c r="W1194" s="59">
        <f>+J1194/$W$2</f>
        <v>2.055335552557242E-4</v>
      </c>
    </row>
    <row r="1195" spans="1:29">
      <c r="A1195" s="13" t="s">
        <v>550</v>
      </c>
      <c r="B1195" s="13" t="s">
        <v>538</v>
      </c>
      <c r="C1195" s="139">
        <v>46287</v>
      </c>
      <c r="D1195" s="139" t="s">
        <v>516</v>
      </c>
      <c r="E1195" s="28">
        <v>0.91254563</v>
      </c>
      <c r="F1195" s="13"/>
      <c r="G1195" s="18">
        <v>12500000</v>
      </c>
      <c r="H1195" s="18">
        <v>11406820.43</v>
      </c>
      <c r="I1195" s="18">
        <v>12500000</v>
      </c>
      <c r="J1195" s="18">
        <v>11406820.43</v>
      </c>
      <c r="K1195" s="15">
        <v>1360</v>
      </c>
      <c r="L1195" s="13" t="s">
        <v>102</v>
      </c>
      <c r="M1195" s="13" t="s">
        <v>103</v>
      </c>
      <c r="N1195" s="139" t="s">
        <v>472</v>
      </c>
      <c r="O1195" s="139" t="s">
        <v>472</v>
      </c>
      <c r="P1195" s="28">
        <v>33</v>
      </c>
      <c r="Q1195" s="13" t="s">
        <v>54</v>
      </c>
      <c r="R1195" s="13" t="s">
        <v>28</v>
      </c>
      <c r="S1195" s="13"/>
      <c r="T1195" s="13"/>
      <c r="U1195" s="13" t="s">
        <v>1631</v>
      </c>
      <c r="V1195" s="13" t="s">
        <v>1631</v>
      </c>
      <c r="W1195" s="59">
        <f>+J1195/$W$2</f>
        <v>2.5623607179936834E-4</v>
      </c>
    </row>
    <row r="1196" spans="1:29">
      <c r="A1196" s="13" t="s">
        <v>1430</v>
      </c>
      <c r="B1196" s="13" t="s">
        <v>538</v>
      </c>
      <c r="C1196" s="139">
        <v>46287</v>
      </c>
      <c r="D1196" s="139" t="s">
        <v>516</v>
      </c>
      <c r="E1196" s="28">
        <v>0.91254570999999995</v>
      </c>
      <c r="F1196" s="13"/>
      <c r="G1196" s="18">
        <v>17106704.170000002</v>
      </c>
      <c r="H1196" s="18">
        <v>15610649.49</v>
      </c>
      <c r="I1196" s="18">
        <v>17106704.170000002</v>
      </c>
      <c r="J1196" s="18">
        <v>15610649.49</v>
      </c>
      <c r="K1196" s="15">
        <v>940</v>
      </c>
      <c r="L1196" s="13" t="s">
        <v>102</v>
      </c>
      <c r="M1196" s="13" t="s">
        <v>103</v>
      </c>
      <c r="N1196" s="139" t="s">
        <v>175</v>
      </c>
      <c r="O1196" s="139" t="s">
        <v>175</v>
      </c>
      <c r="P1196" s="28">
        <v>33</v>
      </c>
      <c r="Q1196" s="13" t="s">
        <v>54</v>
      </c>
      <c r="R1196" s="13" t="s">
        <v>28</v>
      </c>
      <c r="S1196" s="13"/>
      <c r="T1196" s="13"/>
      <c r="U1196" s="13" t="s">
        <v>1895</v>
      </c>
      <c r="V1196" s="13" t="s">
        <v>1895</v>
      </c>
      <c r="W1196" s="59">
        <f>+J1196/$W$2</f>
        <v>3.5066840300513198E-4</v>
      </c>
      <c r="AC1196" s="56"/>
    </row>
    <row r="1197" spans="1:29">
      <c r="A1197" s="13" t="s">
        <v>1916</v>
      </c>
      <c r="B1197" s="13" t="s">
        <v>538</v>
      </c>
      <c r="C1197" s="139">
        <v>46287</v>
      </c>
      <c r="D1197" s="139" t="s">
        <v>516</v>
      </c>
      <c r="E1197" s="28">
        <v>0.91254570999999995</v>
      </c>
      <c r="F1197" s="13"/>
      <c r="G1197" s="18">
        <v>5134985.93</v>
      </c>
      <c r="H1197" s="18">
        <v>4685909.38</v>
      </c>
      <c r="I1197" s="18">
        <v>5134985.93</v>
      </c>
      <c r="J1197" s="18">
        <v>4685909.38</v>
      </c>
      <c r="K1197" s="15">
        <v>403</v>
      </c>
      <c r="L1197" s="13" t="s">
        <v>102</v>
      </c>
      <c r="M1197" s="13" t="s">
        <v>103</v>
      </c>
      <c r="N1197" s="139" t="s">
        <v>175</v>
      </c>
      <c r="O1197" s="139" t="s">
        <v>175</v>
      </c>
      <c r="P1197" s="28">
        <v>33</v>
      </c>
      <c r="Q1197" s="13" t="s">
        <v>54</v>
      </c>
      <c r="R1197" s="13" t="s">
        <v>28</v>
      </c>
      <c r="S1197" s="13"/>
      <c r="T1197" s="13"/>
      <c r="U1197" s="13" t="s">
        <v>1901</v>
      </c>
      <c r="V1197" s="13" t="s">
        <v>1901</v>
      </c>
      <c r="W1197" s="59">
        <f>+J1197/$W$2</f>
        <v>1.052614985663462E-4</v>
      </c>
    </row>
    <row r="1198" spans="1:29">
      <c r="A1198" s="13" t="s">
        <v>2044</v>
      </c>
      <c r="B1198" s="13" t="s">
        <v>538</v>
      </c>
      <c r="C1198" s="139">
        <v>46287</v>
      </c>
      <c r="D1198" s="139" t="s">
        <v>516</v>
      </c>
      <c r="E1198" s="28">
        <v>0.91497063999999995</v>
      </c>
      <c r="F1198" s="13"/>
      <c r="G1198" s="18">
        <v>1000000</v>
      </c>
      <c r="H1198" s="18">
        <v>914970.64</v>
      </c>
      <c r="I1198" s="18">
        <v>1000000</v>
      </c>
      <c r="J1198" s="18">
        <v>914970.64</v>
      </c>
      <c r="K1198" s="15">
        <v>67381776</v>
      </c>
      <c r="L1198" s="13" t="s">
        <v>102</v>
      </c>
      <c r="M1198" s="13" t="s">
        <v>103</v>
      </c>
      <c r="N1198" s="139" t="s">
        <v>394</v>
      </c>
      <c r="O1198" s="139" t="s">
        <v>394</v>
      </c>
      <c r="P1198" s="28">
        <v>32</v>
      </c>
      <c r="Q1198" s="13" t="s">
        <v>54</v>
      </c>
      <c r="R1198" s="13" t="s">
        <v>28</v>
      </c>
      <c r="S1198" s="13"/>
      <c r="T1198" s="13"/>
      <c r="U1198" s="13" t="s">
        <v>2047</v>
      </c>
      <c r="V1198" s="13" t="s">
        <v>2047</v>
      </c>
      <c r="W1198" s="59">
        <f>+J1198/$W$2</f>
        <v>2.055335963637625E-5</v>
      </c>
      <c r="AC1198"/>
    </row>
    <row r="1199" spans="1:29">
      <c r="A1199" s="13" t="s">
        <v>339</v>
      </c>
      <c r="B1199" s="13" t="s">
        <v>538</v>
      </c>
      <c r="C1199" s="139">
        <v>46287</v>
      </c>
      <c r="D1199" s="139" t="s">
        <v>516</v>
      </c>
      <c r="E1199" s="28">
        <v>0.92729046999999998</v>
      </c>
      <c r="F1199" s="13"/>
      <c r="G1199" s="18">
        <v>5000000</v>
      </c>
      <c r="H1199" s="18">
        <v>4636452.3600000003</v>
      </c>
      <c r="I1199" s="18">
        <v>5000000</v>
      </c>
      <c r="J1199" s="18">
        <v>4636452.3600000003</v>
      </c>
      <c r="K1199" s="15">
        <v>67193053</v>
      </c>
      <c r="L1199" s="13" t="s">
        <v>102</v>
      </c>
      <c r="M1199" s="13" t="s">
        <v>103</v>
      </c>
      <c r="N1199" s="139" t="s">
        <v>394</v>
      </c>
      <c r="O1199" s="139" t="s">
        <v>394</v>
      </c>
      <c r="P1199" s="28">
        <v>27</v>
      </c>
      <c r="Q1199" s="13" t="s">
        <v>54</v>
      </c>
      <c r="R1199" s="13" t="s">
        <v>28</v>
      </c>
      <c r="S1199" s="13"/>
      <c r="T1199" s="13"/>
      <c r="U1199" s="13" t="s">
        <v>1967</v>
      </c>
      <c r="V1199" s="13" t="s">
        <v>1967</v>
      </c>
      <c r="W1199" s="59">
        <f>+J1199/$W$2</f>
        <v>1.0415052530210742E-4</v>
      </c>
    </row>
    <row r="1200" spans="1:29">
      <c r="A1200" s="13" t="s">
        <v>993</v>
      </c>
      <c r="B1200" s="13" t="s">
        <v>538</v>
      </c>
      <c r="C1200" s="139">
        <v>46287</v>
      </c>
      <c r="D1200" s="139" t="s">
        <v>516</v>
      </c>
      <c r="E1200" s="28">
        <v>0.92479986999999997</v>
      </c>
      <c r="F1200" s="13"/>
      <c r="G1200" s="18">
        <v>10000000</v>
      </c>
      <c r="H1200" s="18">
        <v>9247998.6999999993</v>
      </c>
      <c r="I1200" s="18">
        <v>10000000</v>
      </c>
      <c r="J1200" s="18">
        <v>9247998.6999999993</v>
      </c>
      <c r="K1200" s="15">
        <v>1406548</v>
      </c>
      <c r="L1200" s="13" t="s">
        <v>102</v>
      </c>
      <c r="M1200" s="13" t="s">
        <v>103</v>
      </c>
      <c r="N1200" s="139" t="s">
        <v>361</v>
      </c>
      <c r="O1200" s="139" t="s">
        <v>361</v>
      </c>
      <c r="P1200" s="28">
        <v>28</v>
      </c>
      <c r="Q1200" s="13" t="s">
        <v>54</v>
      </c>
      <c r="R1200" s="13" t="s">
        <v>28</v>
      </c>
      <c r="S1200" s="13"/>
      <c r="T1200" s="13"/>
      <c r="U1200" s="13" t="s">
        <v>2074</v>
      </c>
      <c r="V1200" s="13" t="s">
        <v>2074</v>
      </c>
      <c r="W1200" s="59">
        <f>+J1200/$W$2</f>
        <v>2.0774157649237798E-4</v>
      </c>
    </row>
    <row r="1201" spans="1:29">
      <c r="A1201" s="13" t="s">
        <v>164</v>
      </c>
      <c r="B1201" s="13" t="s">
        <v>538</v>
      </c>
      <c r="C1201" s="139">
        <v>46287</v>
      </c>
      <c r="D1201" s="139" t="s">
        <v>516</v>
      </c>
      <c r="E1201" s="28">
        <v>0.92232274999999997</v>
      </c>
      <c r="F1201" s="13"/>
      <c r="G1201" s="18">
        <v>25000000</v>
      </c>
      <c r="H1201" s="18">
        <v>23058068.800000001</v>
      </c>
      <c r="I1201" s="18">
        <v>25000000</v>
      </c>
      <c r="J1201" s="18">
        <v>23058068.800000001</v>
      </c>
      <c r="K1201" s="15">
        <v>66410159</v>
      </c>
      <c r="L1201" s="13" t="s">
        <v>102</v>
      </c>
      <c r="M1201" s="13" t="s">
        <v>103</v>
      </c>
      <c r="N1201" s="139" t="s">
        <v>344</v>
      </c>
      <c r="O1201" s="139" t="s">
        <v>344</v>
      </c>
      <c r="P1201" s="28">
        <v>29</v>
      </c>
      <c r="Q1201" s="13" t="s">
        <v>54</v>
      </c>
      <c r="R1201" s="13" t="s">
        <v>28</v>
      </c>
      <c r="S1201" s="13"/>
      <c r="T1201" s="13"/>
      <c r="U1201" s="13" t="s">
        <v>1114</v>
      </c>
      <c r="V1201" s="13" t="s">
        <v>1114</v>
      </c>
      <c r="W1201" s="59">
        <f>+J1201/$W$2</f>
        <v>5.1796282836649992E-4</v>
      </c>
    </row>
    <row r="1202" spans="1:29">
      <c r="A1202" s="13" t="s">
        <v>444</v>
      </c>
      <c r="B1202" s="13" t="s">
        <v>538</v>
      </c>
      <c r="C1202" s="139">
        <v>46287</v>
      </c>
      <c r="D1202" s="139" t="s">
        <v>516</v>
      </c>
      <c r="E1202" s="28">
        <v>0.91497063999999995</v>
      </c>
      <c r="F1202" s="13"/>
      <c r="G1202" s="18">
        <v>40000000</v>
      </c>
      <c r="H1202" s="18">
        <v>36598825.75</v>
      </c>
      <c r="I1202" s="18">
        <v>40000000</v>
      </c>
      <c r="J1202" s="18">
        <v>36598825.75</v>
      </c>
      <c r="K1202" s="15">
        <v>13662787</v>
      </c>
      <c r="L1202" s="13" t="s">
        <v>102</v>
      </c>
      <c r="M1202" s="13" t="s">
        <v>103</v>
      </c>
      <c r="N1202" s="139" t="s">
        <v>394</v>
      </c>
      <c r="O1202" s="139" t="s">
        <v>394</v>
      </c>
      <c r="P1202" s="28">
        <v>32</v>
      </c>
      <c r="Q1202" s="13" t="s">
        <v>54</v>
      </c>
      <c r="R1202" s="13" t="s">
        <v>28</v>
      </c>
      <c r="S1202" s="13"/>
      <c r="T1202" s="13"/>
      <c r="U1202" s="13" t="s">
        <v>1994</v>
      </c>
      <c r="V1202" s="13" t="s">
        <v>1994</v>
      </c>
      <c r="W1202" s="59">
        <f>+J1202/$W$2</f>
        <v>8.2213438882456139E-4</v>
      </c>
    </row>
    <row r="1203" spans="1:29">
      <c r="A1203" s="13" t="s">
        <v>590</v>
      </c>
      <c r="B1203" s="13" t="s">
        <v>538</v>
      </c>
      <c r="C1203" s="139">
        <v>46287</v>
      </c>
      <c r="D1203" s="139" t="s">
        <v>516</v>
      </c>
      <c r="E1203" s="28">
        <v>0.91497063999999995</v>
      </c>
      <c r="F1203" s="13"/>
      <c r="G1203" s="18">
        <v>15355310.449999999</v>
      </c>
      <c r="H1203" s="18">
        <v>14049658.289999999</v>
      </c>
      <c r="I1203" s="18">
        <v>15355310.449999999</v>
      </c>
      <c r="J1203" s="18">
        <v>14049658.289999999</v>
      </c>
      <c r="K1203" s="15">
        <v>30749</v>
      </c>
      <c r="L1203" s="13" t="s">
        <v>102</v>
      </c>
      <c r="M1203" s="13" t="s">
        <v>103</v>
      </c>
      <c r="N1203" s="139" t="s">
        <v>394</v>
      </c>
      <c r="O1203" s="139" t="s">
        <v>394</v>
      </c>
      <c r="P1203" s="28">
        <v>32</v>
      </c>
      <c r="Q1203" s="13" t="s">
        <v>54</v>
      </c>
      <c r="R1203" s="13" t="s">
        <v>28</v>
      </c>
      <c r="S1203" s="13"/>
      <c r="T1203" s="13"/>
      <c r="U1203" s="13" t="s">
        <v>1980</v>
      </c>
      <c r="V1203" s="13" t="s">
        <v>1980</v>
      </c>
      <c r="W1203" s="59">
        <f>+J1203/$W$2</f>
        <v>3.1560321935856318E-4</v>
      </c>
    </row>
    <row r="1204" spans="1:29">
      <c r="A1204" s="13" t="s">
        <v>2086</v>
      </c>
      <c r="B1204" s="13" t="s">
        <v>538</v>
      </c>
      <c r="C1204" s="139">
        <v>46288</v>
      </c>
      <c r="D1204" s="139" t="s">
        <v>516</v>
      </c>
      <c r="E1204" s="28">
        <v>0.91423728000000004</v>
      </c>
      <c r="F1204" s="13"/>
      <c r="G1204" s="18">
        <v>10000000</v>
      </c>
      <c r="H1204" s="18">
        <v>9142372.7599999998</v>
      </c>
      <c r="I1204" s="18">
        <v>10000000</v>
      </c>
      <c r="J1204" s="18">
        <v>9142372.7599999998</v>
      </c>
      <c r="K1204" s="15">
        <v>67448971</v>
      </c>
      <c r="L1204" s="13" t="s">
        <v>102</v>
      </c>
      <c r="M1204" s="13" t="s">
        <v>103</v>
      </c>
      <c r="N1204" s="139" t="s">
        <v>361</v>
      </c>
      <c r="O1204" s="139" t="s">
        <v>361</v>
      </c>
      <c r="P1204" s="28">
        <v>32</v>
      </c>
      <c r="Q1204" s="13" t="s">
        <v>54</v>
      </c>
      <c r="R1204" s="13" t="s">
        <v>28</v>
      </c>
      <c r="S1204" s="13"/>
      <c r="T1204" s="13"/>
      <c r="U1204" s="13" t="s">
        <v>2082</v>
      </c>
      <c r="V1204" s="13" t="s">
        <v>2082</v>
      </c>
      <c r="W1204" s="59">
        <f>+J1204/$W$2</f>
        <v>2.0536885780956832E-4</v>
      </c>
    </row>
    <row r="1205" spans="1:29">
      <c r="A1205" s="13" t="s">
        <v>923</v>
      </c>
      <c r="B1205" s="13" t="s">
        <v>538</v>
      </c>
      <c r="C1205" s="139">
        <v>46288</v>
      </c>
      <c r="D1205" s="139" t="s">
        <v>516</v>
      </c>
      <c r="E1205" s="28">
        <v>0.91916397999999999</v>
      </c>
      <c r="F1205" s="13"/>
      <c r="G1205" s="18">
        <v>6000000</v>
      </c>
      <c r="H1205" s="18">
        <v>5514983.9000000004</v>
      </c>
      <c r="I1205" s="18">
        <v>6000000</v>
      </c>
      <c r="J1205" s="18">
        <v>5514983.9000000004</v>
      </c>
      <c r="K1205" s="15">
        <v>10926497</v>
      </c>
      <c r="L1205" s="13" t="s">
        <v>102</v>
      </c>
      <c r="M1205" s="13" t="s">
        <v>103</v>
      </c>
      <c r="N1205" s="139" t="s">
        <v>428</v>
      </c>
      <c r="O1205" s="139" t="s">
        <v>428</v>
      </c>
      <c r="P1205" s="28">
        <v>30</v>
      </c>
      <c r="Q1205" s="13" t="s">
        <v>54</v>
      </c>
      <c r="R1205" s="13" t="s">
        <v>28</v>
      </c>
      <c r="S1205" s="13"/>
      <c r="T1205" s="13"/>
      <c r="U1205" s="13" t="s">
        <v>947</v>
      </c>
      <c r="V1205" s="13" t="s">
        <v>947</v>
      </c>
      <c r="W1205" s="59">
        <f>+J1205/$W$2</f>
        <v>1.2388533853449645E-4</v>
      </c>
    </row>
    <row r="1206" spans="1:29">
      <c r="A1206" s="13" t="s">
        <v>923</v>
      </c>
      <c r="B1206" s="13" t="s">
        <v>538</v>
      </c>
      <c r="C1206" s="139">
        <v>46288</v>
      </c>
      <c r="D1206" s="139" t="s">
        <v>516</v>
      </c>
      <c r="E1206" s="28">
        <v>0.92414428000000004</v>
      </c>
      <c r="F1206" s="13"/>
      <c r="G1206" s="18">
        <v>10000000</v>
      </c>
      <c r="H1206" s="18">
        <v>9241442.8499999996</v>
      </c>
      <c r="I1206" s="18">
        <v>10000000</v>
      </c>
      <c r="J1206" s="18">
        <v>9241442.8499999996</v>
      </c>
      <c r="K1206" s="15">
        <v>3487823</v>
      </c>
      <c r="L1206" s="13" t="s">
        <v>102</v>
      </c>
      <c r="M1206" s="13" t="s">
        <v>103</v>
      </c>
      <c r="N1206" s="139" t="s">
        <v>343</v>
      </c>
      <c r="O1206" s="139" t="s">
        <v>343</v>
      </c>
      <c r="P1206" s="28">
        <v>28</v>
      </c>
      <c r="Q1206" s="13" t="s">
        <v>54</v>
      </c>
      <c r="R1206" s="13" t="s">
        <v>28</v>
      </c>
      <c r="S1206" s="13"/>
      <c r="T1206" s="13"/>
      <c r="U1206" s="13" t="s">
        <v>1414</v>
      </c>
      <c r="V1206" s="13" t="s">
        <v>1414</v>
      </c>
      <c r="W1206" s="59">
        <f>+J1206/$W$2</f>
        <v>2.0759430975300793E-4</v>
      </c>
    </row>
    <row r="1207" spans="1:29">
      <c r="A1207" s="13" t="s">
        <v>923</v>
      </c>
      <c r="B1207" s="13" t="s">
        <v>538</v>
      </c>
      <c r="C1207" s="139">
        <v>46288</v>
      </c>
      <c r="D1207" s="139" t="s">
        <v>516</v>
      </c>
      <c r="E1207" s="28">
        <v>0.92917894999999995</v>
      </c>
      <c r="F1207" s="13"/>
      <c r="G1207" s="18">
        <v>9000000</v>
      </c>
      <c r="H1207" s="18">
        <v>8362610.5800000001</v>
      </c>
      <c r="I1207" s="18">
        <v>9000000</v>
      </c>
      <c r="J1207" s="18">
        <v>8362610.5800000001</v>
      </c>
      <c r="K1207" s="15">
        <v>3487869</v>
      </c>
      <c r="L1207" s="13" t="s">
        <v>102</v>
      </c>
      <c r="M1207" s="13" t="s">
        <v>103</v>
      </c>
      <c r="N1207" s="139" t="s">
        <v>335</v>
      </c>
      <c r="O1207" s="139" t="s">
        <v>335</v>
      </c>
      <c r="P1207" s="28">
        <v>26</v>
      </c>
      <c r="Q1207" s="13" t="s">
        <v>54</v>
      </c>
      <c r="R1207" s="13" t="s">
        <v>28</v>
      </c>
      <c r="S1207" s="13"/>
      <c r="T1207" s="13"/>
      <c r="U1207" s="13" t="s">
        <v>1729</v>
      </c>
      <c r="V1207" s="13" t="s">
        <v>1729</v>
      </c>
      <c r="W1207" s="59">
        <f>+J1207/$W$2</f>
        <v>1.8785274109965429E-4</v>
      </c>
    </row>
    <row r="1208" spans="1:29">
      <c r="A1208" s="13" t="s">
        <v>1918</v>
      </c>
      <c r="B1208" s="13" t="s">
        <v>538</v>
      </c>
      <c r="C1208" s="139">
        <v>46288</v>
      </c>
      <c r="D1208" s="139" t="s">
        <v>516</v>
      </c>
      <c r="E1208" s="28">
        <v>0.91179337000000005</v>
      </c>
      <c r="F1208" s="13"/>
      <c r="G1208" s="18">
        <v>6625114.5199999996</v>
      </c>
      <c r="H1208" s="18">
        <v>6040735.5099999998</v>
      </c>
      <c r="I1208" s="18">
        <v>6625114.5199999996</v>
      </c>
      <c r="J1208" s="18">
        <v>6040735.5099999998</v>
      </c>
      <c r="K1208" s="15">
        <v>90000979</v>
      </c>
      <c r="L1208" s="13" t="s">
        <v>102</v>
      </c>
      <c r="M1208" s="13" t="s">
        <v>103</v>
      </c>
      <c r="N1208" s="139" t="s">
        <v>175</v>
      </c>
      <c r="O1208" s="139" t="s">
        <v>175</v>
      </c>
      <c r="P1208" s="28">
        <v>33</v>
      </c>
      <c r="Q1208" s="13" t="s">
        <v>54</v>
      </c>
      <c r="R1208" s="13" t="s">
        <v>28</v>
      </c>
      <c r="S1208" s="13"/>
      <c r="T1208" s="13"/>
      <c r="U1208" s="13" t="s">
        <v>1908</v>
      </c>
      <c r="V1208" s="13" t="s">
        <v>1908</v>
      </c>
      <c r="W1208" s="59">
        <f>+J1208/$W$2</f>
        <v>1.3569551194042543E-4</v>
      </c>
      <c r="AC1208" s="56"/>
    </row>
    <row r="1209" spans="1:29">
      <c r="A1209" s="13" t="s">
        <v>539</v>
      </c>
      <c r="B1209" s="13" t="s">
        <v>538</v>
      </c>
      <c r="C1209" s="139">
        <v>46288</v>
      </c>
      <c r="D1209" s="139" t="s">
        <v>516</v>
      </c>
      <c r="E1209" s="28">
        <v>0.91916412999999997</v>
      </c>
      <c r="F1209" s="13"/>
      <c r="G1209" s="18">
        <v>7500000</v>
      </c>
      <c r="H1209" s="18">
        <v>6893731.0099999998</v>
      </c>
      <c r="I1209" s="18">
        <v>7500000</v>
      </c>
      <c r="J1209" s="18">
        <v>6893731.0099999998</v>
      </c>
      <c r="K1209" s="15">
        <v>513</v>
      </c>
      <c r="L1209" s="13" t="s">
        <v>102</v>
      </c>
      <c r="M1209" s="13" t="s">
        <v>103</v>
      </c>
      <c r="N1209" s="139" t="s">
        <v>390</v>
      </c>
      <c r="O1209" s="139" t="s">
        <v>390</v>
      </c>
      <c r="P1209" s="28">
        <v>30</v>
      </c>
      <c r="Q1209" s="13" t="s">
        <v>54</v>
      </c>
      <c r="R1209" s="13" t="s">
        <v>28</v>
      </c>
      <c r="S1209" s="13"/>
      <c r="T1209" s="13"/>
      <c r="U1209" s="13" t="s">
        <v>1564</v>
      </c>
      <c r="V1209" s="13" t="s">
        <v>1564</v>
      </c>
      <c r="W1209" s="59">
        <f>+J1209/$W$2</f>
        <v>1.5485669866408967E-4</v>
      </c>
    </row>
    <row r="1210" spans="1:29">
      <c r="A1210" s="13" t="s">
        <v>539</v>
      </c>
      <c r="B1210" s="13" t="s">
        <v>538</v>
      </c>
      <c r="C1210" s="139">
        <v>46288</v>
      </c>
      <c r="D1210" s="139" t="s">
        <v>516</v>
      </c>
      <c r="E1210" s="28">
        <v>0.91916394999999995</v>
      </c>
      <c r="F1210" s="13"/>
      <c r="G1210" s="18">
        <v>10000000</v>
      </c>
      <c r="H1210" s="18">
        <v>9191639.4900000002</v>
      </c>
      <c r="I1210" s="18">
        <v>10000000</v>
      </c>
      <c r="J1210" s="18">
        <v>9191639.4900000002</v>
      </c>
      <c r="K1210" s="15">
        <v>580</v>
      </c>
      <c r="L1210" s="13" t="s">
        <v>102</v>
      </c>
      <c r="M1210" s="13" t="s">
        <v>103</v>
      </c>
      <c r="N1210" s="139" t="s">
        <v>175</v>
      </c>
      <c r="O1210" s="139" t="s">
        <v>175</v>
      </c>
      <c r="P1210" s="28">
        <v>30</v>
      </c>
      <c r="Q1210" s="13" t="s">
        <v>54</v>
      </c>
      <c r="R1210" s="13" t="s">
        <v>28</v>
      </c>
      <c r="S1210" s="13"/>
      <c r="T1210" s="13"/>
      <c r="U1210" s="13" t="s">
        <v>1876</v>
      </c>
      <c r="V1210" s="13" t="s">
        <v>1876</v>
      </c>
      <c r="W1210" s="59">
        <f>+J1210/$W$2</f>
        <v>2.0647555651172368E-4</v>
      </c>
    </row>
    <row r="1211" spans="1:29">
      <c r="A1211" s="13" t="s">
        <v>247</v>
      </c>
      <c r="B1211" s="13" t="s">
        <v>538</v>
      </c>
      <c r="C1211" s="139">
        <v>46288</v>
      </c>
      <c r="D1211" s="139" t="s">
        <v>516</v>
      </c>
      <c r="E1211" s="28">
        <v>0.91179341000000003</v>
      </c>
      <c r="F1211" s="13"/>
      <c r="G1211" s="18">
        <v>2500000</v>
      </c>
      <c r="H1211" s="18">
        <v>2279483.52</v>
      </c>
      <c r="I1211" s="18">
        <v>2500000</v>
      </c>
      <c r="J1211" s="18">
        <v>2279483.52</v>
      </c>
      <c r="K1211" s="15">
        <v>1201</v>
      </c>
      <c r="L1211" s="13" t="s">
        <v>102</v>
      </c>
      <c r="M1211" s="13" t="s">
        <v>103</v>
      </c>
      <c r="N1211" s="139" t="s">
        <v>163</v>
      </c>
      <c r="O1211" s="139" t="s">
        <v>163</v>
      </c>
      <c r="P1211" s="28">
        <v>33</v>
      </c>
      <c r="Q1211" s="13" t="s">
        <v>54</v>
      </c>
      <c r="R1211" s="13" t="s">
        <v>28</v>
      </c>
      <c r="S1211" s="13"/>
      <c r="T1211" s="13"/>
      <c r="U1211" s="13" t="s">
        <v>1595</v>
      </c>
      <c r="V1211" s="13" t="s">
        <v>1595</v>
      </c>
      <c r="W1211" s="59">
        <f>+J1211/$W$2</f>
        <v>5.1204970436814078E-5</v>
      </c>
    </row>
    <row r="1212" spans="1:29">
      <c r="A1212" s="13" t="s">
        <v>339</v>
      </c>
      <c r="B1212" s="13" t="s">
        <v>538</v>
      </c>
      <c r="C1212" s="139">
        <v>46288</v>
      </c>
      <c r="D1212" s="139" t="s">
        <v>516</v>
      </c>
      <c r="E1212" s="28">
        <v>0.92665478000000001</v>
      </c>
      <c r="F1212" s="13"/>
      <c r="G1212" s="18">
        <v>10000000</v>
      </c>
      <c r="H1212" s="18">
        <v>9266547.8100000005</v>
      </c>
      <c r="I1212" s="18">
        <v>10000000</v>
      </c>
      <c r="J1212" s="18">
        <v>9266547.8100000005</v>
      </c>
      <c r="K1212" s="15">
        <v>67280581</v>
      </c>
      <c r="L1212" s="13" t="s">
        <v>102</v>
      </c>
      <c r="M1212" s="13" t="s">
        <v>103</v>
      </c>
      <c r="N1212" s="139" t="s">
        <v>394</v>
      </c>
      <c r="O1212" s="139" t="s">
        <v>394</v>
      </c>
      <c r="P1212" s="28">
        <v>27</v>
      </c>
      <c r="Q1212" s="13" t="s">
        <v>54</v>
      </c>
      <c r="R1212" s="13" t="s">
        <v>28</v>
      </c>
      <c r="S1212" s="13"/>
      <c r="T1212" s="13"/>
      <c r="U1212" s="13" t="s">
        <v>1962</v>
      </c>
      <c r="V1212" s="13" t="s">
        <v>1962</v>
      </c>
      <c r="W1212" s="59">
        <f>+J1212/$W$2</f>
        <v>2.0815825273541537E-4</v>
      </c>
    </row>
    <row r="1213" spans="1:29">
      <c r="A1213" s="13" t="s">
        <v>339</v>
      </c>
      <c r="B1213" s="13" t="s">
        <v>538</v>
      </c>
      <c r="C1213" s="139">
        <v>46288</v>
      </c>
      <c r="D1213" s="139" t="s">
        <v>516</v>
      </c>
      <c r="E1213" s="28">
        <v>0.92665478000000001</v>
      </c>
      <c r="F1213" s="13"/>
      <c r="G1213" s="18">
        <v>10000000</v>
      </c>
      <c r="H1213" s="18">
        <v>9266547.8100000005</v>
      </c>
      <c r="I1213" s="18">
        <v>10000000</v>
      </c>
      <c r="J1213" s="18">
        <v>9266547.8100000005</v>
      </c>
      <c r="K1213" s="15">
        <v>67280500</v>
      </c>
      <c r="L1213" s="13" t="s">
        <v>102</v>
      </c>
      <c r="M1213" s="13" t="s">
        <v>103</v>
      </c>
      <c r="N1213" s="139" t="s">
        <v>394</v>
      </c>
      <c r="O1213" s="139" t="s">
        <v>394</v>
      </c>
      <c r="P1213" s="28">
        <v>27</v>
      </c>
      <c r="Q1213" s="13" t="s">
        <v>54</v>
      </c>
      <c r="R1213" s="13" t="s">
        <v>28</v>
      </c>
      <c r="S1213" s="13"/>
      <c r="T1213" s="13"/>
      <c r="U1213" s="13" t="s">
        <v>1965</v>
      </c>
      <c r="V1213" s="13" t="s">
        <v>1965</v>
      </c>
      <c r="W1213" s="59">
        <f>+J1213/$W$2</f>
        <v>2.0815825273541537E-4</v>
      </c>
      <c r="AC1213" s="56"/>
    </row>
    <row r="1214" spans="1:29">
      <c r="A1214" s="13" t="s">
        <v>339</v>
      </c>
      <c r="B1214" s="13" t="s">
        <v>538</v>
      </c>
      <c r="C1214" s="139">
        <v>46288</v>
      </c>
      <c r="D1214" s="139" t="s">
        <v>516</v>
      </c>
      <c r="E1214" s="28">
        <v>0.92665478000000001</v>
      </c>
      <c r="F1214" s="13"/>
      <c r="G1214" s="18">
        <v>5000000</v>
      </c>
      <c r="H1214" s="18">
        <v>4633273.92</v>
      </c>
      <c r="I1214" s="18">
        <v>5000000</v>
      </c>
      <c r="J1214" s="18">
        <v>4633273.92</v>
      </c>
      <c r="K1214" s="15">
        <v>67193054</v>
      </c>
      <c r="L1214" s="13" t="s">
        <v>102</v>
      </c>
      <c r="M1214" s="13" t="s">
        <v>103</v>
      </c>
      <c r="N1214" s="139" t="s">
        <v>394</v>
      </c>
      <c r="O1214" s="139" t="s">
        <v>394</v>
      </c>
      <c r="P1214" s="28">
        <v>27</v>
      </c>
      <c r="Q1214" s="13" t="s">
        <v>54</v>
      </c>
      <c r="R1214" s="13" t="s">
        <v>28</v>
      </c>
      <c r="S1214" s="13"/>
      <c r="T1214" s="13"/>
      <c r="U1214" s="13" t="s">
        <v>1968</v>
      </c>
      <c r="V1214" s="13" t="s">
        <v>1968</v>
      </c>
      <c r="W1214" s="59">
        <f>+J1214/$W$2</f>
        <v>1.0407912670465881E-4</v>
      </c>
    </row>
    <row r="1215" spans="1:29">
      <c r="A1215" s="13" t="s">
        <v>339</v>
      </c>
      <c r="B1215" s="13" t="s">
        <v>538</v>
      </c>
      <c r="C1215" s="139">
        <v>46288</v>
      </c>
      <c r="D1215" s="139" t="s">
        <v>516</v>
      </c>
      <c r="E1215" s="28">
        <v>0.92665478000000001</v>
      </c>
      <c r="F1215" s="13"/>
      <c r="G1215" s="18">
        <v>5000000</v>
      </c>
      <c r="H1215" s="18">
        <v>4633273.92</v>
      </c>
      <c r="I1215" s="18">
        <v>5000000</v>
      </c>
      <c r="J1215" s="18">
        <v>4633273.92</v>
      </c>
      <c r="K1215" s="15">
        <v>67193055</v>
      </c>
      <c r="L1215" s="13" t="s">
        <v>102</v>
      </c>
      <c r="M1215" s="13" t="s">
        <v>103</v>
      </c>
      <c r="N1215" s="139" t="s">
        <v>394</v>
      </c>
      <c r="O1215" s="139" t="s">
        <v>394</v>
      </c>
      <c r="P1215" s="28">
        <v>27</v>
      </c>
      <c r="Q1215" s="13" t="s">
        <v>54</v>
      </c>
      <c r="R1215" s="13" t="s">
        <v>28</v>
      </c>
      <c r="S1215" s="13"/>
      <c r="T1215" s="13"/>
      <c r="U1215" s="13" t="s">
        <v>1970</v>
      </c>
      <c r="V1215" s="13" t="s">
        <v>1970</v>
      </c>
      <c r="W1215" s="59">
        <f>+J1215/$W$2</f>
        <v>1.0407912670465881E-4</v>
      </c>
    </row>
    <row r="1216" spans="1:29">
      <c r="A1216" s="13" t="s">
        <v>209</v>
      </c>
      <c r="B1216" s="13" t="s">
        <v>538</v>
      </c>
      <c r="C1216" s="139">
        <v>46288</v>
      </c>
      <c r="D1216" s="139" t="s">
        <v>516</v>
      </c>
      <c r="E1216" s="28">
        <v>0.93426863999999998</v>
      </c>
      <c r="F1216" s="13"/>
      <c r="G1216" s="18">
        <v>685765.71</v>
      </c>
      <c r="H1216" s="18">
        <v>640689.4</v>
      </c>
      <c r="I1216" s="18">
        <v>685765.71</v>
      </c>
      <c r="J1216" s="18">
        <v>640689.4</v>
      </c>
      <c r="K1216" s="15">
        <v>612096</v>
      </c>
      <c r="L1216" s="13" t="s">
        <v>102</v>
      </c>
      <c r="M1216" s="13" t="s">
        <v>103</v>
      </c>
      <c r="N1216" s="139" t="s">
        <v>335</v>
      </c>
      <c r="O1216" s="139" t="s">
        <v>335</v>
      </c>
      <c r="P1216" s="28">
        <v>24</v>
      </c>
      <c r="Q1216" s="13" t="s">
        <v>54</v>
      </c>
      <c r="R1216" s="13" t="s">
        <v>28</v>
      </c>
      <c r="S1216" s="13"/>
      <c r="T1216" s="13"/>
      <c r="U1216" s="13" t="s">
        <v>1762</v>
      </c>
      <c r="V1216" s="13" t="s">
        <v>1762</v>
      </c>
      <c r="W1216" s="59">
        <f>+J1216/$W$2</f>
        <v>1.4392067983093009E-5</v>
      </c>
    </row>
    <row r="1217" spans="1:30">
      <c r="A1217" s="13" t="s">
        <v>209</v>
      </c>
      <c r="B1217" s="13" t="s">
        <v>538</v>
      </c>
      <c r="C1217" s="139">
        <v>46288</v>
      </c>
      <c r="D1217" s="139" t="s">
        <v>516</v>
      </c>
      <c r="E1217" s="28">
        <v>0.93426863000000004</v>
      </c>
      <c r="F1217" s="13"/>
      <c r="G1217" s="18">
        <v>535280.22</v>
      </c>
      <c r="H1217" s="18">
        <v>500095.52</v>
      </c>
      <c r="I1217" s="18">
        <v>535280.22</v>
      </c>
      <c r="J1217" s="18">
        <v>500095.52</v>
      </c>
      <c r="K1217" s="15">
        <v>612233</v>
      </c>
      <c r="L1217" s="13" t="s">
        <v>102</v>
      </c>
      <c r="M1217" s="13" t="s">
        <v>103</v>
      </c>
      <c r="N1217" s="139" t="s">
        <v>335</v>
      </c>
      <c r="O1217" s="139" t="s">
        <v>335</v>
      </c>
      <c r="P1217" s="28">
        <v>24</v>
      </c>
      <c r="Q1217" s="13" t="s">
        <v>54</v>
      </c>
      <c r="R1217" s="13" t="s">
        <v>28</v>
      </c>
      <c r="S1217" s="13"/>
      <c r="T1217" s="13"/>
      <c r="U1217" s="13" t="s">
        <v>1766</v>
      </c>
      <c r="V1217" s="13" t="s">
        <v>1766</v>
      </c>
      <c r="W1217" s="59">
        <f>+J1217/$W$2</f>
        <v>1.1233850164963318E-5</v>
      </c>
    </row>
    <row r="1218" spans="1:30">
      <c r="A1218" s="13" t="s">
        <v>209</v>
      </c>
      <c r="B1218" s="13" t="s">
        <v>538</v>
      </c>
      <c r="C1218" s="139">
        <v>46288</v>
      </c>
      <c r="D1218" s="139" t="s">
        <v>516</v>
      </c>
      <c r="E1218" s="28">
        <v>0.93426863000000004</v>
      </c>
      <c r="F1218" s="13"/>
      <c r="G1218" s="18">
        <v>535280.22</v>
      </c>
      <c r="H1218" s="18">
        <v>500095.52</v>
      </c>
      <c r="I1218" s="18">
        <v>535280.22</v>
      </c>
      <c r="J1218" s="18">
        <v>500095.52</v>
      </c>
      <c r="K1218" s="15">
        <v>612235</v>
      </c>
      <c r="L1218" s="13" t="s">
        <v>102</v>
      </c>
      <c r="M1218" s="13" t="s">
        <v>103</v>
      </c>
      <c r="N1218" s="139" t="s">
        <v>335</v>
      </c>
      <c r="O1218" s="139" t="s">
        <v>335</v>
      </c>
      <c r="P1218" s="28">
        <v>24</v>
      </c>
      <c r="Q1218" s="13" t="s">
        <v>54</v>
      </c>
      <c r="R1218" s="13" t="s">
        <v>28</v>
      </c>
      <c r="S1218" s="13"/>
      <c r="T1218" s="13"/>
      <c r="U1218" s="13" t="s">
        <v>1767</v>
      </c>
      <c r="V1218" s="13" t="s">
        <v>1767</v>
      </c>
      <c r="W1218" s="59">
        <f>+J1218/$W$2</f>
        <v>1.1233850164963318E-5</v>
      </c>
    </row>
    <row r="1219" spans="1:30">
      <c r="A1219" s="13" t="s">
        <v>209</v>
      </c>
      <c r="B1219" s="13" t="s">
        <v>538</v>
      </c>
      <c r="C1219" s="139">
        <v>46288</v>
      </c>
      <c r="D1219" s="139" t="s">
        <v>516</v>
      </c>
      <c r="E1219" s="28">
        <v>0.93426865000000003</v>
      </c>
      <c r="F1219" s="13"/>
      <c r="G1219" s="18">
        <v>689115.82</v>
      </c>
      <c r="H1219" s="18">
        <v>643819.30000000005</v>
      </c>
      <c r="I1219" s="18">
        <v>689115.82</v>
      </c>
      <c r="J1219" s="18">
        <v>643819.30000000005</v>
      </c>
      <c r="K1219" s="15">
        <v>612121</v>
      </c>
      <c r="L1219" s="13" t="s">
        <v>102</v>
      </c>
      <c r="M1219" s="13" t="s">
        <v>103</v>
      </c>
      <c r="N1219" s="139" t="s">
        <v>335</v>
      </c>
      <c r="O1219" s="139" t="s">
        <v>335</v>
      </c>
      <c r="P1219" s="28">
        <v>24</v>
      </c>
      <c r="Q1219" s="13" t="s">
        <v>54</v>
      </c>
      <c r="R1219" s="13" t="s">
        <v>28</v>
      </c>
      <c r="S1219" s="13"/>
      <c r="T1219" s="13"/>
      <c r="U1219" s="13" t="s">
        <v>1768</v>
      </c>
      <c r="V1219" s="13" t="s">
        <v>1768</v>
      </c>
      <c r="W1219" s="59">
        <f>+J1219/$W$2</f>
        <v>1.4462376206672614E-5</v>
      </c>
    </row>
    <row r="1220" spans="1:30">
      <c r="A1220" s="13" t="s">
        <v>209</v>
      </c>
      <c r="B1220" s="13" t="s">
        <v>538</v>
      </c>
      <c r="C1220" s="139">
        <v>46288</v>
      </c>
      <c r="D1220" s="139" t="s">
        <v>516</v>
      </c>
      <c r="E1220" s="28">
        <v>0.93426863999999998</v>
      </c>
      <c r="F1220" s="13"/>
      <c r="G1220" s="18">
        <v>2688265.68</v>
      </c>
      <c r="H1220" s="18">
        <v>2511562.31</v>
      </c>
      <c r="I1220" s="18">
        <v>2688265.68</v>
      </c>
      <c r="J1220" s="18">
        <v>2511562.31</v>
      </c>
      <c r="K1220" s="15">
        <v>612240</v>
      </c>
      <c r="L1220" s="13" t="s">
        <v>102</v>
      </c>
      <c r="M1220" s="13" t="s">
        <v>103</v>
      </c>
      <c r="N1220" s="139" t="s">
        <v>335</v>
      </c>
      <c r="O1220" s="139" t="s">
        <v>335</v>
      </c>
      <c r="P1220" s="28">
        <v>24</v>
      </c>
      <c r="Q1220" s="13" t="s">
        <v>54</v>
      </c>
      <c r="R1220" s="13" t="s">
        <v>28</v>
      </c>
      <c r="S1220" s="13"/>
      <c r="T1220" s="13"/>
      <c r="U1220" s="13" t="s">
        <v>1769</v>
      </c>
      <c r="V1220" s="13" t="s">
        <v>1769</v>
      </c>
      <c r="W1220" s="59">
        <f>+J1220/$W$2</f>
        <v>5.6418251198309381E-5</v>
      </c>
    </row>
    <row r="1221" spans="1:30">
      <c r="A1221" s="13" t="s">
        <v>590</v>
      </c>
      <c r="B1221" s="13" t="s">
        <v>538</v>
      </c>
      <c r="C1221" s="139">
        <v>46288</v>
      </c>
      <c r="D1221" s="139" t="s">
        <v>516</v>
      </c>
      <c r="E1221" s="28">
        <v>0.91423719999999997</v>
      </c>
      <c r="F1221" s="13"/>
      <c r="G1221" s="18">
        <v>15355310.449999999</v>
      </c>
      <c r="H1221" s="18">
        <v>14038396.07</v>
      </c>
      <c r="I1221" s="18">
        <v>15355310.449999999</v>
      </c>
      <c r="J1221" s="18">
        <v>14038396.07</v>
      </c>
      <c r="K1221" s="15">
        <v>30750</v>
      </c>
      <c r="L1221" s="13" t="s">
        <v>102</v>
      </c>
      <c r="M1221" s="13" t="s">
        <v>103</v>
      </c>
      <c r="N1221" s="139" t="s">
        <v>394</v>
      </c>
      <c r="O1221" s="139" t="s">
        <v>394</v>
      </c>
      <c r="P1221" s="28">
        <v>32</v>
      </c>
      <c r="Q1221" s="13" t="s">
        <v>54</v>
      </c>
      <c r="R1221" s="13" t="s">
        <v>28</v>
      </c>
      <c r="S1221" s="13"/>
      <c r="T1221" s="13"/>
      <c r="U1221" s="13" t="s">
        <v>1981</v>
      </c>
      <c r="V1221" s="13" t="s">
        <v>1981</v>
      </c>
      <c r="W1221" s="59">
        <f>+J1221/$W$2</f>
        <v>3.1535023150535302E-4</v>
      </c>
      <c r="AC1221" s="56"/>
    </row>
    <row r="1222" spans="1:30">
      <c r="A1222" s="13" t="s">
        <v>819</v>
      </c>
      <c r="B1222" s="13" t="s">
        <v>538</v>
      </c>
      <c r="C1222" s="139">
        <v>46288</v>
      </c>
      <c r="D1222" s="139" t="s">
        <v>516</v>
      </c>
      <c r="E1222" s="28">
        <v>0.92414430000000003</v>
      </c>
      <c r="F1222" s="13"/>
      <c r="G1222" s="18">
        <v>10000000</v>
      </c>
      <c r="H1222" s="18">
        <v>9241443.0500000007</v>
      </c>
      <c r="I1222" s="18">
        <v>10000000</v>
      </c>
      <c r="J1222" s="18">
        <v>9241443.0500000007</v>
      </c>
      <c r="K1222" s="15">
        <v>360566</v>
      </c>
      <c r="L1222" s="13" t="s">
        <v>102</v>
      </c>
      <c r="M1222" s="13" t="s">
        <v>103</v>
      </c>
      <c r="N1222" s="139" t="s">
        <v>366</v>
      </c>
      <c r="O1222" s="139" t="s">
        <v>366</v>
      </c>
      <c r="P1222" s="28">
        <v>28</v>
      </c>
      <c r="Q1222" s="13" t="s">
        <v>54</v>
      </c>
      <c r="R1222" s="13" t="s">
        <v>28</v>
      </c>
      <c r="S1222" s="13"/>
      <c r="T1222" s="13"/>
      <c r="U1222" s="13" t="s">
        <v>1019</v>
      </c>
      <c r="V1222" s="13" t="s">
        <v>1019</v>
      </c>
      <c r="W1222" s="59">
        <f>+J1222/$W$2</f>
        <v>2.0759431424568974E-4</v>
      </c>
      <c r="AC1222" s="56"/>
    </row>
    <row r="1223" spans="1:30">
      <c r="A1223" s="13" t="s">
        <v>993</v>
      </c>
      <c r="B1223" s="13" t="s">
        <v>538</v>
      </c>
      <c r="C1223" s="139">
        <v>46288</v>
      </c>
      <c r="D1223" s="139" t="s">
        <v>516</v>
      </c>
      <c r="E1223" s="28">
        <v>0.91669403000000005</v>
      </c>
      <c r="F1223" s="13"/>
      <c r="G1223" s="18">
        <v>3000000</v>
      </c>
      <c r="H1223" s="18">
        <v>2750082.09</v>
      </c>
      <c r="I1223" s="18">
        <v>3000000</v>
      </c>
      <c r="J1223" s="18">
        <v>2750082.09</v>
      </c>
      <c r="K1223" s="15">
        <v>90003468</v>
      </c>
      <c r="L1223" s="13" t="s">
        <v>102</v>
      </c>
      <c r="M1223" s="13" t="s">
        <v>103</v>
      </c>
      <c r="N1223" s="139" t="s">
        <v>344</v>
      </c>
      <c r="O1223" s="139" t="s">
        <v>344</v>
      </c>
      <c r="P1223" s="28">
        <v>31</v>
      </c>
      <c r="Q1223" s="13" t="s">
        <v>54</v>
      </c>
      <c r="R1223" s="13" t="s">
        <v>28</v>
      </c>
      <c r="S1223" s="13"/>
      <c r="T1223" s="13"/>
      <c r="U1223" s="13" t="s">
        <v>1110</v>
      </c>
      <c r="V1223" s="13" t="s">
        <v>1110</v>
      </c>
      <c r="W1223" s="59">
        <f>+J1223/$W$2</f>
        <v>6.1776218552026153E-5</v>
      </c>
    </row>
    <row r="1224" spans="1:30">
      <c r="A1224" s="13" t="s">
        <v>2044</v>
      </c>
      <c r="B1224" s="13" t="s">
        <v>538</v>
      </c>
      <c r="C1224" s="139">
        <v>46289</v>
      </c>
      <c r="D1224" s="139" t="s">
        <v>516</v>
      </c>
      <c r="E1224" s="28">
        <v>0.91350492999999999</v>
      </c>
      <c r="F1224" s="13"/>
      <c r="G1224" s="18">
        <v>1000000</v>
      </c>
      <c r="H1224" s="18">
        <v>913504.93</v>
      </c>
      <c r="I1224" s="18">
        <v>1000000</v>
      </c>
      <c r="J1224" s="18">
        <v>913504.93</v>
      </c>
      <c r="K1224" s="15">
        <v>67381805</v>
      </c>
      <c r="L1224" s="13" t="s">
        <v>102</v>
      </c>
      <c r="M1224" s="13" t="s">
        <v>103</v>
      </c>
      <c r="N1224" s="139" t="s">
        <v>394</v>
      </c>
      <c r="O1224" s="139" t="s">
        <v>394</v>
      </c>
      <c r="P1224" s="28">
        <v>32</v>
      </c>
      <c r="Q1224" s="13" t="s">
        <v>54</v>
      </c>
      <c r="R1224" s="13" t="s">
        <v>28</v>
      </c>
      <c r="S1224" s="13"/>
      <c r="T1224" s="13"/>
      <c r="U1224" s="13" t="s">
        <v>2056</v>
      </c>
      <c r="V1224" s="13" t="s">
        <v>2056</v>
      </c>
      <c r="W1224" s="59">
        <f>+J1224/$W$2</f>
        <v>2.0520434793287698E-5</v>
      </c>
    </row>
    <row r="1225" spans="1:30">
      <c r="A1225" s="13" t="s">
        <v>339</v>
      </c>
      <c r="B1225" s="13" t="s">
        <v>538</v>
      </c>
      <c r="C1225" s="139">
        <v>46289</v>
      </c>
      <c r="D1225" s="139" t="s">
        <v>516</v>
      </c>
      <c r="E1225" s="28">
        <v>0.92601995999999998</v>
      </c>
      <c r="F1225" s="13"/>
      <c r="G1225" s="18">
        <v>8000000</v>
      </c>
      <c r="H1225" s="18">
        <v>7408159.6900000004</v>
      </c>
      <c r="I1225" s="18">
        <v>8000000</v>
      </c>
      <c r="J1225" s="18">
        <v>7408159.6900000004</v>
      </c>
      <c r="K1225" s="15">
        <v>67280737</v>
      </c>
      <c r="L1225" s="13" t="s">
        <v>102</v>
      </c>
      <c r="M1225" s="13" t="s">
        <v>103</v>
      </c>
      <c r="N1225" s="139" t="s">
        <v>394</v>
      </c>
      <c r="O1225" s="139" t="s">
        <v>394</v>
      </c>
      <c r="P1225" s="28">
        <v>27</v>
      </c>
      <c r="Q1225" s="13" t="s">
        <v>54</v>
      </c>
      <c r="R1225" s="13" t="s">
        <v>28</v>
      </c>
      <c r="S1225" s="13"/>
      <c r="T1225" s="13"/>
      <c r="U1225" s="13" t="s">
        <v>1964</v>
      </c>
      <c r="V1225" s="13" t="s">
        <v>1964</v>
      </c>
      <c r="W1225" s="59">
        <f>+J1225/$W$2</f>
        <v>1.664125204632529E-4</v>
      </c>
    </row>
    <row r="1226" spans="1:30">
      <c r="A1226" s="13" t="s">
        <v>339</v>
      </c>
      <c r="B1226" s="13" t="s">
        <v>538</v>
      </c>
      <c r="C1226" s="139">
        <v>46289</v>
      </c>
      <c r="D1226" s="139" t="s">
        <v>516</v>
      </c>
      <c r="E1226" s="28">
        <v>0.92601995999999998</v>
      </c>
      <c r="F1226" s="13"/>
      <c r="G1226" s="18">
        <v>5000000</v>
      </c>
      <c r="H1226" s="18">
        <v>4630099.8099999996</v>
      </c>
      <c r="I1226" s="18">
        <v>5000000</v>
      </c>
      <c r="J1226" s="18">
        <v>4630099.8099999996</v>
      </c>
      <c r="K1226" s="15">
        <v>67193056</v>
      </c>
      <c r="L1226" s="13" t="s">
        <v>102</v>
      </c>
      <c r="M1226" s="13" t="s">
        <v>103</v>
      </c>
      <c r="N1226" s="139" t="s">
        <v>394</v>
      </c>
      <c r="O1226" s="139" t="s">
        <v>394</v>
      </c>
      <c r="P1226" s="28">
        <v>27</v>
      </c>
      <c r="Q1226" s="13" t="s">
        <v>54</v>
      </c>
      <c r="R1226" s="13" t="s">
        <v>28</v>
      </c>
      <c r="S1226" s="13"/>
      <c r="T1226" s="13"/>
      <c r="U1226" s="13" t="s">
        <v>1969</v>
      </c>
      <c r="V1226" s="13" t="s">
        <v>1969</v>
      </c>
      <c r="W1226" s="59">
        <f>+J1226/$W$2</f>
        <v>1.0400782537377083E-4</v>
      </c>
      <c r="AC1226" s="56"/>
    </row>
    <row r="1227" spans="1:30">
      <c r="A1227" s="13" t="s">
        <v>590</v>
      </c>
      <c r="B1227" s="13" t="s">
        <v>538</v>
      </c>
      <c r="C1227" s="139">
        <v>46289</v>
      </c>
      <c r="D1227" s="139" t="s">
        <v>516</v>
      </c>
      <c r="E1227" s="28">
        <v>0.91350494000000004</v>
      </c>
      <c r="F1227" s="13"/>
      <c r="G1227" s="18">
        <v>15355310.449999999</v>
      </c>
      <c r="H1227" s="18">
        <v>14027151.9</v>
      </c>
      <c r="I1227" s="18">
        <v>15355310.449999999</v>
      </c>
      <c r="J1227" s="18">
        <v>14027151.9</v>
      </c>
      <c r="K1227" s="15">
        <v>30751</v>
      </c>
      <c r="L1227" s="13" t="s">
        <v>102</v>
      </c>
      <c r="M1227" s="13" t="s">
        <v>103</v>
      </c>
      <c r="N1227" s="139" t="s">
        <v>394</v>
      </c>
      <c r="O1227" s="139" t="s">
        <v>394</v>
      </c>
      <c r="P1227" s="28">
        <v>32</v>
      </c>
      <c r="Q1227" s="13" t="s">
        <v>54</v>
      </c>
      <c r="R1227" s="13" t="s">
        <v>28</v>
      </c>
      <c r="S1227" s="13"/>
      <c r="T1227" s="13"/>
      <c r="U1227" s="13" t="s">
        <v>1982</v>
      </c>
      <c r="V1227" s="13" t="s">
        <v>1982</v>
      </c>
      <c r="W1227" s="59">
        <f>+J1227/$W$2</f>
        <v>3.1509764911667379E-4</v>
      </c>
    </row>
    <row r="1228" spans="1:30">
      <c r="A1228" s="13" t="s">
        <v>539</v>
      </c>
      <c r="B1228" s="13" t="s">
        <v>538</v>
      </c>
      <c r="C1228" s="139">
        <v>46290</v>
      </c>
      <c r="D1228" s="139" t="s">
        <v>516</v>
      </c>
      <c r="E1228" s="28">
        <v>0.91777726999999998</v>
      </c>
      <c r="F1228" s="13"/>
      <c r="G1228" s="18">
        <v>10000000</v>
      </c>
      <c r="H1228" s="18">
        <v>9177772.7200000007</v>
      </c>
      <c r="I1228" s="18">
        <v>10000000</v>
      </c>
      <c r="J1228" s="18">
        <v>9177772.7200000007</v>
      </c>
      <c r="K1228" s="15">
        <v>570</v>
      </c>
      <c r="L1228" s="13" t="s">
        <v>102</v>
      </c>
      <c r="M1228" s="13" t="s">
        <v>103</v>
      </c>
      <c r="N1228" s="139" t="s">
        <v>389</v>
      </c>
      <c r="O1228" s="139" t="s">
        <v>389</v>
      </c>
      <c r="P1228" s="28">
        <v>30</v>
      </c>
      <c r="Q1228" s="13" t="s">
        <v>54</v>
      </c>
      <c r="R1228" s="13" t="s">
        <v>28</v>
      </c>
      <c r="S1228" s="13"/>
      <c r="T1228" s="13"/>
      <c r="U1228" s="13" t="s">
        <v>1846</v>
      </c>
      <c r="V1228" s="13" t="s">
        <v>1846</v>
      </c>
      <c r="W1228" s="59">
        <f>+J1228/$W$2</f>
        <v>2.0616406158681014E-4</v>
      </c>
    </row>
    <row r="1229" spans="1:30">
      <c r="A1229" s="13" t="s">
        <v>339</v>
      </c>
      <c r="B1229" s="13" t="s">
        <v>538</v>
      </c>
      <c r="C1229" s="139">
        <v>46290</v>
      </c>
      <c r="D1229" s="139" t="s">
        <v>516</v>
      </c>
      <c r="E1229" s="28">
        <v>0.92538600999999998</v>
      </c>
      <c r="F1229" s="13"/>
      <c r="G1229" s="18">
        <v>5000000</v>
      </c>
      <c r="H1229" s="18">
        <v>4626930.04</v>
      </c>
      <c r="I1229" s="18">
        <v>5000000</v>
      </c>
      <c r="J1229" s="18">
        <v>4626930.04</v>
      </c>
      <c r="K1229" s="15">
        <v>67193057</v>
      </c>
      <c r="L1229" s="13" t="s">
        <v>102</v>
      </c>
      <c r="M1229" s="13" t="s">
        <v>103</v>
      </c>
      <c r="N1229" s="139" t="s">
        <v>394</v>
      </c>
      <c r="O1229" s="139" t="s">
        <v>394</v>
      </c>
      <c r="P1229" s="28">
        <v>27</v>
      </c>
      <c r="Q1229" s="13" t="s">
        <v>54</v>
      </c>
      <c r="R1229" s="13" t="s">
        <v>28</v>
      </c>
      <c r="S1229" s="13"/>
      <c r="T1229" s="13"/>
      <c r="U1229" s="13" t="s">
        <v>1972</v>
      </c>
      <c r="V1229" s="13" t="s">
        <v>1972</v>
      </c>
      <c r="W1229" s="59">
        <f>+J1229/$W$2</f>
        <v>1.0393662153407758E-4</v>
      </c>
    </row>
    <row r="1230" spans="1:30">
      <c r="A1230" s="13" t="s">
        <v>993</v>
      </c>
      <c r="B1230" s="13" t="s">
        <v>538</v>
      </c>
      <c r="C1230" s="139">
        <v>46290</v>
      </c>
      <c r="D1230" s="139" t="s">
        <v>516</v>
      </c>
      <c r="E1230" s="28">
        <v>0.91526872999999997</v>
      </c>
      <c r="F1230" s="13"/>
      <c r="G1230" s="18">
        <v>3000000</v>
      </c>
      <c r="H1230" s="18">
        <v>2745806.2</v>
      </c>
      <c r="I1230" s="18">
        <v>3000000</v>
      </c>
      <c r="J1230" s="18">
        <v>2745806.2</v>
      </c>
      <c r="K1230" s="15">
        <v>90003469</v>
      </c>
      <c r="L1230" s="13" t="s">
        <v>102</v>
      </c>
      <c r="M1230" s="13" t="s">
        <v>103</v>
      </c>
      <c r="N1230" s="139" t="s">
        <v>344</v>
      </c>
      <c r="O1230" s="139" t="s">
        <v>344</v>
      </c>
      <c r="P1230" s="28">
        <v>31</v>
      </c>
      <c r="Q1230" s="13" t="s">
        <v>54</v>
      </c>
      <c r="R1230" s="13" t="s">
        <v>28</v>
      </c>
      <c r="S1230" s="13"/>
      <c r="T1230" s="13"/>
      <c r="U1230" s="13" t="s">
        <v>1107</v>
      </c>
      <c r="V1230" s="13" t="s">
        <v>1107</v>
      </c>
      <c r="W1230" s="59">
        <f>+J1230/$W$2</f>
        <v>6.168016748645799E-5</v>
      </c>
      <c r="AA1230" s="13"/>
      <c r="AB1230" s="13"/>
      <c r="AC1230" s="23"/>
      <c r="AD1230" s="16"/>
    </row>
    <row r="1231" spans="1:30">
      <c r="A1231" s="13" t="s">
        <v>339</v>
      </c>
      <c r="B1231" s="13" t="s">
        <v>538</v>
      </c>
      <c r="C1231" s="139">
        <v>46293</v>
      </c>
      <c r="D1231" s="139" t="s">
        <v>516</v>
      </c>
      <c r="E1231" s="28">
        <v>0.92348958000000003</v>
      </c>
      <c r="F1231" s="13"/>
      <c r="G1231" s="18">
        <v>5000000</v>
      </c>
      <c r="H1231" s="18">
        <v>4617447.88</v>
      </c>
      <c r="I1231" s="18">
        <v>5000000</v>
      </c>
      <c r="J1231" s="18">
        <v>4617447.88</v>
      </c>
      <c r="K1231" s="15">
        <v>67193059</v>
      </c>
      <c r="L1231" s="13" t="s">
        <v>102</v>
      </c>
      <c r="M1231" s="13" t="s">
        <v>103</v>
      </c>
      <c r="N1231" s="139" t="s">
        <v>394</v>
      </c>
      <c r="O1231" s="139" t="s">
        <v>394</v>
      </c>
      <c r="P1231" s="28">
        <v>27</v>
      </c>
      <c r="Q1231" s="13" t="s">
        <v>54</v>
      </c>
      <c r="R1231" s="13" t="s">
        <v>28</v>
      </c>
      <c r="S1231" s="13"/>
      <c r="T1231" s="13"/>
      <c r="U1231" s="13" t="s">
        <v>1974</v>
      </c>
      <c r="V1231" s="13" t="s">
        <v>1974</v>
      </c>
      <c r="W1231" s="59">
        <f>+J1231/$W$2</f>
        <v>1.0372361989654999E-4</v>
      </c>
    </row>
    <row r="1232" spans="1:30">
      <c r="A1232" s="13" t="s">
        <v>550</v>
      </c>
      <c r="B1232" s="13" t="s">
        <v>538</v>
      </c>
      <c r="C1232" s="139">
        <v>46294</v>
      </c>
      <c r="D1232" s="139" t="s">
        <v>516</v>
      </c>
      <c r="E1232" s="28">
        <v>0.90730569999999999</v>
      </c>
      <c r="F1232" s="13"/>
      <c r="G1232" s="18">
        <v>12500000</v>
      </c>
      <c r="H1232" s="18">
        <v>11341321.26</v>
      </c>
      <c r="I1232" s="18">
        <v>12500000</v>
      </c>
      <c r="J1232" s="18">
        <v>11341321.26</v>
      </c>
      <c r="K1232" s="15">
        <v>1361</v>
      </c>
      <c r="L1232" s="13" t="s">
        <v>102</v>
      </c>
      <c r="M1232" s="13" t="s">
        <v>103</v>
      </c>
      <c r="N1232" s="139" t="s">
        <v>472</v>
      </c>
      <c r="O1232" s="139" t="s">
        <v>472</v>
      </c>
      <c r="P1232" s="28">
        <v>33</v>
      </c>
      <c r="Q1232" s="13" t="s">
        <v>54</v>
      </c>
      <c r="R1232" s="13" t="s">
        <v>28</v>
      </c>
      <c r="S1232" s="13"/>
      <c r="T1232" s="13"/>
      <c r="U1232" s="13" t="s">
        <v>1632</v>
      </c>
      <c r="V1232" s="13" t="s">
        <v>1632</v>
      </c>
      <c r="W1232" s="59">
        <f>+J1232/$W$2</f>
        <v>2.5476473715971894E-4</v>
      </c>
    </row>
    <row r="1233" spans="1:29">
      <c r="A1233" s="13" t="s">
        <v>2044</v>
      </c>
      <c r="B1233" s="13" t="s">
        <v>538</v>
      </c>
      <c r="C1233" s="139">
        <v>46294</v>
      </c>
      <c r="D1233" s="139" t="s">
        <v>516</v>
      </c>
      <c r="E1233" s="28">
        <v>0.90986164999999997</v>
      </c>
      <c r="F1233" s="13"/>
      <c r="G1233" s="18">
        <v>1008513.5</v>
      </c>
      <c r="H1233" s="18">
        <v>917607.75</v>
      </c>
      <c r="I1233" s="18">
        <v>1008513.5</v>
      </c>
      <c r="J1233" s="18">
        <v>917607.75</v>
      </c>
      <c r="K1233" s="15">
        <v>67381841</v>
      </c>
      <c r="L1233" s="13" t="s">
        <v>102</v>
      </c>
      <c r="M1233" s="13" t="s">
        <v>103</v>
      </c>
      <c r="N1233" s="139" t="s">
        <v>394</v>
      </c>
      <c r="O1233" s="139" t="s">
        <v>394</v>
      </c>
      <c r="P1233" s="28">
        <v>32</v>
      </c>
      <c r="Q1233" s="13" t="s">
        <v>54</v>
      </c>
      <c r="R1233" s="13" t="s">
        <v>28</v>
      </c>
      <c r="S1233" s="13"/>
      <c r="T1233" s="13"/>
      <c r="U1233" s="13" t="s">
        <v>2050</v>
      </c>
      <c r="V1233" s="13" t="s">
        <v>2050</v>
      </c>
      <c r="W1233" s="59">
        <f>+J1233/$W$2</f>
        <v>2.0612598116674029E-5</v>
      </c>
    </row>
    <row r="1234" spans="1:29">
      <c r="A1234" s="13" t="s">
        <v>920</v>
      </c>
      <c r="B1234" s="13" t="s">
        <v>538</v>
      </c>
      <c r="C1234" s="139">
        <v>46294</v>
      </c>
      <c r="D1234" s="139" t="s">
        <v>516</v>
      </c>
      <c r="E1234" s="28">
        <v>0.89473946000000004</v>
      </c>
      <c r="F1234" s="13"/>
      <c r="G1234" s="18">
        <v>6899161.7699999996</v>
      </c>
      <c r="H1234" s="18">
        <v>6172952.2599999998</v>
      </c>
      <c r="I1234" s="18">
        <v>6899161.7699999996</v>
      </c>
      <c r="J1234" s="18">
        <v>6172952.2599999998</v>
      </c>
      <c r="K1234" s="15">
        <v>65964605</v>
      </c>
      <c r="L1234" s="13" t="s">
        <v>102</v>
      </c>
      <c r="M1234" s="13" t="s">
        <v>103</v>
      </c>
      <c r="N1234" s="139" t="s">
        <v>344</v>
      </c>
      <c r="O1234" s="139" t="s">
        <v>344</v>
      </c>
      <c r="P1234" s="28">
        <v>38</v>
      </c>
      <c r="Q1234" s="13" t="s">
        <v>54</v>
      </c>
      <c r="R1234" s="13" t="s">
        <v>28</v>
      </c>
      <c r="S1234" s="13"/>
      <c r="T1234" s="13"/>
      <c r="U1234" s="13" t="s">
        <v>1146</v>
      </c>
      <c r="V1234" s="13" t="s">
        <v>1146</v>
      </c>
      <c r="W1234" s="59">
        <f>+J1234/$W$2</f>
        <v>1.3866555086178672E-4</v>
      </c>
    </row>
    <row r="1235" spans="1:29">
      <c r="A1235" s="13" t="s">
        <v>339</v>
      </c>
      <c r="B1235" s="13" t="s">
        <v>538</v>
      </c>
      <c r="C1235" s="139">
        <v>46294</v>
      </c>
      <c r="D1235" s="139" t="s">
        <v>516</v>
      </c>
      <c r="E1235" s="28">
        <v>0.92285930000000005</v>
      </c>
      <c r="F1235" s="13"/>
      <c r="G1235" s="18">
        <v>5000000</v>
      </c>
      <c r="H1235" s="18">
        <v>4614296.5199999996</v>
      </c>
      <c r="I1235" s="18">
        <v>5000000</v>
      </c>
      <c r="J1235" s="18">
        <v>4614296.5199999996</v>
      </c>
      <c r="K1235" s="15">
        <v>67193060</v>
      </c>
      <c r="L1235" s="13" t="s">
        <v>102</v>
      </c>
      <c r="M1235" s="13" t="s">
        <v>103</v>
      </c>
      <c r="N1235" s="139" t="s">
        <v>394</v>
      </c>
      <c r="O1235" s="139" t="s">
        <v>394</v>
      </c>
      <c r="P1235" s="28">
        <v>27</v>
      </c>
      <c r="Q1235" s="13" t="s">
        <v>54</v>
      </c>
      <c r="R1235" s="13" t="s">
        <v>28</v>
      </c>
      <c r="S1235" s="13"/>
      <c r="T1235" s="13"/>
      <c r="U1235" s="13" t="s">
        <v>1976</v>
      </c>
      <c r="V1235" s="13" t="s">
        <v>1976</v>
      </c>
      <c r="W1235" s="59">
        <f>+J1235/$W$2</f>
        <v>1.0365282960821496E-4</v>
      </c>
    </row>
    <row r="1236" spans="1:29">
      <c r="A1236" s="13" t="s">
        <v>819</v>
      </c>
      <c r="B1236" s="13" t="s">
        <v>538</v>
      </c>
      <c r="C1236" s="139">
        <v>46294</v>
      </c>
      <c r="D1236" s="139" t="s">
        <v>516</v>
      </c>
      <c r="E1236" s="28">
        <v>0.92023007999999995</v>
      </c>
      <c r="F1236" s="13"/>
      <c r="G1236" s="18">
        <v>10000000</v>
      </c>
      <c r="H1236" s="18">
        <v>9202300.8100000005</v>
      </c>
      <c r="I1236" s="18">
        <v>10000000</v>
      </c>
      <c r="J1236" s="18">
        <v>9202300.8100000005</v>
      </c>
      <c r="K1236" s="15">
        <v>360567</v>
      </c>
      <c r="L1236" s="13" t="s">
        <v>102</v>
      </c>
      <c r="M1236" s="13" t="s">
        <v>103</v>
      </c>
      <c r="N1236" s="139" t="s">
        <v>366</v>
      </c>
      <c r="O1236" s="139" t="s">
        <v>366</v>
      </c>
      <c r="P1236" s="28">
        <v>28</v>
      </c>
      <c r="Q1236" s="13" t="s">
        <v>54</v>
      </c>
      <c r="R1236" s="13" t="s">
        <v>28</v>
      </c>
      <c r="S1236" s="13"/>
      <c r="T1236" s="13"/>
      <c r="U1236" s="13" t="s">
        <v>1021</v>
      </c>
      <c r="V1236" s="13" t="s">
        <v>1021</v>
      </c>
      <c r="W1236" s="59">
        <f>+J1236/$W$2</f>
        <v>2.0671504610251374E-4</v>
      </c>
    </row>
    <row r="1237" spans="1:29">
      <c r="A1237" s="13" t="s">
        <v>923</v>
      </c>
      <c r="B1237" s="13" t="s">
        <v>538</v>
      </c>
      <c r="C1237" s="139">
        <v>46295</v>
      </c>
      <c r="D1237" s="139" t="s">
        <v>516</v>
      </c>
      <c r="E1237" s="28">
        <v>0.91694728000000003</v>
      </c>
      <c r="F1237" s="13"/>
      <c r="G1237" s="18">
        <v>10000000</v>
      </c>
      <c r="H1237" s="18">
        <v>9169472.7799999993</v>
      </c>
      <c r="I1237" s="18">
        <v>10000000</v>
      </c>
      <c r="J1237" s="18">
        <v>9169472.7799999993</v>
      </c>
      <c r="K1237" s="15">
        <v>3487824</v>
      </c>
      <c r="L1237" s="13" t="s">
        <v>102</v>
      </c>
      <c r="M1237" s="13" t="s">
        <v>103</v>
      </c>
      <c r="N1237" s="139" t="s">
        <v>343</v>
      </c>
      <c r="O1237" s="139" t="s">
        <v>343</v>
      </c>
      <c r="P1237" s="28">
        <v>29</v>
      </c>
      <c r="Q1237" s="13" t="s">
        <v>54</v>
      </c>
      <c r="R1237" s="13" t="s">
        <v>28</v>
      </c>
      <c r="S1237" s="13"/>
      <c r="T1237" s="13"/>
      <c r="U1237" s="13" t="s">
        <v>1415</v>
      </c>
      <c r="V1237" s="13" t="s">
        <v>1415</v>
      </c>
      <c r="W1237" s="59">
        <f>+J1237/$W$2</f>
        <v>2.0597761664057626E-4</v>
      </c>
    </row>
    <row r="1238" spans="1:29">
      <c r="A1238" s="13" t="s">
        <v>921</v>
      </c>
      <c r="B1238" s="13" t="s">
        <v>538</v>
      </c>
      <c r="C1238" s="139">
        <v>46295</v>
      </c>
      <c r="D1238" s="139" t="s">
        <v>516</v>
      </c>
      <c r="E1238" s="28">
        <v>0.89390692999999999</v>
      </c>
      <c r="F1238" s="13"/>
      <c r="G1238" s="18">
        <v>4500591.28</v>
      </c>
      <c r="H1238" s="18">
        <v>4023109.74</v>
      </c>
      <c r="I1238" s="18">
        <v>4500591.28</v>
      </c>
      <c r="J1238" s="18">
        <v>4023109.74</v>
      </c>
      <c r="K1238" s="15">
        <v>90000179</v>
      </c>
      <c r="L1238" s="13" t="s">
        <v>102</v>
      </c>
      <c r="M1238" s="13" t="s">
        <v>103</v>
      </c>
      <c r="N1238" s="139" t="s">
        <v>344</v>
      </c>
      <c r="O1238" s="139" t="s">
        <v>344</v>
      </c>
      <c r="P1238" s="28">
        <v>38</v>
      </c>
      <c r="Q1238" s="13" t="s">
        <v>54</v>
      </c>
      <c r="R1238" s="13" t="s">
        <v>28</v>
      </c>
      <c r="S1238" s="13"/>
      <c r="T1238" s="13"/>
      <c r="U1238" s="13" t="s">
        <v>1150</v>
      </c>
      <c r="V1238" s="13" t="s">
        <v>1150</v>
      </c>
      <c r="W1238" s="59">
        <f>+J1238/$W$2</f>
        <v>9.0372759220807514E-5</v>
      </c>
    </row>
    <row r="1239" spans="1:29">
      <c r="A1239" s="13" t="s">
        <v>539</v>
      </c>
      <c r="B1239" s="13" t="s">
        <v>538</v>
      </c>
      <c r="C1239" s="139">
        <v>46295</v>
      </c>
      <c r="D1239" s="139" t="s">
        <v>516</v>
      </c>
      <c r="E1239" s="28">
        <v>0.91432866000000002</v>
      </c>
      <c r="F1239" s="13"/>
      <c r="G1239" s="18">
        <v>10000000</v>
      </c>
      <c r="H1239" s="18">
        <v>9143286.5999999996</v>
      </c>
      <c r="I1239" s="18">
        <v>10000000</v>
      </c>
      <c r="J1239" s="18">
        <v>9143286.5999999996</v>
      </c>
      <c r="K1239" s="15">
        <v>514</v>
      </c>
      <c r="L1239" s="13" t="s">
        <v>102</v>
      </c>
      <c r="M1239" s="13" t="s">
        <v>103</v>
      </c>
      <c r="N1239" s="139" t="s">
        <v>390</v>
      </c>
      <c r="O1239" s="139" t="s">
        <v>390</v>
      </c>
      <c r="P1239" s="28">
        <v>30</v>
      </c>
      <c r="Q1239" s="13" t="s">
        <v>54</v>
      </c>
      <c r="R1239" s="13" t="s">
        <v>28</v>
      </c>
      <c r="S1239" s="13"/>
      <c r="T1239" s="13"/>
      <c r="U1239" s="13" t="s">
        <v>1566</v>
      </c>
      <c r="V1239" s="13" t="s">
        <v>1566</v>
      </c>
      <c r="W1239" s="59">
        <f>+J1239/$W$2</f>
        <v>2.0538938577117604E-4</v>
      </c>
    </row>
    <row r="1240" spans="1:29">
      <c r="A1240" s="13" t="s">
        <v>539</v>
      </c>
      <c r="B1240" s="13" t="s">
        <v>538</v>
      </c>
      <c r="C1240" s="139">
        <v>46295</v>
      </c>
      <c r="D1240" s="139" t="s">
        <v>516</v>
      </c>
      <c r="E1240" s="28">
        <v>0.91432869000000005</v>
      </c>
      <c r="F1240" s="13"/>
      <c r="G1240" s="18">
        <v>10000000</v>
      </c>
      <c r="H1240" s="18">
        <v>9143286.8599999994</v>
      </c>
      <c r="I1240" s="18">
        <v>10000000</v>
      </c>
      <c r="J1240" s="18">
        <v>9143286.8599999994</v>
      </c>
      <c r="K1240" s="15">
        <v>581</v>
      </c>
      <c r="L1240" s="13" t="s">
        <v>102</v>
      </c>
      <c r="M1240" s="13" t="s">
        <v>103</v>
      </c>
      <c r="N1240" s="139" t="s">
        <v>175</v>
      </c>
      <c r="O1240" s="139" t="s">
        <v>175</v>
      </c>
      <c r="P1240" s="28">
        <v>30</v>
      </c>
      <c r="Q1240" s="13" t="s">
        <v>54</v>
      </c>
      <c r="R1240" s="13" t="s">
        <v>28</v>
      </c>
      <c r="S1240" s="13"/>
      <c r="T1240" s="13"/>
      <c r="U1240" s="13" t="s">
        <v>1878</v>
      </c>
      <c r="V1240" s="13" t="s">
        <v>1878</v>
      </c>
      <c r="W1240" s="59">
        <f>+J1240/$W$2</f>
        <v>2.0538939161166236E-4</v>
      </c>
      <c r="AC1240" s="56"/>
    </row>
    <row r="1241" spans="1:29">
      <c r="A1241" s="13" t="s">
        <v>247</v>
      </c>
      <c r="B1241" s="13" t="s">
        <v>538</v>
      </c>
      <c r="C1241" s="139">
        <v>46295</v>
      </c>
      <c r="D1241" s="139" t="s">
        <v>516</v>
      </c>
      <c r="E1241" s="28">
        <v>0.90656208999999999</v>
      </c>
      <c r="F1241" s="13"/>
      <c r="G1241" s="18">
        <v>2500000</v>
      </c>
      <c r="H1241" s="18">
        <v>2266405.2200000002</v>
      </c>
      <c r="I1241" s="18">
        <v>2500000</v>
      </c>
      <c r="J1241" s="18">
        <v>2266405.2200000002</v>
      </c>
      <c r="K1241" s="15">
        <v>1202</v>
      </c>
      <c r="L1241" s="13" t="s">
        <v>102</v>
      </c>
      <c r="M1241" s="13" t="s">
        <v>103</v>
      </c>
      <c r="N1241" s="139" t="s">
        <v>163</v>
      </c>
      <c r="O1241" s="139" t="s">
        <v>163</v>
      </c>
      <c r="P1241" s="28">
        <v>33</v>
      </c>
      <c r="Q1241" s="13" t="s">
        <v>54</v>
      </c>
      <c r="R1241" s="13" t="s">
        <v>28</v>
      </c>
      <c r="S1241" s="13"/>
      <c r="T1241" s="13"/>
      <c r="U1241" s="13" t="s">
        <v>1597</v>
      </c>
      <c r="V1241" s="13" t="s">
        <v>1597</v>
      </c>
      <c r="W1241" s="59">
        <f>+J1241/$W$2</f>
        <v>5.0911187235931899E-5</v>
      </c>
    </row>
    <row r="1242" spans="1:29">
      <c r="A1242" s="13" t="s">
        <v>706</v>
      </c>
      <c r="B1242" s="13" t="s">
        <v>538</v>
      </c>
      <c r="C1242" s="139">
        <v>46295</v>
      </c>
      <c r="D1242" s="139" t="s">
        <v>516</v>
      </c>
      <c r="E1242" s="28">
        <v>0.91432882000000004</v>
      </c>
      <c r="F1242" s="13"/>
      <c r="G1242" s="18">
        <v>50000000</v>
      </c>
      <c r="H1242" s="18">
        <v>45716440.829999998</v>
      </c>
      <c r="I1242" s="18">
        <v>50000000</v>
      </c>
      <c r="J1242" s="18">
        <v>45716440.829999998</v>
      </c>
      <c r="K1242" s="15">
        <v>787</v>
      </c>
      <c r="L1242" s="13" t="s">
        <v>102</v>
      </c>
      <c r="M1242" s="13" t="s">
        <v>103</v>
      </c>
      <c r="N1242" s="139" t="s">
        <v>344</v>
      </c>
      <c r="O1242" s="139" t="s">
        <v>344</v>
      </c>
      <c r="P1242" s="28">
        <v>30</v>
      </c>
      <c r="Q1242" s="13" t="s">
        <v>54</v>
      </c>
      <c r="R1242" s="13" t="s">
        <v>28</v>
      </c>
      <c r="S1242" s="13"/>
      <c r="T1242" s="13"/>
      <c r="U1242" s="13" t="s">
        <v>1071</v>
      </c>
      <c r="V1242" s="13" t="s">
        <v>1071</v>
      </c>
      <c r="W1242" s="59">
        <f>+J1242/$W$2</f>
        <v>1.0269471047443721E-3</v>
      </c>
    </row>
    <row r="1243" spans="1:29">
      <c r="A1243" s="13" t="s">
        <v>164</v>
      </c>
      <c r="B1243" s="13" t="s">
        <v>538</v>
      </c>
      <c r="C1243" s="139">
        <v>46295</v>
      </c>
      <c r="D1243" s="139" t="s">
        <v>516</v>
      </c>
      <c r="E1243" s="28">
        <v>0.91958079000000004</v>
      </c>
      <c r="F1243" s="13"/>
      <c r="G1243" s="18">
        <v>35000000</v>
      </c>
      <c r="H1243" s="18">
        <v>32185327.48</v>
      </c>
      <c r="I1243" s="18">
        <v>35000000</v>
      </c>
      <c r="J1243" s="18">
        <v>32185327.48</v>
      </c>
      <c r="K1243" s="15">
        <v>3329633</v>
      </c>
      <c r="L1243" s="13" t="s">
        <v>102</v>
      </c>
      <c r="M1243" s="13" t="s">
        <v>103</v>
      </c>
      <c r="N1243" s="139" t="s">
        <v>359</v>
      </c>
      <c r="O1243" s="139" t="s">
        <v>359</v>
      </c>
      <c r="P1243" s="28">
        <v>28</v>
      </c>
      <c r="Q1243" s="13" t="s">
        <v>54</v>
      </c>
      <c r="R1243" s="13" t="s">
        <v>28</v>
      </c>
      <c r="S1243" s="13"/>
      <c r="T1243" s="13"/>
      <c r="U1243" s="13" t="s">
        <v>1328</v>
      </c>
      <c r="V1243" s="13" t="s">
        <v>1328</v>
      </c>
      <c r="W1243" s="59">
        <f>+J1243/$W$2</f>
        <v>7.2299217241657428E-4</v>
      </c>
    </row>
    <row r="1244" spans="1:29">
      <c r="A1244" s="13" t="s">
        <v>923</v>
      </c>
      <c r="B1244" s="13" t="s">
        <v>538</v>
      </c>
      <c r="C1244" s="139">
        <v>46297</v>
      </c>
      <c r="D1244" s="139" t="s">
        <v>516</v>
      </c>
      <c r="E1244" s="28">
        <v>0.90507850999999995</v>
      </c>
      <c r="F1244" s="13"/>
      <c r="G1244" s="18">
        <v>21387500</v>
      </c>
      <c r="H1244" s="18">
        <v>19357366.600000001</v>
      </c>
      <c r="I1244" s="18">
        <v>21387500</v>
      </c>
      <c r="J1244" s="18">
        <v>19357366.600000001</v>
      </c>
      <c r="K1244" s="15">
        <v>3233105</v>
      </c>
      <c r="L1244" s="13" t="s">
        <v>102</v>
      </c>
      <c r="M1244" s="13" t="s">
        <v>103</v>
      </c>
      <c r="N1244" s="139" t="s">
        <v>428</v>
      </c>
      <c r="O1244" s="139" t="s">
        <v>428</v>
      </c>
      <c r="P1244" s="28">
        <v>33</v>
      </c>
      <c r="Q1244" s="13" t="s">
        <v>54</v>
      </c>
      <c r="R1244" s="13" t="s">
        <v>28</v>
      </c>
      <c r="S1244" s="13"/>
      <c r="T1244" s="13"/>
      <c r="U1244" s="13" t="s">
        <v>951</v>
      </c>
      <c r="V1244" s="13" t="s">
        <v>951</v>
      </c>
      <c r="W1244" s="59">
        <f>+J1244/$W$2</f>
        <v>4.3483244155569605E-4</v>
      </c>
    </row>
    <row r="1245" spans="1:29">
      <c r="A1245" s="13" t="s">
        <v>923</v>
      </c>
      <c r="B1245" s="13" t="s">
        <v>538</v>
      </c>
      <c r="C1245" s="139">
        <v>46297</v>
      </c>
      <c r="D1245" s="139" t="s">
        <v>516</v>
      </c>
      <c r="E1245" s="28">
        <v>0.91561325999999998</v>
      </c>
      <c r="F1245" s="13"/>
      <c r="G1245" s="18">
        <v>10000000</v>
      </c>
      <c r="H1245" s="18">
        <v>9156132.5500000007</v>
      </c>
      <c r="I1245" s="18">
        <v>10000000</v>
      </c>
      <c r="J1245" s="18">
        <v>9156132.5500000007</v>
      </c>
      <c r="K1245" s="15">
        <v>3487825</v>
      </c>
      <c r="L1245" s="13" t="s">
        <v>102</v>
      </c>
      <c r="M1245" s="13" t="s">
        <v>103</v>
      </c>
      <c r="N1245" s="139" t="s">
        <v>343</v>
      </c>
      <c r="O1245" s="139" t="s">
        <v>343</v>
      </c>
      <c r="P1245" s="28">
        <v>29</v>
      </c>
      <c r="Q1245" s="13" t="s">
        <v>54</v>
      </c>
      <c r="R1245" s="13" t="s">
        <v>28</v>
      </c>
      <c r="S1245" s="13"/>
      <c r="T1245" s="13"/>
      <c r="U1245" s="13" t="s">
        <v>1416</v>
      </c>
      <c r="V1245" s="13" t="s">
        <v>1416</v>
      </c>
      <c r="W1245" s="59">
        <f>+J1245/$W$2</f>
        <v>2.0567794959899563E-4</v>
      </c>
    </row>
    <row r="1246" spans="1:29">
      <c r="A1246" s="13" t="s">
        <v>923</v>
      </c>
      <c r="B1246" s="13" t="s">
        <v>538</v>
      </c>
      <c r="C1246" s="139">
        <v>46297</v>
      </c>
      <c r="D1246" s="139" t="s">
        <v>516</v>
      </c>
      <c r="E1246" s="28">
        <v>0.92367657999999997</v>
      </c>
      <c r="F1246" s="13"/>
      <c r="G1246" s="18">
        <v>9000000</v>
      </c>
      <c r="H1246" s="18">
        <v>8313089.25</v>
      </c>
      <c r="I1246" s="18">
        <v>9000000</v>
      </c>
      <c r="J1246" s="18">
        <v>8313089.25</v>
      </c>
      <c r="K1246" s="15">
        <v>3487870</v>
      </c>
      <c r="L1246" s="13" t="s">
        <v>102</v>
      </c>
      <c r="M1246" s="13" t="s">
        <v>103</v>
      </c>
      <c r="N1246" s="139" t="s">
        <v>335</v>
      </c>
      <c r="O1246" s="139" t="s">
        <v>335</v>
      </c>
      <c r="P1246" s="28">
        <v>26</v>
      </c>
      <c r="Q1246" s="13" t="s">
        <v>54</v>
      </c>
      <c r="R1246" s="13" t="s">
        <v>28</v>
      </c>
      <c r="S1246" s="13"/>
      <c r="T1246" s="13"/>
      <c r="U1246" s="13" t="s">
        <v>1730</v>
      </c>
      <c r="V1246" s="13" t="s">
        <v>1730</v>
      </c>
      <c r="W1246" s="59">
        <f>+J1246/$W$2</f>
        <v>1.8674032321358783E-4</v>
      </c>
    </row>
    <row r="1247" spans="1:29">
      <c r="A1247" s="13" t="s">
        <v>923</v>
      </c>
      <c r="B1247" s="13" t="s">
        <v>538</v>
      </c>
      <c r="C1247" s="139">
        <v>46297</v>
      </c>
      <c r="D1247" s="139" t="s">
        <v>516</v>
      </c>
      <c r="E1247" s="28">
        <v>0.92367657999999997</v>
      </c>
      <c r="F1247" s="13"/>
      <c r="G1247" s="18">
        <v>9000000</v>
      </c>
      <c r="H1247" s="18">
        <v>8313089.25</v>
      </c>
      <c r="I1247" s="18">
        <v>9000000</v>
      </c>
      <c r="J1247" s="18">
        <v>8313089.25</v>
      </c>
      <c r="K1247" s="15">
        <v>3385280</v>
      </c>
      <c r="L1247" s="13" t="s">
        <v>102</v>
      </c>
      <c r="M1247" s="13" t="s">
        <v>103</v>
      </c>
      <c r="N1247" s="139" t="s">
        <v>335</v>
      </c>
      <c r="O1247" s="139" t="s">
        <v>335</v>
      </c>
      <c r="P1247" s="28">
        <v>26</v>
      </c>
      <c r="Q1247" s="13" t="s">
        <v>54</v>
      </c>
      <c r="R1247" s="13" t="s">
        <v>28</v>
      </c>
      <c r="S1247" s="13"/>
      <c r="T1247" s="13"/>
      <c r="U1247" s="13" t="s">
        <v>1732</v>
      </c>
      <c r="V1247" s="13" t="s">
        <v>1732</v>
      </c>
      <c r="W1247" s="59">
        <f>+J1247/$W$2</f>
        <v>1.8674032321358783E-4</v>
      </c>
    </row>
    <row r="1248" spans="1:29">
      <c r="A1248" s="13" t="s">
        <v>1917</v>
      </c>
      <c r="B1248" s="13" t="s">
        <v>538</v>
      </c>
      <c r="C1248" s="139">
        <v>46297</v>
      </c>
      <c r="D1248" s="139" t="s">
        <v>516</v>
      </c>
      <c r="E1248" s="28">
        <v>0.90507850000000001</v>
      </c>
      <c r="F1248" s="13"/>
      <c r="G1248" s="18">
        <v>3772034.12</v>
      </c>
      <c r="H1248" s="18">
        <v>3413987</v>
      </c>
      <c r="I1248" s="18">
        <v>3772034.12</v>
      </c>
      <c r="J1248" s="18">
        <v>3413987</v>
      </c>
      <c r="K1248" s="15">
        <v>638</v>
      </c>
      <c r="L1248" s="13" t="s">
        <v>102</v>
      </c>
      <c r="M1248" s="13" t="s">
        <v>103</v>
      </c>
      <c r="N1248" s="139" t="s">
        <v>175</v>
      </c>
      <c r="O1248" s="139" t="s">
        <v>175</v>
      </c>
      <c r="P1248" s="28">
        <v>33</v>
      </c>
      <c r="Q1248" s="13" t="s">
        <v>54</v>
      </c>
      <c r="R1248" s="13" t="s">
        <v>28</v>
      </c>
      <c r="S1248" s="13"/>
      <c r="T1248" s="13"/>
      <c r="U1248" s="13" t="s">
        <v>1903</v>
      </c>
      <c r="V1248" s="13" t="s">
        <v>1903</v>
      </c>
      <c r="W1248" s="59">
        <f>+J1248/$W$2</f>
        <v>7.6689786029542165E-5</v>
      </c>
    </row>
    <row r="1249" spans="1:29">
      <c r="A1249" s="13" t="s">
        <v>539</v>
      </c>
      <c r="B1249" s="13" t="s">
        <v>538</v>
      </c>
      <c r="C1249" s="139">
        <v>46297</v>
      </c>
      <c r="D1249" s="139" t="s">
        <v>516</v>
      </c>
      <c r="E1249" s="28">
        <v>0.91295654999999998</v>
      </c>
      <c r="F1249" s="13"/>
      <c r="G1249" s="18">
        <v>10000000</v>
      </c>
      <c r="H1249" s="18">
        <v>9129565.5</v>
      </c>
      <c r="I1249" s="18">
        <v>10000000</v>
      </c>
      <c r="J1249" s="18">
        <v>9129565.5</v>
      </c>
      <c r="K1249" s="15">
        <v>571</v>
      </c>
      <c r="L1249" s="13" t="s">
        <v>102</v>
      </c>
      <c r="M1249" s="13" t="s">
        <v>103</v>
      </c>
      <c r="N1249" s="139" t="s">
        <v>389</v>
      </c>
      <c r="O1249" s="139" t="s">
        <v>389</v>
      </c>
      <c r="P1249" s="28">
        <v>30</v>
      </c>
      <c r="Q1249" s="13" t="s">
        <v>54</v>
      </c>
      <c r="R1249" s="13" t="s">
        <v>28</v>
      </c>
      <c r="S1249" s="13"/>
      <c r="T1249" s="13"/>
      <c r="U1249" s="13" t="s">
        <v>1848</v>
      </c>
      <c r="V1249" s="13" t="s">
        <v>1848</v>
      </c>
      <c r="W1249" s="59">
        <f>+J1249/$W$2</f>
        <v>2.0508116309103991E-4</v>
      </c>
    </row>
    <row r="1250" spans="1:29">
      <c r="A1250" s="13" t="s">
        <v>313</v>
      </c>
      <c r="B1250" s="13" t="s">
        <v>538</v>
      </c>
      <c r="C1250" s="139">
        <v>46297</v>
      </c>
      <c r="D1250" s="139" t="s">
        <v>516</v>
      </c>
      <c r="E1250" s="28">
        <v>0.91031538000000001</v>
      </c>
      <c r="F1250" s="13"/>
      <c r="G1250" s="18">
        <v>16500000</v>
      </c>
      <c r="H1250" s="18">
        <v>15020203.73</v>
      </c>
      <c r="I1250" s="18">
        <v>16500000</v>
      </c>
      <c r="J1250" s="18">
        <v>15020203.73</v>
      </c>
      <c r="K1250" s="15">
        <v>28675</v>
      </c>
      <c r="L1250" s="13" t="s">
        <v>102</v>
      </c>
      <c r="M1250" s="13" t="s">
        <v>103</v>
      </c>
      <c r="N1250" s="139" t="s">
        <v>395</v>
      </c>
      <c r="O1250" s="139" t="s">
        <v>395</v>
      </c>
      <c r="P1250" s="28">
        <v>31</v>
      </c>
      <c r="Q1250" s="13" t="s">
        <v>54</v>
      </c>
      <c r="R1250" s="13" t="s">
        <v>28</v>
      </c>
      <c r="S1250" s="13"/>
      <c r="T1250" s="13"/>
      <c r="U1250" s="13" t="s">
        <v>1239</v>
      </c>
      <c r="V1250" s="13" t="s">
        <v>1239</v>
      </c>
      <c r="W1250" s="59">
        <f>+J1250/$W$2</f>
        <v>3.3740497845300262E-4</v>
      </c>
    </row>
    <row r="1251" spans="1:29">
      <c r="A1251" s="13" t="s">
        <v>819</v>
      </c>
      <c r="B1251" s="13" t="s">
        <v>538</v>
      </c>
      <c r="C1251" s="139">
        <v>46297</v>
      </c>
      <c r="D1251" s="139" t="s">
        <v>516</v>
      </c>
      <c r="E1251" s="28">
        <v>0.91828520999999996</v>
      </c>
      <c r="F1251" s="13"/>
      <c r="G1251" s="18">
        <v>15000000</v>
      </c>
      <c r="H1251" s="18">
        <v>13774278.109999999</v>
      </c>
      <c r="I1251" s="18">
        <v>15000000</v>
      </c>
      <c r="J1251" s="18">
        <v>13774278.109999999</v>
      </c>
      <c r="K1251" s="15">
        <v>360568</v>
      </c>
      <c r="L1251" s="13" t="s">
        <v>102</v>
      </c>
      <c r="M1251" s="13" t="s">
        <v>103</v>
      </c>
      <c r="N1251" s="139" t="s">
        <v>366</v>
      </c>
      <c r="O1251" s="139" t="s">
        <v>366</v>
      </c>
      <c r="P1251" s="28">
        <v>28</v>
      </c>
      <c r="Q1251" s="13" t="s">
        <v>54</v>
      </c>
      <c r="R1251" s="13" t="s">
        <v>28</v>
      </c>
      <c r="S1251" s="13"/>
      <c r="T1251" s="13"/>
      <c r="U1251" s="13" t="s">
        <v>1024</v>
      </c>
      <c r="V1251" s="13" t="s">
        <v>1024</v>
      </c>
      <c r="W1251" s="59">
        <f>+J1251/$W$2</f>
        <v>3.0941724176668109E-4</v>
      </c>
    </row>
    <row r="1252" spans="1:29">
      <c r="A1252" s="13" t="s">
        <v>913</v>
      </c>
      <c r="B1252" s="13" t="s">
        <v>538</v>
      </c>
      <c r="C1252" s="139">
        <v>46300</v>
      </c>
      <c r="D1252" s="139" t="s">
        <v>516</v>
      </c>
      <c r="E1252" s="28">
        <v>0.88463406</v>
      </c>
      <c r="F1252" s="13"/>
      <c r="G1252" s="18">
        <v>7203888</v>
      </c>
      <c r="H1252" s="18">
        <v>6372804.7000000002</v>
      </c>
      <c r="I1252" s="18">
        <v>7203888</v>
      </c>
      <c r="J1252" s="18">
        <v>6372804.7000000002</v>
      </c>
      <c r="K1252" s="15">
        <v>66329827</v>
      </c>
      <c r="L1252" s="13" t="s">
        <v>102</v>
      </c>
      <c r="M1252" s="13" t="s">
        <v>103</v>
      </c>
      <c r="N1252" s="139" t="s">
        <v>378</v>
      </c>
      <c r="O1252" s="139" t="s">
        <v>378</v>
      </c>
      <c r="P1252" s="28">
        <v>40</v>
      </c>
      <c r="Q1252" s="13" t="s">
        <v>54</v>
      </c>
      <c r="R1252" s="13" t="s">
        <v>28</v>
      </c>
      <c r="S1252" s="13"/>
      <c r="T1252" s="13"/>
      <c r="U1252" s="13" t="s">
        <v>890</v>
      </c>
      <c r="V1252" s="13" t="s">
        <v>890</v>
      </c>
      <c r="W1252" s="59">
        <f>+J1252/$W$2</f>
        <v>1.4315491794522376E-4</v>
      </c>
      <c r="AC1252"/>
    </row>
    <row r="1253" spans="1:29">
      <c r="A1253" s="13" t="s">
        <v>1164</v>
      </c>
      <c r="B1253" s="13" t="s">
        <v>538</v>
      </c>
      <c r="C1253" s="139">
        <v>46300</v>
      </c>
      <c r="D1253" s="139" t="s">
        <v>516</v>
      </c>
      <c r="E1253" s="28">
        <v>0.88976648000000003</v>
      </c>
      <c r="F1253" s="13"/>
      <c r="G1253" s="18">
        <v>6500236.5700000003</v>
      </c>
      <c r="H1253" s="18">
        <v>5783692.6299999999</v>
      </c>
      <c r="I1253" s="18">
        <v>6500236.5700000003</v>
      </c>
      <c r="J1253" s="18">
        <v>5783692.6299999999</v>
      </c>
      <c r="K1253" s="15">
        <v>90000580</v>
      </c>
      <c r="L1253" s="13" t="s">
        <v>102</v>
      </c>
      <c r="M1253" s="13" t="s">
        <v>103</v>
      </c>
      <c r="N1253" s="139" t="s">
        <v>374</v>
      </c>
      <c r="O1253" s="139" t="s">
        <v>374</v>
      </c>
      <c r="P1253" s="28">
        <v>38</v>
      </c>
      <c r="Q1253" s="13" t="s">
        <v>54</v>
      </c>
      <c r="R1253" s="13" t="s">
        <v>28</v>
      </c>
      <c r="S1253" s="13"/>
      <c r="T1253" s="13"/>
      <c r="U1253" s="13" t="s">
        <v>1200</v>
      </c>
      <c r="V1253" s="13" t="s">
        <v>1200</v>
      </c>
      <c r="W1253" s="59">
        <f>+J1253/$W$2</f>
        <v>1.299214526169373E-4</v>
      </c>
      <c r="AC1253" s="56"/>
    </row>
    <row r="1254" spans="1:29">
      <c r="A1254" s="13" t="s">
        <v>1181</v>
      </c>
      <c r="B1254" s="13" t="s">
        <v>130</v>
      </c>
      <c r="C1254" s="139">
        <v>46300</v>
      </c>
      <c r="D1254" s="139" t="s">
        <v>516</v>
      </c>
      <c r="E1254" s="28">
        <v>0.97768743999999996</v>
      </c>
      <c r="F1254" s="13" t="s">
        <v>2102</v>
      </c>
      <c r="G1254" s="18">
        <v>50000</v>
      </c>
      <c r="H1254" s="18">
        <v>48884.37</v>
      </c>
      <c r="I1254" s="18">
        <v>72269885.819999993</v>
      </c>
      <c r="J1254" s="18">
        <v>70657356.760000005</v>
      </c>
      <c r="K1254" s="15">
        <v>150093</v>
      </c>
      <c r="L1254" s="13" t="s">
        <v>102</v>
      </c>
      <c r="M1254" s="13" t="s">
        <v>103</v>
      </c>
      <c r="N1254" s="139" t="s">
        <v>471</v>
      </c>
      <c r="O1254" s="139" t="s">
        <v>471</v>
      </c>
      <c r="P1254" s="28">
        <v>7</v>
      </c>
      <c r="Q1254" s="13" t="s">
        <v>54</v>
      </c>
      <c r="R1254" s="13" t="s">
        <v>28</v>
      </c>
      <c r="S1254" s="13"/>
      <c r="T1254" s="13"/>
      <c r="U1254" s="13" t="s">
        <v>1553</v>
      </c>
      <c r="V1254" s="13" t="s">
        <v>1553</v>
      </c>
      <c r="W1254" s="59">
        <f>+J1254/$W$2</f>
        <v>1.5872050981264501E-3</v>
      </c>
    </row>
    <row r="1255" spans="1:29">
      <c r="A1255" s="13" t="s">
        <v>1181</v>
      </c>
      <c r="B1255" s="13" t="s">
        <v>130</v>
      </c>
      <c r="C1255" s="139">
        <v>46300</v>
      </c>
      <c r="D1255" s="139" t="s">
        <v>516</v>
      </c>
      <c r="E1255" s="28">
        <v>0.97149443999999996</v>
      </c>
      <c r="F1255" s="13" t="s">
        <v>2102</v>
      </c>
      <c r="G1255" s="18">
        <v>25000</v>
      </c>
      <c r="H1255" s="18">
        <v>24287.360000000001</v>
      </c>
      <c r="I1255" s="18">
        <v>36134942.909999996</v>
      </c>
      <c r="J1255" s="18">
        <v>35104894.68</v>
      </c>
      <c r="K1255" s="15">
        <v>150614</v>
      </c>
      <c r="L1255" s="13" t="s">
        <v>102</v>
      </c>
      <c r="M1255" s="13" t="s">
        <v>103</v>
      </c>
      <c r="N1255" s="139" t="s">
        <v>163</v>
      </c>
      <c r="O1255" s="139" t="s">
        <v>163</v>
      </c>
      <c r="P1255" s="28">
        <v>9</v>
      </c>
      <c r="Q1255" s="13" t="s">
        <v>54</v>
      </c>
      <c r="R1255" s="13" t="s">
        <v>28</v>
      </c>
      <c r="S1255" s="13"/>
      <c r="T1255" s="13"/>
      <c r="U1255" s="13" t="s">
        <v>1602</v>
      </c>
      <c r="V1255" s="13" t="s">
        <v>1602</v>
      </c>
      <c r="W1255" s="59">
        <f>+J1255/$W$2</f>
        <v>7.8857560430043024E-4</v>
      </c>
    </row>
    <row r="1256" spans="1:29">
      <c r="A1256" s="13" t="s">
        <v>550</v>
      </c>
      <c r="B1256" s="13" t="s">
        <v>538</v>
      </c>
      <c r="C1256" s="139">
        <v>46301</v>
      </c>
      <c r="D1256" s="139" t="s">
        <v>516</v>
      </c>
      <c r="E1256" s="28">
        <v>0.90212559999999997</v>
      </c>
      <c r="F1256" s="13"/>
      <c r="G1256" s="18">
        <v>12500000</v>
      </c>
      <c r="H1256" s="18">
        <v>11276570.02</v>
      </c>
      <c r="I1256" s="18">
        <v>12500000</v>
      </c>
      <c r="J1256" s="18">
        <v>11276570.02</v>
      </c>
      <c r="K1256" s="15">
        <v>1362</v>
      </c>
      <c r="L1256" s="13" t="s">
        <v>102</v>
      </c>
      <c r="M1256" s="13" t="s">
        <v>103</v>
      </c>
      <c r="N1256" s="139" t="s">
        <v>472</v>
      </c>
      <c r="O1256" s="139" t="s">
        <v>472</v>
      </c>
      <c r="P1256" s="28">
        <v>33</v>
      </c>
      <c r="Q1256" s="13" t="s">
        <v>54</v>
      </c>
      <c r="R1256" s="13" t="s">
        <v>28</v>
      </c>
      <c r="S1256" s="13"/>
      <c r="T1256" s="13"/>
      <c r="U1256" s="13" t="s">
        <v>1629</v>
      </c>
      <c r="V1256" s="13" t="s">
        <v>1629</v>
      </c>
      <c r="W1256" s="59">
        <f>+J1256/$W$2</f>
        <v>2.5331020357750335E-4</v>
      </c>
      <c r="AC1256" s="56"/>
    </row>
    <row r="1257" spans="1:29">
      <c r="A1257" s="13" t="s">
        <v>819</v>
      </c>
      <c r="B1257" s="13" t="s">
        <v>538</v>
      </c>
      <c r="C1257" s="139">
        <v>46301</v>
      </c>
      <c r="D1257" s="139" t="s">
        <v>516</v>
      </c>
      <c r="E1257" s="28">
        <v>0.91570501000000004</v>
      </c>
      <c r="F1257" s="13"/>
      <c r="G1257" s="18">
        <v>2500000</v>
      </c>
      <c r="H1257" s="18">
        <v>2289262.52</v>
      </c>
      <c r="I1257" s="18">
        <v>2500000</v>
      </c>
      <c r="J1257" s="18">
        <v>2289262.52</v>
      </c>
      <c r="K1257" s="15">
        <v>90031811</v>
      </c>
      <c r="L1257" s="13" t="s">
        <v>102</v>
      </c>
      <c r="M1257" s="13" t="s">
        <v>103</v>
      </c>
      <c r="N1257" s="139" t="s">
        <v>344</v>
      </c>
      <c r="O1257" s="139" t="s">
        <v>344</v>
      </c>
      <c r="P1257" s="28">
        <v>28</v>
      </c>
      <c r="Q1257" s="13" t="s">
        <v>54</v>
      </c>
      <c r="R1257" s="13" t="s">
        <v>28</v>
      </c>
      <c r="S1257" s="13"/>
      <c r="T1257" s="13"/>
      <c r="U1257" s="13" t="s">
        <v>1073</v>
      </c>
      <c r="V1257" s="13" t="s">
        <v>1073</v>
      </c>
      <c r="W1257" s="59">
        <f>+J1257/$W$2</f>
        <v>5.1424640112645561E-5</v>
      </c>
    </row>
    <row r="1258" spans="1:29">
      <c r="A1258" s="13" t="s">
        <v>819</v>
      </c>
      <c r="B1258" s="13" t="s">
        <v>538</v>
      </c>
      <c r="C1258" s="139">
        <v>46301</v>
      </c>
      <c r="D1258" s="139" t="s">
        <v>516</v>
      </c>
      <c r="E1258" s="28">
        <v>0.91570512999999998</v>
      </c>
      <c r="F1258" s="13"/>
      <c r="G1258" s="18">
        <v>25000000</v>
      </c>
      <c r="H1258" s="18">
        <v>22892628.25</v>
      </c>
      <c r="I1258" s="18">
        <v>25000000</v>
      </c>
      <c r="J1258" s="18">
        <v>22892628.25</v>
      </c>
      <c r="K1258" s="15">
        <v>360569</v>
      </c>
      <c r="L1258" s="13" t="s">
        <v>102</v>
      </c>
      <c r="M1258" s="13" t="s">
        <v>103</v>
      </c>
      <c r="N1258" s="139" t="s">
        <v>366</v>
      </c>
      <c r="O1258" s="139" t="s">
        <v>366</v>
      </c>
      <c r="P1258" s="28">
        <v>28</v>
      </c>
      <c r="Q1258" s="13" t="s">
        <v>54</v>
      </c>
      <c r="R1258" s="13" t="s">
        <v>28</v>
      </c>
      <c r="S1258" s="13"/>
      <c r="T1258" s="13"/>
      <c r="U1258" s="13" t="s">
        <v>1002</v>
      </c>
      <c r="V1258" s="13" t="s">
        <v>1002</v>
      </c>
      <c r="W1258" s="59">
        <f>+J1258/$W$2</f>
        <v>5.1424646963985283E-4</v>
      </c>
    </row>
    <row r="1259" spans="1:29">
      <c r="A1259" s="13" t="s">
        <v>913</v>
      </c>
      <c r="B1259" s="13" t="s">
        <v>538</v>
      </c>
      <c r="C1259" s="139">
        <v>46302</v>
      </c>
      <c r="D1259" s="139" t="s">
        <v>516</v>
      </c>
      <c r="E1259" s="28">
        <v>0.88292223999999997</v>
      </c>
      <c r="F1259" s="13"/>
      <c r="G1259" s="18">
        <v>7203888</v>
      </c>
      <c r="H1259" s="18">
        <v>6360472.9400000004</v>
      </c>
      <c r="I1259" s="18">
        <v>7203888</v>
      </c>
      <c r="J1259" s="18">
        <v>6360472.9400000004</v>
      </c>
      <c r="K1259" s="15">
        <v>66329877</v>
      </c>
      <c r="L1259" s="13" t="s">
        <v>102</v>
      </c>
      <c r="M1259" s="13" t="s">
        <v>103</v>
      </c>
      <c r="N1259" s="139" t="s">
        <v>378</v>
      </c>
      <c r="O1259" s="139" t="s">
        <v>378</v>
      </c>
      <c r="P1259" s="28">
        <v>40</v>
      </c>
      <c r="Q1259" s="13" t="s">
        <v>54</v>
      </c>
      <c r="R1259" s="13" t="s">
        <v>28</v>
      </c>
      <c r="S1259" s="13"/>
      <c r="T1259" s="13"/>
      <c r="U1259" s="13" t="s">
        <v>892</v>
      </c>
      <c r="V1259" s="13" t="s">
        <v>892</v>
      </c>
      <c r="W1259" s="59">
        <f>+J1259/$W$2</f>
        <v>1.4287790457763694E-4</v>
      </c>
    </row>
    <row r="1260" spans="1:29">
      <c r="A1260" s="13" t="s">
        <v>913</v>
      </c>
      <c r="B1260" s="13" t="s">
        <v>538</v>
      </c>
      <c r="C1260" s="139">
        <v>46302</v>
      </c>
      <c r="D1260" s="139" t="s">
        <v>516</v>
      </c>
      <c r="E1260" s="28">
        <v>0.88292223999999997</v>
      </c>
      <c r="F1260" s="13"/>
      <c r="G1260" s="18">
        <v>7900000</v>
      </c>
      <c r="H1260" s="18">
        <v>6975085.7000000002</v>
      </c>
      <c r="I1260" s="18">
        <v>7900000</v>
      </c>
      <c r="J1260" s="18">
        <v>6975085.7000000002</v>
      </c>
      <c r="K1260" s="15">
        <v>877</v>
      </c>
      <c r="L1260" s="13" t="s">
        <v>102</v>
      </c>
      <c r="M1260" s="13" t="s">
        <v>103</v>
      </c>
      <c r="N1260" s="139" t="s">
        <v>378</v>
      </c>
      <c r="O1260" s="139" t="s">
        <v>378</v>
      </c>
      <c r="P1260" s="28">
        <v>40</v>
      </c>
      <c r="Q1260" s="13" t="s">
        <v>54</v>
      </c>
      <c r="R1260" s="13" t="s">
        <v>28</v>
      </c>
      <c r="S1260" s="13"/>
      <c r="T1260" s="13"/>
      <c r="U1260" s="13" t="s">
        <v>894</v>
      </c>
      <c r="V1260" s="13" t="s">
        <v>894</v>
      </c>
      <c r="W1260" s="59">
        <f>+J1260/$W$2</f>
        <v>1.5668420233314284E-4</v>
      </c>
    </row>
    <row r="1261" spans="1:29">
      <c r="A1261" s="13" t="s">
        <v>265</v>
      </c>
      <c r="B1261" s="13" t="s">
        <v>538</v>
      </c>
      <c r="C1261" s="139">
        <v>46302</v>
      </c>
      <c r="D1261" s="139" t="s">
        <v>516</v>
      </c>
      <c r="E1261" s="28">
        <v>0.90139060000000004</v>
      </c>
      <c r="F1261" s="13"/>
      <c r="G1261" s="18">
        <v>25000000</v>
      </c>
      <c r="H1261" s="18">
        <v>22534765.02</v>
      </c>
      <c r="I1261" s="18">
        <v>25000000</v>
      </c>
      <c r="J1261" s="18">
        <v>22534765.02</v>
      </c>
      <c r="K1261" s="15">
        <v>1233892</v>
      </c>
      <c r="L1261" s="13" t="s">
        <v>102</v>
      </c>
      <c r="M1261" s="13" t="s">
        <v>103</v>
      </c>
      <c r="N1261" s="139" t="s">
        <v>389</v>
      </c>
      <c r="O1261" s="139" t="s">
        <v>389</v>
      </c>
      <c r="P1261" s="28">
        <v>33</v>
      </c>
      <c r="Q1261" s="13" t="s">
        <v>54</v>
      </c>
      <c r="R1261" s="13" t="s">
        <v>28</v>
      </c>
      <c r="S1261" s="13"/>
      <c r="T1261" s="13"/>
      <c r="U1261" s="13" t="s">
        <v>1849</v>
      </c>
      <c r="V1261" s="13" t="s">
        <v>1849</v>
      </c>
      <c r="W1261" s="59">
        <f>+J1261/$W$2</f>
        <v>5.0620764156682826E-4</v>
      </c>
    </row>
    <row r="1262" spans="1:29">
      <c r="A1262" s="13" t="s">
        <v>819</v>
      </c>
      <c r="B1262" s="13" t="s">
        <v>538</v>
      </c>
      <c r="C1262" s="139">
        <v>46302</v>
      </c>
      <c r="D1262" s="139" t="s">
        <v>516</v>
      </c>
      <c r="E1262" s="28">
        <v>0.91506233999999997</v>
      </c>
      <c r="F1262" s="13"/>
      <c r="G1262" s="18">
        <v>2500000</v>
      </c>
      <c r="H1262" s="18">
        <v>2287655.85</v>
      </c>
      <c r="I1262" s="18">
        <v>2500000</v>
      </c>
      <c r="J1262" s="18">
        <v>2287655.85</v>
      </c>
      <c r="K1262" s="15">
        <v>90031812</v>
      </c>
      <c r="L1262" s="13" t="s">
        <v>102</v>
      </c>
      <c r="M1262" s="13" t="s">
        <v>103</v>
      </c>
      <c r="N1262" s="139" t="s">
        <v>344</v>
      </c>
      <c r="O1262" s="139" t="s">
        <v>344</v>
      </c>
      <c r="P1262" s="28">
        <v>28</v>
      </c>
      <c r="Q1262" s="13" t="s">
        <v>54</v>
      </c>
      <c r="R1262" s="13" t="s">
        <v>28</v>
      </c>
      <c r="S1262" s="13"/>
      <c r="T1262" s="13"/>
      <c r="U1262" s="13" t="s">
        <v>1074</v>
      </c>
      <c r="V1262" s="13" t="s">
        <v>1074</v>
      </c>
      <c r="W1262" s="59">
        <f>+J1262/$W$2</f>
        <v>5.1388548827435602E-5</v>
      </c>
    </row>
    <row r="1263" spans="1:29">
      <c r="A1263" s="13" t="s">
        <v>1528</v>
      </c>
      <c r="B1263" s="13" t="s">
        <v>538</v>
      </c>
      <c r="C1263" s="139">
        <v>46303</v>
      </c>
      <c r="D1263" s="139" t="s">
        <v>516</v>
      </c>
      <c r="E1263" s="28">
        <v>0.88467702999999998</v>
      </c>
      <c r="F1263" s="13"/>
      <c r="G1263" s="18">
        <v>3750000</v>
      </c>
      <c r="H1263" s="18">
        <v>3317538.85</v>
      </c>
      <c r="I1263" s="18">
        <v>3750000</v>
      </c>
      <c r="J1263" s="18">
        <v>3317538.85</v>
      </c>
      <c r="K1263" s="15">
        <v>66919994</v>
      </c>
      <c r="L1263" s="13" t="s">
        <v>102</v>
      </c>
      <c r="M1263" s="13" t="s">
        <v>103</v>
      </c>
      <c r="N1263" s="139" t="s">
        <v>384</v>
      </c>
      <c r="O1263" s="139" t="s">
        <v>384</v>
      </c>
      <c r="P1263" s="28">
        <v>39</v>
      </c>
      <c r="Q1263" s="13" t="s">
        <v>54</v>
      </c>
      <c r="R1263" s="13" t="s">
        <v>28</v>
      </c>
      <c r="S1263" s="13"/>
      <c r="T1263" s="13"/>
      <c r="U1263" s="13" t="s">
        <v>1497</v>
      </c>
      <c r="V1263" s="13" t="s">
        <v>1497</v>
      </c>
      <c r="W1263" s="59">
        <f>+J1263/$W$2</f>
        <v>7.4523231796487025E-5</v>
      </c>
    </row>
    <row r="1264" spans="1:29">
      <c r="A1264" s="13" t="s">
        <v>913</v>
      </c>
      <c r="B1264" s="13" t="s">
        <v>538</v>
      </c>
      <c r="C1264" s="139">
        <v>46303</v>
      </c>
      <c r="D1264" s="139" t="s">
        <v>516</v>
      </c>
      <c r="E1264" s="28">
        <v>0.88206870000000004</v>
      </c>
      <c r="F1264" s="13"/>
      <c r="G1264" s="18">
        <v>7900000</v>
      </c>
      <c r="H1264" s="18">
        <v>6968342.75</v>
      </c>
      <c r="I1264" s="18">
        <v>7900000</v>
      </c>
      <c r="J1264" s="18">
        <v>6968342.75</v>
      </c>
      <c r="K1264" s="15">
        <v>15</v>
      </c>
      <c r="L1264" s="13" t="s">
        <v>102</v>
      </c>
      <c r="M1264" s="13" t="s">
        <v>103</v>
      </c>
      <c r="N1264" s="139" t="s">
        <v>378</v>
      </c>
      <c r="O1264" s="139" t="s">
        <v>378</v>
      </c>
      <c r="P1264" s="28">
        <v>40</v>
      </c>
      <c r="Q1264" s="13" t="s">
        <v>54</v>
      </c>
      <c r="R1264" s="13" t="s">
        <v>28</v>
      </c>
      <c r="S1264" s="13"/>
      <c r="T1264" s="13"/>
      <c r="U1264" s="13" t="s">
        <v>887</v>
      </c>
      <c r="V1264" s="13" t="s">
        <v>887</v>
      </c>
      <c r="W1264" s="59">
        <f>+J1264/$W$2</f>
        <v>1.5653273268996379E-4</v>
      </c>
    </row>
    <row r="1265" spans="1:29">
      <c r="A1265" s="13" t="s">
        <v>913</v>
      </c>
      <c r="B1265" s="13" t="s">
        <v>538</v>
      </c>
      <c r="C1265" s="139">
        <v>46303</v>
      </c>
      <c r="D1265" s="139" t="s">
        <v>516</v>
      </c>
      <c r="E1265" s="28">
        <v>0.88206870999999998</v>
      </c>
      <c r="F1265" s="13"/>
      <c r="G1265" s="18">
        <v>7203888</v>
      </c>
      <c r="H1265" s="18">
        <v>6354324.1600000001</v>
      </c>
      <c r="I1265" s="18">
        <v>7203888</v>
      </c>
      <c r="J1265" s="18">
        <v>6354324.1600000001</v>
      </c>
      <c r="K1265" s="15">
        <v>876</v>
      </c>
      <c r="L1265" s="13" t="s">
        <v>102</v>
      </c>
      <c r="M1265" s="13" t="s">
        <v>103</v>
      </c>
      <c r="N1265" s="139" t="s">
        <v>378</v>
      </c>
      <c r="O1265" s="139" t="s">
        <v>378</v>
      </c>
      <c r="P1265" s="28">
        <v>40</v>
      </c>
      <c r="Q1265" s="13" t="s">
        <v>54</v>
      </c>
      <c r="R1265" s="13" t="s">
        <v>28</v>
      </c>
      <c r="S1265" s="13"/>
      <c r="T1265" s="13"/>
      <c r="U1265" s="13" t="s">
        <v>889</v>
      </c>
      <c r="V1265" s="13" t="s">
        <v>889</v>
      </c>
      <c r="W1265" s="59">
        <f>+J1265/$W$2</f>
        <v>1.4273978201813606E-4</v>
      </c>
    </row>
    <row r="1266" spans="1:29">
      <c r="A1266" s="13" t="s">
        <v>819</v>
      </c>
      <c r="B1266" s="13" t="s">
        <v>538</v>
      </c>
      <c r="C1266" s="139">
        <v>46304</v>
      </c>
      <c r="D1266" s="139" t="s">
        <v>516</v>
      </c>
      <c r="E1266" s="28">
        <v>0.91377936000000004</v>
      </c>
      <c r="F1266" s="13"/>
      <c r="G1266" s="18">
        <v>2500000</v>
      </c>
      <c r="H1266" s="18">
        <v>2284448.41</v>
      </c>
      <c r="I1266" s="18">
        <v>2500000</v>
      </c>
      <c r="J1266" s="18">
        <v>2284448.41</v>
      </c>
      <c r="K1266" s="15">
        <v>90031813</v>
      </c>
      <c r="L1266" s="13" t="s">
        <v>102</v>
      </c>
      <c r="M1266" s="13" t="s">
        <v>103</v>
      </c>
      <c r="N1266" s="139" t="s">
        <v>344</v>
      </c>
      <c r="O1266" s="139" t="s">
        <v>344</v>
      </c>
      <c r="P1266" s="28">
        <v>28</v>
      </c>
      <c r="Q1266" s="13" t="s">
        <v>54</v>
      </c>
      <c r="R1266" s="13" t="s">
        <v>28</v>
      </c>
      <c r="S1266" s="13"/>
      <c r="T1266" s="13"/>
      <c r="U1266" s="13" t="s">
        <v>1075</v>
      </c>
      <c r="V1266" s="13" t="s">
        <v>1075</v>
      </c>
      <c r="W1266" s="59">
        <f>+J1266/$W$2</f>
        <v>5.1316498791128322E-5</v>
      </c>
    </row>
    <row r="1267" spans="1:29">
      <c r="A1267" s="13" t="s">
        <v>1528</v>
      </c>
      <c r="B1267" s="13" t="s">
        <v>538</v>
      </c>
      <c r="C1267" s="139">
        <v>46308</v>
      </c>
      <c r="D1267" s="139" t="s">
        <v>516</v>
      </c>
      <c r="E1267" s="28">
        <v>0.8805153</v>
      </c>
      <c r="F1267" s="13"/>
      <c r="G1267" s="18">
        <v>3750000</v>
      </c>
      <c r="H1267" s="18">
        <v>3301932.39</v>
      </c>
      <c r="I1267" s="18">
        <v>3750000</v>
      </c>
      <c r="J1267" s="18">
        <v>3301932.39</v>
      </c>
      <c r="K1267" s="15">
        <v>66920072</v>
      </c>
      <c r="L1267" s="13" t="s">
        <v>102</v>
      </c>
      <c r="M1267" s="13" t="s">
        <v>103</v>
      </c>
      <c r="N1267" s="139" t="s">
        <v>384</v>
      </c>
      <c r="O1267" s="139" t="s">
        <v>384</v>
      </c>
      <c r="P1267" s="28">
        <v>39</v>
      </c>
      <c r="Q1267" s="13" t="s">
        <v>54</v>
      </c>
      <c r="R1267" s="13" t="s">
        <v>28</v>
      </c>
      <c r="S1267" s="13"/>
      <c r="T1267" s="13"/>
      <c r="U1267" s="13" t="s">
        <v>1498</v>
      </c>
      <c r="V1267" s="13" t="s">
        <v>1498</v>
      </c>
      <c r="W1267" s="59">
        <f>+J1267/$W$2</f>
        <v>7.417265750370893E-5</v>
      </c>
    </row>
    <row r="1268" spans="1:29">
      <c r="A1268" s="13" t="s">
        <v>550</v>
      </c>
      <c r="B1268" s="13" t="s">
        <v>538</v>
      </c>
      <c r="C1268" s="139">
        <v>46309</v>
      </c>
      <c r="D1268" s="139" t="s">
        <v>516</v>
      </c>
      <c r="E1268" s="28">
        <v>0.89627738000000001</v>
      </c>
      <c r="F1268" s="13"/>
      <c r="G1268" s="18">
        <v>12500000</v>
      </c>
      <c r="H1268" s="18">
        <v>11203467.24</v>
      </c>
      <c r="I1268" s="18">
        <v>12500000</v>
      </c>
      <c r="J1268" s="18">
        <v>11203467.24</v>
      </c>
      <c r="K1268" s="15">
        <v>1363</v>
      </c>
      <c r="L1268" s="13" t="s">
        <v>102</v>
      </c>
      <c r="M1268" s="13" t="s">
        <v>103</v>
      </c>
      <c r="N1268" s="139" t="s">
        <v>472</v>
      </c>
      <c r="O1268" s="139" t="s">
        <v>472</v>
      </c>
      <c r="P1268" s="28">
        <v>33</v>
      </c>
      <c r="Q1268" s="13" t="s">
        <v>54</v>
      </c>
      <c r="R1268" s="13" t="s">
        <v>28</v>
      </c>
      <c r="S1268" s="13"/>
      <c r="T1268" s="13"/>
      <c r="U1268" s="13" t="s">
        <v>1630</v>
      </c>
      <c r="V1268" s="13" t="s">
        <v>1630</v>
      </c>
      <c r="W1268" s="59">
        <f>+J1268/$W$2</f>
        <v>2.5166806593715361E-4</v>
      </c>
    </row>
    <row r="1269" spans="1:29">
      <c r="A1269" s="13" t="s">
        <v>819</v>
      </c>
      <c r="B1269" s="13" t="s">
        <v>538</v>
      </c>
      <c r="C1269" s="139">
        <v>46309</v>
      </c>
      <c r="D1269" s="139" t="s">
        <v>516</v>
      </c>
      <c r="E1269" s="28">
        <v>0.91058777000000002</v>
      </c>
      <c r="F1269" s="13"/>
      <c r="G1269" s="18">
        <v>2500000</v>
      </c>
      <c r="H1269" s="18">
        <v>2276469.42</v>
      </c>
      <c r="I1269" s="18">
        <v>2500000</v>
      </c>
      <c r="J1269" s="18">
        <v>2276469.42</v>
      </c>
      <c r="K1269" s="15">
        <v>90031814</v>
      </c>
      <c r="L1269" s="13" t="s">
        <v>102</v>
      </c>
      <c r="M1269" s="13" t="s">
        <v>103</v>
      </c>
      <c r="N1269" s="139" t="s">
        <v>344</v>
      </c>
      <c r="O1269" s="139" t="s">
        <v>344</v>
      </c>
      <c r="P1269" s="28">
        <v>28</v>
      </c>
      <c r="Q1269" s="13" t="s">
        <v>54</v>
      </c>
      <c r="R1269" s="13" t="s">
        <v>28</v>
      </c>
      <c r="S1269" s="13"/>
      <c r="T1269" s="13"/>
      <c r="U1269" s="13" t="s">
        <v>1077</v>
      </c>
      <c r="V1269" s="13" t="s">
        <v>1077</v>
      </c>
      <c r="W1269" s="59">
        <f>+J1269/$W$2</f>
        <v>5.1137263475987442E-5</v>
      </c>
    </row>
    <row r="1270" spans="1:29">
      <c r="A1270" s="13" t="s">
        <v>819</v>
      </c>
      <c r="B1270" s="13" t="s">
        <v>538</v>
      </c>
      <c r="C1270" s="139">
        <v>46309</v>
      </c>
      <c r="D1270" s="139" t="s">
        <v>516</v>
      </c>
      <c r="E1270" s="28">
        <v>0.91058790000000001</v>
      </c>
      <c r="F1270" s="13"/>
      <c r="G1270" s="18">
        <v>25000000</v>
      </c>
      <c r="H1270" s="18">
        <v>22764697.41</v>
      </c>
      <c r="I1270" s="18">
        <v>25000000</v>
      </c>
      <c r="J1270" s="18">
        <v>22764697.41</v>
      </c>
      <c r="K1270" s="15">
        <v>360570</v>
      </c>
      <c r="L1270" s="13" t="s">
        <v>102</v>
      </c>
      <c r="M1270" s="13" t="s">
        <v>103</v>
      </c>
      <c r="N1270" s="139" t="s">
        <v>366</v>
      </c>
      <c r="O1270" s="139" t="s">
        <v>366</v>
      </c>
      <c r="P1270" s="28">
        <v>28</v>
      </c>
      <c r="Q1270" s="13" t="s">
        <v>54</v>
      </c>
      <c r="R1270" s="13" t="s">
        <v>28</v>
      </c>
      <c r="S1270" s="13"/>
      <c r="T1270" s="13"/>
      <c r="U1270" s="13" t="s">
        <v>1005</v>
      </c>
      <c r="V1270" s="13" t="s">
        <v>1005</v>
      </c>
      <c r="W1270" s="59">
        <f>+J1270/$W$2</f>
        <v>5.1137270686741709E-4</v>
      </c>
      <c r="AC1270" s="56"/>
    </row>
    <row r="1271" spans="1:29">
      <c r="A1271" s="13" t="s">
        <v>1916</v>
      </c>
      <c r="B1271" s="13" t="s">
        <v>538</v>
      </c>
      <c r="C1271" s="139">
        <v>46310</v>
      </c>
      <c r="D1271" s="139" t="s">
        <v>516</v>
      </c>
      <c r="E1271" s="28">
        <v>0.89555169000000001</v>
      </c>
      <c r="F1271" s="13"/>
      <c r="G1271" s="18">
        <v>5134985.93</v>
      </c>
      <c r="H1271" s="18">
        <v>4598645.3099999996</v>
      </c>
      <c r="I1271" s="18">
        <v>5134985.93</v>
      </c>
      <c r="J1271" s="18">
        <v>4598645.3099999996</v>
      </c>
      <c r="K1271" s="15">
        <v>414</v>
      </c>
      <c r="L1271" s="13" t="s">
        <v>102</v>
      </c>
      <c r="M1271" s="13" t="s">
        <v>103</v>
      </c>
      <c r="N1271" s="139" t="s">
        <v>175</v>
      </c>
      <c r="O1271" s="139" t="s">
        <v>175</v>
      </c>
      <c r="P1271" s="28">
        <v>33</v>
      </c>
      <c r="Q1271" s="13" t="s">
        <v>54</v>
      </c>
      <c r="R1271" s="13" t="s">
        <v>28</v>
      </c>
      <c r="S1271" s="13"/>
      <c r="T1271" s="13"/>
      <c r="U1271" s="13" t="s">
        <v>1902</v>
      </c>
      <c r="V1271" s="13" t="s">
        <v>1902</v>
      </c>
      <c r="W1271" s="59">
        <f>+J1271/$W$2</f>
        <v>1.0330125007788768E-4</v>
      </c>
    </row>
    <row r="1272" spans="1:29">
      <c r="A1272" s="13" t="s">
        <v>993</v>
      </c>
      <c r="B1272" s="13" t="s">
        <v>538</v>
      </c>
      <c r="C1272" s="139">
        <v>46310</v>
      </c>
      <c r="D1272" s="139" t="s">
        <v>516</v>
      </c>
      <c r="E1272" s="28">
        <v>0.90413692999999995</v>
      </c>
      <c r="F1272" s="13"/>
      <c r="G1272" s="18">
        <v>2000000</v>
      </c>
      <c r="H1272" s="18">
        <v>1808273.87</v>
      </c>
      <c r="I1272" s="18">
        <v>2000000</v>
      </c>
      <c r="J1272" s="18">
        <v>1808273.87</v>
      </c>
      <c r="K1272" s="15">
        <v>13442185</v>
      </c>
      <c r="L1272" s="13" t="s">
        <v>102</v>
      </c>
      <c r="M1272" s="13" t="s">
        <v>103</v>
      </c>
      <c r="N1272" s="139" t="s">
        <v>335</v>
      </c>
      <c r="O1272" s="139" t="s">
        <v>335</v>
      </c>
      <c r="P1272" s="28">
        <v>30</v>
      </c>
      <c r="Q1272" s="13" t="s">
        <v>54</v>
      </c>
      <c r="R1272" s="13" t="s">
        <v>28</v>
      </c>
      <c r="S1272" s="13"/>
      <c r="T1272" s="13"/>
      <c r="U1272" s="13" t="s">
        <v>1733</v>
      </c>
      <c r="V1272" s="13" t="s">
        <v>1733</v>
      </c>
      <c r="W1272" s="59">
        <f>+J1272/$W$2</f>
        <v>4.0619995381678996E-5</v>
      </c>
    </row>
    <row r="1273" spans="1:29">
      <c r="A1273" s="13" t="s">
        <v>265</v>
      </c>
      <c r="B1273" s="13" t="s">
        <v>538</v>
      </c>
      <c r="C1273" s="139">
        <v>46310</v>
      </c>
      <c r="D1273" s="139" t="s">
        <v>516</v>
      </c>
      <c r="E1273" s="28">
        <v>0.89555185999999998</v>
      </c>
      <c r="F1273" s="13"/>
      <c r="G1273" s="18">
        <v>25000000</v>
      </c>
      <c r="H1273" s="18">
        <v>22388796.43</v>
      </c>
      <c r="I1273" s="18">
        <v>25000000</v>
      </c>
      <c r="J1273" s="18">
        <v>22388796.43</v>
      </c>
      <c r="K1273" s="15">
        <v>475881</v>
      </c>
      <c r="L1273" s="13" t="s">
        <v>102</v>
      </c>
      <c r="M1273" s="13" t="s">
        <v>103</v>
      </c>
      <c r="N1273" s="139" t="s">
        <v>516</v>
      </c>
      <c r="O1273" s="139" t="s">
        <v>516</v>
      </c>
      <c r="P1273" s="28">
        <v>33</v>
      </c>
      <c r="Q1273" s="13" t="s">
        <v>54</v>
      </c>
      <c r="R1273" s="13" t="s">
        <v>28</v>
      </c>
      <c r="S1273" s="13"/>
      <c r="T1273" s="13"/>
      <c r="U1273" s="13" t="s">
        <v>2095</v>
      </c>
      <c r="V1273" s="13" t="s">
        <v>2095</v>
      </c>
      <c r="W1273" s="59">
        <f>+J1273/$W$2</f>
        <v>5.0292868944014065E-4</v>
      </c>
    </row>
    <row r="1274" spans="1:29">
      <c r="A1274" s="13" t="s">
        <v>819</v>
      </c>
      <c r="B1274" s="13" t="s">
        <v>538</v>
      </c>
      <c r="C1274" s="139">
        <v>46310</v>
      </c>
      <c r="D1274" s="139" t="s">
        <v>516</v>
      </c>
      <c r="E1274" s="28">
        <v>0.90995225999999996</v>
      </c>
      <c r="F1274" s="13"/>
      <c r="G1274" s="18">
        <v>2500000</v>
      </c>
      <c r="H1274" s="18">
        <v>2274880.66</v>
      </c>
      <c r="I1274" s="18">
        <v>2500000</v>
      </c>
      <c r="J1274" s="18">
        <v>2274880.66</v>
      </c>
      <c r="K1274" s="15">
        <v>90031815</v>
      </c>
      <c r="L1274" s="13" t="s">
        <v>102</v>
      </c>
      <c r="M1274" s="13" t="s">
        <v>103</v>
      </c>
      <c r="N1274" s="139" t="s">
        <v>344</v>
      </c>
      <c r="O1274" s="139" t="s">
        <v>344</v>
      </c>
      <c r="P1274" s="28">
        <v>28</v>
      </c>
      <c r="Q1274" s="13" t="s">
        <v>54</v>
      </c>
      <c r="R1274" s="13" t="s">
        <v>28</v>
      </c>
      <c r="S1274" s="13"/>
      <c r="T1274" s="13"/>
      <c r="U1274" s="13" t="s">
        <v>1078</v>
      </c>
      <c r="V1274" s="13" t="s">
        <v>1078</v>
      </c>
      <c r="W1274" s="59">
        <f>+J1274/$W$2</f>
        <v>5.110157451043125E-5</v>
      </c>
    </row>
    <row r="1275" spans="1:29">
      <c r="A1275" s="13" t="s">
        <v>819</v>
      </c>
      <c r="B1275" s="13" t="s">
        <v>538</v>
      </c>
      <c r="C1275" s="139">
        <v>46310</v>
      </c>
      <c r="D1275" s="139" t="s">
        <v>516</v>
      </c>
      <c r="E1275" s="28">
        <v>0.90995221999999998</v>
      </c>
      <c r="F1275" s="13"/>
      <c r="G1275" s="18">
        <v>25000000</v>
      </c>
      <c r="H1275" s="18">
        <v>22748805.469999999</v>
      </c>
      <c r="I1275" s="18">
        <v>25000000</v>
      </c>
      <c r="J1275" s="18">
        <v>22748805.469999999</v>
      </c>
      <c r="K1275" s="15">
        <v>360571</v>
      </c>
      <c r="L1275" s="13" t="s">
        <v>102</v>
      </c>
      <c r="M1275" s="13" t="s">
        <v>103</v>
      </c>
      <c r="N1275" s="139" t="s">
        <v>366</v>
      </c>
      <c r="O1275" s="139" t="s">
        <v>366</v>
      </c>
      <c r="P1275" s="28">
        <v>28</v>
      </c>
      <c r="Q1275" s="13" t="s">
        <v>54</v>
      </c>
      <c r="R1275" s="13" t="s">
        <v>28</v>
      </c>
      <c r="S1275" s="13"/>
      <c r="T1275" s="13"/>
      <c r="U1275" s="13" t="s">
        <v>1010</v>
      </c>
      <c r="V1275" s="13" t="s">
        <v>1010</v>
      </c>
      <c r="W1275" s="59">
        <f>+J1275/$W$2</f>
        <v>5.1101571972066032E-4</v>
      </c>
    </row>
    <row r="1276" spans="1:29">
      <c r="A1276" s="13" t="s">
        <v>1528</v>
      </c>
      <c r="B1276" s="13" t="s">
        <v>538</v>
      </c>
      <c r="C1276" s="139">
        <v>46311</v>
      </c>
      <c r="D1276" s="139" t="s">
        <v>516</v>
      </c>
      <c r="E1276" s="28">
        <v>0.87803710999999995</v>
      </c>
      <c r="F1276" s="13"/>
      <c r="G1276" s="18">
        <v>3750000</v>
      </c>
      <c r="H1276" s="18">
        <v>3292639.16</v>
      </c>
      <c r="I1276" s="18">
        <v>3750000</v>
      </c>
      <c r="J1276" s="18">
        <v>3292639.16</v>
      </c>
      <c r="K1276" s="15">
        <v>66920206</v>
      </c>
      <c r="L1276" s="13" t="s">
        <v>102</v>
      </c>
      <c r="M1276" s="13" t="s">
        <v>103</v>
      </c>
      <c r="N1276" s="139" t="s">
        <v>384</v>
      </c>
      <c r="O1276" s="139" t="s">
        <v>384</v>
      </c>
      <c r="P1276" s="28">
        <v>39</v>
      </c>
      <c r="Q1276" s="13" t="s">
        <v>54</v>
      </c>
      <c r="R1276" s="13" t="s">
        <v>28</v>
      </c>
      <c r="S1276" s="13"/>
      <c r="T1276" s="13"/>
      <c r="U1276" s="13" t="s">
        <v>1500</v>
      </c>
      <c r="V1276" s="13" t="s">
        <v>1500</v>
      </c>
      <c r="W1276" s="59">
        <f>+J1276/$W$2</f>
        <v>7.3963899878028657E-5</v>
      </c>
      <c r="AC1276" s="56"/>
    </row>
    <row r="1277" spans="1:29">
      <c r="A1277" s="13" t="s">
        <v>1918</v>
      </c>
      <c r="B1277" s="13" t="s">
        <v>538</v>
      </c>
      <c r="C1277" s="139">
        <v>46311</v>
      </c>
      <c r="D1277" s="139" t="s">
        <v>516</v>
      </c>
      <c r="E1277" s="28">
        <v>0.89482735000000002</v>
      </c>
      <c r="F1277" s="13"/>
      <c r="G1277" s="18">
        <v>7190687</v>
      </c>
      <c r="H1277" s="18">
        <v>6434423.4100000001</v>
      </c>
      <c r="I1277" s="18">
        <v>7190687</v>
      </c>
      <c r="J1277" s="18">
        <v>6434423.4100000001</v>
      </c>
      <c r="K1277" s="15">
        <v>90001573</v>
      </c>
      <c r="L1277" s="13" t="s">
        <v>102</v>
      </c>
      <c r="M1277" s="13" t="s">
        <v>103</v>
      </c>
      <c r="N1277" s="139" t="s">
        <v>175</v>
      </c>
      <c r="O1277" s="139" t="s">
        <v>175</v>
      </c>
      <c r="P1277" s="28">
        <v>33</v>
      </c>
      <c r="Q1277" s="13" t="s">
        <v>54</v>
      </c>
      <c r="R1277" s="13" t="s">
        <v>28</v>
      </c>
      <c r="S1277" s="13"/>
      <c r="T1277" s="13"/>
      <c r="U1277" s="13" t="s">
        <v>1907</v>
      </c>
      <c r="V1277" s="13" t="s">
        <v>1907</v>
      </c>
      <c r="W1277" s="59">
        <f>+J1277/$W$2</f>
        <v>1.445390842250943E-4</v>
      </c>
      <c r="AC1277"/>
    </row>
    <row r="1278" spans="1:29">
      <c r="A1278" s="13" t="s">
        <v>915</v>
      </c>
      <c r="B1278" s="13" t="s">
        <v>130</v>
      </c>
      <c r="C1278" s="139">
        <v>46311</v>
      </c>
      <c r="D1278" s="139" t="s">
        <v>516</v>
      </c>
      <c r="E1278" s="28">
        <v>0.97229538999999998</v>
      </c>
      <c r="F1278" s="13" t="s">
        <v>2102</v>
      </c>
      <c r="G1278" s="18">
        <v>18230</v>
      </c>
      <c r="H1278" s="18">
        <v>17724.95</v>
      </c>
      <c r="I1278" s="18">
        <v>26349600.370000001</v>
      </c>
      <c r="J1278" s="18">
        <v>25619602.25</v>
      </c>
      <c r="K1278" s="15">
        <v>146445</v>
      </c>
      <c r="L1278" s="13" t="s">
        <v>102</v>
      </c>
      <c r="M1278" s="13" t="s">
        <v>103</v>
      </c>
      <c r="N1278" s="139" t="s">
        <v>378</v>
      </c>
      <c r="O1278" s="139" t="s">
        <v>378</v>
      </c>
      <c r="P1278" s="28">
        <v>8</v>
      </c>
      <c r="Q1278" s="13" t="s">
        <v>54</v>
      </c>
      <c r="R1278" s="13" t="s">
        <v>28</v>
      </c>
      <c r="S1278" s="13"/>
      <c r="T1278" s="13"/>
      <c r="U1278" s="13" t="s">
        <v>897</v>
      </c>
      <c r="V1278" s="13" t="s">
        <v>897</v>
      </c>
      <c r="W1278" s="59">
        <f>+J1278/$W$2</f>
        <v>5.7550360171684215E-4</v>
      </c>
    </row>
    <row r="1279" spans="1:29">
      <c r="A1279" s="13" t="s">
        <v>1164</v>
      </c>
      <c r="B1279" s="13" t="s">
        <v>538</v>
      </c>
      <c r="C1279" s="139">
        <v>46311</v>
      </c>
      <c r="D1279" s="139" t="s">
        <v>516</v>
      </c>
      <c r="E1279" s="28">
        <v>0.89482735000000002</v>
      </c>
      <c r="F1279" s="13"/>
      <c r="G1279" s="18">
        <v>7261808.2000000002</v>
      </c>
      <c r="H1279" s="18">
        <v>6498064.5800000001</v>
      </c>
      <c r="I1279" s="18">
        <v>7261808.2000000002</v>
      </c>
      <c r="J1279" s="18">
        <v>6498064.5800000001</v>
      </c>
      <c r="K1279" s="15">
        <v>90000672</v>
      </c>
      <c r="L1279" s="13" t="s">
        <v>102</v>
      </c>
      <c r="M1279" s="13" t="s">
        <v>103</v>
      </c>
      <c r="N1279" s="139" t="s">
        <v>175</v>
      </c>
      <c r="O1279" s="139" t="s">
        <v>175</v>
      </c>
      <c r="P1279" s="28">
        <v>33</v>
      </c>
      <c r="Q1279" s="13" t="s">
        <v>54</v>
      </c>
      <c r="R1279" s="13" t="s">
        <v>28</v>
      </c>
      <c r="S1279" s="13"/>
      <c r="T1279" s="13"/>
      <c r="U1279" s="13" t="s">
        <v>1900</v>
      </c>
      <c r="V1279" s="13" t="s">
        <v>1900</v>
      </c>
      <c r="W1279" s="59">
        <f>+J1279/$W$2</f>
        <v>1.4596868185096977E-4</v>
      </c>
    </row>
    <row r="1280" spans="1:29">
      <c r="A1280" s="13" t="s">
        <v>1528</v>
      </c>
      <c r="B1280" s="13" t="s">
        <v>538</v>
      </c>
      <c r="C1280" s="139">
        <v>46314</v>
      </c>
      <c r="D1280" s="139" t="s">
        <v>516</v>
      </c>
      <c r="E1280" s="28">
        <v>0.87557282999999997</v>
      </c>
      <c r="F1280" s="13"/>
      <c r="G1280" s="18">
        <v>3750000</v>
      </c>
      <c r="H1280" s="18">
        <v>3283398.11</v>
      </c>
      <c r="I1280" s="18">
        <v>3750000</v>
      </c>
      <c r="J1280" s="18">
        <v>3283398.11</v>
      </c>
      <c r="K1280" s="15">
        <v>66917997</v>
      </c>
      <c r="L1280" s="13" t="s">
        <v>102</v>
      </c>
      <c r="M1280" s="13" t="s">
        <v>103</v>
      </c>
      <c r="N1280" s="139" t="s">
        <v>384</v>
      </c>
      <c r="O1280" s="139" t="s">
        <v>384</v>
      </c>
      <c r="P1280" s="28">
        <v>39</v>
      </c>
      <c r="Q1280" s="13" t="s">
        <v>54</v>
      </c>
      <c r="R1280" s="13" t="s">
        <v>28</v>
      </c>
      <c r="S1280" s="13"/>
      <c r="T1280" s="13"/>
      <c r="U1280" s="13" t="s">
        <v>1503</v>
      </c>
      <c r="V1280" s="13" t="s">
        <v>1503</v>
      </c>
      <c r="W1280" s="59">
        <f>+J1280/$W$2</f>
        <v>7.3756314393025844E-5</v>
      </c>
      <c r="AC1280" s="56"/>
    </row>
    <row r="1281" spans="1:29">
      <c r="A1281" s="13" t="s">
        <v>597</v>
      </c>
      <c r="B1281" s="13" t="s">
        <v>538</v>
      </c>
      <c r="C1281" s="139">
        <v>46314</v>
      </c>
      <c r="D1281" s="139" t="s">
        <v>516</v>
      </c>
      <c r="E1281" s="28">
        <v>0.88689121999999998</v>
      </c>
      <c r="F1281" s="13"/>
      <c r="G1281" s="18">
        <v>1500000</v>
      </c>
      <c r="H1281" s="18">
        <v>1330336.83</v>
      </c>
      <c r="I1281" s="18">
        <v>1500000</v>
      </c>
      <c r="J1281" s="18">
        <v>1330336.83</v>
      </c>
      <c r="K1281" s="15">
        <v>4</v>
      </c>
      <c r="L1281" s="13" t="s">
        <v>102</v>
      </c>
      <c r="M1281" s="13" t="s">
        <v>103</v>
      </c>
      <c r="N1281" s="139" t="s">
        <v>431</v>
      </c>
      <c r="O1281" s="139" t="s">
        <v>431</v>
      </c>
      <c r="P1281" s="28">
        <v>35</v>
      </c>
      <c r="Q1281" s="13" t="s">
        <v>54</v>
      </c>
      <c r="R1281" s="13" t="s">
        <v>28</v>
      </c>
      <c r="S1281" s="13"/>
      <c r="T1281" s="13"/>
      <c r="U1281" s="13" t="s">
        <v>1170</v>
      </c>
      <c r="V1281" s="13" t="s">
        <v>1170</v>
      </c>
      <c r="W1281" s="59">
        <f>+J1281/$W$2</f>
        <v>2.9883900214007672E-5</v>
      </c>
    </row>
    <row r="1282" spans="1:29">
      <c r="A1282" s="13" t="s">
        <v>313</v>
      </c>
      <c r="B1282" s="13" t="s">
        <v>538</v>
      </c>
      <c r="C1282" s="139">
        <v>46314</v>
      </c>
      <c r="D1282" s="139" t="s">
        <v>516</v>
      </c>
      <c r="E1282" s="28">
        <v>0.89850578000000003</v>
      </c>
      <c r="F1282" s="13"/>
      <c r="G1282" s="18">
        <v>16500000</v>
      </c>
      <c r="H1282" s="18">
        <v>14825345.439999999</v>
      </c>
      <c r="I1282" s="18">
        <v>16500000</v>
      </c>
      <c r="J1282" s="18">
        <v>14825345.439999999</v>
      </c>
      <c r="K1282" s="15">
        <v>28676</v>
      </c>
      <c r="L1282" s="13" t="s">
        <v>102</v>
      </c>
      <c r="M1282" s="13" t="s">
        <v>103</v>
      </c>
      <c r="N1282" s="139" t="s">
        <v>395</v>
      </c>
      <c r="O1282" s="139" t="s">
        <v>395</v>
      </c>
      <c r="P1282" s="28">
        <v>31</v>
      </c>
      <c r="Q1282" s="13" t="s">
        <v>54</v>
      </c>
      <c r="R1282" s="13" t="s">
        <v>28</v>
      </c>
      <c r="S1282" s="13"/>
      <c r="T1282" s="13"/>
      <c r="U1282" s="13" t="s">
        <v>1240</v>
      </c>
      <c r="V1282" s="13" t="s">
        <v>1240</v>
      </c>
      <c r="W1282" s="59">
        <f>+J1282/$W$2</f>
        <v>3.3302779700322482E-4</v>
      </c>
      <c r="AC1282" s="56"/>
    </row>
    <row r="1283" spans="1:29">
      <c r="A1283" s="13" t="s">
        <v>819</v>
      </c>
      <c r="B1283" s="13" t="s">
        <v>538</v>
      </c>
      <c r="C1283" s="139">
        <v>46314</v>
      </c>
      <c r="D1283" s="139" t="s">
        <v>516</v>
      </c>
      <c r="E1283" s="28">
        <v>0.90741857999999997</v>
      </c>
      <c r="F1283" s="13"/>
      <c r="G1283" s="18">
        <v>2500000</v>
      </c>
      <c r="H1283" s="18">
        <v>2268546.4500000002</v>
      </c>
      <c r="I1283" s="18">
        <v>2500000</v>
      </c>
      <c r="J1283" s="18">
        <v>2268546.4500000002</v>
      </c>
      <c r="K1283" s="15">
        <v>90031816</v>
      </c>
      <c r="L1283" s="13" t="s">
        <v>102</v>
      </c>
      <c r="M1283" s="13" t="s">
        <v>103</v>
      </c>
      <c r="N1283" s="139" t="s">
        <v>344</v>
      </c>
      <c r="O1283" s="139" t="s">
        <v>344</v>
      </c>
      <c r="P1283" s="28">
        <v>28</v>
      </c>
      <c r="Q1283" s="13" t="s">
        <v>54</v>
      </c>
      <c r="R1283" s="13" t="s">
        <v>28</v>
      </c>
      <c r="S1283" s="13"/>
      <c r="T1283" s="13"/>
      <c r="U1283" s="13" t="s">
        <v>1094</v>
      </c>
      <c r="V1283" s="13" t="s">
        <v>1094</v>
      </c>
      <c r="W1283" s="59">
        <f>+J1283/$W$2</f>
        <v>5.0959286561014282E-5</v>
      </c>
    </row>
    <row r="1284" spans="1:29">
      <c r="A1284" s="13" t="s">
        <v>920</v>
      </c>
      <c r="B1284" s="13" t="s">
        <v>538</v>
      </c>
      <c r="C1284" s="139">
        <v>46315</v>
      </c>
      <c r="D1284" s="139" t="s">
        <v>516</v>
      </c>
      <c r="E1284" s="28">
        <v>0.87757269999999998</v>
      </c>
      <c r="F1284" s="13"/>
      <c r="G1284" s="18">
        <v>6899161.7699999996</v>
      </c>
      <c r="H1284" s="18">
        <v>6054516.0300000003</v>
      </c>
      <c r="I1284" s="18">
        <v>6899161.7699999996</v>
      </c>
      <c r="J1284" s="18">
        <v>6054516.0300000003</v>
      </c>
      <c r="K1284" s="15">
        <v>65964607</v>
      </c>
      <c r="L1284" s="13" t="s">
        <v>102</v>
      </c>
      <c r="M1284" s="13" t="s">
        <v>103</v>
      </c>
      <c r="N1284" s="139" t="s">
        <v>344</v>
      </c>
      <c r="O1284" s="139" t="s">
        <v>344</v>
      </c>
      <c r="P1284" s="28">
        <v>38</v>
      </c>
      <c r="Q1284" s="13" t="s">
        <v>54</v>
      </c>
      <c r="R1284" s="13" t="s">
        <v>28</v>
      </c>
      <c r="S1284" s="13"/>
      <c r="T1284" s="13"/>
      <c r="U1284" s="13" t="s">
        <v>1143</v>
      </c>
      <c r="V1284" s="13" t="s">
        <v>1143</v>
      </c>
      <c r="W1284" s="59">
        <f>+J1284/$W$2</f>
        <v>1.3600506939631963E-4</v>
      </c>
    </row>
    <row r="1285" spans="1:29">
      <c r="A1285" s="13" t="s">
        <v>993</v>
      </c>
      <c r="B1285" s="13" t="s">
        <v>538</v>
      </c>
      <c r="C1285" s="139">
        <v>46315</v>
      </c>
      <c r="D1285" s="139" t="s">
        <v>516</v>
      </c>
      <c r="E1285" s="28">
        <v>0.90078986000000005</v>
      </c>
      <c r="F1285" s="13"/>
      <c r="G1285" s="18">
        <v>2000000</v>
      </c>
      <c r="H1285" s="18">
        <v>1801579.72</v>
      </c>
      <c r="I1285" s="18">
        <v>2000000</v>
      </c>
      <c r="J1285" s="18">
        <v>1801579.72</v>
      </c>
      <c r="K1285" s="15">
        <v>13442187</v>
      </c>
      <c r="L1285" s="13" t="s">
        <v>102</v>
      </c>
      <c r="M1285" s="13" t="s">
        <v>103</v>
      </c>
      <c r="N1285" s="139" t="s">
        <v>335</v>
      </c>
      <c r="O1285" s="139" t="s">
        <v>335</v>
      </c>
      <c r="P1285" s="28">
        <v>30</v>
      </c>
      <c r="Q1285" s="13" t="s">
        <v>54</v>
      </c>
      <c r="R1285" s="13" t="s">
        <v>28</v>
      </c>
      <c r="S1285" s="13"/>
      <c r="T1285" s="13"/>
      <c r="U1285" s="13" t="s">
        <v>1734</v>
      </c>
      <c r="V1285" s="13" t="s">
        <v>1734</v>
      </c>
      <c r="W1285" s="59">
        <f>+J1285/$W$2</f>
        <v>4.0469621952855261E-5</v>
      </c>
      <c r="AC1285" s="56"/>
    </row>
    <row r="1286" spans="1:29">
      <c r="A1286" s="13" t="s">
        <v>819</v>
      </c>
      <c r="B1286" s="13" t="s">
        <v>538</v>
      </c>
      <c r="C1286" s="139">
        <v>46315</v>
      </c>
      <c r="D1286" s="139" t="s">
        <v>516</v>
      </c>
      <c r="E1286" s="28">
        <v>0.90678731999999995</v>
      </c>
      <c r="F1286" s="13"/>
      <c r="G1286" s="18">
        <v>2500000</v>
      </c>
      <c r="H1286" s="18">
        <v>2266968.29</v>
      </c>
      <c r="I1286" s="18">
        <v>2500000</v>
      </c>
      <c r="J1286" s="18">
        <v>2266968.29</v>
      </c>
      <c r="K1286" s="15">
        <v>90031817</v>
      </c>
      <c r="L1286" s="13" t="s">
        <v>102</v>
      </c>
      <c r="M1286" s="13" t="s">
        <v>103</v>
      </c>
      <c r="N1286" s="139" t="s">
        <v>344</v>
      </c>
      <c r="O1286" s="139" t="s">
        <v>344</v>
      </c>
      <c r="P1286" s="28">
        <v>28</v>
      </c>
      <c r="Q1286" s="13" t="s">
        <v>54</v>
      </c>
      <c r="R1286" s="13" t="s">
        <v>28</v>
      </c>
      <c r="S1286" s="13"/>
      <c r="T1286" s="13"/>
      <c r="U1286" s="13" t="s">
        <v>1091</v>
      </c>
      <c r="V1286" s="13" t="s">
        <v>1091</v>
      </c>
      <c r="W1286" s="59">
        <f>+J1286/$W$2</f>
        <v>5.092383570759264E-5</v>
      </c>
    </row>
    <row r="1287" spans="1:29">
      <c r="A1287" s="13" t="s">
        <v>819</v>
      </c>
      <c r="B1287" s="13" t="s">
        <v>538</v>
      </c>
      <c r="C1287" s="139">
        <v>46315</v>
      </c>
      <c r="D1287" s="139" t="s">
        <v>516</v>
      </c>
      <c r="E1287" s="28">
        <v>0.90678725999999998</v>
      </c>
      <c r="F1287" s="13"/>
      <c r="G1287" s="18">
        <v>25000000</v>
      </c>
      <c r="H1287" s="18">
        <v>22669681.609999999</v>
      </c>
      <c r="I1287" s="18">
        <v>25000000</v>
      </c>
      <c r="J1287" s="18">
        <v>22669681.609999999</v>
      </c>
      <c r="K1287" s="15">
        <v>360572</v>
      </c>
      <c r="L1287" s="13" t="s">
        <v>102</v>
      </c>
      <c r="M1287" s="13" t="s">
        <v>103</v>
      </c>
      <c r="N1287" s="139" t="s">
        <v>366</v>
      </c>
      <c r="O1287" s="139" t="s">
        <v>366</v>
      </c>
      <c r="P1287" s="28">
        <v>28</v>
      </c>
      <c r="Q1287" s="13" t="s">
        <v>54</v>
      </c>
      <c r="R1287" s="13" t="s">
        <v>28</v>
      </c>
      <c r="S1287" s="13"/>
      <c r="T1287" s="13"/>
      <c r="U1287" s="13" t="s">
        <v>1014</v>
      </c>
      <c r="V1287" s="13" t="s">
        <v>1014</v>
      </c>
      <c r="W1287" s="59">
        <f>+J1287/$W$2</f>
        <v>5.0923832809812893E-4</v>
      </c>
    </row>
    <row r="1288" spans="1:29">
      <c r="A1288" s="13" t="s">
        <v>923</v>
      </c>
      <c r="B1288" s="13" t="s">
        <v>538</v>
      </c>
      <c r="C1288" s="139">
        <v>46316</v>
      </c>
      <c r="D1288" s="139" t="s">
        <v>516</v>
      </c>
      <c r="E1288" s="28">
        <v>0.90012336999999998</v>
      </c>
      <c r="F1288" s="13"/>
      <c r="G1288" s="18">
        <v>11923076.92</v>
      </c>
      <c r="H1288" s="18">
        <v>10732240.220000001</v>
      </c>
      <c r="I1288" s="18">
        <v>11923076.92</v>
      </c>
      <c r="J1288" s="18">
        <v>10732240.220000001</v>
      </c>
      <c r="K1288" s="15">
        <v>90021989</v>
      </c>
      <c r="L1288" s="13" t="s">
        <v>102</v>
      </c>
      <c r="M1288" s="13" t="s">
        <v>103</v>
      </c>
      <c r="N1288" s="139" t="s">
        <v>377</v>
      </c>
      <c r="O1288" s="139" t="s">
        <v>377</v>
      </c>
      <c r="P1288" s="28">
        <v>30</v>
      </c>
      <c r="Q1288" s="13" t="s">
        <v>54</v>
      </c>
      <c r="R1288" s="13" t="s">
        <v>28</v>
      </c>
      <c r="S1288" s="13"/>
      <c r="T1288" s="13"/>
      <c r="U1288" s="13" t="s">
        <v>1462</v>
      </c>
      <c r="V1288" s="13" t="s">
        <v>1462</v>
      </c>
      <c r="W1288" s="59">
        <f>+J1288/$W$2</f>
        <v>2.410827006926056E-4</v>
      </c>
    </row>
    <row r="1289" spans="1:29">
      <c r="A1289" s="13" t="s">
        <v>921</v>
      </c>
      <c r="B1289" s="13" t="s">
        <v>538</v>
      </c>
      <c r="C1289" s="139">
        <v>46316</v>
      </c>
      <c r="D1289" s="139" t="s">
        <v>516</v>
      </c>
      <c r="E1289" s="28">
        <v>0.87677159000000005</v>
      </c>
      <c r="F1289" s="13"/>
      <c r="G1289" s="18">
        <v>7133529.1399999997</v>
      </c>
      <c r="H1289" s="18">
        <v>6254475.6900000004</v>
      </c>
      <c r="I1289" s="18">
        <v>7133529.1399999997</v>
      </c>
      <c r="J1289" s="18">
        <v>6254475.6900000004</v>
      </c>
      <c r="K1289" s="15">
        <v>90000170</v>
      </c>
      <c r="L1289" s="13" t="s">
        <v>102</v>
      </c>
      <c r="M1289" s="13" t="s">
        <v>103</v>
      </c>
      <c r="N1289" s="139" t="s">
        <v>344</v>
      </c>
      <c r="O1289" s="139" t="s">
        <v>344</v>
      </c>
      <c r="P1289" s="28">
        <v>38</v>
      </c>
      <c r="Q1289" s="13" t="s">
        <v>54</v>
      </c>
      <c r="R1289" s="13" t="s">
        <v>28</v>
      </c>
      <c r="S1289" s="13"/>
      <c r="T1289" s="13"/>
      <c r="U1289" s="13" t="s">
        <v>1149</v>
      </c>
      <c r="V1289" s="13" t="s">
        <v>1149</v>
      </c>
      <c r="W1289" s="59">
        <f>+J1289/$W$2</f>
        <v>1.4049684500646109E-4</v>
      </c>
    </row>
    <row r="1290" spans="1:29">
      <c r="A1290" s="13" t="s">
        <v>819</v>
      </c>
      <c r="B1290" s="13" t="s">
        <v>538</v>
      </c>
      <c r="C1290" s="139">
        <v>46316</v>
      </c>
      <c r="D1290" s="139" t="s">
        <v>516</v>
      </c>
      <c r="E1290" s="28">
        <v>0.90615705000000002</v>
      </c>
      <c r="F1290" s="13"/>
      <c r="G1290" s="18">
        <v>25000000</v>
      </c>
      <c r="H1290" s="18">
        <v>22653926.190000001</v>
      </c>
      <c r="I1290" s="18">
        <v>25000000</v>
      </c>
      <c r="J1290" s="18">
        <v>22653926.190000001</v>
      </c>
      <c r="K1290" s="15">
        <v>360573</v>
      </c>
      <c r="L1290" s="13" t="s">
        <v>102</v>
      </c>
      <c r="M1290" s="13" t="s">
        <v>103</v>
      </c>
      <c r="N1290" s="139" t="s">
        <v>366</v>
      </c>
      <c r="O1290" s="139" t="s">
        <v>366</v>
      </c>
      <c r="P1290" s="28">
        <v>28</v>
      </c>
      <c r="Q1290" s="13" t="s">
        <v>54</v>
      </c>
      <c r="R1290" s="13" t="s">
        <v>28</v>
      </c>
      <c r="S1290" s="13"/>
      <c r="T1290" s="13"/>
      <c r="U1290" s="13" t="s">
        <v>1016</v>
      </c>
      <c r="V1290" s="13" t="s">
        <v>1016</v>
      </c>
      <c r="W1290" s="59">
        <f>+J1290/$W$2</f>
        <v>5.0888440765595806E-4</v>
      </c>
    </row>
    <row r="1291" spans="1:29">
      <c r="A1291" s="13" t="s">
        <v>923</v>
      </c>
      <c r="B1291" s="13" t="s">
        <v>538</v>
      </c>
      <c r="C1291" s="139">
        <v>46317</v>
      </c>
      <c r="D1291" s="139" t="s">
        <v>516</v>
      </c>
      <c r="E1291" s="28">
        <v>0.90552743999999996</v>
      </c>
      <c r="F1291" s="13"/>
      <c r="G1291" s="18">
        <v>20000000</v>
      </c>
      <c r="H1291" s="18">
        <v>18110548.77</v>
      </c>
      <c r="I1291" s="18">
        <v>20000000</v>
      </c>
      <c r="J1291" s="18">
        <v>18110548.77</v>
      </c>
      <c r="K1291" s="15">
        <v>11092146</v>
      </c>
      <c r="L1291" s="13" t="s">
        <v>102</v>
      </c>
      <c r="M1291" s="13" t="s">
        <v>103</v>
      </c>
      <c r="N1291" s="139" t="s">
        <v>335</v>
      </c>
      <c r="O1291" s="139" t="s">
        <v>335</v>
      </c>
      <c r="P1291" s="28">
        <v>28</v>
      </c>
      <c r="Q1291" s="13" t="s">
        <v>54</v>
      </c>
      <c r="R1291" s="13" t="s">
        <v>28</v>
      </c>
      <c r="S1291" s="13"/>
      <c r="T1291" s="13"/>
      <c r="U1291" s="13" t="s">
        <v>1728</v>
      </c>
      <c r="V1291" s="13" t="s">
        <v>1728</v>
      </c>
      <c r="W1291" s="59">
        <f>+J1291/$W$2</f>
        <v>4.0682466279130173E-4</v>
      </c>
      <c r="AC1291" s="56"/>
    </row>
    <row r="1292" spans="1:29">
      <c r="A1292" s="13" t="s">
        <v>1528</v>
      </c>
      <c r="B1292" s="13" t="s">
        <v>538</v>
      </c>
      <c r="C1292" s="139">
        <v>46317</v>
      </c>
      <c r="D1292" s="139" t="s">
        <v>516</v>
      </c>
      <c r="E1292" s="28">
        <v>0.87312234</v>
      </c>
      <c r="F1292" s="13"/>
      <c r="G1292" s="18">
        <v>3750000</v>
      </c>
      <c r="H1292" s="18">
        <v>3274208.79</v>
      </c>
      <c r="I1292" s="18">
        <v>3750000</v>
      </c>
      <c r="J1292" s="18">
        <v>3274208.79</v>
      </c>
      <c r="K1292" s="15">
        <v>66918105</v>
      </c>
      <c r="L1292" s="13" t="s">
        <v>102</v>
      </c>
      <c r="M1292" s="13" t="s">
        <v>103</v>
      </c>
      <c r="N1292" s="139" t="s">
        <v>384</v>
      </c>
      <c r="O1292" s="139" t="s">
        <v>384</v>
      </c>
      <c r="P1292" s="28">
        <v>39</v>
      </c>
      <c r="Q1292" s="13" t="s">
        <v>54</v>
      </c>
      <c r="R1292" s="13" t="s">
        <v>28</v>
      </c>
      <c r="S1292" s="13"/>
      <c r="T1292" s="13"/>
      <c r="U1292" s="13" t="s">
        <v>1507</v>
      </c>
      <c r="V1292" s="13" t="s">
        <v>1507</v>
      </c>
      <c r="W1292" s="59">
        <f>+J1292/$W$2</f>
        <v>7.3549890940166474E-5</v>
      </c>
    </row>
    <row r="1293" spans="1:29">
      <c r="A1293" s="13" t="s">
        <v>819</v>
      </c>
      <c r="B1293" s="13" t="s">
        <v>538</v>
      </c>
      <c r="C1293" s="139">
        <v>46317</v>
      </c>
      <c r="D1293" s="139" t="s">
        <v>516</v>
      </c>
      <c r="E1293" s="28">
        <v>0.90552756999999995</v>
      </c>
      <c r="F1293" s="13"/>
      <c r="G1293" s="18">
        <v>2500000</v>
      </c>
      <c r="H1293" s="18">
        <v>2263818.9300000002</v>
      </c>
      <c r="I1293" s="18">
        <v>2500000</v>
      </c>
      <c r="J1293" s="18">
        <v>2263818.9300000002</v>
      </c>
      <c r="K1293" s="15">
        <v>90031818</v>
      </c>
      <c r="L1293" s="13" t="s">
        <v>102</v>
      </c>
      <c r="M1293" s="13" t="s">
        <v>103</v>
      </c>
      <c r="N1293" s="139" t="s">
        <v>344</v>
      </c>
      <c r="O1293" s="139" t="s">
        <v>344</v>
      </c>
      <c r="P1293" s="28">
        <v>28</v>
      </c>
      <c r="Q1293" s="13" t="s">
        <v>54</v>
      </c>
      <c r="R1293" s="13" t="s">
        <v>28</v>
      </c>
      <c r="S1293" s="13"/>
      <c r="T1293" s="13"/>
      <c r="U1293" s="13" t="s">
        <v>1079</v>
      </c>
      <c r="V1293" s="13" t="s">
        <v>1079</v>
      </c>
      <c r="W1293" s="59">
        <f>+J1293/$W$2</f>
        <v>5.0853090346075452E-5</v>
      </c>
    </row>
    <row r="1294" spans="1:29">
      <c r="A1294" s="13" t="s">
        <v>819</v>
      </c>
      <c r="B1294" s="13" t="s">
        <v>538</v>
      </c>
      <c r="C1294" s="139">
        <v>46318</v>
      </c>
      <c r="D1294" s="139" t="s">
        <v>516</v>
      </c>
      <c r="E1294" s="28">
        <v>0.90489894000000004</v>
      </c>
      <c r="F1294" s="13"/>
      <c r="G1294" s="18">
        <v>2500000</v>
      </c>
      <c r="H1294" s="18">
        <v>2262247.35</v>
      </c>
      <c r="I1294" s="18">
        <v>2500000</v>
      </c>
      <c r="J1294" s="18">
        <v>2262247.35</v>
      </c>
      <c r="K1294" s="15">
        <v>90031819</v>
      </c>
      <c r="L1294" s="13" t="s">
        <v>102</v>
      </c>
      <c r="M1294" s="13" t="s">
        <v>103</v>
      </c>
      <c r="N1294" s="139" t="s">
        <v>344</v>
      </c>
      <c r="O1294" s="139" t="s">
        <v>344</v>
      </c>
      <c r="P1294" s="28">
        <v>28</v>
      </c>
      <c r="Q1294" s="13" t="s">
        <v>54</v>
      </c>
      <c r="R1294" s="13" t="s">
        <v>28</v>
      </c>
      <c r="S1294" s="13"/>
      <c r="T1294" s="13"/>
      <c r="U1294" s="13" t="s">
        <v>1081</v>
      </c>
      <c r="V1294" s="13" t="s">
        <v>1081</v>
      </c>
      <c r="W1294" s="59">
        <f>+J1294/$W$2</f>
        <v>5.0817787301884505E-5</v>
      </c>
      <c r="AC1294" s="56"/>
    </row>
    <row r="1295" spans="1:29">
      <c r="A1295" s="13" t="s">
        <v>1528</v>
      </c>
      <c r="B1295" s="13" t="s">
        <v>538</v>
      </c>
      <c r="C1295" s="139">
        <v>46321</v>
      </c>
      <c r="D1295" s="139" t="s">
        <v>516</v>
      </c>
      <c r="E1295" s="28">
        <v>0.86987619999999999</v>
      </c>
      <c r="F1295" s="13"/>
      <c r="G1295" s="18">
        <v>3750000</v>
      </c>
      <c r="H1295" s="18">
        <v>3262035.76</v>
      </c>
      <c r="I1295" s="18">
        <v>3750000</v>
      </c>
      <c r="J1295" s="18">
        <v>3262035.76</v>
      </c>
      <c r="K1295" s="15">
        <v>66918134</v>
      </c>
      <c r="L1295" s="13" t="s">
        <v>102</v>
      </c>
      <c r="M1295" s="13" t="s">
        <v>103</v>
      </c>
      <c r="N1295" s="139" t="s">
        <v>384</v>
      </c>
      <c r="O1295" s="139" t="s">
        <v>384</v>
      </c>
      <c r="P1295" s="28">
        <v>39</v>
      </c>
      <c r="Q1295" s="13" t="s">
        <v>54</v>
      </c>
      <c r="R1295" s="13" t="s">
        <v>28</v>
      </c>
      <c r="S1295" s="13"/>
      <c r="T1295" s="13"/>
      <c r="U1295" s="13" t="s">
        <v>1508</v>
      </c>
      <c r="V1295" s="13" t="s">
        <v>1508</v>
      </c>
      <c r="W1295" s="59">
        <f>+J1295/$W$2</f>
        <v>7.3276443189477556E-5</v>
      </c>
    </row>
    <row r="1296" spans="1:29">
      <c r="A1296" s="13" t="s">
        <v>1164</v>
      </c>
      <c r="B1296" s="13" t="s">
        <v>538</v>
      </c>
      <c r="C1296" s="139">
        <v>46321</v>
      </c>
      <c r="D1296" s="139" t="s">
        <v>516</v>
      </c>
      <c r="E1296" s="28">
        <v>0.88764591000000004</v>
      </c>
      <c r="F1296" s="13"/>
      <c r="G1296" s="18">
        <v>6500236.5700000003</v>
      </c>
      <c r="H1296" s="18">
        <v>5769908.4299999997</v>
      </c>
      <c r="I1296" s="18">
        <v>6500236.5700000003</v>
      </c>
      <c r="J1296" s="18">
        <v>5769908.4299999997</v>
      </c>
      <c r="K1296" s="15">
        <v>90000581</v>
      </c>
      <c r="L1296" s="13" t="s">
        <v>102</v>
      </c>
      <c r="M1296" s="13" t="s">
        <v>103</v>
      </c>
      <c r="N1296" s="139" t="s">
        <v>175</v>
      </c>
      <c r="O1296" s="139" t="s">
        <v>175</v>
      </c>
      <c r="P1296" s="28">
        <v>33</v>
      </c>
      <c r="Q1296" s="13" t="s">
        <v>54</v>
      </c>
      <c r="R1296" s="13" t="s">
        <v>28</v>
      </c>
      <c r="S1296" s="13"/>
      <c r="T1296" s="13"/>
      <c r="U1296" s="13" t="s">
        <v>1897</v>
      </c>
      <c r="V1296" s="13" t="s">
        <v>1897</v>
      </c>
      <c r="W1296" s="59">
        <f>+J1296/$W$2</f>
        <v>1.2961181249569829E-4</v>
      </c>
    </row>
    <row r="1297" spans="1:29">
      <c r="A1297" s="13" t="s">
        <v>819</v>
      </c>
      <c r="B1297" s="13" t="s">
        <v>538</v>
      </c>
      <c r="C1297" s="139">
        <v>46321</v>
      </c>
      <c r="D1297" s="139" t="s">
        <v>516</v>
      </c>
      <c r="E1297" s="28">
        <v>0.90301843999999998</v>
      </c>
      <c r="F1297" s="13"/>
      <c r="G1297" s="18">
        <v>2500000</v>
      </c>
      <c r="H1297" s="18">
        <v>2257546.09</v>
      </c>
      <c r="I1297" s="18">
        <v>2500000</v>
      </c>
      <c r="J1297" s="18">
        <v>2257546.09</v>
      </c>
      <c r="K1297" s="15">
        <v>90031820</v>
      </c>
      <c r="L1297" s="13" t="s">
        <v>102</v>
      </c>
      <c r="M1297" s="13" t="s">
        <v>103</v>
      </c>
      <c r="N1297" s="139" t="s">
        <v>344</v>
      </c>
      <c r="O1297" s="139" t="s">
        <v>344</v>
      </c>
      <c r="P1297" s="28">
        <v>28</v>
      </c>
      <c r="Q1297" s="13" t="s">
        <v>54</v>
      </c>
      <c r="R1297" s="13" t="s">
        <v>28</v>
      </c>
      <c r="S1297" s="13"/>
      <c r="T1297" s="13"/>
      <c r="U1297" s="13" t="s">
        <v>1083</v>
      </c>
      <c r="V1297" s="13" t="s">
        <v>1083</v>
      </c>
      <c r="W1297" s="59">
        <f>+J1297/$W$2</f>
        <v>5.0712180976063913E-5</v>
      </c>
    </row>
    <row r="1298" spans="1:29">
      <c r="A1298" s="13" t="s">
        <v>819</v>
      </c>
      <c r="B1298" s="13" t="s">
        <v>538</v>
      </c>
      <c r="C1298" s="139">
        <v>46322</v>
      </c>
      <c r="D1298" s="139" t="s">
        <v>516</v>
      </c>
      <c r="E1298" s="28">
        <v>0.90239329000000001</v>
      </c>
      <c r="F1298" s="13"/>
      <c r="G1298" s="18">
        <v>2500000</v>
      </c>
      <c r="H1298" s="18">
        <v>2255983.23</v>
      </c>
      <c r="I1298" s="18">
        <v>2500000</v>
      </c>
      <c r="J1298" s="18">
        <v>2255983.23</v>
      </c>
      <c r="K1298" s="15">
        <v>90031821</v>
      </c>
      <c r="L1298" s="13" t="s">
        <v>102</v>
      </c>
      <c r="M1298" s="13" t="s">
        <v>103</v>
      </c>
      <c r="N1298" s="139" t="s">
        <v>344</v>
      </c>
      <c r="O1298" s="139" t="s">
        <v>344</v>
      </c>
      <c r="P1298" s="28">
        <v>28</v>
      </c>
      <c r="Q1298" s="13" t="s">
        <v>54</v>
      </c>
      <c r="R1298" s="13" t="s">
        <v>28</v>
      </c>
      <c r="S1298" s="13"/>
      <c r="T1298" s="13"/>
      <c r="U1298" s="13" t="s">
        <v>1092</v>
      </c>
      <c r="V1298" s="13" t="s">
        <v>1092</v>
      </c>
      <c r="W1298" s="59">
        <f>+J1298/$W$2</f>
        <v>5.0677073812798758E-5</v>
      </c>
      <c r="AC1298" s="56"/>
    </row>
    <row r="1299" spans="1:29">
      <c r="A1299" s="13" t="s">
        <v>919</v>
      </c>
      <c r="B1299" s="13" t="s">
        <v>538</v>
      </c>
      <c r="C1299" s="139">
        <v>46323</v>
      </c>
      <c r="D1299" s="139" t="s">
        <v>516</v>
      </c>
      <c r="E1299" s="28">
        <v>0.87120505999999998</v>
      </c>
      <c r="F1299" s="13"/>
      <c r="G1299" s="18">
        <v>3511491.25</v>
      </c>
      <c r="H1299" s="18">
        <v>3059228.93</v>
      </c>
      <c r="I1299" s="18">
        <v>3511491.25</v>
      </c>
      <c r="J1299" s="18">
        <v>3059228.93</v>
      </c>
      <c r="K1299" s="15">
        <v>13270638</v>
      </c>
      <c r="L1299" s="13" t="s">
        <v>102</v>
      </c>
      <c r="M1299" s="13" t="s">
        <v>103</v>
      </c>
      <c r="N1299" s="139" t="s">
        <v>374</v>
      </c>
      <c r="O1299" s="139" t="s">
        <v>374</v>
      </c>
      <c r="P1299" s="28">
        <v>38</v>
      </c>
      <c r="Q1299" s="13" t="s">
        <v>54</v>
      </c>
      <c r="R1299" s="13" t="s">
        <v>28</v>
      </c>
      <c r="S1299" s="13"/>
      <c r="T1299" s="13"/>
      <c r="U1299" s="13" t="s">
        <v>1204</v>
      </c>
      <c r="V1299" s="13" t="s">
        <v>1204</v>
      </c>
      <c r="W1299" s="59">
        <f>+J1299/$W$2</f>
        <v>6.8720710435360544E-5</v>
      </c>
    </row>
    <row r="1300" spans="1:29">
      <c r="A1300" s="13" t="s">
        <v>639</v>
      </c>
      <c r="B1300" s="13" t="s">
        <v>538</v>
      </c>
      <c r="C1300" s="139">
        <v>46323</v>
      </c>
      <c r="D1300" s="139" t="s">
        <v>516</v>
      </c>
      <c r="E1300" s="28">
        <v>0.90176904000000002</v>
      </c>
      <c r="F1300" s="13"/>
      <c r="G1300" s="18">
        <v>100000000</v>
      </c>
      <c r="H1300" s="18">
        <v>90176904.120000005</v>
      </c>
      <c r="I1300" s="18">
        <v>100000000</v>
      </c>
      <c r="J1300" s="18">
        <v>90176904.120000005</v>
      </c>
      <c r="K1300" s="15">
        <v>40627526</v>
      </c>
      <c r="L1300" s="13" t="s">
        <v>102</v>
      </c>
      <c r="M1300" s="13" t="s">
        <v>103</v>
      </c>
      <c r="N1300" s="139" t="s">
        <v>379</v>
      </c>
      <c r="O1300" s="139" t="s">
        <v>379</v>
      </c>
      <c r="P1300" s="28">
        <v>28</v>
      </c>
      <c r="Q1300" s="13" t="s">
        <v>54</v>
      </c>
      <c r="R1300" s="13" t="s">
        <v>28</v>
      </c>
      <c r="S1300" s="13"/>
      <c r="T1300" s="13"/>
      <c r="U1300" s="13" t="s">
        <v>1359</v>
      </c>
      <c r="V1300" s="13" t="s">
        <v>1359</v>
      </c>
      <c r="W1300" s="59">
        <f>+J1300/$W$2</f>
        <v>2.0256806724130287E-3</v>
      </c>
    </row>
    <row r="1301" spans="1:29">
      <c r="A1301" s="13" t="s">
        <v>164</v>
      </c>
      <c r="B1301" s="13" t="s">
        <v>538</v>
      </c>
      <c r="C1301" s="139">
        <v>46323</v>
      </c>
      <c r="D1301" s="139" t="s">
        <v>516</v>
      </c>
      <c r="E1301" s="28">
        <v>0.90176902000000003</v>
      </c>
      <c r="F1301" s="13"/>
      <c r="G1301" s="18">
        <v>30000000</v>
      </c>
      <c r="H1301" s="18">
        <v>27053070.670000002</v>
      </c>
      <c r="I1301" s="18">
        <v>30000000</v>
      </c>
      <c r="J1301" s="18">
        <v>27053070.670000002</v>
      </c>
      <c r="K1301" s="15">
        <v>3329634</v>
      </c>
      <c r="L1301" s="13" t="s">
        <v>102</v>
      </c>
      <c r="M1301" s="13" t="s">
        <v>103</v>
      </c>
      <c r="N1301" s="139" t="s">
        <v>359</v>
      </c>
      <c r="O1301" s="139" t="s">
        <v>359</v>
      </c>
      <c r="P1301" s="28">
        <v>28</v>
      </c>
      <c r="Q1301" s="13" t="s">
        <v>54</v>
      </c>
      <c r="R1301" s="13" t="s">
        <v>28</v>
      </c>
      <c r="S1301" s="13"/>
      <c r="T1301" s="13"/>
      <c r="U1301" s="13" t="s">
        <v>1329</v>
      </c>
      <c r="V1301" s="13" t="s">
        <v>1329</v>
      </c>
      <c r="W1301" s="59">
        <f>+J1301/$W$2</f>
        <v>6.0770418900961919E-4</v>
      </c>
    </row>
    <row r="1302" spans="1:29">
      <c r="A1302" s="13" t="s">
        <v>819</v>
      </c>
      <c r="B1302" s="13" t="s">
        <v>538</v>
      </c>
      <c r="C1302" s="139">
        <v>46323</v>
      </c>
      <c r="D1302" s="139" t="s">
        <v>516</v>
      </c>
      <c r="E1302" s="28">
        <v>0.90176898999999999</v>
      </c>
      <c r="F1302" s="13"/>
      <c r="G1302" s="18">
        <v>2500000</v>
      </c>
      <c r="H1302" s="18">
        <v>2254422.4700000002</v>
      </c>
      <c r="I1302" s="18">
        <v>2500000</v>
      </c>
      <c r="J1302" s="18">
        <v>2254422.4700000002</v>
      </c>
      <c r="K1302" s="15">
        <v>90031822</v>
      </c>
      <c r="L1302" s="13" t="s">
        <v>102</v>
      </c>
      <c r="M1302" s="13" t="s">
        <v>103</v>
      </c>
      <c r="N1302" s="139" t="s">
        <v>344</v>
      </c>
      <c r="O1302" s="139" t="s">
        <v>344</v>
      </c>
      <c r="P1302" s="28">
        <v>28</v>
      </c>
      <c r="Q1302" s="13" t="s">
        <v>54</v>
      </c>
      <c r="R1302" s="13" t="s">
        <v>28</v>
      </c>
      <c r="S1302" s="13"/>
      <c r="T1302" s="13"/>
      <c r="U1302" s="13" t="s">
        <v>1085</v>
      </c>
      <c r="V1302" s="13" t="s">
        <v>1085</v>
      </c>
      <c r="W1302" s="59">
        <f>+J1302/$W$2</f>
        <v>5.0642013822692334E-5</v>
      </c>
    </row>
    <row r="1303" spans="1:29">
      <c r="A1303" s="13" t="s">
        <v>2086</v>
      </c>
      <c r="B1303" s="13" t="s">
        <v>538</v>
      </c>
      <c r="C1303" s="139">
        <v>46324</v>
      </c>
      <c r="D1303" s="139" t="s">
        <v>516</v>
      </c>
      <c r="E1303" s="28">
        <v>0.88859675000000005</v>
      </c>
      <c r="F1303" s="13"/>
      <c r="G1303" s="18">
        <v>15000000</v>
      </c>
      <c r="H1303" s="18">
        <v>13328951.210000001</v>
      </c>
      <c r="I1303" s="18">
        <v>15000000</v>
      </c>
      <c r="J1303" s="18">
        <v>13328951.210000001</v>
      </c>
      <c r="K1303" s="15">
        <v>67448999</v>
      </c>
      <c r="L1303" s="13" t="s">
        <v>102</v>
      </c>
      <c r="M1303" s="13" t="s">
        <v>103</v>
      </c>
      <c r="N1303" s="139" t="s">
        <v>361</v>
      </c>
      <c r="O1303" s="139" t="s">
        <v>361</v>
      </c>
      <c r="P1303" s="28">
        <v>32</v>
      </c>
      <c r="Q1303" s="13" t="s">
        <v>54</v>
      </c>
      <c r="R1303" s="13" t="s">
        <v>28</v>
      </c>
      <c r="S1303" s="13"/>
      <c r="T1303" s="13"/>
      <c r="U1303" s="13" t="s">
        <v>2085</v>
      </c>
      <c r="V1303" s="13" t="s">
        <v>2085</v>
      </c>
      <c r="W1303" s="59">
        <f>+J1303/$W$2</f>
        <v>2.9941368150877758E-4</v>
      </c>
    </row>
    <row r="1304" spans="1:29">
      <c r="A1304" s="13" t="s">
        <v>1528</v>
      </c>
      <c r="B1304" s="13" t="s">
        <v>538</v>
      </c>
      <c r="C1304" s="139">
        <v>46324</v>
      </c>
      <c r="D1304" s="139" t="s">
        <v>516</v>
      </c>
      <c r="E1304" s="28">
        <v>0.86745744999999996</v>
      </c>
      <c r="F1304" s="13"/>
      <c r="G1304" s="18">
        <v>3750000</v>
      </c>
      <c r="H1304" s="18">
        <v>3252965.45</v>
      </c>
      <c r="I1304" s="18">
        <v>3750000</v>
      </c>
      <c r="J1304" s="18">
        <v>3252965.45</v>
      </c>
      <c r="K1304" s="15">
        <v>66918205</v>
      </c>
      <c r="L1304" s="13" t="s">
        <v>102</v>
      </c>
      <c r="M1304" s="13" t="s">
        <v>103</v>
      </c>
      <c r="N1304" s="139" t="s">
        <v>384</v>
      </c>
      <c r="O1304" s="139" t="s">
        <v>384</v>
      </c>
      <c r="P1304" s="28">
        <v>39</v>
      </c>
      <c r="Q1304" s="13" t="s">
        <v>54</v>
      </c>
      <c r="R1304" s="13" t="s">
        <v>28</v>
      </c>
      <c r="S1304" s="13"/>
      <c r="T1304" s="13"/>
      <c r="U1304" s="13" t="s">
        <v>1513</v>
      </c>
      <c r="V1304" s="13" t="s">
        <v>1513</v>
      </c>
      <c r="W1304" s="59">
        <f>+J1304/$W$2</f>
        <v>7.3072693106913803E-5</v>
      </c>
    </row>
    <row r="1305" spans="1:29">
      <c r="A1305" s="13" t="s">
        <v>819</v>
      </c>
      <c r="B1305" s="13" t="s">
        <v>538</v>
      </c>
      <c r="C1305" s="139">
        <v>46324</v>
      </c>
      <c r="D1305" s="139" t="s">
        <v>516</v>
      </c>
      <c r="E1305" s="28">
        <v>0.90114572999999998</v>
      </c>
      <c r="F1305" s="13"/>
      <c r="G1305" s="18">
        <v>2500000</v>
      </c>
      <c r="H1305" s="18">
        <v>2252864.34</v>
      </c>
      <c r="I1305" s="18">
        <v>2500000</v>
      </c>
      <c r="J1305" s="18">
        <v>2252864.34</v>
      </c>
      <c r="K1305" s="15">
        <v>90031823</v>
      </c>
      <c r="L1305" s="13" t="s">
        <v>102</v>
      </c>
      <c r="M1305" s="13" t="s">
        <v>103</v>
      </c>
      <c r="N1305" s="139" t="s">
        <v>344</v>
      </c>
      <c r="O1305" s="139" t="s">
        <v>344</v>
      </c>
      <c r="P1305" s="28">
        <v>28</v>
      </c>
      <c r="Q1305" s="13" t="s">
        <v>54</v>
      </c>
      <c r="R1305" s="13" t="s">
        <v>28</v>
      </c>
      <c r="S1305" s="13"/>
      <c r="T1305" s="13"/>
      <c r="U1305" s="13" t="s">
        <v>1087</v>
      </c>
      <c r="V1305" s="13" t="s">
        <v>1087</v>
      </c>
      <c r="W1305" s="59">
        <f>+J1305/$W$2</f>
        <v>5.0607012911351362E-5</v>
      </c>
    </row>
    <row r="1306" spans="1:29">
      <c r="A1306" s="13" t="s">
        <v>1528</v>
      </c>
      <c r="B1306" s="13" t="s">
        <v>538</v>
      </c>
      <c r="C1306" s="139">
        <v>46328</v>
      </c>
      <c r="D1306" s="139" t="s">
        <v>516</v>
      </c>
      <c r="E1306" s="28">
        <v>0.86425322000000004</v>
      </c>
      <c r="F1306" s="13"/>
      <c r="G1306" s="18">
        <v>3750000</v>
      </c>
      <c r="H1306" s="18">
        <v>3240949.59</v>
      </c>
      <c r="I1306" s="18">
        <v>3750000</v>
      </c>
      <c r="J1306" s="18">
        <v>3240949.59</v>
      </c>
      <c r="K1306" s="15">
        <v>66918247</v>
      </c>
      <c r="L1306" s="13" t="s">
        <v>102</v>
      </c>
      <c r="M1306" s="13" t="s">
        <v>103</v>
      </c>
      <c r="N1306" s="139" t="s">
        <v>384</v>
      </c>
      <c r="O1306" s="139" t="s">
        <v>384</v>
      </c>
      <c r="P1306" s="28">
        <v>39</v>
      </c>
      <c r="Q1306" s="13" t="s">
        <v>54</v>
      </c>
      <c r="R1306" s="13" t="s">
        <v>28</v>
      </c>
      <c r="S1306" s="13"/>
      <c r="T1306" s="13"/>
      <c r="U1306" s="13" t="s">
        <v>1509</v>
      </c>
      <c r="V1306" s="13" t="s">
        <v>1509</v>
      </c>
      <c r="W1306" s="59">
        <f>+J1306/$W$2</f>
        <v>7.280277593020488E-5</v>
      </c>
    </row>
    <row r="1307" spans="1:29">
      <c r="A1307" s="13" t="s">
        <v>819</v>
      </c>
      <c r="B1307" s="13" t="s">
        <v>538</v>
      </c>
      <c r="C1307" s="139">
        <v>46328</v>
      </c>
      <c r="D1307" s="139" t="s">
        <v>516</v>
      </c>
      <c r="E1307" s="28">
        <v>0.89866075999999995</v>
      </c>
      <c r="F1307" s="13"/>
      <c r="G1307" s="18">
        <v>2500000</v>
      </c>
      <c r="H1307" s="18">
        <v>2246651.91</v>
      </c>
      <c r="I1307" s="18">
        <v>2500000</v>
      </c>
      <c r="J1307" s="18">
        <v>2246651.91</v>
      </c>
      <c r="K1307" s="15">
        <v>90031824</v>
      </c>
      <c r="L1307" s="13" t="s">
        <v>102</v>
      </c>
      <c r="M1307" s="13" t="s">
        <v>103</v>
      </c>
      <c r="N1307" s="139" t="s">
        <v>344</v>
      </c>
      <c r="O1307" s="139" t="s">
        <v>344</v>
      </c>
      <c r="P1307" s="28">
        <v>28</v>
      </c>
      <c r="Q1307" s="13" t="s">
        <v>54</v>
      </c>
      <c r="R1307" s="13" t="s">
        <v>28</v>
      </c>
      <c r="S1307" s="13"/>
      <c r="T1307" s="13"/>
      <c r="U1307" s="13" t="s">
        <v>1089</v>
      </c>
      <c r="V1307" s="13" t="s">
        <v>1089</v>
      </c>
      <c r="W1307" s="59">
        <f>+J1307/$W$2</f>
        <v>5.0467460555872712E-5</v>
      </c>
    </row>
    <row r="1308" spans="1:29">
      <c r="A1308" s="13" t="s">
        <v>1917</v>
      </c>
      <c r="B1308" s="13" t="s">
        <v>538</v>
      </c>
      <c r="C1308" s="139">
        <v>46329</v>
      </c>
      <c r="D1308" s="139" t="s">
        <v>516</v>
      </c>
      <c r="E1308" s="28">
        <v>0.88198357999999999</v>
      </c>
      <c r="F1308" s="13"/>
      <c r="G1308" s="18">
        <v>1655023.2</v>
      </c>
      <c r="H1308" s="18">
        <v>1459703.28</v>
      </c>
      <c r="I1308" s="18">
        <v>1655023.2</v>
      </c>
      <c r="J1308" s="18">
        <v>1459703.28</v>
      </c>
      <c r="K1308" s="15">
        <v>610</v>
      </c>
      <c r="L1308" s="13" t="s">
        <v>102</v>
      </c>
      <c r="M1308" s="13" t="s">
        <v>103</v>
      </c>
      <c r="N1308" s="139" t="s">
        <v>175</v>
      </c>
      <c r="O1308" s="139" t="s">
        <v>175</v>
      </c>
      <c r="P1308" s="28">
        <v>33</v>
      </c>
      <c r="Q1308" s="13" t="s">
        <v>54</v>
      </c>
      <c r="R1308" s="13" t="s">
        <v>28</v>
      </c>
      <c r="S1308" s="13"/>
      <c r="T1308" s="13"/>
      <c r="U1308" s="13" t="s">
        <v>1904</v>
      </c>
      <c r="V1308" s="13" t="s">
        <v>1904</v>
      </c>
      <c r="W1308" s="59">
        <f>+J1308/$W$2</f>
        <v>3.278991168092347E-5</v>
      </c>
    </row>
    <row r="1309" spans="1:29">
      <c r="A1309" s="13" t="s">
        <v>1917</v>
      </c>
      <c r="B1309" s="13" t="s">
        <v>538</v>
      </c>
      <c r="C1309" s="139">
        <v>46329</v>
      </c>
      <c r="D1309" s="139" t="s">
        <v>516</v>
      </c>
      <c r="E1309" s="28">
        <v>0.88198357000000005</v>
      </c>
      <c r="F1309" s="13"/>
      <c r="G1309" s="18">
        <v>3772034.12</v>
      </c>
      <c r="H1309" s="18">
        <v>3326872.13</v>
      </c>
      <c r="I1309" s="18">
        <v>3772034.12</v>
      </c>
      <c r="J1309" s="18">
        <v>3326872.13</v>
      </c>
      <c r="K1309" s="15">
        <v>639</v>
      </c>
      <c r="L1309" s="13" t="s">
        <v>102</v>
      </c>
      <c r="M1309" s="13" t="s">
        <v>103</v>
      </c>
      <c r="N1309" s="139" t="s">
        <v>175</v>
      </c>
      <c r="O1309" s="139" t="s">
        <v>175</v>
      </c>
      <c r="P1309" s="28">
        <v>33</v>
      </c>
      <c r="Q1309" s="13" t="s">
        <v>54</v>
      </c>
      <c r="R1309" s="13" t="s">
        <v>28</v>
      </c>
      <c r="S1309" s="13"/>
      <c r="T1309" s="13"/>
      <c r="U1309" s="13" t="s">
        <v>1906</v>
      </c>
      <c r="V1309" s="13" t="s">
        <v>1906</v>
      </c>
      <c r="W1309" s="59">
        <f>+J1309/$W$2</f>
        <v>7.4732889081694553E-5</v>
      </c>
    </row>
    <row r="1310" spans="1:29">
      <c r="A1310" s="13" t="s">
        <v>362</v>
      </c>
      <c r="B1310" s="13" t="s">
        <v>130</v>
      </c>
      <c r="C1310" s="139">
        <v>46330</v>
      </c>
      <c r="D1310" s="139" t="s">
        <v>516</v>
      </c>
      <c r="E1310" s="28">
        <v>0.96837525000000002</v>
      </c>
      <c r="F1310" s="13" t="s">
        <v>2102</v>
      </c>
      <c r="G1310" s="18">
        <v>500000</v>
      </c>
      <c r="H1310" s="18">
        <v>484187.63</v>
      </c>
      <c r="I1310" s="18">
        <v>722698858.17999995</v>
      </c>
      <c r="J1310" s="18">
        <v>699843694.69000006</v>
      </c>
      <c r="K1310" s="15">
        <v>152502</v>
      </c>
      <c r="L1310" s="13" t="s">
        <v>102</v>
      </c>
      <c r="M1310" s="13" t="s">
        <v>103</v>
      </c>
      <c r="N1310" s="139" t="s">
        <v>394</v>
      </c>
      <c r="O1310" s="139" t="s">
        <v>394</v>
      </c>
      <c r="P1310" s="28">
        <v>8</v>
      </c>
      <c r="Q1310" s="13" t="s">
        <v>54</v>
      </c>
      <c r="R1310" s="13" t="s">
        <v>28</v>
      </c>
      <c r="S1310" s="13"/>
      <c r="T1310" s="13"/>
      <c r="U1310" s="13" t="s">
        <v>1997</v>
      </c>
      <c r="V1310" s="13" t="s">
        <v>1997</v>
      </c>
      <c r="W1310" s="59">
        <f>+J1310/$W$2</f>
        <v>1.5720875094105611E-2</v>
      </c>
    </row>
    <row r="1311" spans="1:29">
      <c r="A1311" s="13" t="s">
        <v>923</v>
      </c>
      <c r="B1311" s="13" t="s">
        <v>538</v>
      </c>
      <c r="C1311" s="139">
        <v>46331</v>
      </c>
      <c r="D1311" s="139" t="s">
        <v>516</v>
      </c>
      <c r="E1311" s="28">
        <v>0.89024395000000001</v>
      </c>
      <c r="F1311" s="13"/>
      <c r="G1311" s="18">
        <v>11923076.92</v>
      </c>
      <c r="H1311" s="18">
        <v>10614447.07</v>
      </c>
      <c r="I1311" s="18">
        <v>11923076.92</v>
      </c>
      <c r="J1311" s="18">
        <v>10614447.07</v>
      </c>
      <c r="K1311" s="15">
        <v>90021990</v>
      </c>
      <c r="L1311" s="13" t="s">
        <v>102</v>
      </c>
      <c r="M1311" s="13" t="s">
        <v>103</v>
      </c>
      <c r="N1311" s="139" t="s">
        <v>377</v>
      </c>
      <c r="O1311" s="139" t="s">
        <v>377</v>
      </c>
      <c r="P1311" s="28">
        <v>30</v>
      </c>
      <c r="Q1311" s="13" t="s">
        <v>54</v>
      </c>
      <c r="R1311" s="13" t="s">
        <v>28</v>
      </c>
      <c r="S1311" s="13"/>
      <c r="T1311" s="13"/>
      <c r="U1311" s="13" t="s">
        <v>1460</v>
      </c>
      <c r="V1311" s="13" t="s">
        <v>1460</v>
      </c>
      <c r="W1311" s="59">
        <f>+J1311/$W$2</f>
        <v>2.3843666499614695E-4</v>
      </c>
    </row>
    <row r="1312" spans="1:29">
      <c r="A1312" s="13" t="s">
        <v>1528</v>
      </c>
      <c r="B1312" s="13" t="s">
        <v>538</v>
      </c>
      <c r="C1312" s="139">
        <v>46331</v>
      </c>
      <c r="D1312" s="139" t="s">
        <v>516</v>
      </c>
      <c r="E1312" s="28">
        <v>0.86186560000000001</v>
      </c>
      <c r="F1312" s="13"/>
      <c r="G1312" s="18">
        <v>3750000</v>
      </c>
      <c r="H1312" s="18">
        <v>3231996</v>
      </c>
      <c r="I1312" s="18">
        <v>3750000</v>
      </c>
      <c r="J1312" s="18">
        <v>3231996</v>
      </c>
      <c r="K1312" s="15">
        <v>66918287</v>
      </c>
      <c r="L1312" s="13" t="s">
        <v>102</v>
      </c>
      <c r="M1312" s="13" t="s">
        <v>103</v>
      </c>
      <c r="N1312" s="139" t="s">
        <v>384</v>
      </c>
      <c r="O1312" s="139" t="s">
        <v>384</v>
      </c>
      <c r="P1312" s="28">
        <v>39</v>
      </c>
      <c r="Q1312" s="13" t="s">
        <v>54</v>
      </c>
      <c r="R1312" s="13" t="s">
        <v>28</v>
      </c>
      <c r="S1312" s="13"/>
      <c r="T1312" s="13"/>
      <c r="U1312" s="13" t="s">
        <v>1510</v>
      </c>
      <c r="V1312" s="13" t="s">
        <v>1510</v>
      </c>
      <c r="W1312" s="59">
        <f>+J1312/$W$2</f>
        <v>7.2601647776730292E-5</v>
      </c>
    </row>
    <row r="1313" spans="1:29">
      <c r="A1313" s="13" t="s">
        <v>1528</v>
      </c>
      <c r="B1313" s="13" t="s">
        <v>538</v>
      </c>
      <c r="C1313" s="139">
        <v>46336</v>
      </c>
      <c r="D1313" s="139" t="s">
        <v>516</v>
      </c>
      <c r="E1313" s="28">
        <v>0.85791525000000002</v>
      </c>
      <c r="F1313" s="13"/>
      <c r="G1313" s="18">
        <v>3750000</v>
      </c>
      <c r="H1313" s="18">
        <v>3217182.18</v>
      </c>
      <c r="I1313" s="18">
        <v>3750000</v>
      </c>
      <c r="J1313" s="18">
        <v>3217182.18</v>
      </c>
      <c r="K1313" s="15">
        <v>66918815</v>
      </c>
      <c r="L1313" s="13" t="s">
        <v>102</v>
      </c>
      <c r="M1313" s="13" t="s">
        <v>103</v>
      </c>
      <c r="N1313" s="139" t="s">
        <v>384</v>
      </c>
      <c r="O1313" s="139" t="s">
        <v>384</v>
      </c>
      <c r="P1313" s="28">
        <v>39</v>
      </c>
      <c r="Q1313" s="13" t="s">
        <v>54</v>
      </c>
      <c r="R1313" s="13" t="s">
        <v>28</v>
      </c>
      <c r="S1313" s="13"/>
      <c r="T1313" s="13"/>
      <c r="U1313" s="13" t="s">
        <v>1511</v>
      </c>
      <c r="V1313" s="13" t="s">
        <v>1511</v>
      </c>
      <c r="W1313" s="59">
        <f>+J1313/$W$2</f>
        <v>7.2268878880398776E-5</v>
      </c>
    </row>
    <row r="1314" spans="1:29">
      <c r="A1314" s="13" t="s">
        <v>1164</v>
      </c>
      <c r="B1314" s="13" t="s">
        <v>538</v>
      </c>
      <c r="C1314" s="139">
        <v>46337</v>
      </c>
      <c r="D1314" s="139" t="s">
        <v>516</v>
      </c>
      <c r="E1314" s="28">
        <v>0.87639277000000004</v>
      </c>
      <c r="F1314" s="13"/>
      <c r="G1314" s="18">
        <v>5448062.4299999997</v>
      </c>
      <c r="H1314" s="18">
        <v>4774642.55</v>
      </c>
      <c r="I1314" s="18">
        <v>5448062.4299999997</v>
      </c>
      <c r="J1314" s="18">
        <v>4774642.55</v>
      </c>
      <c r="K1314" s="15">
        <v>90000595</v>
      </c>
      <c r="L1314" s="13" t="s">
        <v>102</v>
      </c>
      <c r="M1314" s="13" t="s">
        <v>103</v>
      </c>
      <c r="N1314" s="139" t="s">
        <v>175</v>
      </c>
      <c r="O1314" s="139" t="s">
        <v>175</v>
      </c>
      <c r="P1314" s="28">
        <v>33</v>
      </c>
      <c r="Q1314" s="13" t="s">
        <v>54</v>
      </c>
      <c r="R1314" s="13" t="s">
        <v>28</v>
      </c>
      <c r="S1314" s="13"/>
      <c r="T1314" s="13"/>
      <c r="U1314" s="13" t="s">
        <v>1896</v>
      </c>
      <c r="V1314" s="13" t="s">
        <v>1896</v>
      </c>
      <c r="W1314" s="59">
        <f>+J1314/$W$2</f>
        <v>1.0725474804884949E-4</v>
      </c>
    </row>
    <row r="1315" spans="1:29">
      <c r="A1315" s="13" t="s">
        <v>639</v>
      </c>
      <c r="B1315" s="13" t="s">
        <v>538</v>
      </c>
      <c r="C1315" s="139">
        <v>46337</v>
      </c>
      <c r="D1315" s="139" t="s">
        <v>516</v>
      </c>
      <c r="E1315" s="28">
        <v>0.86665407999999999</v>
      </c>
      <c r="F1315" s="13"/>
      <c r="G1315" s="18">
        <v>8560000</v>
      </c>
      <c r="H1315" s="18">
        <v>7418558.9500000002</v>
      </c>
      <c r="I1315" s="18">
        <v>8560000</v>
      </c>
      <c r="J1315" s="18">
        <v>7418558.9500000002</v>
      </c>
      <c r="K1315" s="15">
        <v>13054211</v>
      </c>
      <c r="L1315" s="13" t="s">
        <v>102</v>
      </c>
      <c r="M1315" s="13" t="s">
        <v>103</v>
      </c>
      <c r="N1315" s="139" t="s">
        <v>344</v>
      </c>
      <c r="O1315" s="139" t="s">
        <v>344</v>
      </c>
      <c r="P1315" s="28">
        <v>36</v>
      </c>
      <c r="Q1315" s="13" t="s">
        <v>54</v>
      </c>
      <c r="R1315" s="13" t="s">
        <v>28</v>
      </c>
      <c r="S1315" s="13"/>
      <c r="T1315" s="13"/>
      <c r="U1315" s="13" t="s">
        <v>1063</v>
      </c>
      <c r="V1315" s="13" t="s">
        <v>1063</v>
      </c>
      <c r="W1315" s="59">
        <f>+J1315/$W$2</f>
        <v>1.6664612329310129E-4</v>
      </c>
    </row>
    <row r="1316" spans="1:29">
      <c r="A1316" s="13" t="s">
        <v>1052</v>
      </c>
      <c r="B1316" s="13" t="s">
        <v>538</v>
      </c>
      <c r="C1316" s="139">
        <v>46337</v>
      </c>
      <c r="D1316" s="139" t="s">
        <v>516</v>
      </c>
      <c r="E1316" s="28">
        <v>0.88972320000000005</v>
      </c>
      <c r="F1316" s="13"/>
      <c r="G1316" s="18">
        <v>35000000</v>
      </c>
      <c r="H1316" s="18">
        <v>31140312.02</v>
      </c>
      <c r="I1316" s="18">
        <v>35000000</v>
      </c>
      <c r="J1316" s="18">
        <v>31140312.02</v>
      </c>
      <c r="K1316" s="15">
        <v>65</v>
      </c>
      <c r="L1316" s="13" t="s">
        <v>102</v>
      </c>
      <c r="M1316" s="13" t="s">
        <v>103</v>
      </c>
      <c r="N1316" s="139" t="s">
        <v>335</v>
      </c>
      <c r="O1316" s="139" t="s">
        <v>335</v>
      </c>
      <c r="P1316" s="28">
        <v>29</v>
      </c>
      <c r="Q1316" s="13" t="s">
        <v>54</v>
      </c>
      <c r="R1316" s="13" t="s">
        <v>28</v>
      </c>
      <c r="S1316" s="13"/>
      <c r="T1316" s="13"/>
      <c r="U1316" s="13" t="s">
        <v>1737</v>
      </c>
      <c r="V1316" s="13" t="s">
        <v>1737</v>
      </c>
      <c r="W1316" s="59">
        <f>+J1316/$W$2</f>
        <v>6.9951756281057297E-4</v>
      </c>
    </row>
    <row r="1317" spans="1:29">
      <c r="A1317" s="13" t="s">
        <v>923</v>
      </c>
      <c r="B1317" s="13" t="s">
        <v>538</v>
      </c>
      <c r="C1317" s="139">
        <v>46338</v>
      </c>
      <c r="D1317" s="139" t="s">
        <v>516</v>
      </c>
      <c r="E1317" s="28">
        <v>0.88909464000000005</v>
      </c>
      <c r="F1317" s="13"/>
      <c r="G1317" s="18">
        <v>17118303</v>
      </c>
      <c r="H1317" s="18">
        <v>15219791.43</v>
      </c>
      <c r="I1317" s="18">
        <v>17118303</v>
      </c>
      <c r="J1317" s="18">
        <v>15219791.43</v>
      </c>
      <c r="K1317" s="15">
        <v>27672</v>
      </c>
      <c r="L1317" s="13" t="s">
        <v>102</v>
      </c>
      <c r="M1317" s="13" t="s">
        <v>103</v>
      </c>
      <c r="N1317" s="139" t="s">
        <v>359</v>
      </c>
      <c r="O1317" s="139" t="s">
        <v>359</v>
      </c>
      <c r="P1317" s="28">
        <v>29</v>
      </c>
      <c r="Q1317" s="13" t="s">
        <v>54</v>
      </c>
      <c r="R1317" s="13" t="s">
        <v>28</v>
      </c>
      <c r="S1317" s="13"/>
      <c r="T1317" s="13"/>
      <c r="U1317" s="13" t="s">
        <v>1294</v>
      </c>
      <c r="V1317" s="13" t="s">
        <v>1294</v>
      </c>
      <c r="W1317" s="59">
        <f>+J1317/$W$2</f>
        <v>3.4188839857356206E-4</v>
      </c>
    </row>
    <row r="1318" spans="1:29">
      <c r="A1318" s="13" t="s">
        <v>1528</v>
      </c>
      <c r="B1318" s="13" t="s">
        <v>538</v>
      </c>
      <c r="C1318" s="139">
        <v>46338</v>
      </c>
      <c r="D1318" s="139" t="s">
        <v>516</v>
      </c>
      <c r="E1318" s="28">
        <v>0.85634538000000004</v>
      </c>
      <c r="F1318" s="13"/>
      <c r="G1318" s="18">
        <v>3750000</v>
      </c>
      <c r="H1318" s="18">
        <v>3211295.16</v>
      </c>
      <c r="I1318" s="18">
        <v>3750000</v>
      </c>
      <c r="J1318" s="18">
        <v>3211295.16</v>
      </c>
      <c r="K1318" s="15">
        <v>66918856</v>
      </c>
      <c r="L1318" s="13" t="s">
        <v>102</v>
      </c>
      <c r="M1318" s="13" t="s">
        <v>103</v>
      </c>
      <c r="N1318" s="139" t="s">
        <v>384</v>
      </c>
      <c r="O1318" s="139" t="s">
        <v>384</v>
      </c>
      <c r="P1318" s="28">
        <v>39</v>
      </c>
      <c r="Q1318" s="13" t="s">
        <v>54</v>
      </c>
      <c r="R1318" s="13" t="s">
        <v>28</v>
      </c>
      <c r="S1318" s="13"/>
      <c r="T1318" s="13"/>
      <c r="U1318" s="13" t="s">
        <v>1504</v>
      </c>
      <c r="V1318" s="13" t="s">
        <v>1504</v>
      </c>
      <c r="W1318" s="59">
        <f>+J1318/$W$2</f>
        <v>7.2136636342816875E-5</v>
      </c>
    </row>
    <row r="1319" spans="1:29">
      <c r="A1319" s="13" t="s">
        <v>639</v>
      </c>
      <c r="B1319" s="13" t="s">
        <v>538</v>
      </c>
      <c r="C1319" s="139">
        <v>46338</v>
      </c>
      <c r="D1319" s="139" t="s">
        <v>516</v>
      </c>
      <c r="E1319" s="28">
        <v>0.86591386000000004</v>
      </c>
      <c r="F1319" s="13"/>
      <c r="G1319" s="18">
        <v>8560000</v>
      </c>
      <c r="H1319" s="18">
        <v>7412222.6299999999</v>
      </c>
      <c r="I1319" s="18">
        <v>8560000</v>
      </c>
      <c r="J1319" s="18">
        <v>7412222.6299999999</v>
      </c>
      <c r="K1319" s="15">
        <v>13054212</v>
      </c>
      <c r="L1319" s="13" t="s">
        <v>102</v>
      </c>
      <c r="M1319" s="13" t="s">
        <v>103</v>
      </c>
      <c r="N1319" s="139" t="s">
        <v>344</v>
      </c>
      <c r="O1319" s="139" t="s">
        <v>344</v>
      </c>
      <c r="P1319" s="28">
        <v>36</v>
      </c>
      <c r="Q1319" s="13" t="s">
        <v>54</v>
      </c>
      <c r="R1319" s="13" t="s">
        <v>28</v>
      </c>
      <c r="S1319" s="13"/>
      <c r="T1319" s="13"/>
      <c r="U1319" s="13" t="s">
        <v>1056</v>
      </c>
      <c r="V1319" s="13" t="s">
        <v>1056</v>
      </c>
      <c r="W1319" s="59">
        <f>+J1319/$W$2</f>
        <v>1.6650378794589148E-4</v>
      </c>
      <c r="AC1319" s="56"/>
    </row>
    <row r="1320" spans="1:29">
      <c r="A1320" s="13" t="s">
        <v>1528</v>
      </c>
      <c r="B1320" s="13" t="s">
        <v>538</v>
      </c>
      <c r="C1320" s="139">
        <v>46342</v>
      </c>
      <c r="D1320" s="139" t="s">
        <v>516</v>
      </c>
      <c r="E1320" s="28">
        <v>0.85322255999999996</v>
      </c>
      <c r="F1320" s="13"/>
      <c r="G1320" s="18">
        <v>3750000</v>
      </c>
      <c r="H1320" s="18">
        <v>3199584.62</v>
      </c>
      <c r="I1320" s="18">
        <v>3750000</v>
      </c>
      <c r="J1320" s="18">
        <v>3199584.62</v>
      </c>
      <c r="K1320" s="15">
        <v>66918897</v>
      </c>
      <c r="L1320" s="13" t="s">
        <v>102</v>
      </c>
      <c r="M1320" s="13" t="s">
        <v>103</v>
      </c>
      <c r="N1320" s="139" t="s">
        <v>384</v>
      </c>
      <c r="O1320" s="139" t="s">
        <v>384</v>
      </c>
      <c r="P1320" s="28">
        <v>39</v>
      </c>
      <c r="Q1320" s="13" t="s">
        <v>54</v>
      </c>
      <c r="R1320" s="13" t="s">
        <v>28</v>
      </c>
      <c r="S1320" s="13"/>
      <c r="T1320" s="13"/>
      <c r="U1320" s="13" t="s">
        <v>1505</v>
      </c>
      <c r="V1320" s="13" t="s">
        <v>1505</v>
      </c>
      <c r="W1320" s="59">
        <f>+J1320/$W$2</f>
        <v>7.1873577694119505E-5</v>
      </c>
    </row>
    <row r="1321" spans="1:29">
      <c r="A1321" s="13" t="s">
        <v>2086</v>
      </c>
      <c r="B1321" s="13" t="s">
        <v>538</v>
      </c>
      <c r="C1321" s="139">
        <v>46343</v>
      </c>
      <c r="D1321" s="139" t="s">
        <v>516</v>
      </c>
      <c r="E1321" s="28">
        <v>0.87563592999999995</v>
      </c>
      <c r="F1321" s="13"/>
      <c r="G1321" s="18">
        <v>15000000</v>
      </c>
      <c r="H1321" s="18">
        <v>13134538.890000001</v>
      </c>
      <c r="I1321" s="18">
        <v>15000000</v>
      </c>
      <c r="J1321" s="18">
        <v>13134538.890000001</v>
      </c>
      <c r="K1321" s="15">
        <v>67449055</v>
      </c>
      <c r="L1321" s="13" t="s">
        <v>102</v>
      </c>
      <c r="M1321" s="13" t="s">
        <v>103</v>
      </c>
      <c r="N1321" s="139" t="s">
        <v>361</v>
      </c>
      <c r="O1321" s="139" t="s">
        <v>361</v>
      </c>
      <c r="P1321" s="28">
        <v>32</v>
      </c>
      <c r="Q1321" s="13" t="s">
        <v>54</v>
      </c>
      <c r="R1321" s="13" t="s">
        <v>28</v>
      </c>
      <c r="S1321" s="13"/>
      <c r="T1321" s="13"/>
      <c r="U1321" s="13" t="s">
        <v>2083</v>
      </c>
      <c r="V1321" s="13" t="s">
        <v>2083</v>
      </c>
      <c r="W1321" s="59">
        <f>+J1321/$W$2</f>
        <v>2.9504651806547602E-4</v>
      </c>
    </row>
    <row r="1322" spans="1:29">
      <c r="A1322" s="13" t="s">
        <v>915</v>
      </c>
      <c r="B1322" s="13" t="s">
        <v>130</v>
      </c>
      <c r="C1322" s="139">
        <v>46343</v>
      </c>
      <c r="D1322" s="139" t="s">
        <v>516</v>
      </c>
      <c r="E1322" s="28">
        <v>0.96571046999999999</v>
      </c>
      <c r="F1322" s="13" t="s">
        <v>2102</v>
      </c>
      <c r="G1322" s="18">
        <v>18230</v>
      </c>
      <c r="H1322" s="18">
        <v>17604.900000000001</v>
      </c>
      <c r="I1322" s="18">
        <v>26349600.370000001</v>
      </c>
      <c r="J1322" s="18">
        <v>25446082.260000002</v>
      </c>
      <c r="K1322" s="15">
        <v>146446</v>
      </c>
      <c r="L1322" s="13" t="s">
        <v>102</v>
      </c>
      <c r="M1322" s="13" t="s">
        <v>103</v>
      </c>
      <c r="N1322" s="139" t="s">
        <v>378</v>
      </c>
      <c r="O1322" s="139" t="s">
        <v>378</v>
      </c>
      <c r="P1322" s="28">
        <v>8</v>
      </c>
      <c r="Q1322" s="13" t="s">
        <v>54</v>
      </c>
      <c r="R1322" s="13" t="s">
        <v>28</v>
      </c>
      <c r="S1322" s="13"/>
      <c r="T1322" s="13"/>
      <c r="U1322" s="13" t="s">
        <v>895</v>
      </c>
      <c r="V1322" s="13" t="s">
        <v>895</v>
      </c>
      <c r="W1322" s="59">
        <f>+J1322/$W$2</f>
        <v>5.7160575122562813E-4</v>
      </c>
    </row>
    <row r="1323" spans="1:29">
      <c r="A1323" s="13" t="s">
        <v>639</v>
      </c>
      <c r="B1323" s="13" t="s">
        <v>538</v>
      </c>
      <c r="C1323" s="139">
        <v>46343</v>
      </c>
      <c r="D1323" s="139" t="s">
        <v>516</v>
      </c>
      <c r="E1323" s="28">
        <v>0.86223203999999998</v>
      </c>
      <c r="F1323" s="13"/>
      <c r="G1323" s="18">
        <v>9450000</v>
      </c>
      <c r="H1323" s="18">
        <v>8148092.7400000002</v>
      </c>
      <c r="I1323" s="18">
        <v>9450000</v>
      </c>
      <c r="J1323" s="18">
        <v>8148092.7400000002</v>
      </c>
      <c r="K1323" s="15">
        <v>66335143</v>
      </c>
      <c r="L1323" s="13" t="s">
        <v>102</v>
      </c>
      <c r="M1323" s="13" t="s">
        <v>103</v>
      </c>
      <c r="N1323" s="139" t="s">
        <v>344</v>
      </c>
      <c r="O1323" s="139" t="s">
        <v>344</v>
      </c>
      <c r="P1323" s="28">
        <v>36</v>
      </c>
      <c r="Q1323" s="13" t="s">
        <v>54</v>
      </c>
      <c r="R1323" s="13" t="s">
        <v>28</v>
      </c>
      <c r="S1323" s="13"/>
      <c r="T1323" s="13"/>
      <c r="U1323" s="13" t="s">
        <v>1058</v>
      </c>
      <c r="V1323" s="13" t="s">
        <v>1058</v>
      </c>
      <c r="W1323" s="59">
        <f>+J1323/$W$2</f>
        <v>1.830339391390377E-4</v>
      </c>
    </row>
    <row r="1324" spans="1:29">
      <c r="A1324" s="13" t="s">
        <v>1052</v>
      </c>
      <c r="B1324" s="13" t="s">
        <v>538</v>
      </c>
      <c r="C1324" s="139">
        <v>46343</v>
      </c>
      <c r="D1324" s="139" t="s">
        <v>516</v>
      </c>
      <c r="E1324" s="28">
        <v>0.88596553</v>
      </c>
      <c r="F1324" s="13"/>
      <c r="G1324" s="18">
        <v>35000000</v>
      </c>
      <c r="H1324" s="18">
        <v>31008793.420000002</v>
      </c>
      <c r="I1324" s="18">
        <v>35000000</v>
      </c>
      <c r="J1324" s="18">
        <v>31008793.420000002</v>
      </c>
      <c r="K1324" s="15">
        <v>66</v>
      </c>
      <c r="L1324" s="13" t="s">
        <v>102</v>
      </c>
      <c r="M1324" s="13" t="s">
        <v>103</v>
      </c>
      <c r="N1324" s="139" t="s">
        <v>335</v>
      </c>
      <c r="O1324" s="139" t="s">
        <v>335</v>
      </c>
      <c r="P1324" s="28">
        <v>29</v>
      </c>
      <c r="Q1324" s="13" t="s">
        <v>54</v>
      </c>
      <c r="R1324" s="13" t="s">
        <v>28</v>
      </c>
      <c r="S1324" s="13"/>
      <c r="T1324" s="13"/>
      <c r="U1324" s="13" t="s">
        <v>1738</v>
      </c>
      <c r="V1324" s="13" t="s">
        <v>1738</v>
      </c>
      <c r="W1324" s="59">
        <f>+J1324/$W$2</f>
        <v>6.9656320671814952E-4</v>
      </c>
    </row>
    <row r="1325" spans="1:29">
      <c r="A1325" s="13" t="s">
        <v>597</v>
      </c>
      <c r="B1325" s="13" t="s">
        <v>538</v>
      </c>
      <c r="C1325" s="139">
        <v>46344</v>
      </c>
      <c r="D1325" s="139" t="s">
        <v>516</v>
      </c>
      <c r="E1325" s="28">
        <v>0.86482658000000001</v>
      </c>
      <c r="F1325" s="13"/>
      <c r="G1325" s="18">
        <v>1500000</v>
      </c>
      <c r="H1325" s="18">
        <v>1297239.8600000001</v>
      </c>
      <c r="I1325" s="18">
        <v>1500000</v>
      </c>
      <c r="J1325" s="18">
        <v>1297239.8600000001</v>
      </c>
      <c r="K1325" s="15">
        <v>5</v>
      </c>
      <c r="L1325" s="13" t="s">
        <v>102</v>
      </c>
      <c r="M1325" s="13" t="s">
        <v>103</v>
      </c>
      <c r="N1325" s="139" t="s">
        <v>431</v>
      </c>
      <c r="O1325" s="139" t="s">
        <v>431</v>
      </c>
      <c r="P1325" s="28">
        <v>35</v>
      </c>
      <c r="Q1325" s="13" t="s">
        <v>54</v>
      </c>
      <c r="R1325" s="13" t="s">
        <v>28</v>
      </c>
      <c r="S1325" s="13"/>
      <c r="T1325" s="13"/>
      <c r="U1325" s="13" t="s">
        <v>1171</v>
      </c>
      <c r="V1325" s="13" t="s">
        <v>1171</v>
      </c>
      <c r="W1325" s="59">
        <f>+J1325/$W$2</f>
        <v>2.9140429442875218E-5</v>
      </c>
      <c r="AC1325" s="56"/>
    </row>
    <row r="1326" spans="1:29">
      <c r="A1326" s="13" t="s">
        <v>639</v>
      </c>
      <c r="B1326" s="13" t="s">
        <v>538</v>
      </c>
      <c r="C1326" s="139">
        <v>46344</v>
      </c>
      <c r="D1326" s="139" t="s">
        <v>516</v>
      </c>
      <c r="E1326" s="28">
        <v>0.86149933999999995</v>
      </c>
      <c r="F1326" s="13"/>
      <c r="G1326" s="18">
        <v>9450000</v>
      </c>
      <c r="H1326" s="18">
        <v>8141168.7699999996</v>
      </c>
      <c r="I1326" s="18">
        <v>9450000</v>
      </c>
      <c r="J1326" s="18">
        <v>8141168.7699999996</v>
      </c>
      <c r="K1326" s="15">
        <v>66335193</v>
      </c>
      <c r="L1326" s="13" t="s">
        <v>102</v>
      </c>
      <c r="M1326" s="13" t="s">
        <v>103</v>
      </c>
      <c r="N1326" s="139" t="s">
        <v>344</v>
      </c>
      <c r="O1326" s="139" t="s">
        <v>344</v>
      </c>
      <c r="P1326" s="28">
        <v>36</v>
      </c>
      <c r="Q1326" s="13" t="s">
        <v>54</v>
      </c>
      <c r="R1326" s="13" t="s">
        <v>28</v>
      </c>
      <c r="S1326" s="13"/>
      <c r="T1326" s="13"/>
      <c r="U1326" s="13" t="s">
        <v>1059</v>
      </c>
      <c r="V1326" s="13" t="s">
        <v>1059</v>
      </c>
      <c r="W1326" s="59">
        <f>+J1326/$W$2</f>
        <v>1.8287840316957588E-4</v>
      </c>
    </row>
    <row r="1327" spans="1:29">
      <c r="A1327" s="13" t="s">
        <v>1528</v>
      </c>
      <c r="B1327" s="13" t="s">
        <v>538</v>
      </c>
      <c r="C1327" s="139">
        <v>46345</v>
      </c>
      <c r="D1327" s="139" t="s">
        <v>516</v>
      </c>
      <c r="E1327" s="28">
        <v>0.85089541999999996</v>
      </c>
      <c r="F1327" s="13"/>
      <c r="G1327" s="18">
        <v>3750000</v>
      </c>
      <c r="H1327" s="18">
        <v>3190857.82</v>
      </c>
      <c r="I1327" s="18">
        <v>3750000</v>
      </c>
      <c r="J1327" s="18">
        <v>3190857.82</v>
      </c>
      <c r="K1327" s="15">
        <v>66918963</v>
      </c>
      <c r="L1327" s="13" t="s">
        <v>102</v>
      </c>
      <c r="M1327" s="13" t="s">
        <v>103</v>
      </c>
      <c r="N1327" s="139" t="s">
        <v>384</v>
      </c>
      <c r="O1327" s="139" t="s">
        <v>384</v>
      </c>
      <c r="P1327" s="28">
        <v>39</v>
      </c>
      <c r="Q1327" s="13" t="s">
        <v>54</v>
      </c>
      <c r="R1327" s="13" t="s">
        <v>28</v>
      </c>
      <c r="S1327" s="13"/>
      <c r="T1327" s="13"/>
      <c r="U1327" s="13" t="s">
        <v>1501</v>
      </c>
      <c r="V1327" s="13" t="s">
        <v>1501</v>
      </c>
      <c r="W1327" s="59">
        <f>+J1327/$W$2</f>
        <v>7.1677544017153942E-5</v>
      </c>
    </row>
    <row r="1328" spans="1:29">
      <c r="A1328" s="13" t="s">
        <v>923</v>
      </c>
      <c r="B1328" s="13" t="s">
        <v>538</v>
      </c>
      <c r="C1328" s="139">
        <v>46351</v>
      </c>
      <c r="D1328" s="139" t="s">
        <v>516</v>
      </c>
      <c r="E1328" s="28">
        <v>0.87740399999999996</v>
      </c>
      <c r="F1328" s="13"/>
      <c r="G1328" s="18">
        <v>9478811.3499999996</v>
      </c>
      <c r="H1328" s="18">
        <v>8316746.96</v>
      </c>
      <c r="I1328" s="18">
        <v>9478811.3499999996</v>
      </c>
      <c r="J1328" s="18">
        <v>8316746.96</v>
      </c>
      <c r="K1328" s="15">
        <v>90020413</v>
      </c>
      <c r="L1328" s="13" t="s">
        <v>102</v>
      </c>
      <c r="M1328" s="13" t="s">
        <v>103</v>
      </c>
      <c r="N1328" s="139" t="s">
        <v>335</v>
      </c>
      <c r="O1328" s="139" t="s">
        <v>335</v>
      </c>
      <c r="P1328" s="28">
        <v>30</v>
      </c>
      <c r="Q1328" s="13" t="s">
        <v>54</v>
      </c>
      <c r="R1328" s="13" t="s">
        <v>28</v>
      </c>
      <c r="S1328" s="13"/>
      <c r="T1328" s="13"/>
      <c r="U1328" s="13" t="s">
        <v>1727</v>
      </c>
      <c r="V1328" s="13" t="s">
        <v>1727</v>
      </c>
      <c r="W1328" s="59">
        <f>+J1328/$W$2</f>
        <v>1.8682248784902965E-4</v>
      </c>
    </row>
    <row r="1329" spans="1:29">
      <c r="A1329" s="13" t="s">
        <v>639</v>
      </c>
      <c r="B1329" s="13" t="s">
        <v>538</v>
      </c>
      <c r="C1329" s="139">
        <v>46351</v>
      </c>
      <c r="D1329" s="139" t="s">
        <v>516</v>
      </c>
      <c r="E1329" s="28">
        <v>0.85640556000000001</v>
      </c>
      <c r="F1329" s="13"/>
      <c r="G1329" s="18">
        <v>9450000</v>
      </c>
      <c r="H1329" s="18">
        <v>8093032.5099999998</v>
      </c>
      <c r="I1329" s="18">
        <v>9450000</v>
      </c>
      <c r="J1329" s="18">
        <v>8093032.5099999998</v>
      </c>
      <c r="K1329" s="15">
        <v>66335232</v>
      </c>
      <c r="L1329" s="13" t="s">
        <v>102</v>
      </c>
      <c r="M1329" s="13" t="s">
        <v>103</v>
      </c>
      <c r="N1329" s="139" t="s">
        <v>344</v>
      </c>
      <c r="O1329" s="139" t="s">
        <v>344</v>
      </c>
      <c r="P1329" s="28">
        <v>36</v>
      </c>
      <c r="Q1329" s="13" t="s">
        <v>54</v>
      </c>
      <c r="R1329" s="13" t="s">
        <v>28</v>
      </c>
      <c r="S1329" s="13"/>
      <c r="T1329" s="13"/>
      <c r="U1329" s="13" t="s">
        <v>1061</v>
      </c>
      <c r="V1329" s="13" t="s">
        <v>1061</v>
      </c>
      <c r="W1329" s="59">
        <f>+J1329/$W$2</f>
        <v>1.8179709867730266E-4</v>
      </c>
    </row>
    <row r="1330" spans="1:29">
      <c r="A1330" s="13" t="s">
        <v>1052</v>
      </c>
      <c r="B1330" s="13" t="s">
        <v>538</v>
      </c>
      <c r="C1330" s="139">
        <v>46351</v>
      </c>
      <c r="D1330" s="139" t="s">
        <v>516</v>
      </c>
      <c r="E1330" s="28">
        <v>0.88100425000000004</v>
      </c>
      <c r="F1330" s="13"/>
      <c r="G1330" s="18">
        <v>30000000</v>
      </c>
      <c r="H1330" s="18">
        <v>26430127.440000001</v>
      </c>
      <c r="I1330" s="18">
        <v>30000000</v>
      </c>
      <c r="J1330" s="18">
        <v>26430127.440000001</v>
      </c>
      <c r="K1330" s="15">
        <v>67</v>
      </c>
      <c r="L1330" s="13" t="s">
        <v>102</v>
      </c>
      <c r="M1330" s="13" t="s">
        <v>103</v>
      </c>
      <c r="N1330" s="139" t="s">
        <v>335</v>
      </c>
      <c r="O1330" s="139" t="s">
        <v>335</v>
      </c>
      <c r="P1330" s="28">
        <v>29</v>
      </c>
      <c r="Q1330" s="13" t="s">
        <v>54</v>
      </c>
      <c r="R1330" s="13" t="s">
        <v>28</v>
      </c>
      <c r="S1330" s="13"/>
      <c r="T1330" s="13"/>
      <c r="U1330" s="13" t="s">
        <v>1739</v>
      </c>
      <c r="V1330" s="13" t="s">
        <v>1739</v>
      </c>
      <c r="W1330" s="59">
        <f>+J1330/$W$2</f>
        <v>5.937107605000051E-4</v>
      </c>
    </row>
    <row r="1331" spans="1:29">
      <c r="A1331" s="13" t="s">
        <v>1164</v>
      </c>
      <c r="B1331" s="13" t="s">
        <v>538</v>
      </c>
      <c r="C1331" s="139">
        <v>46352</v>
      </c>
      <c r="D1331" s="139" t="s">
        <v>516</v>
      </c>
      <c r="E1331" s="28">
        <v>0.86609888000000002</v>
      </c>
      <c r="F1331" s="13"/>
      <c r="G1331" s="18">
        <v>5448062.4299999997</v>
      </c>
      <c r="H1331" s="18">
        <v>4718560.78</v>
      </c>
      <c r="I1331" s="18">
        <v>5448062.4299999997</v>
      </c>
      <c r="J1331" s="18">
        <v>4718560.78</v>
      </c>
      <c r="K1331" s="15">
        <v>90000596</v>
      </c>
      <c r="L1331" s="13" t="s">
        <v>102</v>
      </c>
      <c r="M1331" s="13" t="s">
        <v>103</v>
      </c>
      <c r="N1331" s="139" t="s">
        <v>175</v>
      </c>
      <c r="O1331" s="139" t="s">
        <v>175</v>
      </c>
      <c r="P1331" s="28">
        <v>33</v>
      </c>
      <c r="Q1331" s="13" t="s">
        <v>54</v>
      </c>
      <c r="R1331" s="13" t="s">
        <v>28</v>
      </c>
      <c r="S1331" s="13"/>
      <c r="T1331" s="13"/>
      <c r="U1331" s="13" t="s">
        <v>1898</v>
      </c>
      <c r="V1331" s="13" t="s">
        <v>1898</v>
      </c>
      <c r="W1331" s="59">
        <f>+J1331/$W$2</f>
        <v>1.0599496031636605E-4</v>
      </c>
    </row>
    <row r="1332" spans="1:29">
      <c r="A1332" s="13" t="s">
        <v>995</v>
      </c>
      <c r="B1332" s="13" t="s">
        <v>538</v>
      </c>
      <c r="C1332" s="139">
        <v>46365</v>
      </c>
      <c r="D1332" s="139" t="s">
        <v>516</v>
      </c>
      <c r="E1332" s="28">
        <v>0.84280065000000004</v>
      </c>
      <c r="F1332" s="13"/>
      <c r="G1332" s="18">
        <v>15000000</v>
      </c>
      <c r="H1332" s="18">
        <v>12642009.689999999</v>
      </c>
      <c r="I1332" s="18">
        <v>15000000</v>
      </c>
      <c r="J1332" s="18">
        <v>12642009.689999999</v>
      </c>
      <c r="K1332" s="15">
        <v>90023082</v>
      </c>
      <c r="L1332" s="13" t="s">
        <v>102</v>
      </c>
      <c r="M1332" s="13" t="s">
        <v>103</v>
      </c>
      <c r="N1332" s="139" t="s">
        <v>175</v>
      </c>
      <c r="O1332" s="139" t="s">
        <v>175</v>
      </c>
      <c r="P1332" s="28">
        <v>37</v>
      </c>
      <c r="Q1332" s="13" t="s">
        <v>54</v>
      </c>
      <c r="R1332" s="13" t="s">
        <v>28</v>
      </c>
      <c r="S1332" s="13"/>
      <c r="T1332" s="13"/>
      <c r="U1332" s="13" t="s">
        <v>1889</v>
      </c>
      <c r="V1332" s="13" t="s">
        <v>1889</v>
      </c>
      <c r="W1332" s="59">
        <f>+J1332/$W$2</f>
        <v>2.8398263324069442E-4</v>
      </c>
    </row>
    <row r="1333" spans="1:29">
      <c r="A1333" s="13" t="s">
        <v>995</v>
      </c>
      <c r="B1333" s="13" t="s">
        <v>538</v>
      </c>
      <c r="C1333" s="139">
        <v>46365</v>
      </c>
      <c r="D1333" s="139" t="s">
        <v>516</v>
      </c>
      <c r="E1333" s="28">
        <v>0.84280065000000004</v>
      </c>
      <c r="F1333" s="13"/>
      <c r="G1333" s="18">
        <v>15000000</v>
      </c>
      <c r="H1333" s="18">
        <v>12642009.689999999</v>
      </c>
      <c r="I1333" s="18">
        <v>15000000</v>
      </c>
      <c r="J1333" s="18">
        <v>12642009.689999999</v>
      </c>
      <c r="K1333" s="15">
        <v>90023081</v>
      </c>
      <c r="L1333" s="13" t="s">
        <v>102</v>
      </c>
      <c r="M1333" s="13" t="s">
        <v>103</v>
      </c>
      <c r="N1333" s="139" t="s">
        <v>175</v>
      </c>
      <c r="O1333" s="139" t="s">
        <v>175</v>
      </c>
      <c r="P1333" s="28">
        <v>37</v>
      </c>
      <c r="Q1333" s="13" t="s">
        <v>54</v>
      </c>
      <c r="R1333" s="13" t="s">
        <v>28</v>
      </c>
      <c r="S1333" s="13"/>
      <c r="T1333" s="13"/>
      <c r="U1333" s="13" t="s">
        <v>1891</v>
      </c>
      <c r="V1333" s="13" t="s">
        <v>1891</v>
      </c>
      <c r="W1333" s="59">
        <f>+J1333/$W$2</f>
        <v>2.8398263324069442E-4</v>
      </c>
    </row>
    <row r="1334" spans="1:29">
      <c r="A1334" s="13" t="s">
        <v>995</v>
      </c>
      <c r="B1334" s="13" t="s">
        <v>538</v>
      </c>
      <c r="C1334" s="139">
        <v>46366</v>
      </c>
      <c r="D1334" s="139" t="s">
        <v>516</v>
      </c>
      <c r="E1334" s="28">
        <v>0.84208114999999994</v>
      </c>
      <c r="F1334" s="13"/>
      <c r="G1334" s="18">
        <v>15000000</v>
      </c>
      <c r="H1334" s="18">
        <v>12631217.210000001</v>
      </c>
      <c r="I1334" s="18">
        <v>15000000</v>
      </c>
      <c r="J1334" s="18">
        <v>12631217.210000001</v>
      </c>
      <c r="K1334" s="15">
        <v>90023083</v>
      </c>
      <c r="L1334" s="13" t="s">
        <v>102</v>
      </c>
      <c r="M1334" s="13" t="s">
        <v>103</v>
      </c>
      <c r="N1334" s="139" t="s">
        <v>175</v>
      </c>
      <c r="O1334" s="139" t="s">
        <v>175</v>
      </c>
      <c r="P1334" s="28">
        <v>37</v>
      </c>
      <c r="Q1334" s="13" t="s">
        <v>54</v>
      </c>
      <c r="R1334" s="13" t="s">
        <v>28</v>
      </c>
      <c r="S1334" s="13"/>
      <c r="T1334" s="13"/>
      <c r="U1334" s="13" t="s">
        <v>1892</v>
      </c>
      <c r="V1334" s="13" t="s">
        <v>1892</v>
      </c>
      <c r="W1334" s="59">
        <f>+J1334/$W$2</f>
        <v>2.8374019734919042E-4</v>
      </c>
    </row>
    <row r="1335" spans="1:29">
      <c r="A1335" s="13" t="s">
        <v>995</v>
      </c>
      <c r="B1335" s="13" t="s">
        <v>538</v>
      </c>
      <c r="C1335" s="139">
        <v>46367</v>
      </c>
      <c r="D1335" s="139" t="s">
        <v>516</v>
      </c>
      <c r="E1335" s="28">
        <v>0.84136288000000004</v>
      </c>
      <c r="F1335" s="13"/>
      <c r="G1335" s="18">
        <v>15000000</v>
      </c>
      <c r="H1335" s="18">
        <v>12620443.17</v>
      </c>
      <c r="I1335" s="18">
        <v>15000000</v>
      </c>
      <c r="J1335" s="18">
        <v>12620443.17</v>
      </c>
      <c r="K1335" s="15">
        <v>90023086</v>
      </c>
      <c r="L1335" s="13" t="s">
        <v>102</v>
      </c>
      <c r="M1335" s="13" t="s">
        <v>103</v>
      </c>
      <c r="N1335" s="139" t="s">
        <v>175</v>
      </c>
      <c r="O1335" s="139" t="s">
        <v>175</v>
      </c>
      <c r="P1335" s="28">
        <v>37</v>
      </c>
      <c r="Q1335" s="13" t="s">
        <v>54</v>
      </c>
      <c r="R1335" s="13" t="s">
        <v>28</v>
      </c>
      <c r="S1335" s="13"/>
      <c r="T1335" s="13"/>
      <c r="U1335" s="13" t="s">
        <v>1893</v>
      </c>
      <c r="V1335" s="13" t="s">
        <v>1893</v>
      </c>
      <c r="W1335" s="59">
        <f>+J1335/$W$2</f>
        <v>2.834981756829469E-4</v>
      </c>
    </row>
    <row r="1336" spans="1:29">
      <c r="A1336" s="13" t="s">
        <v>915</v>
      </c>
      <c r="B1336" s="13" t="s">
        <v>130</v>
      </c>
      <c r="C1336" s="139">
        <v>46372</v>
      </c>
      <c r="D1336" s="139" t="s">
        <v>516</v>
      </c>
      <c r="E1336" s="28">
        <v>0.95981768000000001</v>
      </c>
      <c r="F1336" s="13" t="s">
        <v>2102</v>
      </c>
      <c r="G1336" s="18">
        <v>18230</v>
      </c>
      <c r="H1336" s="18">
        <v>17497.48</v>
      </c>
      <c r="I1336" s="18">
        <v>26349600.370000001</v>
      </c>
      <c r="J1336" s="18">
        <v>25290817.629999999</v>
      </c>
      <c r="K1336" s="15">
        <v>146447</v>
      </c>
      <c r="L1336" s="13" t="s">
        <v>102</v>
      </c>
      <c r="M1336" s="13" t="s">
        <v>103</v>
      </c>
      <c r="N1336" s="139" t="s">
        <v>378</v>
      </c>
      <c r="O1336" s="139" t="s">
        <v>378</v>
      </c>
      <c r="P1336" s="28">
        <v>8</v>
      </c>
      <c r="Q1336" s="13" t="s">
        <v>54</v>
      </c>
      <c r="R1336" s="13" t="s">
        <v>28</v>
      </c>
      <c r="S1336" s="13"/>
      <c r="T1336" s="13"/>
      <c r="U1336" s="13" t="s">
        <v>899</v>
      </c>
      <c r="V1336" s="13" t="s">
        <v>899</v>
      </c>
      <c r="W1336" s="59">
        <f>+J1336/$W$2</f>
        <v>5.6811797835108117E-4</v>
      </c>
    </row>
    <row r="1337" spans="1:29">
      <c r="A1337" s="13" t="s">
        <v>995</v>
      </c>
      <c r="B1337" s="13" t="s">
        <v>538</v>
      </c>
      <c r="C1337" s="139">
        <v>46378</v>
      </c>
      <c r="D1337" s="139" t="s">
        <v>516</v>
      </c>
      <c r="E1337" s="28">
        <v>0.83354284000000001</v>
      </c>
      <c r="F1337" s="13"/>
      <c r="G1337" s="18">
        <v>15000000</v>
      </c>
      <c r="H1337" s="18">
        <v>12503142.529999999</v>
      </c>
      <c r="I1337" s="18">
        <v>15000000</v>
      </c>
      <c r="J1337" s="18">
        <v>12503142.529999999</v>
      </c>
      <c r="K1337" s="15">
        <v>90023099</v>
      </c>
      <c r="L1337" s="13" t="s">
        <v>102</v>
      </c>
      <c r="M1337" s="13" t="s">
        <v>103</v>
      </c>
      <c r="N1337" s="139" t="s">
        <v>369</v>
      </c>
      <c r="O1337" s="139" t="s">
        <v>369</v>
      </c>
      <c r="P1337" s="28">
        <v>37</v>
      </c>
      <c r="Q1337" s="13" t="s">
        <v>54</v>
      </c>
      <c r="R1337" s="13" t="s">
        <v>28</v>
      </c>
      <c r="S1337" s="13"/>
      <c r="T1337" s="13"/>
      <c r="U1337" s="13" t="s">
        <v>1939</v>
      </c>
      <c r="V1337" s="13" t="s">
        <v>1939</v>
      </c>
      <c r="W1337" s="59">
        <f>+J1337/$W$2</f>
        <v>2.8086320344001555E-4</v>
      </c>
      <c r="AC1337" s="56"/>
    </row>
    <row r="1338" spans="1:29">
      <c r="A1338" s="13" t="s">
        <v>915</v>
      </c>
      <c r="B1338" s="13" t="s">
        <v>130</v>
      </c>
      <c r="C1338" s="139">
        <v>46401</v>
      </c>
      <c r="D1338" s="139" t="s">
        <v>516</v>
      </c>
      <c r="E1338" s="28">
        <v>0.95400012999999995</v>
      </c>
      <c r="F1338" s="13" t="s">
        <v>2102</v>
      </c>
      <c r="G1338" s="18">
        <v>18230</v>
      </c>
      <c r="H1338" s="18">
        <v>17391.419999999998</v>
      </c>
      <c r="I1338" s="18">
        <v>26349600.370000001</v>
      </c>
      <c r="J1338" s="18">
        <v>25137518.75</v>
      </c>
      <c r="K1338" s="15">
        <v>146448</v>
      </c>
      <c r="L1338" s="13" t="s">
        <v>102</v>
      </c>
      <c r="M1338" s="13" t="s">
        <v>103</v>
      </c>
      <c r="N1338" s="139" t="s">
        <v>378</v>
      </c>
      <c r="O1338" s="139" t="s">
        <v>378</v>
      </c>
      <c r="P1338" s="28">
        <v>8</v>
      </c>
      <c r="Q1338" s="13" t="s">
        <v>54</v>
      </c>
      <c r="R1338" s="13" t="s">
        <v>28</v>
      </c>
      <c r="S1338" s="13"/>
      <c r="T1338" s="13"/>
      <c r="U1338" s="13" t="s">
        <v>909</v>
      </c>
      <c r="V1338" s="13" t="s">
        <v>909</v>
      </c>
      <c r="W1338" s="59">
        <f>+J1338/$W$2</f>
        <v>5.6467436292261918E-4</v>
      </c>
    </row>
    <row r="1339" spans="1:29">
      <c r="A1339" s="13" t="s">
        <v>355</v>
      </c>
      <c r="B1339" s="13" t="s">
        <v>130</v>
      </c>
      <c r="C1339" s="139">
        <v>46414</v>
      </c>
      <c r="D1339" s="139" t="s">
        <v>516</v>
      </c>
      <c r="E1339" s="28">
        <v>0.93999566000000001</v>
      </c>
      <c r="F1339" s="13" t="s">
        <v>2102</v>
      </c>
      <c r="G1339" s="18">
        <v>13904</v>
      </c>
      <c r="H1339" s="18">
        <v>13069.7</v>
      </c>
      <c r="I1339" s="18">
        <v>20096809.850000001</v>
      </c>
      <c r="J1339" s="18">
        <v>18890914.530000001</v>
      </c>
      <c r="K1339" s="15">
        <v>134916</v>
      </c>
      <c r="L1339" s="13" t="s">
        <v>102</v>
      </c>
      <c r="M1339" s="13" t="s">
        <v>103</v>
      </c>
      <c r="N1339" s="139" t="s">
        <v>146</v>
      </c>
      <c r="O1339" s="139" t="s">
        <v>146</v>
      </c>
      <c r="P1339" s="28">
        <v>10</v>
      </c>
      <c r="Q1339" s="13" t="s">
        <v>54</v>
      </c>
      <c r="R1339" s="13" t="s">
        <v>28</v>
      </c>
      <c r="S1339" s="13"/>
      <c r="T1339" s="13"/>
      <c r="U1339" s="13" t="s">
        <v>353</v>
      </c>
      <c r="V1339" s="13" t="s">
        <v>353</v>
      </c>
      <c r="W1339" s="59">
        <f>+J1339/$W$2</f>
        <v>4.2435433796557192E-4</v>
      </c>
    </row>
    <row r="1340" spans="1:29">
      <c r="A1340" s="13" t="s">
        <v>915</v>
      </c>
      <c r="B1340" s="13" t="s">
        <v>130</v>
      </c>
      <c r="C1340" s="139">
        <v>46433</v>
      </c>
      <c r="D1340" s="139" t="s">
        <v>516</v>
      </c>
      <c r="E1340" s="28">
        <v>0.94765761000000004</v>
      </c>
      <c r="F1340" s="13" t="s">
        <v>2102</v>
      </c>
      <c r="G1340" s="18">
        <v>18230</v>
      </c>
      <c r="H1340" s="18">
        <v>17275.8</v>
      </c>
      <c r="I1340" s="18">
        <v>26349600.370000001</v>
      </c>
      <c r="J1340" s="18">
        <v>24970401.870000001</v>
      </c>
      <c r="K1340" s="15">
        <v>146450</v>
      </c>
      <c r="L1340" s="13" t="s">
        <v>102</v>
      </c>
      <c r="M1340" s="13" t="s">
        <v>103</v>
      </c>
      <c r="N1340" s="139" t="s">
        <v>378</v>
      </c>
      <c r="O1340" s="139" t="s">
        <v>378</v>
      </c>
      <c r="P1340" s="28">
        <v>8</v>
      </c>
      <c r="Q1340" s="13" t="s">
        <v>54</v>
      </c>
      <c r="R1340" s="13" t="s">
        <v>28</v>
      </c>
      <c r="S1340" s="13"/>
      <c r="T1340" s="13"/>
      <c r="U1340" s="13" t="s">
        <v>911</v>
      </c>
      <c r="V1340" s="13" t="s">
        <v>911</v>
      </c>
      <c r="W1340" s="59">
        <f>+J1340/$W$2</f>
        <v>5.6092034810969679E-4</v>
      </c>
    </row>
    <row r="1341" spans="1:29">
      <c r="A1341" s="13" t="s">
        <v>915</v>
      </c>
      <c r="B1341" s="13" t="s">
        <v>130</v>
      </c>
      <c r="C1341" s="139">
        <v>46463</v>
      </c>
      <c r="D1341" s="139" t="s">
        <v>516</v>
      </c>
      <c r="E1341" s="28">
        <v>0.94179073999999996</v>
      </c>
      <c r="F1341" s="13" t="s">
        <v>2102</v>
      </c>
      <c r="G1341" s="18">
        <v>18230</v>
      </c>
      <c r="H1341" s="18">
        <v>17168.849999999999</v>
      </c>
      <c r="I1341" s="18">
        <v>26349600.370000001</v>
      </c>
      <c r="J1341" s="18">
        <v>24815816.579999998</v>
      </c>
      <c r="K1341" s="15">
        <v>146451</v>
      </c>
      <c r="L1341" s="13" t="s">
        <v>102</v>
      </c>
      <c r="M1341" s="13" t="s">
        <v>103</v>
      </c>
      <c r="N1341" s="139" t="s">
        <v>378</v>
      </c>
      <c r="O1341" s="139" t="s">
        <v>378</v>
      </c>
      <c r="P1341" s="28">
        <v>8</v>
      </c>
      <c r="Q1341" s="13" t="s">
        <v>54</v>
      </c>
      <c r="R1341" s="13" t="s">
        <v>28</v>
      </c>
      <c r="S1341" s="13"/>
      <c r="T1341" s="13"/>
      <c r="U1341" s="13" t="s">
        <v>903</v>
      </c>
      <c r="V1341" s="13" t="s">
        <v>903</v>
      </c>
      <c r="W1341" s="59">
        <f>+J1341/$W$2</f>
        <v>5.574478355273657E-4</v>
      </c>
    </row>
    <row r="1342" spans="1:29">
      <c r="A1342" s="13" t="s">
        <v>915</v>
      </c>
      <c r="B1342" s="13" t="s">
        <v>130</v>
      </c>
      <c r="C1342" s="139">
        <v>46491</v>
      </c>
      <c r="D1342" s="139" t="s">
        <v>516</v>
      </c>
      <c r="E1342" s="28">
        <v>0.93637868999999996</v>
      </c>
      <c r="F1342" s="13" t="s">
        <v>2102</v>
      </c>
      <c r="G1342" s="18">
        <v>18230</v>
      </c>
      <c r="H1342" s="18">
        <v>17070.18</v>
      </c>
      <c r="I1342" s="18">
        <v>26349600.370000001</v>
      </c>
      <c r="J1342" s="18">
        <v>24673199.190000001</v>
      </c>
      <c r="K1342" s="15">
        <v>146452</v>
      </c>
      <c r="L1342" s="13" t="s">
        <v>102</v>
      </c>
      <c r="M1342" s="13" t="s">
        <v>103</v>
      </c>
      <c r="N1342" s="139" t="s">
        <v>378</v>
      </c>
      <c r="O1342" s="139" t="s">
        <v>378</v>
      </c>
      <c r="P1342" s="28">
        <v>8</v>
      </c>
      <c r="Q1342" s="13" t="s">
        <v>54</v>
      </c>
      <c r="R1342" s="13" t="s">
        <v>28</v>
      </c>
      <c r="S1342" s="13"/>
      <c r="T1342" s="13"/>
      <c r="U1342" s="13" t="s">
        <v>907</v>
      </c>
      <c r="V1342" s="13" t="s">
        <v>907</v>
      </c>
      <c r="W1342" s="59">
        <f>+J1342/$W$2</f>
        <v>5.5424416277665171E-4</v>
      </c>
    </row>
    <row r="1343" spans="1:29">
      <c r="A1343" s="13" t="s">
        <v>915</v>
      </c>
      <c r="B1343" s="13" t="s">
        <v>130</v>
      </c>
      <c r="C1343" s="139">
        <v>46521</v>
      </c>
      <c r="D1343" s="139" t="s">
        <v>516</v>
      </c>
      <c r="E1343" s="28">
        <v>0.93064703999999998</v>
      </c>
      <c r="F1343" s="13" t="s">
        <v>2102</v>
      </c>
      <c r="G1343" s="18">
        <v>18230</v>
      </c>
      <c r="H1343" s="18">
        <v>16965.7</v>
      </c>
      <c r="I1343" s="18">
        <v>26349600.370000001</v>
      </c>
      <c r="J1343" s="18">
        <v>24522184.039999999</v>
      </c>
      <c r="K1343" s="15">
        <v>146453</v>
      </c>
      <c r="L1343" s="13" t="s">
        <v>102</v>
      </c>
      <c r="M1343" s="13" t="s">
        <v>103</v>
      </c>
      <c r="N1343" s="139" t="s">
        <v>378</v>
      </c>
      <c r="O1343" s="139" t="s">
        <v>378</v>
      </c>
      <c r="P1343" s="28">
        <v>8</v>
      </c>
      <c r="Q1343" s="13" t="s">
        <v>54</v>
      </c>
      <c r="R1343" s="13" t="s">
        <v>28</v>
      </c>
      <c r="S1343" s="13"/>
      <c r="T1343" s="13"/>
      <c r="U1343" s="13" t="s">
        <v>905</v>
      </c>
      <c r="V1343" s="13" t="s">
        <v>905</v>
      </c>
      <c r="W1343" s="59">
        <f>+J1343/$W$2</f>
        <v>5.5085184770904325E-4</v>
      </c>
      <c r="AB1343" s="52"/>
      <c r="AC1343" s="56"/>
    </row>
    <row r="1344" spans="1:29">
      <c r="A1344" s="13" t="s">
        <v>915</v>
      </c>
      <c r="B1344" s="13" t="s">
        <v>130</v>
      </c>
      <c r="C1344" s="139">
        <v>46553</v>
      </c>
      <c r="D1344" s="139" t="s">
        <v>516</v>
      </c>
      <c r="E1344" s="28">
        <v>0.92461170999999998</v>
      </c>
      <c r="F1344" s="13" t="s">
        <v>2102</v>
      </c>
      <c r="G1344" s="18">
        <v>18230</v>
      </c>
      <c r="H1344" s="18">
        <v>16855.669999999998</v>
      </c>
      <c r="I1344" s="18">
        <v>26349600.370000001</v>
      </c>
      <c r="J1344" s="18">
        <v>24363146.93</v>
      </c>
      <c r="K1344" s="15">
        <v>146455</v>
      </c>
      <c r="L1344" s="13" t="s">
        <v>102</v>
      </c>
      <c r="M1344" s="13" t="s">
        <v>103</v>
      </c>
      <c r="N1344" s="139" t="s">
        <v>378</v>
      </c>
      <c r="O1344" s="139" t="s">
        <v>378</v>
      </c>
      <c r="P1344" s="28">
        <v>8</v>
      </c>
      <c r="Q1344" s="13" t="s">
        <v>54</v>
      </c>
      <c r="R1344" s="13" t="s">
        <v>28</v>
      </c>
      <c r="S1344" s="13"/>
      <c r="T1344" s="13"/>
      <c r="U1344" s="13" t="s">
        <v>901</v>
      </c>
      <c r="V1344" s="13" t="s">
        <v>901</v>
      </c>
      <c r="W1344" s="59">
        <f>+J1344/$W$2</f>
        <v>5.4727933207361276E-4</v>
      </c>
    </row>
    <row r="1345" spans="1:29">
      <c r="A1345" s="13" t="s">
        <v>355</v>
      </c>
      <c r="B1345" s="13" t="s">
        <v>130</v>
      </c>
      <c r="C1345" s="139">
        <v>46596</v>
      </c>
      <c r="D1345" s="139" t="s">
        <v>516</v>
      </c>
      <c r="E1345" s="28">
        <v>0.89790853000000004</v>
      </c>
      <c r="F1345" s="13" t="s">
        <v>2102</v>
      </c>
      <c r="G1345" s="18">
        <v>20856</v>
      </c>
      <c r="H1345" s="18">
        <v>18726.78</v>
      </c>
      <c r="I1345" s="18">
        <v>30145214.77</v>
      </c>
      <c r="J1345" s="18">
        <v>27067645.050000001</v>
      </c>
      <c r="K1345" s="15">
        <v>134917</v>
      </c>
      <c r="L1345" s="13" t="s">
        <v>102</v>
      </c>
      <c r="M1345" s="13" t="s">
        <v>103</v>
      </c>
      <c r="N1345" s="139" t="s">
        <v>146</v>
      </c>
      <c r="O1345" s="139" t="s">
        <v>146</v>
      </c>
      <c r="P1345" s="28">
        <v>10</v>
      </c>
      <c r="Q1345" s="13" t="s">
        <v>54</v>
      </c>
      <c r="R1345" s="13" t="s">
        <v>28</v>
      </c>
      <c r="S1345" s="13"/>
      <c r="T1345" s="13"/>
      <c r="U1345" s="13" t="s">
        <v>349</v>
      </c>
      <c r="V1345" s="13" t="s">
        <v>349</v>
      </c>
      <c r="W1345" s="59">
        <f>+J1345/$W$2</f>
        <v>6.0803157926731888E-4</v>
      </c>
      <c r="AC1345" s="56"/>
    </row>
    <row r="1346" spans="1:29">
      <c r="A1346" s="13" t="s">
        <v>355</v>
      </c>
      <c r="B1346" s="13" t="s">
        <v>130</v>
      </c>
      <c r="C1346" s="139">
        <v>46779</v>
      </c>
      <c r="D1346" s="139" t="s">
        <v>516</v>
      </c>
      <c r="E1346" s="28">
        <v>0.85922692000000001</v>
      </c>
      <c r="F1346" s="13" t="s">
        <v>2102</v>
      </c>
      <c r="G1346" s="18">
        <v>20856</v>
      </c>
      <c r="H1346" s="18">
        <v>17920.04</v>
      </c>
      <c r="I1346" s="18">
        <v>30145214.77</v>
      </c>
      <c r="J1346" s="18">
        <v>25901584.890000001</v>
      </c>
      <c r="K1346" s="15">
        <v>134918</v>
      </c>
      <c r="L1346" s="13" t="s">
        <v>102</v>
      </c>
      <c r="M1346" s="13" t="s">
        <v>103</v>
      </c>
      <c r="N1346" s="139" t="s">
        <v>146</v>
      </c>
      <c r="O1346" s="139" t="s">
        <v>146</v>
      </c>
      <c r="P1346" s="28">
        <v>10</v>
      </c>
      <c r="Q1346" s="13" t="s">
        <v>54</v>
      </c>
      <c r="R1346" s="13" t="s">
        <v>28</v>
      </c>
      <c r="S1346" s="13"/>
      <c r="T1346" s="13"/>
      <c r="U1346" s="13" t="s">
        <v>347</v>
      </c>
      <c r="V1346" s="13" t="s">
        <v>347</v>
      </c>
      <c r="W1346" s="59">
        <f>+J1346/$W$2</f>
        <v>5.8183789306758416E-4</v>
      </c>
    </row>
    <row r="1347" spans="1:29">
      <c r="A1347" s="13" t="s">
        <v>355</v>
      </c>
      <c r="B1347" s="13" t="s">
        <v>130</v>
      </c>
      <c r="C1347" s="139">
        <v>46961</v>
      </c>
      <c r="D1347" s="139" t="s">
        <v>516</v>
      </c>
      <c r="E1347" s="28">
        <v>0.82392927000000005</v>
      </c>
      <c r="F1347" s="13" t="s">
        <v>2102</v>
      </c>
      <c r="G1347" s="18">
        <v>20856</v>
      </c>
      <c r="H1347" s="18">
        <v>17183.87</v>
      </c>
      <c r="I1347" s="18">
        <v>30145214.77</v>
      </c>
      <c r="J1347" s="18">
        <v>24837526.460000001</v>
      </c>
      <c r="K1347" s="15">
        <v>134919</v>
      </c>
      <c r="L1347" s="13" t="s">
        <v>102</v>
      </c>
      <c r="M1347" s="13" t="s">
        <v>103</v>
      </c>
      <c r="N1347" s="139" t="s">
        <v>146</v>
      </c>
      <c r="O1347" s="139" t="s">
        <v>146</v>
      </c>
      <c r="P1347" s="28">
        <v>10</v>
      </c>
      <c r="Q1347" s="13" t="s">
        <v>54</v>
      </c>
      <c r="R1347" s="13" t="s">
        <v>28</v>
      </c>
      <c r="S1347" s="13"/>
      <c r="T1347" s="13"/>
      <c r="U1347" s="13" t="s">
        <v>351</v>
      </c>
      <c r="V1347" s="13" t="s">
        <v>351</v>
      </c>
      <c r="W1347" s="59">
        <f>+J1347/$W$2</f>
        <v>5.5793551343941605E-4</v>
      </c>
    </row>
    <row r="1348" spans="1:29">
      <c r="A1348" s="13"/>
      <c r="B1348" s="13"/>
      <c r="C1348" s="139"/>
      <c r="D1348" s="139"/>
      <c r="E1348" s="28"/>
      <c r="F1348" s="13"/>
      <c r="G1348" s="18"/>
      <c r="H1348" s="18"/>
      <c r="I1348" s="18"/>
      <c r="J1348" s="18"/>
      <c r="K1348" s="15"/>
      <c r="L1348" s="13"/>
      <c r="M1348" s="13"/>
      <c r="N1348" s="139"/>
      <c r="O1348" s="139"/>
      <c r="P1348" s="28"/>
      <c r="Q1348" s="13"/>
      <c r="R1348" s="13"/>
      <c r="S1348" s="13"/>
      <c r="T1348" s="13"/>
      <c r="U1348" s="13"/>
      <c r="V1348" s="13"/>
      <c r="W1348" s="59"/>
    </row>
    <row r="1349" spans="1:29">
      <c r="A1349" s="13"/>
      <c r="B1349" s="13"/>
      <c r="C1349" s="139"/>
      <c r="D1349" s="139"/>
      <c r="E1349" s="28"/>
      <c r="F1349" s="13"/>
      <c r="G1349" s="18"/>
      <c r="H1349" s="18"/>
      <c r="I1349" s="18"/>
      <c r="J1349" s="18"/>
      <c r="K1349" s="15"/>
      <c r="L1349" s="13"/>
      <c r="M1349" s="13"/>
      <c r="N1349" s="139"/>
      <c r="O1349" s="139"/>
      <c r="P1349" s="28"/>
      <c r="Q1349" s="13"/>
      <c r="R1349" s="13"/>
      <c r="S1349" s="13"/>
      <c r="T1349" s="13"/>
      <c r="U1349" s="13"/>
      <c r="V1349" s="13"/>
      <c r="W1349" s="59"/>
    </row>
    <row r="1350" spans="1:29">
      <c r="A1350" s="13"/>
      <c r="B1350" s="13"/>
      <c r="C1350" s="139"/>
      <c r="D1350" s="139"/>
      <c r="E1350" s="28"/>
      <c r="F1350" s="13"/>
      <c r="G1350" s="18"/>
      <c r="H1350" s="18"/>
      <c r="I1350" s="18"/>
      <c r="J1350" s="18"/>
      <c r="K1350" s="15"/>
      <c r="L1350" s="13"/>
      <c r="M1350" s="13"/>
      <c r="N1350" s="139"/>
      <c r="O1350" s="139"/>
      <c r="P1350" s="28"/>
      <c r="Q1350" s="13"/>
      <c r="R1350" s="13"/>
      <c r="S1350" s="13"/>
      <c r="T1350" s="13"/>
      <c r="U1350" s="13"/>
      <c r="V1350" s="13"/>
      <c r="W1350" s="59"/>
      <c r="AC1350" s="56"/>
    </row>
    <row r="1351" spans="1:29">
      <c r="A1351" s="13"/>
      <c r="B1351" s="13"/>
      <c r="C1351" s="139"/>
      <c r="D1351" s="139"/>
      <c r="E1351" s="28"/>
      <c r="F1351" s="13"/>
      <c r="G1351" s="18"/>
      <c r="H1351" s="18"/>
      <c r="I1351" s="18"/>
      <c r="J1351" s="18"/>
      <c r="K1351" s="15"/>
      <c r="L1351" s="13"/>
      <c r="M1351" s="13"/>
      <c r="N1351" s="139"/>
      <c r="O1351" s="139"/>
      <c r="P1351" s="28"/>
      <c r="Q1351" s="13"/>
      <c r="R1351" s="13"/>
      <c r="S1351" s="13"/>
      <c r="T1351" s="13"/>
      <c r="U1351" s="13"/>
      <c r="V1351" s="13"/>
      <c r="W1351" s="59"/>
    </row>
    <row r="1352" spans="1:29">
      <c r="A1352" s="13"/>
      <c r="B1352" s="13"/>
      <c r="C1352" s="139"/>
      <c r="D1352" s="139"/>
      <c r="E1352" s="28"/>
      <c r="F1352" s="13"/>
      <c r="G1352" s="18"/>
      <c r="H1352" s="18"/>
      <c r="I1352" s="18"/>
      <c r="J1352" s="18"/>
      <c r="K1352" s="15"/>
      <c r="L1352" s="13"/>
      <c r="M1352" s="13"/>
      <c r="N1352" s="139"/>
      <c r="O1352" s="139"/>
      <c r="P1352" s="28"/>
      <c r="Q1352" s="13"/>
      <c r="R1352" s="13"/>
      <c r="S1352" s="13"/>
      <c r="T1352" s="13"/>
      <c r="U1352" s="13"/>
      <c r="V1352" s="13"/>
      <c r="W1352" s="59"/>
    </row>
    <row r="1353" spans="1:29">
      <c r="A1353" s="13"/>
      <c r="B1353" s="13"/>
      <c r="C1353" s="139"/>
      <c r="D1353" s="139"/>
      <c r="E1353" s="28"/>
      <c r="F1353" s="13"/>
      <c r="G1353" s="18"/>
      <c r="H1353" s="18"/>
      <c r="I1353" s="18"/>
      <c r="J1353" s="18"/>
      <c r="K1353" s="15"/>
      <c r="L1353" s="13"/>
      <c r="M1353" s="13"/>
      <c r="N1353" s="139"/>
      <c r="O1353" s="139"/>
      <c r="P1353" s="28"/>
      <c r="Q1353" s="13"/>
      <c r="R1353" s="13"/>
      <c r="S1353" s="13"/>
      <c r="T1353" s="13"/>
      <c r="U1353" s="13"/>
      <c r="V1353" s="13"/>
      <c r="W1353" s="59"/>
    </row>
    <row r="1354" spans="1:29">
      <c r="A1354" s="13"/>
      <c r="B1354" s="13"/>
      <c r="C1354" s="139"/>
      <c r="D1354" s="139"/>
      <c r="E1354" s="28"/>
      <c r="F1354" s="13"/>
      <c r="G1354" s="18"/>
      <c r="H1354" s="18"/>
      <c r="I1354" s="18"/>
      <c r="J1354" s="18"/>
      <c r="K1354" s="15"/>
      <c r="L1354" s="13"/>
      <c r="M1354" s="13"/>
      <c r="N1354" s="139"/>
      <c r="O1354" s="139"/>
      <c r="P1354" s="28"/>
      <c r="Q1354" s="13"/>
      <c r="R1354" s="13"/>
      <c r="S1354" s="13"/>
      <c r="T1354" s="13"/>
      <c r="U1354" s="13"/>
      <c r="V1354" s="13"/>
      <c r="W1354" s="59"/>
    </row>
    <row r="1355" spans="1:29">
      <c r="A1355" s="13"/>
      <c r="B1355" s="13"/>
      <c r="C1355" s="139"/>
      <c r="D1355" s="139"/>
      <c r="E1355" s="28"/>
      <c r="F1355" s="13"/>
      <c r="G1355" s="18"/>
      <c r="H1355" s="18"/>
      <c r="I1355" s="18"/>
      <c r="J1355" s="18"/>
      <c r="K1355" s="15"/>
      <c r="L1355" s="13"/>
      <c r="M1355" s="13"/>
      <c r="N1355" s="139"/>
      <c r="O1355" s="139"/>
      <c r="P1355" s="28"/>
      <c r="Q1355" s="13"/>
      <c r="R1355" s="13"/>
      <c r="S1355" s="13"/>
      <c r="T1355" s="13"/>
      <c r="U1355" s="13"/>
      <c r="V1355" s="13"/>
      <c r="W1355" s="59"/>
    </row>
    <row r="1356" spans="1:29">
      <c r="A1356" s="13"/>
      <c r="B1356" s="13"/>
      <c r="C1356" s="139"/>
      <c r="D1356" s="139"/>
      <c r="E1356" s="28"/>
      <c r="F1356" s="13"/>
      <c r="G1356" s="18"/>
      <c r="H1356" s="18"/>
      <c r="I1356" s="18"/>
      <c r="J1356" s="18"/>
      <c r="K1356" s="15"/>
      <c r="L1356" s="13"/>
      <c r="M1356" s="13"/>
      <c r="N1356" s="139"/>
      <c r="O1356" s="139"/>
      <c r="P1356" s="28"/>
      <c r="Q1356" s="13"/>
      <c r="R1356" s="13"/>
      <c r="S1356" s="13"/>
      <c r="T1356" s="13"/>
      <c r="U1356" s="13"/>
      <c r="V1356" s="13"/>
      <c r="W1356" s="59"/>
    </row>
    <row r="1357" spans="1:29">
      <c r="A1357" s="13"/>
      <c r="B1357" s="13"/>
      <c r="C1357" s="139"/>
      <c r="D1357" s="139"/>
      <c r="E1357" s="28"/>
      <c r="F1357" s="13"/>
      <c r="G1357" s="18"/>
      <c r="H1357" s="18"/>
      <c r="I1357" s="18"/>
      <c r="J1357" s="18"/>
      <c r="K1357" s="15"/>
      <c r="L1357" s="13"/>
      <c r="M1357" s="13"/>
      <c r="N1357" s="139"/>
      <c r="O1357" s="139"/>
      <c r="P1357" s="28"/>
      <c r="Q1357" s="13"/>
      <c r="R1357" s="13"/>
      <c r="S1357" s="13"/>
      <c r="T1357" s="13"/>
      <c r="U1357" s="13"/>
      <c r="V1357" s="13"/>
      <c r="W1357" s="59"/>
    </row>
    <row r="1358" spans="1:29">
      <c r="A1358" s="13"/>
      <c r="B1358" s="13"/>
      <c r="C1358" s="139"/>
      <c r="D1358" s="139"/>
      <c r="E1358" s="28"/>
      <c r="F1358" s="13"/>
      <c r="G1358" s="18"/>
      <c r="H1358" s="18"/>
      <c r="I1358" s="18"/>
      <c r="J1358" s="18"/>
      <c r="K1358" s="15"/>
      <c r="L1358" s="13"/>
      <c r="M1358" s="13"/>
      <c r="N1358" s="139"/>
      <c r="O1358" s="139"/>
      <c r="P1358" s="28"/>
      <c r="Q1358" s="13"/>
      <c r="R1358" s="13"/>
      <c r="S1358" s="13"/>
      <c r="T1358" s="13"/>
      <c r="U1358" s="13"/>
      <c r="V1358" s="13"/>
      <c r="W1358" s="59"/>
    </row>
    <row r="1359" spans="1:29">
      <c r="A1359" s="13"/>
      <c r="B1359" s="13"/>
      <c r="C1359" s="139"/>
      <c r="D1359" s="139"/>
      <c r="E1359" s="28"/>
      <c r="F1359" s="13"/>
      <c r="G1359" s="18"/>
      <c r="H1359" s="18"/>
      <c r="I1359" s="18"/>
      <c r="J1359" s="18"/>
      <c r="K1359" s="15"/>
      <c r="L1359" s="13"/>
      <c r="M1359" s="13"/>
      <c r="N1359" s="139"/>
      <c r="O1359" s="139"/>
      <c r="P1359" s="28"/>
      <c r="Q1359" s="13"/>
      <c r="R1359" s="13"/>
      <c r="S1359" s="13"/>
      <c r="T1359" s="13"/>
      <c r="U1359" s="13"/>
      <c r="V1359" s="13"/>
      <c r="W1359" s="59"/>
    </row>
    <row r="1360" spans="1:29">
      <c r="A1360" s="13"/>
      <c r="B1360" s="13"/>
      <c r="C1360" s="139"/>
      <c r="D1360" s="139"/>
      <c r="E1360" s="28"/>
      <c r="F1360" s="13"/>
      <c r="G1360" s="18"/>
      <c r="H1360" s="18"/>
      <c r="I1360" s="18"/>
      <c r="J1360" s="18"/>
      <c r="K1360" s="15"/>
      <c r="L1360" s="13"/>
      <c r="M1360" s="13"/>
      <c r="N1360" s="139"/>
      <c r="O1360" s="139"/>
      <c r="P1360" s="28"/>
      <c r="Q1360" s="13"/>
      <c r="R1360" s="13"/>
      <c r="S1360" s="13"/>
      <c r="T1360" s="13"/>
      <c r="U1360" s="13"/>
      <c r="V1360" s="13"/>
      <c r="W1360" s="59"/>
    </row>
    <row r="1361" spans="1:29">
      <c r="A1361" s="13"/>
      <c r="B1361" s="13"/>
      <c r="C1361" s="139"/>
      <c r="D1361" s="139"/>
      <c r="E1361" s="28"/>
      <c r="F1361" s="13"/>
      <c r="G1361" s="18"/>
      <c r="H1361" s="18"/>
      <c r="I1361" s="18"/>
      <c r="J1361" s="18"/>
      <c r="K1361" s="15"/>
      <c r="L1361" s="13"/>
      <c r="M1361" s="13"/>
      <c r="N1361" s="139"/>
      <c r="O1361" s="139"/>
      <c r="P1361" s="28"/>
      <c r="Q1361" s="13"/>
      <c r="R1361" s="13"/>
      <c r="S1361" s="13"/>
      <c r="T1361" s="13"/>
      <c r="U1361" s="13"/>
      <c r="V1361" s="13"/>
      <c r="W1361" s="59"/>
    </row>
    <row r="1362" spans="1:29">
      <c r="A1362" s="13"/>
      <c r="B1362" s="13"/>
      <c r="C1362" s="139"/>
      <c r="D1362" s="139"/>
      <c r="E1362" s="28"/>
      <c r="F1362" s="13"/>
      <c r="G1362" s="18"/>
      <c r="H1362" s="18"/>
      <c r="I1362" s="18"/>
      <c r="J1362" s="18"/>
      <c r="K1362" s="15"/>
      <c r="L1362" s="13"/>
      <c r="M1362" s="13"/>
      <c r="N1362" s="139"/>
      <c r="O1362" s="139"/>
      <c r="P1362" s="28"/>
      <c r="Q1362" s="13"/>
      <c r="R1362" s="13"/>
      <c r="S1362" s="13"/>
      <c r="T1362" s="13"/>
      <c r="U1362" s="13"/>
      <c r="V1362" s="13"/>
      <c r="W1362" s="59"/>
    </row>
    <row r="1363" spans="1:29">
      <c r="A1363" s="13"/>
      <c r="B1363" s="13"/>
      <c r="C1363" s="139"/>
      <c r="D1363" s="139"/>
      <c r="E1363" s="28"/>
      <c r="F1363" s="13"/>
      <c r="G1363" s="18"/>
      <c r="H1363" s="18"/>
      <c r="I1363" s="18"/>
      <c r="J1363" s="18"/>
      <c r="K1363" s="15"/>
      <c r="L1363" s="13"/>
      <c r="M1363" s="13"/>
      <c r="N1363" s="139"/>
      <c r="O1363" s="139"/>
      <c r="P1363" s="28"/>
      <c r="Q1363" s="13"/>
      <c r="R1363" s="13"/>
      <c r="S1363" s="13"/>
      <c r="T1363" s="13"/>
      <c r="U1363" s="13"/>
      <c r="V1363" s="13"/>
      <c r="W1363" s="59"/>
      <c r="AC1363" s="56"/>
    </row>
    <row r="1364" spans="1:29">
      <c r="A1364" s="13"/>
      <c r="B1364" s="13"/>
      <c r="C1364" s="139"/>
      <c r="D1364" s="139"/>
      <c r="E1364" s="28"/>
      <c r="F1364" s="13"/>
      <c r="G1364" s="18"/>
      <c r="H1364" s="18"/>
      <c r="I1364" s="18"/>
      <c r="J1364" s="18"/>
      <c r="K1364" s="15"/>
      <c r="L1364" s="13"/>
      <c r="M1364" s="13"/>
      <c r="N1364" s="139"/>
      <c r="O1364" s="139"/>
      <c r="P1364" s="28"/>
      <c r="Q1364" s="13"/>
      <c r="R1364" s="13"/>
      <c r="S1364" s="13"/>
      <c r="T1364" s="13"/>
      <c r="U1364" s="13"/>
      <c r="V1364" s="13"/>
      <c r="W1364" s="59"/>
    </row>
  </sheetData>
  <autoFilter ref="A3:AI3" xr:uid="{A4EE9D7C-6CE1-4D24-BFA5-FB4DE12DAF08}">
    <sortState xmlns:xlrd2="http://schemas.microsoft.com/office/spreadsheetml/2017/richdata2" ref="A4:AI1347">
      <sortCondition ref="C3"/>
    </sortState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53F3-3658-4B51-BD6B-106476B355A4}">
  <dimension ref="A1:J12"/>
  <sheetViews>
    <sheetView workbookViewId="0">
      <selection activeCell="E13" sqref="E13"/>
    </sheetView>
  </sheetViews>
  <sheetFormatPr baseColWidth="10" defaultRowHeight="15"/>
  <cols>
    <col min="1" max="1" width="15" customWidth="1"/>
    <col min="2" max="2" width="45.7109375" customWidth="1"/>
    <col min="3" max="3" width="26" customWidth="1"/>
    <col min="4" max="4" width="24" customWidth="1"/>
    <col min="5" max="5" width="22.5703125" customWidth="1"/>
    <col min="6" max="6" width="15" customWidth="1"/>
    <col min="7" max="7" width="24" customWidth="1"/>
    <col min="8" max="8" width="55" customWidth="1"/>
    <col min="9" max="9" width="18" customWidth="1"/>
    <col min="10" max="10" width="15" customWidth="1"/>
  </cols>
  <sheetData>
    <row r="1" spans="1:10" ht="15.75">
      <c r="A1" s="45" t="s">
        <v>427</v>
      </c>
      <c r="B1" s="45"/>
      <c r="C1" s="45"/>
      <c r="D1" s="45"/>
      <c r="E1" s="45"/>
      <c r="F1" s="45"/>
      <c r="G1" s="45"/>
      <c r="H1" s="45"/>
      <c r="I1" s="45"/>
      <c r="J1" s="45"/>
    </row>
    <row r="2" spans="1:10">
      <c r="A2" s="14" t="s">
        <v>69</v>
      </c>
      <c r="B2" s="14" t="s">
        <v>273</v>
      </c>
      <c r="C2" s="14" t="s">
        <v>274</v>
      </c>
      <c r="D2" s="14" t="s">
        <v>275</v>
      </c>
      <c r="E2" s="14" t="s">
        <v>276</v>
      </c>
      <c r="F2" s="14" t="s">
        <v>73</v>
      </c>
      <c r="G2" s="14" t="s">
        <v>69</v>
      </c>
      <c r="H2" s="14" t="s">
        <v>277</v>
      </c>
      <c r="I2" s="14" t="s">
        <v>69</v>
      </c>
      <c r="J2" s="14" t="s">
        <v>278</v>
      </c>
    </row>
    <row r="3" spans="1:10">
      <c r="A3" s="14" t="s">
        <v>61</v>
      </c>
      <c r="B3" s="14" t="s">
        <v>61</v>
      </c>
      <c r="C3" s="14"/>
      <c r="D3" s="14"/>
      <c r="E3" s="14"/>
      <c r="F3" s="14" t="s">
        <v>279</v>
      </c>
      <c r="G3" s="14" t="s">
        <v>280</v>
      </c>
      <c r="H3" s="14"/>
      <c r="I3" s="14" t="s">
        <v>281</v>
      </c>
      <c r="J3" s="14"/>
    </row>
    <row r="4" spans="1:10">
      <c r="A4" s="13" t="s">
        <v>102</v>
      </c>
      <c r="B4" s="13" t="s">
        <v>356</v>
      </c>
      <c r="C4" s="13" t="s">
        <v>286</v>
      </c>
      <c r="D4" s="28">
        <v>334081676.28821802</v>
      </c>
      <c r="E4" s="18">
        <v>566017880.04999995</v>
      </c>
      <c r="F4" s="13" t="s">
        <v>123</v>
      </c>
      <c r="G4" s="139">
        <v>46181</v>
      </c>
      <c r="H4" s="13" t="s">
        <v>284</v>
      </c>
      <c r="I4" s="93">
        <v>1.69425</v>
      </c>
      <c r="J4" s="28">
        <v>1.6629700700000001</v>
      </c>
    </row>
    <row r="5" spans="1:10">
      <c r="A5" s="13" t="s">
        <v>102</v>
      </c>
      <c r="B5" s="13" t="s">
        <v>299</v>
      </c>
      <c r="C5" s="13" t="s">
        <v>286</v>
      </c>
      <c r="D5" s="28">
        <v>1395280204.7714601</v>
      </c>
      <c r="E5" s="18">
        <v>2363953486.9299998</v>
      </c>
      <c r="F5" s="13" t="s">
        <v>123</v>
      </c>
      <c r="G5" s="139">
        <v>46181</v>
      </c>
      <c r="H5" s="13" t="s">
        <v>284</v>
      </c>
      <c r="I5" s="93">
        <v>1.69425</v>
      </c>
      <c r="J5" s="28">
        <v>6.9453351899999998</v>
      </c>
    </row>
    <row r="6" spans="1:10">
      <c r="A6" s="13" t="s">
        <v>102</v>
      </c>
      <c r="B6" s="13" t="s">
        <v>282</v>
      </c>
      <c r="C6" s="13" t="s">
        <v>286</v>
      </c>
      <c r="D6" s="28">
        <v>18249930213.215698</v>
      </c>
      <c r="E6" s="18">
        <v>30919944263.740002</v>
      </c>
      <c r="F6" s="13" t="s">
        <v>123</v>
      </c>
      <c r="G6" s="139">
        <v>46181</v>
      </c>
      <c r="H6" s="13" t="s">
        <v>284</v>
      </c>
      <c r="I6" s="93">
        <v>1.69425</v>
      </c>
      <c r="J6" s="28">
        <v>90.843317380000002</v>
      </c>
    </row>
    <row r="7" spans="1:10">
      <c r="A7" s="13" t="s">
        <v>102</v>
      </c>
      <c r="B7" s="13" t="s">
        <v>287</v>
      </c>
      <c r="C7" s="13" t="s">
        <v>286</v>
      </c>
      <c r="D7" s="28">
        <v>110166039.90985601</v>
      </c>
      <c r="E7" s="18">
        <v>186648813.12</v>
      </c>
      <c r="F7" s="13" t="s">
        <v>123</v>
      </c>
      <c r="G7" s="139">
        <v>46181</v>
      </c>
      <c r="H7" s="13" t="s">
        <v>284</v>
      </c>
      <c r="I7" s="93">
        <v>1.69425</v>
      </c>
      <c r="J7" s="28">
        <v>0.54837736000000004</v>
      </c>
    </row>
    <row r="8" spans="1:10">
      <c r="A8" s="13" t="s">
        <v>102</v>
      </c>
      <c r="B8" s="13" t="s">
        <v>282</v>
      </c>
      <c r="C8" s="13" t="s">
        <v>283</v>
      </c>
      <c r="D8" s="28">
        <v>3258661666.6195698</v>
      </c>
      <c r="E8" s="18">
        <v>4573499062.4799995</v>
      </c>
      <c r="F8" s="13" t="s">
        <v>123</v>
      </c>
      <c r="G8" s="139">
        <v>46181</v>
      </c>
      <c r="H8" s="13" t="s">
        <v>284</v>
      </c>
      <c r="I8" s="93">
        <v>1.4034899999999999</v>
      </c>
      <c r="J8" s="28">
        <v>87.916772109999997</v>
      </c>
    </row>
    <row r="9" spans="1:10">
      <c r="A9" s="13" t="s">
        <v>102</v>
      </c>
      <c r="B9" s="13" t="s">
        <v>287</v>
      </c>
      <c r="C9" s="13" t="s">
        <v>283</v>
      </c>
      <c r="D9" s="28">
        <v>447868484.937123</v>
      </c>
      <c r="E9" s="18">
        <v>628578939.91999996</v>
      </c>
      <c r="F9" s="13" t="s">
        <v>123</v>
      </c>
      <c r="G9" s="139">
        <v>46181</v>
      </c>
      <c r="H9" s="13" t="s">
        <v>284</v>
      </c>
      <c r="I9" s="93">
        <v>1.4034899999999999</v>
      </c>
      <c r="J9" s="28">
        <v>12.08322789</v>
      </c>
    </row>
    <row r="10" spans="1:10">
      <c r="A10" s="13" t="s">
        <v>102</v>
      </c>
      <c r="B10" s="13" t="s">
        <v>282</v>
      </c>
      <c r="C10" s="13" t="s">
        <v>285</v>
      </c>
      <c r="D10" s="28">
        <v>2969351787.3277202</v>
      </c>
      <c r="E10" s="18">
        <v>4993743000.5600004</v>
      </c>
      <c r="F10" s="13" t="s">
        <v>123</v>
      </c>
      <c r="G10" s="139">
        <v>46181</v>
      </c>
      <c r="H10" s="13" t="s">
        <v>284</v>
      </c>
      <c r="I10" s="93">
        <v>1.681762</v>
      </c>
      <c r="J10" s="28">
        <v>94.610763919999997</v>
      </c>
    </row>
    <row r="11" spans="1:10">
      <c r="A11" s="13" t="s">
        <v>102</v>
      </c>
      <c r="B11" s="13" t="s">
        <v>287</v>
      </c>
      <c r="C11" s="13" t="s">
        <v>285</v>
      </c>
      <c r="D11" s="28">
        <v>169140773.328529</v>
      </c>
      <c r="E11" s="18">
        <v>284454525.23000002</v>
      </c>
      <c r="F11" s="13" t="s">
        <v>123</v>
      </c>
      <c r="G11" s="139">
        <v>46181</v>
      </c>
      <c r="H11" s="13" t="s">
        <v>284</v>
      </c>
      <c r="I11" s="93">
        <v>1.681762</v>
      </c>
      <c r="J11" s="28">
        <v>5.3892360799999999</v>
      </c>
    </row>
    <row r="12" spans="1:10">
      <c r="A12" s="148"/>
      <c r="B12" s="148"/>
      <c r="C12" s="148"/>
      <c r="D12" s="149">
        <v>26934480846.398102</v>
      </c>
      <c r="E12" s="147">
        <f>+SUM(E4:E11)</f>
        <v>44516839972.029999</v>
      </c>
      <c r="F12" s="148"/>
      <c r="G12" s="148"/>
      <c r="H12" s="148"/>
      <c r="I12" s="148"/>
      <c r="J12" s="14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0C97A889B30847A1F5D3C1B2C934FA" ma:contentTypeVersion="12" ma:contentTypeDescription="Crear nuevo documento." ma:contentTypeScope="" ma:versionID="e40ba6154bdd719621ebcacfd1350b8a">
  <xsd:schema xmlns:xsd="http://www.w3.org/2001/XMLSchema" xmlns:xs="http://www.w3.org/2001/XMLSchema" xmlns:p="http://schemas.microsoft.com/office/2006/metadata/properties" xmlns:ns2="9f7065dd-3ed0-47d4-ad7c-54bc9fbbd8ac" xmlns:ns3="57d3f196-99b8-4020-9dc4-d3d49523bde3" targetNamespace="http://schemas.microsoft.com/office/2006/metadata/properties" ma:root="true" ma:fieldsID="9dd2524dead9607dc1c09308a685bc07" ns2:_="" ns3:_="">
    <xsd:import namespace="9f7065dd-3ed0-47d4-ad7c-54bc9fbbd8ac"/>
    <xsd:import namespace="57d3f196-99b8-4020-9dc4-d3d49523bd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7065dd-3ed0-47d4-ad7c-54bc9fbbd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b781c0c-8333-497c-95c3-9ff74307b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d3f196-99b8-4020-9dc4-d3d49523bde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faebc88-3e92-41f0-9598-ff094f891651}" ma:internalName="TaxCatchAll" ma:showField="CatchAllData" ma:web="57d3f196-99b8-4020-9dc4-d3d49523bd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7065dd-3ed0-47d4-ad7c-54bc9fbbd8ac">
      <Terms xmlns="http://schemas.microsoft.com/office/infopath/2007/PartnerControls"/>
    </lcf76f155ced4ddcb4097134ff3c332f>
    <TaxCatchAll xmlns="57d3f196-99b8-4020-9dc4-d3d49523bde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25DCECE8-68DF-442F-86C7-068BA53D4C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7065dd-3ed0-47d4-ad7c-54bc9fbbd8ac"/>
    <ds:schemaRef ds:uri="57d3f196-99b8-4020-9dc4-d3d49523bd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7A06691-C442-4B65-82BD-1A134BF78D66}">
  <ds:schemaRefs>
    <ds:schemaRef ds:uri="http://schemas.microsoft.com/office/2006/metadata/properties"/>
    <ds:schemaRef ds:uri="http://schemas.microsoft.com/office/infopath/2007/PartnerControls"/>
    <ds:schemaRef ds:uri="9f7065dd-3ed0-47d4-ad7c-54bc9fbbd8ac"/>
    <ds:schemaRef ds:uri="57d3f196-99b8-4020-9dc4-d3d49523bde3"/>
  </ds:schemaRefs>
</ds:datastoreItem>
</file>

<file path=customXml/itemProps3.xml><?xml version="1.0" encoding="utf-8"?>
<ds:datastoreItem xmlns:ds="http://schemas.openxmlformats.org/officeDocument/2006/customXml" ds:itemID="{72A6CF28-7F16-4179-BD12-1124628D354C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611E43D-CD15-4FC9-A3A4-798A3286551E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GESTION MOMENTUM</vt:lpstr>
      <vt:lpstr>Parametros</vt:lpstr>
      <vt:lpstr>Cheques pendientes</vt:lpstr>
      <vt:lpstr>Concentración</vt:lpstr>
      <vt:lpstr>Reporte de Cheques</vt:lpstr>
      <vt:lpstr>Posicion cuotapartista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Stimoli</dc:creator>
  <cp:lastModifiedBy>Carolina Valfre</cp:lastModifiedBy>
  <cp:lastPrinted>2024-02-23T12:36:40Z</cp:lastPrinted>
  <dcterms:created xsi:type="dcterms:W3CDTF">2023-01-13T17:18:52Z</dcterms:created>
  <dcterms:modified xsi:type="dcterms:W3CDTF">2026-06-09T13:42:00Z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Santiago Galván</vt:lpwstr>
  </property>
  <property fmtid="{D5CDD505-2E9C-101B-9397-08002B2CF9AE}" pid="3" name="Order">
    <vt:lpwstr>1552800.00000000</vt:lpwstr>
  </property>
  <property fmtid="{D5CDD505-2E9C-101B-9397-08002B2CF9AE}" pid="4" name="display_urn:schemas-microsoft-com:office:office#Author">
    <vt:lpwstr>Santiago Galván</vt:lpwstr>
  </property>
  <property fmtid="{D5CDD505-2E9C-101B-9397-08002B2CF9AE}" pid="5" name="MediaServiceImageTags">
    <vt:lpwstr/>
  </property>
  <property fmtid="{D5CDD505-2E9C-101B-9397-08002B2CF9AE}" pid="6" name="ContentTypeId">
    <vt:lpwstr>0x010100530C97A889B30847A1F5D3C1B2C934FA</vt:lpwstr>
  </property>
</Properties>
</file>